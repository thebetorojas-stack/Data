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 Yields" sheetId="1" state="visible" r:id="rId1"/>
    <sheet xmlns:r="http://schemas.openxmlformats.org/officeDocument/2006/relationships" name="Curves" sheetId="2" state="visible" r:id="rId2"/>
    <sheet xmlns:r="http://schemas.openxmlformats.org/officeDocument/2006/relationships" name="Real &amp; BE" sheetId="3" state="visible" r:id="rId3"/>
    <sheet xmlns:r="http://schemas.openxmlformats.org/officeDocument/2006/relationships" name="CB Pri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;[Red](0.000);-"/>
    <numFmt numFmtId="165" formatCode="+0.0;[Red]-0.0;-"/>
    <numFmt numFmtId="166" formatCode="#,##0;[Red](#,##0);-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166" fontId="5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Monitor</author>
  </authors>
  <commentList>
    <comment ref="B17" authorId="0" shapeId="0">
      <text>
        <t>Verify ticker — common variants: EUIL5Y5Y, EUSA5F5</t>
      </text>
    </comment>
    <comment ref="B18" authorId="0" shapeId="0">
      <text>
        <t>Verify ticker on Terminal</t>
      </text>
    </comment>
    <comment ref="B20" authorId="0" shapeId="0">
      <text>
        <t>Verify ticker — UK inflation-linked gilt curve</t>
      </text>
    </comment>
    <comment ref="B21" authorId="0" shapeId="0">
      <text>
        <t>Verify ticker — DE BEI / inflation-linked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G10 Sovereign Yields  (yield levels in %, changes in bps)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United States — UST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US 2Y</t>
        </is>
      </c>
      <c r="B6" s="6" t="inlineStr">
        <is>
          <t>USGG2YR Index</t>
        </is>
      </c>
      <c r="C6" s="7">
        <f>BDP("USGG2YR Index","PX_LAST")</f>
        <v/>
      </c>
      <c r="D6" s="8">
        <f>BDP("USGG2YR Index","CHG_NET_1D")</f>
        <v/>
      </c>
      <c r="E6" s="8">
        <f>BDP("USGG2YR Index","CHG_NET_5D")</f>
        <v/>
      </c>
      <c r="F6" s="8">
        <f>BDP("USGG2YR Index","CHG_NET_MTD")</f>
        <v/>
      </c>
      <c r="G6" s="8">
        <f>BDP("USGG2YR Index","CHG_NET_YTD")</f>
        <v/>
      </c>
      <c r="H6" s="8">
        <f>BDP("USGG2YR Index","CHG_NET_1Y")</f>
        <v/>
      </c>
    </row>
    <row r="7">
      <c r="A7" s="5" t="inlineStr">
        <is>
          <t>US 5Y</t>
        </is>
      </c>
      <c r="B7" s="6" t="inlineStr">
        <is>
          <t>USGG5YR Index</t>
        </is>
      </c>
      <c r="C7" s="7">
        <f>BDP("USGG5YR Index","PX_LAST")</f>
        <v/>
      </c>
      <c r="D7" s="8">
        <f>BDP("USGG5YR Index","CHG_NET_1D")</f>
        <v/>
      </c>
      <c r="E7" s="8">
        <f>BDP("USGG5YR Index","CHG_NET_5D")</f>
        <v/>
      </c>
      <c r="F7" s="8">
        <f>BDP("USGG5YR Index","CHG_NET_MTD")</f>
        <v/>
      </c>
      <c r="G7" s="8">
        <f>BDP("USGG5YR Index","CHG_NET_YTD")</f>
        <v/>
      </c>
      <c r="H7" s="8">
        <f>BDP("USGG5YR Index","CHG_NET_1Y")</f>
        <v/>
      </c>
    </row>
    <row r="8">
      <c r="A8" s="5" t="inlineStr">
        <is>
          <t>US 10Y</t>
        </is>
      </c>
      <c r="B8" s="6" t="inlineStr">
        <is>
          <t>USGG10YR Index</t>
        </is>
      </c>
      <c r="C8" s="7">
        <f>BDP("USGG10YR Index","PX_LAST")</f>
        <v/>
      </c>
      <c r="D8" s="8">
        <f>BDP("USGG10YR Index","CHG_NET_1D")</f>
        <v/>
      </c>
      <c r="E8" s="8">
        <f>BDP("USGG10YR Index","CHG_NET_5D")</f>
        <v/>
      </c>
      <c r="F8" s="8">
        <f>BDP("USGG10YR Index","CHG_NET_MTD")</f>
        <v/>
      </c>
      <c r="G8" s="8">
        <f>BDP("USGG10YR Index","CHG_NET_YTD")</f>
        <v/>
      </c>
      <c r="H8" s="8">
        <f>BDP("USGG10YR Index","CHG_NET_1Y")</f>
        <v/>
      </c>
    </row>
    <row r="9">
      <c r="A9" s="5" t="inlineStr">
        <is>
          <t>US 30Y</t>
        </is>
      </c>
      <c r="B9" s="6" t="inlineStr">
        <is>
          <t>USGG30YR Index</t>
        </is>
      </c>
      <c r="C9" s="7">
        <f>BDP("USGG30YR Index","PX_LAST")</f>
        <v/>
      </c>
      <c r="D9" s="8">
        <f>BDP("USGG30YR Index","CHG_NET_1D")</f>
        <v/>
      </c>
      <c r="E9" s="8">
        <f>BDP("USGG30YR Index","CHG_NET_5D")</f>
        <v/>
      </c>
      <c r="F9" s="8">
        <f>BDP("USGG30YR Index","CHG_NET_MTD")</f>
        <v/>
      </c>
      <c r="G9" s="8">
        <f>BDP("USGG30YR Index","CHG_NET_YTD")</f>
        <v/>
      </c>
      <c r="H9" s="8">
        <f>BDP("USGG30YR Index","CHG_NET_1Y")</f>
        <v/>
      </c>
    </row>
    <row r="10">
      <c r="A10" s="4" t="inlineStr">
        <is>
          <t>Germany — Bund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DE 2Y</t>
        </is>
      </c>
      <c r="B11" s="6" t="inlineStr">
        <is>
          <t>GDBR2 Index</t>
        </is>
      </c>
      <c r="C11" s="7">
        <f>BDP("GDBR2 Index","PX_LAST")</f>
        <v/>
      </c>
      <c r="D11" s="8">
        <f>BDP("GDBR2 Index","CHG_NET_1D")</f>
        <v/>
      </c>
      <c r="E11" s="8">
        <f>BDP("GDBR2 Index","CHG_NET_5D")</f>
        <v/>
      </c>
      <c r="F11" s="8">
        <f>BDP("GDBR2 Index","CHG_NET_MTD")</f>
        <v/>
      </c>
      <c r="G11" s="8">
        <f>BDP("GDBR2 Index","CHG_NET_YTD")</f>
        <v/>
      </c>
      <c r="H11" s="8">
        <f>BDP("GDBR2 Index","CHG_NET_1Y")</f>
        <v/>
      </c>
    </row>
    <row r="12">
      <c r="A12" s="5" t="inlineStr">
        <is>
          <t>DE 5Y</t>
        </is>
      </c>
      <c r="B12" s="6" t="inlineStr">
        <is>
          <t>GDBR5 Index</t>
        </is>
      </c>
      <c r="C12" s="7">
        <f>BDP("GDBR5 Index","PX_LAST")</f>
        <v/>
      </c>
      <c r="D12" s="8">
        <f>BDP("GDBR5 Index","CHG_NET_1D")</f>
        <v/>
      </c>
      <c r="E12" s="8">
        <f>BDP("GDBR5 Index","CHG_NET_5D")</f>
        <v/>
      </c>
      <c r="F12" s="8">
        <f>BDP("GDBR5 Index","CHG_NET_MTD")</f>
        <v/>
      </c>
      <c r="G12" s="8">
        <f>BDP("GDBR5 Index","CHG_NET_YTD")</f>
        <v/>
      </c>
      <c r="H12" s="8">
        <f>BDP("GDBR5 Index","CHG_NET_1Y")</f>
        <v/>
      </c>
    </row>
    <row r="13">
      <c r="A13" s="5" t="inlineStr">
        <is>
          <t>DE 10Y</t>
        </is>
      </c>
      <c r="B13" s="6" t="inlineStr">
        <is>
          <t>GDBR10 Index</t>
        </is>
      </c>
      <c r="C13" s="7">
        <f>BDP("GDBR10 Index","PX_LAST")</f>
        <v/>
      </c>
      <c r="D13" s="8">
        <f>BDP("GDBR10 Index","CHG_NET_1D")</f>
        <v/>
      </c>
      <c r="E13" s="8">
        <f>BDP("GDBR10 Index","CHG_NET_5D")</f>
        <v/>
      </c>
      <c r="F13" s="8">
        <f>BDP("GDBR10 Index","CHG_NET_MTD")</f>
        <v/>
      </c>
      <c r="G13" s="8">
        <f>BDP("GDBR10 Index","CHG_NET_YTD")</f>
        <v/>
      </c>
      <c r="H13" s="8">
        <f>BDP("GDBR10 Index","CHG_NET_1Y")</f>
        <v/>
      </c>
    </row>
    <row r="14">
      <c r="A14" s="5" t="inlineStr">
        <is>
          <t>DE 30Y</t>
        </is>
      </c>
      <c r="B14" s="6" t="inlineStr">
        <is>
          <t>GDBR30 Index</t>
        </is>
      </c>
      <c r="C14" s="7">
        <f>BDP("GDBR30 Index","PX_LAST")</f>
        <v/>
      </c>
      <c r="D14" s="8">
        <f>BDP("GDBR30 Index","CHG_NET_1D")</f>
        <v/>
      </c>
      <c r="E14" s="8">
        <f>BDP("GDBR30 Index","CHG_NET_5D")</f>
        <v/>
      </c>
      <c r="F14" s="8">
        <f>BDP("GDBR30 Index","CHG_NET_MTD")</f>
        <v/>
      </c>
      <c r="G14" s="8">
        <f>BDP("GDBR30 Index","CHG_NET_YTD")</f>
        <v/>
      </c>
      <c r="H14" s="8">
        <f>BDP("GDBR30 Index","CHG_NET_1Y")</f>
        <v/>
      </c>
    </row>
    <row r="15">
      <c r="A15" s="4" t="inlineStr">
        <is>
          <t>United Kingdom — Gilt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UK 2Y</t>
        </is>
      </c>
      <c r="B16" s="6" t="inlineStr">
        <is>
          <t>GUKG2 Index</t>
        </is>
      </c>
      <c r="C16" s="7">
        <f>BDP("GUKG2 Index","PX_LAST")</f>
        <v/>
      </c>
      <c r="D16" s="8">
        <f>BDP("GUKG2 Index","CHG_NET_1D")</f>
        <v/>
      </c>
      <c r="E16" s="8">
        <f>BDP("GUKG2 Index","CHG_NET_5D")</f>
        <v/>
      </c>
      <c r="F16" s="8">
        <f>BDP("GUKG2 Index","CHG_NET_MTD")</f>
        <v/>
      </c>
      <c r="G16" s="8">
        <f>BDP("GUKG2 Index","CHG_NET_YTD")</f>
        <v/>
      </c>
      <c r="H16" s="8">
        <f>BDP("GUKG2 Index","CHG_NET_1Y")</f>
        <v/>
      </c>
    </row>
    <row r="17">
      <c r="A17" s="5" t="inlineStr">
        <is>
          <t>UK 5Y</t>
        </is>
      </c>
      <c r="B17" s="6" t="inlineStr">
        <is>
          <t>GUKG5 Index</t>
        </is>
      </c>
      <c r="C17" s="7">
        <f>BDP("GUKG5 Index","PX_LAST")</f>
        <v/>
      </c>
      <c r="D17" s="8">
        <f>BDP("GUKG5 Index","CHG_NET_1D")</f>
        <v/>
      </c>
      <c r="E17" s="8">
        <f>BDP("GUKG5 Index","CHG_NET_5D")</f>
        <v/>
      </c>
      <c r="F17" s="8">
        <f>BDP("GUKG5 Index","CHG_NET_MTD")</f>
        <v/>
      </c>
      <c r="G17" s="8">
        <f>BDP("GUKG5 Index","CHG_NET_YTD")</f>
        <v/>
      </c>
      <c r="H17" s="8">
        <f>BDP("GUKG5 Index","CHG_NET_1Y")</f>
        <v/>
      </c>
    </row>
    <row r="18">
      <c r="A18" s="5" t="inlineStr">
        <is>
          <t>UK 10Y</t>
        </is>
      </c>
      <c r="B18" s="6" t="inlineStr">
        <is>
          <t>GUKG10 Index</t>
        </is>
      </c>
      <c r="C18" s="7">
        <f>BDP("GUKG10 Index","PX_LAST")</f>
        <v/>
      </c>
      <c r="D18" s="8">
        <f>BDP("GUKG10 Index","CHG_NET_1D")</f>
        <v/>
      </c>
      <c r="E18" s="8">
        <f>BDP("GUKG10 Index","CHG_NET_5D")</f>
        <v/>
      </c>
      <c r="F18" s="8">
        <f>BDP("GUKG10 Index","CHG_NET_MTD")</f>
        <v/>
      </c>
      <c r="G18" s="8">
        <f>BDP("GUKG10 Index","CHG_NET_YTD")</f>
        <v/>
      </c>
      <c r="H18" s="8">
        <f>BDP("GUKG10 Index","CHG_NET_1Y")</f>
        <v/>
      </c>
    </row>
    <row r="19">
      <c r="A19" s="5" t="inlineStr">
        <is>
          <t>UK 30Y</t>
        </is>
      </c>
      <c r="B19" s="6" t="inlineStr">
        <is>
          <t>GUKG30 Index</t>
        </is>
      </c>
      <c r="C19" s="7">
        <f>BDP("GUKG30 Index","PX_LAST")</f>
        <v/>
      </c>
      <c r="D19" s="8">
        <f>BDP("GUKG30 Index","CHG_NET_1D")</f>
        <v/>
      </c>
      <c r="E19" s="8">
        <f>BDP("GUKG30 Index","CHG_NET_5D")</f>
        <v/>
      </c>
      <c r="F19" s="8">
        <f>BDP("GUKG30 Index","CHG_NET_MTD")</f>
        <v/>
      </c>
      <c r="G19" s="8">
        <f>BDP("GUKG30 Index","CHG_NET_YTD")</f>
        <v/>
      </c>
      <c r="H19" s="8">
        <f>BDP("GUKG30 Index","CHG_NET_1Y")</f>
        <v/>
      </c>
    </row>
    <row r="20">
      <c r="A20" s="4" t="inlineStr">
        <is>
          <t>Japan — JGB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JP 2Y</t>
        </is>
      </c>
      <c r="B21" s="6" t="inlineStr">
        <is>
          <t>GJGB2 Index</t>
        </is>
      </c>
      <c r="C21" s="7">
        <f>BDP("GJGB2 Index","PX_LAST")</f>
        <v/>
      </c>
      <c r="D21" s="8">
        <f>BDP("GJGB2 Index","CHG_NET_1D")</f>
        <v/>
      </c>
      <c r="E21" s="8">
        <f>BDP("GJGB2 Index","CHG_NET_5D")</f>
        <v/>
      </c>
      <c r="F21" s="8">
        <f>BDP("GJGB2 Index","CHG_NET_MTD")</f>
        <v/>
      </c>
      <c r="G21" s="8">
        <f>BDP("GJGB2 Index","CHG_NET_YTD")</f>
        <v/>
      </c>
      <c r="H21" s="8">
        <f>BDP("GJGB2 Index","CHG_NET_1Y")</f>
        <v/>
      </c>
    </row>
    <row r="22">
      <c r="A22" s="5" t="inlineStr">
        <is>
          <t>JP 5Y</t>
        </is>
      </c>
      <c r="B22" s="6" t="inlineStr">
        <is>
          <t>GJGB5 Index</t>
        </is>
      </c>
      <c r="C22" s="7">
        <f>BDP("GJGB5 Index","PX_LAST")</f>
        <v/>
      </c>
      <c r="D22" s="8">
        <f>BDP("GJGB5 Index","CHG_NET_1D")</f>
        <v/>
      </c>
      <c r="E22" s="8">
        <f>BDP("GJGB5 Index","CHG_NET_5D")</f>
        <v/>
      </c>
      <c r="F22" s="8">
        <f>BDP("GJGB5 Index","CHG_NET_MTD")</f>
        <v/>
      </c>
      <c r="G22" s="8">
        <f>BDP("GJGB5 Index","CHG_NET_YTD")</f>
        <v/>
      </c>
      <c r="H22" s="8">
        <f>BDP("GJGB5 Index","CHG_NET_1Y")</f>
        <v/>
      </c>
    </row>
    <row r="23">
      <c r="A23" s="5" t="inlineStr">
        <is>
          <t>JP 10Y</t>
        </is>
      </c>
      <c r="B23" s="6" t="inlineStr">
        <is>
          <t>GJGB10 Index</t>
        </is>
      </c>
      <c r="C23" s="7">
        <f>BDP("GJGB10 Index","PX_LAST")</f>
        <v/>
      </c>
      <c r="D23" s="8">
        <f>BDP("GJGB10 Index","CHG_NET_1D")</f>
        <v/>
      </c>
      <c r="E23" s="8">
        <f>BDP("GJGB10 Index","CHG_NET_5D")</f>
        <v/>
      </c>
      <c r="F23" s="8">
        <f>BDP("GJGB10 Index","CHG_NET_MTD")</f>
        <v/>
      </c>
      <c r="G23" s="8">
        <f>BDP("GJGB10 Index","CHG_NET_YTD")</f>
        <v/>
      </c>
      <c r="H23" s="8">
        <f>BDP("GJGB10 Index","CHG_NET_1Y")</f>
        <v/>
      </c>
    </row>
    <row r="24">
      <c r="A24" s="5" t="inlineStr">
        <is>
          <t>JP 30Y</t>
        </is>
      </c>
      <c r="B24" s="6" t="inlineStr">
        <is>
          <t>GJGB30 Index</t>
        </is>
      </c>
      <c r="C24" s="7">
        <f>BDP("GJGB30 Index","PX_LAST")</f>
        <v/>
      </c>
      <c r="D24" s="8">
        <f>BDP("GJGB30 Index","CHG_NET_1D")</f>
        <v/>
      </c>
      <c r="E24" s="8">
        <f>BDP("GJGB30 Index","CHG_NET_5D")</f>
        <v/>
      </c>
      <c r="F24" s="8">
        <f>BDP("GJGB30 Index","CHG_NET_MTD")</f>
        <v/>
      </c>
      <c r="G24" s="8">
        <f>BDP("GJGB30 Index","CHG_NET_YTD")</f>
        <v/>
      </c>
      <c r="H24" s="8">
        <f>BDP("GJGB30 Index","CHG_NET_1Y")</f>
        <v/>
      </c>
    </row>
    <row r="25">
      <c r="A25" s="4" t="inlineStr">
        <is>
          <t>Eurozone Periphery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FR 10Y (OAT)</t>
        </is>
      </c>
      <c r="B26" s="6" t="inlineStr">
        <is>
          <t>GFRN10 Index</t>
        </is>
      </c>
      <c r="C26" s="7">
        <f>BDP("GFRN10 Index","PX_LAST")</f>
        <v/>
      </c>
      <c r="D26" s="8">
        <f>BDP("GFRN10 Index","CHG_NET_1D")</f>
        <v/>
      </c>
      <c r="E26" s="8">
        <f>BDP("GFRN10 Index","CHG_NET_5D")</f>
        <v/>
      </c>
      <c r="F26" s="8">
        <f>BDP("GFRN10 Index","CHG_NET_MTD")</f>
        <v/>
      </c>
      <c r="G26" s="8">
        <f>BDP("GFRN10 Index","CHG_NET_YTD")</f>
        <v/>
      </c>
      <c r="H26" s="8">
        <f>BDP("GFRN10 Index","CHG_NET_1Y")</f>
        <v/>
      </c>
    </row>
    <row r="27">
      <c r="A27" s="5" t="inlineStr">
        <is>
          <t>IT 10Y (BTP)</t>
        </is>
      </c>
      <c r="B27" s="6" t="inlineStr">
        <is>
          <t>GBTPGR10 Index</t>
        </is>
      </c>
      <c r="C27" s="7">
        <f>BDP("GBTPGR10 Index","PX_LAST")</f>
        <v/>
      </c>
      <c r="D27" s="8">
        <f>BDP("GBTPGR10 Index","CHG_NET_1D")</f>
        <v/>
      </c>
      <c r="E27" s="8">
        <f>BDP("GBTPGR10 Index","CHG_NET_5D")</f>
        <v/>
      </c>
      <c r="F27" s="8">
        <f>BDP("GBTPGR10 Index","CHG_NET_MTD")</f>
        <v/>
      </c>
      <c r="G27" s="8">
        <f>BDP("GBTPGR10 Index","CHG_NET_YTD")</f>
        <v/>
      </c>
      <c r="H27" s="8">
        <f>BDP("GBTPGR10 Index","CHG_NET_1Y")</f>
        <v/>
      </c>
    </row>
    <row r="28">
      <c r="A28" s="5" t="inlineStr">
        <is>
          <t>ES 10Y (SPGB)</t>
        </is>
      </c>
      <c r="B28" s="6" t="inlineStr">
        <is>
          <t>GSPG10 Index</t>
        </is>
      </c>
      <c r="C28" s="7">
        <f>BDP("GSPG10 Index","PX_LAST")</f>
        <v/>
      </c>
      <c r="D28" s="8">
        <f>BDP("GSPG10 Index","CHG_NET_1D")</f>
        <v/>
      </c>
      <c r="E28" s="8">
        <f>BDP("GSPG10 Index","CHG_NET_5D")</f>
        <v/>
      </c>
      <c r="F28" s="8">
        <f>BDP("GSPG10 Index","CHG_NET_MTD")</f>
        <v/>
      </c>
      <c r="G28" s="8">
        <f>BDP("GSPG10 Index","CHG_NET_YTD")</f>
        <v/>
      </c>
      <c r="H28" s="8">
        <f>BDP("GSPG10 Index","CHG_NET_1Y")</f>
        <v/>
      </c>
    </row>
    <row r="29">
      <c r="A29" s="4" t="inlineStr">
        <is>
          <t>Other DM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5" t="inlineStr">
        <is>
          <t>CA 10Y</t>
        </is>
      </c>
      <c r="B30" s="6" t="inlineStr">
        <is>
          <t>GCAN10YR Index</t>
        </is>
      </c>
      <c r="C30" s="7">
        <f>BDP("GCAN10YR Index","PX_LAST")</f>
        <v/>
      </c>
      <c r="D30" s="8">
        <f>BDP("GCAN10YR Index","CHG_NET_1D")</f>
        <v/>
      </c>
      <c r="E30" s="8">
        <f>BDP("GCAN10YR Index","CHG_NET_5D")</f>
        <v/>
      </c>
      <c r="F30" s="8">
        <f>BDP("GCAN10YR Index","CHG_NET_MTD")</f>
        <v/>
      </c>
      <c r="G30" s="8">
        <f>BDP("GCAN10YR Index","CHG_NET_YTD")</f>
        <v/>
      </c>
      <c r="H30" s="8">
        <f>BDP("GCAN10YR Index","CHG_NET_1Y")</f>
        <v/>
      </c>
    </row>
    <row r="31">
      <c r="A31" s="5" t="inlineStr">
        <is>
          <t>AU 10Y</t>
        </is>
      </c>
      <c r="B31" s="6" t="inlineStr">
        <is>
          <t>GACGB10 Index</t>
        </is>
      </c>
      <c r="C31" s="7">
        <f>BDP("GACGB10 Index","PX_LAST")</f>
        <v/>
      </c>
      <c r="D31" s="8">
        <f>BDP("GACGB10 Index","CHG_NET_1D")</f>
        <v/>
      </c>
      <c r="E31" s="8">
        <f>BDP("GACGB10 Index","CHG_NET_5D")</f>
        <v/>
      </c>
      <c r="F31" s="8">
        <f>BDP("GACGB10 Index","CHG_NET_MTD")</f>
        <v/>
      </c>
      <c r="G31" s="8">
        <f>BDP("GACGB10 Index","CHG_NET_YTD")</f>
        <v/>
      </c>
      <c r="H31" s="8">
        <f>BDP("GACGB10 Index","CHG_NET_1Y")</f>
        <v/>
      </c>
    </row>
    <row r="32">
      <c r="A32" s="5" t="inlineStr">
        <is>
          <t>NZ 10Y</t>
        </is>
      </c>
      <c r="B32" s="6" t="inlineStr">
        <is>
          <t>GNZGB10 Index</t>
        </is>
      </c>
      <c r="C32" s="7">
        <f>BDP("GNZGB10 Index","PX_LAST")</f>
        <v/>
      </c>
      <c r="D32" s="8">
        <f>BDP("GNZGB10 Index","CHG_NET_1D")</f>
        <v/>
      </c>
      <c r="E32" s="8">
        <f>BDP("GNZGB10 Index","CHG_NET_5D")</f>
        <v/>
      </c>
      <c r="F32" s="8">
        <f>BDP("GNZGB10 Index","CHG_NET_MTD")</f>
        <v/>
      </c>
      <c r="G32" s="8">
        <f>BDP("GNZGB10 Index","CHG_NET_YTD")</f>
        <v/>
      </c>
      <c r="H32" s="8">
        <f>BDP("GNZGB10 Index","CHG_NET_1Y")</f>
        <v/>
      </c>
    </row>
    <row r="33">
      <c r="A33" s="5" t="inlineStr">
        <is>
          <t>CH 10Y</t>
        </is>
      </c>
      <c r="B33" s="6" t="inlineStr">
        <is>
          <t>GSWISS10 Index</t>
        </is>
      </c>
      <c r="C33" s="7">
        <f>BDP("GSWISS10 Index","PX_LAST")</f>
        <v/>
      </c>
      <c r="D33" s="8">
        <f>BDP("GSWISS10 Index","CHG_NET_1D")</f>
        <v/>
      </c>
      <c r="E33" s="8">
        <f>BDP("GSWISS10 Index","CHG_NET_5D")</f>
        <v/>
      </c>
      <c r="F33" s="8">
        <f>BDP("GSWISS10 Index","CHG_NET_MTD")</f>
        <v/>
      </c>
      <c r="G33" s="8">
        <f>BDP("GSWISS10 Index","CHG_NET_YTD")</f>
        <v/>
      </c>
      <c r="H33" s="8">
        <f>BDP("GSWISS10 Index","CHG_NET_1Y")</f>
        <v/>
      </c>
    </row>
    <row r="34">
      <c r="A34" s="5" t="inlineStr">
        <is>
          <t>SE 10Y</t>
        </is>
      </c>
      <c r="B34" s="6" t="inlineStr">
        <is>
          <t>GSGB10YR Index</t>
        </is>
      </c>
      <c r="C34" s="7">
        <f>BDP("GSGB10YR Index","PX_LAST")</f>
        <v/>
      </c>
      <c r="D34" s="8">
        <f>BDP("GSGB10YR Index","CHG_NET_1D")</f>
        <v/>
      </c>
      <c r="E34" s="8">
        <f>BDP("GSGB10YR Index","CHG_NET_5D")</f>
        <v/>
      </c>
      <c r="F34" s="8">
        <f>BDP("GSGB10YR Index","CHG_NET_MTD")</f>
        <v/>
      </c>
      <c r="G34" s="8">
        <f>BDP("GSGB10YR Index","CHG_NET_YTD")</f>
        <v/>
      </c>
      <c r="H34" s="8">
        <f>BDP("GSGB10YR Index","CHG_NET_1Y")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Curve Slopes (bps) — 2s10s, 5s30s, 2s30s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Country</t>
        </is>
      </c>
      <c r="B4" s="3" t="inlineStr">
        <is>
          <t>2s10s</t>
        </is>
      </c>
      <c r="C4" s="3" t="inlineStr">
        <is>
          <t>5s30s</t>
        </is>
      </c>
      <c r="D4" s="3" t="inlineStr">
        <is>
          <t>2s30s</t>
        </is>
      </c>
      <c r="E4" s="3" t="inlineStr">
        <is>
          <t>Notes</t>
        </is>
      </c>
      <c r="F4" s="3" t="inlineStr"/>
    </row>
    <row r="5">
      <c r="A5" s="9" t="inlineStr">
        <is>
          <t>US</t>
        </is>
      </c>
      <c r="B5" s="10">
        <f>(BDP("USGG10YR Index","PX_LAST")-BDP("USGG2YR Index","PX_LAST"))*100</f>
        <v/>
      </c>
      <c r="C5" s="10">
        <f>(BDP("USGG30YR Index","PX_LAST")-BDP("USGG5YR Index","PX_LAST"))*100</f>
        <v/>
      </c>
      <c r="D5" s="10">
        <f>(BDP("USGG30YR Index","PX_LAST")-BDP("USGG2YR Index","PX_LAST"))*100</f>
        <v/>
      </c>
    </row>
    <row r="6">
      <c r="A6" s="9" t="inlineStr">
        <is>
          <t>DE</t>
        </is>
      </c>
      <c r="B6" s="10">
        <f>(BDP("GDBR10 Index","PX_LAST")-BDP("GDBR2 Index","PX_LAST"))*100</f>
        <v/>
      </c>
      <c r="C6" s="10">
        <f>(BDP("GDBR30 Index","PX_LAST")-BDP("GDBR5 Index","PX_LAST"))*100</f>
        <v/>
      </c>
      <c r="D6" s="10">
        <f>(BDP("GDBR30 Index","PX_LAST")-BDP("GDBR2 Index","PX_LAST"))*100</f>
        <v/>
      </c>
    </row>
    <row r="7">
      <c r="A7" s="9" t="inlineStr">
        <is>
          <t>UK</t>
        </is>
      </c>
      <c r="B7" s="10">
        <f>(BDP("GUKG10 Index","PX_LAST")-BDP("GUKG2 Index","PX_LAST"))*100</f>
        <v/>
      </c>
      <c r="C7" s="10">
        <f>(BDP("GUKG30 Index","PX_LAST")-BDP("GUKG5 Index","PX_LAST"))*100</f>
        <v/>
      </c>
      <c r="D7" s="10">
        <f>(BDP("GUKG30 Index","PX_LAST")-BDP("GUKG2 Index","PX_LAST"))*100</f>
        <v/>
      </c>
    </row>
    <row r="8">
      <c r="A8" s="9" t="inlineStr">
        <is>
          <t>JP</t>
        </is>
      </c>
      <c r="B8" s="10">
        <f>(BDP("GJGB10 Index","PX_LAST")-BDP("GJGB2 Index","PX_LAST"))*100</f>
        <v/>
      </c>
      <c r="C8" s="10">
        <f>(BDP("GJGB30 Index","PX_LAST")-BDP("GJGB5 Index","PX_LAST"))*100</f>
        <v/>
      </c>
      <c r="D8" s="10">
        <f>(BDP("GJGB30 Index","PX_LAST")-BDP("GJGB2 Index","PX_LAST"))*100</f>
        <v/>
      </c>
    </row>
    <row r="9">
      <c r="A9" s="9" t="inlineStr">
        <is>
          <t>FR</t>
        </is>
      </c>
      <c r="B9" s="10">
        <f>(BDP("GFRN10 Index","PX_LAST")-BDP("GFRN2 Index","PX_LAST"))*100</f>
        <v/>
      </c>
      <c r="C9" s="10">
        <f>(BDP("GFRN30 Index","PX_LAST")-BDP("GFRN5 Index","PX_LAST"))*100</f>
        <v/>
      </c>
      <c r="D9" s="10">
        <f>(BDP("GFRN30 Index","PX_LAST")-BDP("GFRN2 Index","PX_LAST"))*100</f>
        <v/>
      </c>
    </row>
    <row r="10">
      <c r="A10" s="9" t="inlineStr">
        <is>
          <t>IT</t>
        </is>
      </c>
      <c r="B10" s="10">
        <f>(BDP("GBTPGR10 Index","PX_LAST")-BDP("GBTPGR2 Index","PX_LAST"))*100</f>
        <v/>
      </c>
      <c r="C10" s="10">
        <f>(BDP("GBTPGR30 Index","PX_LAST")-BDP("GBTPGR5 Index","PX_LAST"))*100</f>
        <v/>
      </c>
      <c r="D10" s="10">
        <f>(BDP("GBTPGR30 Index","PX_LAST")-BDP("GBTPGR2 Index","PX_LAST"))*100</f>
        <v/>
      </c>
    </row>
    <row r="11">
      <c r="A11" s="9" t="inlineStr">
        <is>
          <t>ES</t>
        </is>
      </c>
      <c r="B11" s="10">
        <f>(BDP("GSPG10 Index","PX_LAST")-BDP("GSPG2 Index","PX_LAST"))*100</f>
        <v/>
      </c>
      <c r="C11" s="10">
        <f>(BDP("GSPG30 Index","PX_LAST")-BDP("GSPG5 Index","PX_LAST"))*100</f>
        <v/>
      </c>
      <c r="D11" s="10">
        <f>(BDP("GSPG30 Index","PX_LAST")-BDP("GSPG2 Index","PX_LAST"))*100</f>
        <v/>
      </c>
    </row>
    <row r="12">
      <c r="A12" s="9" t="inlineStr">
        <is>
          <t>CA</t>
        </is>
      </c>
      <c r="B12" s="10">
        <f>(BDP("GCAN10YR Index","PX_LAST")-BDP("GCAN2YR Index","PX_LAST"))*100</f>
        <v/>
      </c>
      <c r="C12" s="10">
        <f>(BDP("GCAN30YR Index","PX_LAST")-BDP("GCAN5YR Index","PX_LAST"))*100</f>
        <v/>
      </c>
      <c r="D12" s="10">
        <f>(BDP("GCAN30YR Index","PX_LAST")-BDP("GCAN2YR Index","PX_LAST"))*100</f>
        <v/>
      </c>
    </row>
    <row r="13">
      <c r="A13" s="9" t="inlineStr">
        <is>
          <t>AU</t>
        </is>
      </c>
      <c r="B13" s="10">
        <f>(BDP("GACGB10 Index","PX_LAST")-BDP("GACGB2 Index","PX_LAST"))*100</f>
        <v/>
      </c>
      <c r="C13" s="10">
        <f>(BDP("GACGB10 Index","PX_LAST")-BDP("GACGB5 Index","PX_LAST"))*100</f>
        <v/>
      </c>
      <c r="D13" s="10">
        <f>(BDP("GACGB10 Index","PX_LAST")-BDP("GACGB2 Index","PX_LAST"))*100</f>
        <v/>
      </c>
    </row>
    <row r="14">
      <c r="A14" s="4" t="inlineStr">
        <is>
          <t>Cross-market 10Y spreads (bps)</t>
        </is>
      </c>
      <c r="B14" s="4" t="n"/>
      <c r="C14" s="4" t="n"/>
      <c r="D14" s="4" t="n"/>
      <c r="E14" s="4" t="n"/>
      <c r="F14" s="4" t="n"/>
    </row>
    <row r="15">
      <c r="A15" s="9" t="inlineStr">
        <is>
          <t>UST-Bund 10Y</t>
        </is>
      </c>
      <c r="B15" s="10">
        <f>(BDP("USGG10YR Index","PX_LAST")-BDP("GDBR10 Index","PX_LAST"))*100</f>
        <v/>
      </c>
      <c r="C15" s="11" t="n"/>
      <c r="D15" s="11" t="n"/>
      <c r="E15" s="11" t="n"/>
    </row>
    <row r="16">
      <c r="A16" s="9" t="inlineStr">
        <is>
          <t>UST-Gilt 10Y</t>
        </is>
      </c>
      <c r="B16" s="10">
        <f>(BDP("USGG10YR Index","PX_LAST")-BDP("GUKG10 Index","PX_LAST"))*100</f>
        <v/>
      </c>
      <c r="C16" s="11" t="n"/>
      <c r="D16" s="11" t="n"/>
      <c r="E16" s="11" t="n"/>
    </row>
    <row r="17">
      <c r="A17" s="9" t="inlineStr">
        <is>
          <t>UST-JGB 10Y</t>
        </is>
      </c>
      <c r="B17" s="10">
        <f>(BDP("USGG10YR Index","PX_LAST")-BDP("GJGB10 Index","PX_LAST"))*100</f>
        <v/>
      </c>
      <c r="C17" s="11" t="n"/>
      <c r="D17" s="11" t="n"/>
      <c r="E17" s="11" t="n"/>
    </row>
    <row r="18">
      <c r="A18" s="9" t="inlineStr">
        <is>
          <t>Bund-BTP 10Y</t>
        </is>
      </c>
      <c r="B18" s="10">
        <f>(BDP("GDBR10 Index","PX_LAST")-BDP("GBTPGR10 Index","PX_LAST"))*100</f>
        <v/>
      </c>
      <c r="C18" s="11" t="n"/>
      <c r="D18" s="11" t="n"/>
      <c r="E18" s="11" t="n"/>
    </row>
    <row r="19">
      <c r="A19" s="9" t="inlineStr">
        <is>
          <t>Bund-OAT 10Y</t>
        </is>
      </c>
      <c r="B19" s="10">
        <f>(BDP("GDBR10 Index","PX_LAST")-BDP("GFRN10 Index","PX_LAST"))*100</f>
        <v/>
      </c>
      <c r="C19" s="11" t="n"/>
      <c r="D19" s="11" t="n"/>
      <c r="E19" s="11" t="n"/>
    </row>
    <row r="20">
      <c r="A20" s="9" t="inlineStr">
        <is>
          <t>Bund-SPGB 10Y</t>
        </is>
      </c>
      <c r="B20" s="10">
        <f>(BDP("GDBR10 Index","PX_LAST")-BDP("GSPG10 Index","PX_LAST"))*100</f>
        <v/>
      </c>
      <c r="C20" s="11" t="n"/>
      <c r="D20" s="11" t="n"/>
      <c r="E20" s="11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Real Yields &amp; Inflation Breakevens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US TIPS — Real Yields (%)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US 2Y Real</t>
        </is>
      </c>
      <c r="B6" s="6" t="inlineStr">
        <is>
          <t>USGGT02Y Index</t>
        </is>
      </c>
      <c r="C6" s="7">
        <f>BDP("USGGT02Y Index","PX_LAST")</f>
        <v/>
      </c>
      <c r="D6" s="8">
        <f>BDP("USGGT02Y Index","CHG_NET_1D")</f>
        <v/>
      </c>
      <c r="E6" s="8">
        <f>BDP("USGGT02Y Index","CHG_NET_5D")</f>
        <v/>
      </c>
      <c r="F6" s="8">
        <f>BDP("USGGT02Y Index","CHG_NET_MTD")</f>
        <v/>
      </c>
      <c r="G6" s="8">
        <f>BDP("USGGT02Y Index","CHG_NET_YTD")</f>
        <v/>
      </c>
      <c r="H6" s="8">
        <f>BDP("USGGT02Y Index","CHG_NET_1Y")</f>
        <v/>
      </c>
    </row>
    <row r="7">
      <c r="A7" s="5" t="inlineStr">
        <is>
          <t>US 5Y Real</t>
        </is>
      </c>
      <c r="B7" s="6" t="inlineStr">
        <is>
          <t>USGGT05Y Index</t>
        </is>
      </c>
      <c r="C7" s="7">
        <f>BDP("USGGT05Y Index","PX_LAST")</f>
        <v/>
      </c>
      <c r="D7" s="8">
        <f>BDP("USGGT05Y Index","CHG_NET_1D")</f>
        <v/>
      </c>
      <c r="E7" s="8">
        <f>BDP("USGGT05Y Index","CHG_NET_5D")</f>
        <v/>
      </c>
      <c r="F7" s="8">
        <f>BDP("USGGT05Y Index","CHG_NET_MTD")</f>
        <v/>
      </c>
      <c r="G7" s="8">
        <f>BDP("USGGT05Y Index","CHG_NET_YTD")</f>
        <v/>
      </c>
      <c r="H7" s="8">
        <f>BDP("USGGT05Y Index","CHG_NET_1Y")</f>
        <v/>
      </c>
    </row>
    <row r="8">
      <c r="A8" s="5" t="inlineStr">
        <is>
          <t>US 10Y Real</t>
        </is>
      </c>
      <c r="B8" s="6" t="inlineStr">
        <is>
          <t>USGGT10Y Index</t>
        </is>
      </c>
      <c r="C8" s="7">
        <f>BDP("USGGT10Y Index","PX_LAST")</f>
        <v/>
      </c>
      <c r="D8" s="8">
        <f>BDP("USGGT10Y Index","CHG_NET_1D")</f>
        <v/>
      </c>
      <c r="E8" s="8">
        <f>BDP("USGGT10Y Index","CHG_NET_5D")</f>
        <v/>
      </c>
      <c r="F8" s="8">
        <f>BDP("USGGT10Y Index","CHG_NET_MTD")</f>
        <v/>
      </c>
      <c r="G8" s="8">
        <f>BDP("USGGT10Y Index","CHG_NET_YTD")</f>
        <v/>
      </c>
      <c r="H8" s="8">
        <f>BDP("USGGT10Y Index","CHG_NET_1Y")</f>
        <v/>
      </c>
    </row>
    <row r="9">
      <c r="A9" s="5" t="inlineStr">
        <is>
          <t>US 30Y Real</t>
        </is>
      </c>
      <c r="B9" s="6" t="inlineStr">
        <is>
          <t>USGGT30Y Index</t>
        </is>
      </c>
      <c r="C9" s="7">
        <f>BDP("USGGT30Y Index","PX_LAST")</f>
        <v/>
      </c>
      <c r="D9" s="8">
        <f>BDP("USGGT30Y Index","CHG_NET_1D")</f>
        <v/>
      </c>
      <c r="E9" s="8">
        <f>BDP("USGGT30Y Index","CHG_NET_5D")</f>
        <v/>
      </c>
      <c r="F9" s="8">
        <f>BDP("USGGT30Y Index","CHG_NET_MTD")</f>
        <v/>
      </c>
      <c r="G9" s="8">
        <f>BDP("USGGT30Y Index","CHG_NET_YTD")</f>
        <v/>
      </c>
      <c r="H9" s="8">
        <f>BDP("USGGT30Y Index","CHG_NET_1Y")</f>
        <v/>
      </c>
    </row>
    <row r="10">
      <c r="A10" s="4" t="inlineStr">
        <is>
          <t>US Breakevens (bps)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inlineStr">
        <is>
          <t>US 2Y BE</t>
        </is>
      </c>
      <c r="B11" s="6" t="inlineStr">
        <is>
          <t>USGGBE02 Index</t>
        </is>
      </c>
      <c r="C11" s="7">
        <f>BDP("USGGBE02 Index","PX_LAST")</f>
        <v/>
      </c>
      <c r="D11" s="8">
        <f>BDP("USGGBE02 Index","CHG_NET_1D")</f>
        <v/>
      </c>
      <c r="E11" s="8">
        <f>BDP("USGGBE02 Index","CHG_NET_5D")</f>
        <v/>
      </c>
      <c r="F11" s="8">
        <f>BDP("USGGBE02 Index","CHG_NET_MTD")</f>
        <v/>
      </c>
      <c r="G11" s="8">
        <f>BDP("USGGBE02 Index","CHG_NET_YTD")</f>
        <v/>
      </c>
      <c r="H11" s="8">
        <f>BDP("USGGBE02 Index","CHG_NET_1Y")</f>
        <v/>
      </c>
    </row>
    <row r="12">
      <c r="A12" s="5" t="inlineStr">
        <is>
          <t>US 5Y BE</t>
        </is>
      </c>
      <c r="B12" s="6" t="inlineStr">
        <is>
          <t>USGGBE05 Index</t>
        </is>
      </c>
      <c r="C12" s="7">
        <f>BDP("USGGBE05 Index","PX_LAST")</f>
        <v/>
      </c>
      <c r="D12" s="8">
        <f>BDP("USGGBE05 Index","CHG_NET_1D")</f>
        <v/>
      </c>
      <c r="E12" s="8">
        <f>BDP("USGGBE05 Index","CHG_NET_5D")</f>
        <v/>
      </c>
      <c r="F12" s="8">
        <f>BDP("USGGBE05 Index","CHG_NET_MTD")</f>
        <v/>
      </c>
      <c r="G12" s="8">
        <f>BDP("USGGBE05 Index","CHG_NET_YTD")</f>
        <v/>
      </c>
      <c r="H12" s="8">
        <f>BDP("USGGBE05 Index","CHG_NET_1Y")</f>
        <v/>
      </c>
    </row>
    <row r="13">
      <c r="A13" s="5" t="inlineStr">
        <is>
          <t>US 10Y BE</t>
        </is>
      </c>
      <c r="B13" s="6" t="inlineStr">
        <is>
          <t>USGGBE10 Index</t>
        </is>
      </c>
      <c r="C13" s="7">
        <f>BDP("USGGBE10 Index","PX_LAST")</f>
        <v/>
      </c>
      <c r="D13" s="8">
        <f>BDP("USGGBE10 Index","CHG_NET_1D")</f>
        <v/>
      </c>
      <c r="E13" s="8">
        <f>BDP("USGGBE10 Index","CHG_NET_5D")</f>
        <v/>
      </c>
      <c r="F13" s="8">
        <f>BDP("USGGBE10 Index","CHG_NET_MTD")</f>
        <v/>
      </c>
      <c r="G13" s="8">
        <f>BDP("USGGBE10 Index","CHG_NET_YTD")</f>
        <v/>
      </c>
      <c r="H13" s="8">
        <f>BDP("USGGBE10 Index","CHG_NET_1Y")</f>
        <v/>
      </c>
    </row>
    <row r="14">
      <c r="A14" s="5" t="inlineStr">
        <is>
          <t>US 30Y BE</t>
        </is>
      </c>
      <c r="B14" s="6" t="inlineStr">
        <is>
          <t>USGGBE30 Index</t>
        </is>
      </c>
      <c r="C14" s="7">
        <f>BDP("USGGBE30 Index","PX_LAST")</f>
        <v/>
      </c>
      <c r="D14" s="8">
        <f>BDP("USGGBE30 Index","CHG_NET_1D")</f>
        <v/>
      </c>
      <c r="E14" s="8">
        <f>BDP("USGGBE30 Index","CHG_NET_5D")</f>
        <v/>
      </c>
      <c r="F14" s="8">
        <f>BDP("USGGBE30 Index","CHG_NET_MTD")</f>
        <v/>
      </c>
      <c r="G14" s="8">
        <f>BDP("USGGBE30 Index","CHG_NET_YTD")</f>
        <v/>
      </c>
      <c r="H14" s="8">
        <f>BDP("USGGBE30 Index","CHG_NET_1Y")</f>
        <v/>
      </c>
    </row>
    <row r="15">
      <c r="A15" s="4" t="inlineStr">
        <is>
          <t>Inflation Swaps — 5y5y forward (%)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US 5y5y CPI swap</t>
        </is>
      </c>
      <c r="B16" s="6" t="inlineStr">
        <is>
          <t>FWISUS55 Index</t>
        </is>
      </c>
      <c r="C16" s="7">
        <f>BDP("FWISUS55 Index","PX_LAST")</f>
        <v/>
      </c>
      <c r="D16" s="8">
        <f>BDP("FWISUS55 Index","CHG_NET_1D")</f>
        <v/>
      </c>
      <c r="E16" s="8">
        <f>BDP("FWISUS55 Index","CHG_NET_5D")</f>
        <v/>
      </c>
      <c r="F16" s="8">
        <f>BDP("FWISUS55 Index","CHG_NET_MTD")</f>
        <v/>
      </c>
      <c r="G16" s="8">
        <f>BDP("FWISUS55 Index","CHG_NET_YTD")</f>
        <v/>
      </c>
      <c r="H16" s="8">
        <f>BDP("FWISUS55 Index","CHG_NET_1Y")</f>
        <v/>
      </c>
    </row>
    <row r="17">
      <c r="A17" s="5" t="inlineStr">
        <is>
          <t>EUR 5y5y HICPxT swap</t>
        </is>
      </c>
      <c r="B17" s="6" t="inlineStr">
        <is>
          <t>EUSWI5F5 Index</t>
        </is>
      </c>
      <c r="C17" s="7">
        <f>BDP("EUSWI5F5 Index","PX_LAST")</f>
        <v/>
      </c>
      <c r="D17" s="8">
        <f>BDP("EUSWI5F5 Index","CHG_NET_1D")</f>
        <v/>
      </c>
      <c r="E17" s="8">
        <f>BDP("EUSWI5F5 Index","CHG_NET_5D")</f>
        <v/>
      </c>
      <c r="F17" s="8">
        <f>BDP("EUSWI5F5 Index","CHG_NET_MTD")</f>
        <v/>
      </c>
      <c r="G17" s="8">
        <f>BDP("EUSWI5F5 Index","CHG_NET_YTD")</f>
        <v/>
      </c>
      <c r="H17" s="8">
        <f>BDP("EUSWI5F5 Index","CHG_NET_1Y")</f>
        <v/>
      </c>
    </row>
    <row r="18">
      <c r="A18" s="5" t="inlineStr">
        <is>
          <t>UK 5y5y RPI swap</t>
        </is>
      </c>
      <c r="B18" s="6" t="inlineStr">
        <is>
          <t>BPSWIT5F5 Index</t>
        </is>
      </c>
      <c r="C18" s="7">
        <f>BDP("BPSWIT5F5 Index","PX_LAST")</f>
        <v/>
      </c>
      <c r="D18" s="8">
        <f>BDP("BPSWIT5F5 Index","CHG_NET_1D")</f>
        <v/>
      </c>
      <c r="E18" s="8">
        <f>BDP("BPSWIT5F5 Index","CHG_NET_5D")</f>
        <v/>
      </c>
      <c r="F18" s="8">
        <f>BDP("BPSWIT5F5 Index","CHG_NET_MTD")</f>
        <v/>
      </c>
      <c r="G18" s="8">
        <f>BDP("BPSWIT5F5 Index","CHG_NET_YTD")</f>
        <v/>
      </c>
      <c r="H18" s="8">
        <f>BDP("BPSWIT5F5 Index","CHG_NET_1Y")</f>
        <v/>
      </c>
    </row>
    <row r="19">
      <c r="A19" s="4" t="inlineStr">
        <is>
          <t>UK &amp; Eurozone Real Yields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UK 10Y Real</t>
        </is>
      </c>
      <c r="B20" s="6" t="inlineStr">
        <is>
          <t>GUKGI10 Index</t>
        </is>
      </c>
      <c r="C20" s="7">
        <f>BDP("GUKGI10 Index","PX_LAST")</f>
        <v/>
      </c>
      <c r="D20" s="8">
        <f>BDP("GUKGI10 Index","CHG_NET_1D")</f>
        <v/>
      </c>
      <c r="E20" s="8">
        <f>BDP("GUKGI10 Index","CHG_NET_5D")</f>
        <v/>
      </c>
      <c r="F20" s="8">
        <f>BDP("GUKGI10 Index","CHG_NET_MTD")</f>
        <v/>
      </c>
      <c r="G20" s="8">
        <f>BDP("GUKGI10 Index","CHG_NET_YTD")</f>
        <v/>
      </c>
      <c r="H20" s="8">
        <f>BDP("GUKGI10 Index","CHG_NET_1Y")</f>
        <v/>
      </c>
    </row>
    <row r="21">
      <c r="A21" s="5" t="inlineStr">
        <is>
          <t>DE 10Y Real</t>
        </is>
      </c>
      <c r="B21" s="6" t="inlineStr">
        <is>
          <t>GDBI10 Index</t>
        </is>
      </c>
      <c r="C21" s="7">
        <f>BDP("GDBI10 Index","PX_LAST")</f>
        <v/>
      </c>
      <c r="D21" s="8">
        <f>BDP("GDBI10 Index","CHG_NET_1D")</f>
        <v/>
      </c>
      <c r="E21" s="8">
        <f>BDP("GDBI10 Index","CHG_NET_5D")</f>
        <v/>
      </c>
      <c r="F21" s="8">
        <f>BDP("GDBI10 Index","CHG_NET_MTD")</f>
        <v/>
      </c>
      <c r="G21" s="8">
        <f>BDP("GDBI10 Index","CHG_NET_YTD")</f>
        <v/>
      </c>
      <c r="H21" s="8">
        <f>BDP("GDBI10 Index","CHG_NET_1Y")</f>
        <v/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Central Bank Pricing — OIS Curves &amp; Implied Path</t>
        </is>
      </c>
    </row>
    <row r="2">
      <c r="A2" s="2" t="inlineStr">
        <is>
          <t>As of:</t>
        </is>
      </c>
      <c r="B2" s="2">
        <f>TEXT(TODAY(),"yyyy-mm-dd")</f>
        <v/>
      </c>
      <c r="C2" s="2" t="inlineStr">
        <is>
          <t>(BBG add-in required for live values)</t>
        </is>
      </c>
    </row>
    <row r="4">
      <c r="A4" s="3" t="inlineStr">
        <is>
          <t>Security</t>
        </is>
      </c>
      <c r="B4" s="3" t="inlineStr">
        <is>
          <t>BBG Ticker</t>
        </is>
      </c>
      <c r="C4" s="3" t="inlineStr">
        <is>
          <t>Last</t>
        </is>
      </c>
      <c r="D4" s="3" t="inlineStr">
        <is>
          <t>1d</t>
        </is>
      </c>
      <c r="E4" s="3" t="inlineStr">
        <is>
          <t>5d</t>
        </is>
      </c>
      <c r="F4" s="3" t="inlineStr">
        <is>
          <t>MTD</t>
        </is>
      </c>
      <c r="G4" s="3" t="inlineStr">
        <is>
          <t>YTD</t>
        </is>
      </c>
      <c r="H4" s="3" t="inlineStr">
        <is>
          <t>1Y</t>
        </is>
      </c>
    </row>
    <row r="5">
      <c r="A5" s="4" t="inlineStr">
        <is>
          <t>USD OIS — SOFR-based (%)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USD OIS 3M</t>
        </is>
      </c>
      <c r="B6" s="6" t="inlineStr">
        <is>
          <t>USOSFR3 Curncy</t>
        </is>
      </c>
      <c r="C6" s="7">
        <f>BDP("USOSFR3 Curncy","PX_LAST")</f>
        <v/>
      </c>
      <c r="D6" s="8">
        <f>BDP("USOSFR3 Curncy","CHG_NET_1D")</f>
        <v/>
      </c>
      <c r="E6" s="8">
        <f>BDP("USOSFR3 Curncy","CHG_NET_5D")</f>
        <v/>
      </c>
      <c r="F6" s="8">
        <f>BDP("USOSFR3 Curncy","CHG_NET_MTD")</f>
        <v/>
      </c>
      <c r="G6" s="8">
        <f>BDP("USOSFR3 Curncy","CHG_NET_YTD")</f>
        <v/>
      </c>
      <c r="H6" s="8">
        <f>BDP("USOSFR3 Curncy","CHG_NET_1Y")</f>
        <v/>
      </c>
    </row>
    <row r="7">
      <c r="A7" s="5" t="inlineStr">
        <is>
          <t>USD OIS 6M</t>
        </is>
      </c>
      <c r="B7" s="6" t="inlineStr">
        <is>
          <t>USOSFRC Curncy</t>
        </is>
      </c>
      <c r="C7" s="7">
        <f>BDP("USOSFRC Curncy","PX_LAST")</f>
        <v/>
      </c>
      <c r="D7" s="8">
        <f>BDP("USOSFRC Curncy","CHG_NET_1D")</f>
        <v/>
      </c>
      <c r="E7" s="8">
        <f>BDP("USOSFRC Curncy","CHG_NET_5D")</f>
        <v/>
      </c>
      <c r="F7" s="8">
        <f>BDP("USOSFRC Curncy","CHG_NET_MTD")</f>
        <v/>
      </c>
      <c r="G7" s="8">
        <f>BDP("USOSFRC Curncy","CHG_NET_YTD")</f>
        <v/>
      </c>
      <c r="H7" s="8">
        <f>BDP("USOSFRC Curncy","CHG_NET_1Y")</f>
        <v/>
      </c>
    </row>
    <row r="8">
      <c r="A8" s="5" t="inlineStr">
        <is>
          <t>USD OIS 1Y</t>
        </is>
      </c>
      <c r="B8" s="6" t="inlineStr">
        <is>
          <t>USOSFR1 Curncy</t>
        </is>
      </c>
      <c r="C8" s="7">
        <f>BDP("USOSFR1 Curncy","PX_LAST")</f>
        <v/>
      </c>
      <c r="D8" s="8">
        <f>BDP("USOSFR1 Curncy","CHG_NET_1D")</f>
        <v/>
      </c>
      <c r="E8" s="8">
        <f>BDP("USOSFR1 Curncy","CHG_NET_5D")</f>
        <v/>
      </c>
      <c r="F8" s="8">
        <f>BDP("USOSFR1 Curncy","CHG_NET_MTD")</f>
        <v/>
      </c>
      <c r="G8" s="8">
        <f>BDP("USOSFR1 Curncy","CHG_NET_YTD")</f>
        <v/>
      </c>
      <c r="H8" s="8">
        <f>BDP("USOSFR1 Curncy","CHG_NET_1Y")</f>
        <v/>
      </c>
    </row>
    <row r="9">
      <c r="A9" s="5" t="inlineStr">
        <is>
          <t>USD OIS 2Y</t>
        </is>
      </c>
      <c r="B9" s="6" t="inlineStr">
        <is>
          <t>USOSFR2 Curncy</t>
        </is>
      </c>
      <c r="C9" s="7">
        <f>BDP("USOSFR2 Curncy","PX_LAST")</f>
        <v/>
      </c>
      <c r="D9" s="8">
        <f>BDP("USOSFR2 Curncy","CHG_NET_1D")</f>
        <v/>
      </c>
      <c r="E9" s="8">
        <f>BDP("USOSFR2 Curncy","CHG_NET_5D")</f>
        <v/>
      </c>
      <c r="F9" s="8">
        <f>BDP("USOSFR2 Curncy","CHG_NET_MTD")</f>
        <v/>
      </c>
      <c r="G9" s="8">
        <f>BDP("USOSFR2 Curncy","CHG_NET_YTD")</f>
        <v/>
      </c>
      <c r="H9" s="8">
        <f>BDP("USOSFR2 Curncy","CHG_NET_1Y")</f>
        <v/>
      </c>
    </row>
    <row r="10">
      <c r="A10" s="5" t="inlineStr">
        <is>
          <t>USD OIS 5Y</t>
        </is>
      </c>
      <c r="B10" s="6" t="inlineStr">
        <is>
          <t>USOSFR5 Curncy</t>
        </is>
      </c>
      <c r="C10" s="7">
        <f>BDP("USOSFR5 Curncy","PX_LAST")</f>
        <v/>
      </c>
      <c r="D10" s="8">
        <f>BDP("USOSFR5 Curncy","CHG_NET_1D")</f>
        <v/>
      </c>
      <c r="E10" s="8">
        <f>BDP("USOSFR5 Curncy","CHG_NET_5D")</f>
        <v/>
      </c>
      <c r="F10" s="8">
        <f>BDP("USOSFR5 Curncy","CHG_NET_MTD")</f>
        <v/>
      </c>
      <c r="G10" s="8">
        <f>BDP("USOSFR5 Curncy","CHG_NET_YTD")</f>
        <v/>
      </c>
      <c r="H10" s="8">
        <f>BDP("USOSFR5 Curncy","CHG_NET_1Y")</f>
        <v/>
      </c>
    </row>
    <row r="11">
      <c r="A11" s="5" t="inlineStr">
        <is>
          <t>USD OIS 10Y</t>
        </is>
      </c>
      <c r="B11" s="6" t="inlineStr">
        <is>
          <t>USOSFR10 Curncy</t>
        </is>
      </c>
      <c r="C11" s="7">
        <f>BDP("USOSFR10 Curncy","PX_LAST")</f>
        <v/>
      </c>
      <c r="D11" s="8">
        <f>BDP("USOSFR10 Curncy","CHG_NET_1D")</f>
        <v/>
      </c>
      <c r="E11" s="8">
        <f>BDP("USOSFR10 Curncy","CHG_NET_5D")</f>
        <v/>
      </c>
      <c r="F11" s="8">
        <f>BDP("USOSFR10 Curncy","CHG_NET_MTD")</f>
        <v/>
      </c>
      <c r="G11" s="8">
        <f>BDP("USOSFR10 Curncy","CHG_NET_YTD")</f>
        <v/>
      </c>
      <c r="H11" s="8">
        <f>BDP("USOSFR10 Curncy","CHG_NET_1Y")</f>
        <v/>
      </c>
    </row>
    <row r="12">
      <c r="A12" s="4" t="inlineStr">
        <is>
          <t>EUR OIS — €STR-based (%)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EUR OIS 3M</t>
        </is>
      </c>
      <c r="B13" s="6" t="inlineStr">
        <is>
          <t>EESWE3 Curncy</t>
        </is>
      </c>
      <c r="C13" s="7">
        <f>BDP("EESWE3 Curncy","PX_LAST")</f>
        <v/>
      </c>
      <c r="D13" s="8">
        <f>BDP("EESWE3 Curncy","CHG_NET_1D")</f>
        <v/>
      </c>
      <c r="E13" s="8">
        <f>BDP("EESWE3 Curncy","CHG_NET_5D")</f>
        <v/>
      </c>
      <c r="F13" s="8">
        <f>BDP("EESWE3 Curncy","CHG_NET_MTD")</f>
        <v/>
      </c>
      <c r="G13" s="8">
        <f>BDP("EESWE3 Curncy","CHG_NET_YTD")</f>
        <v/>
      </c>
      <c r="H13" s="8">
        <f>BDP("EESWE3 Curncy","CHG_NET_1Y")</f>
        <v/>
      </c>
    </row>
    <row r="14">
      <c r="A14" s="5" t="inlineStr">
        <is>
          <t>EUR OIS 6M</t>
        </is>
      </c>
      <c r="B14" s="6" t="inlineStr">
        <is>
          <t>EESWE6 Curncy</t>
        </is>
      </c>
      <c r="C14" s="7">
        <f>BDP("EESWE6 Curncy","PX_LAST")</f>
        <v/>
      </c>
      <c r="D14" s="8">
        <f>BDP("EESWE6 Curncy","CHG_NET_1D")</f>
        <v/>
      </c>
      <c r="E14" s="8">
        <f>BDP("EESWE6 Curncy","CHG_NET_5D")</f>
        <v/>
      </c>
      <c r="F14" s="8">
        <f>BDP("EESWE6 Curncy","CHG_NET_MTD")</f>
        <v/>
      </c>
      <c r="G14" s="8">
        <f>BDP("EESWE6 Curncy","CHG_NET_YTD")</f>
        <v/>
      </c>
      <c r="H14" s="8">
        <f>BDP("EESWE6 Curncy","CHG_NET_1Y")</f>
        <v/>
      </c>
    </row>
    <row r="15">
      <c r="A15" s="5" t="inlineStr">
        <is>
          <t>EUR OIS 1Y</t>
        </is>
      </c>
      <c r="B15" s="6" t="inlineStr">
        <is>
          <t>EESWE1 Curncy</t>
        </is>
      </c>
      <c r="C15" s="7">
        <f>BDP("EESWE1 Curncy","PX_LAST")</f>
        <v/>
      </c>
      <c r="D15" s="8">
        <f>BDP("EESWE1 Curncy","CHG_NET_1D")</f>
        <v/>
      </c>
      <c r="E15" s="8">
        <f>BDP("EESWE1 Curncy","CHG_NET_5D")</f>
        <v/>
      </c>
      <c r="F15" s="8">
        <f>BDP("EESWE1 Curncy","CHG_NET_MTD")</f>
        <v/>
      </c>
      <c r="G15" s="8">
        <f>BDP("EESWE1 Curncy","CHG_NET_YTD")</f>
        <v/>
      </c>
      <c r="H15" s="8">
        <f>BDP("EESWE1 Curncy","CHG_NET_1Y")</f>
        <v/>
      </c>
    </row>
    <row r="16">
      <c r="A16" s="5" t="inlineStr">
        <is>
          <t>EUR OIS 2Y</t>
        </is>
      </c>
      <c r="B16" s="6" t="inlineStr">
        <is>
          <t>EESWE2 Curncy</t>
        </is>
      </c>
      <c r="C16" s="7">
        <f>BDP("EESWE2 Curncy","PX_LAST")</f>
        <v/>
      </c>
      <c r="D16" s="8">
        <f>BDP("EESWE2 Curncy","CHG_NET_1D")</f>
        <v/>
      </c>
      <c r="E16" s="8">
        <f>BDP("EESWE2 Curncy","CHG_NET_5D")</f>
        <v/>
      </c>
      <c r="F16" s="8">
        <f>BDP("EESWE2 Curncy","CHG_NET_MTD")</f>
        <v/>
      </c>
      <c r="G16" s="8">
        <f>BDP("EESWE2 Curncy","CHG_NET_YTD")</f>
        <v/>
      </c>
      <c r="H16" s="8">
        <f>BDP("EESWE2 Curncy","CHG_NET_1Y")</f>
        <v/>
      </c>
    </row>
    <row r="17">
      <c r="A17" s="5" t="inlineStr">
        <is>
          <t>EUR OIS 5Y</t>
        </is>
      </c>
      <c r="B17" s="6" t="inlineStr">
        <is>
          <t>EESWE5 Curncy</t>
        </is>
      </c>
      <c r="C17" s="7">
        <f>BDP("EESWE5 Curncy","PX_LAST")</f>
        <v/>
      </c>
      <c r="D17" s="8">
        <f>BDP("EESWE5 Curncy","CHG_NET_1D")</f>
        <v/>
      </c>
      <c r="E17" s="8">
        <f>BDP("EESWE5 Curncy","CHG_NET_5D")</f>
        <v/>
      </c>
      <c r="F17" s="8">
        <f>BDP("EESWE5 Curncy","CHG_NET_MTD")</f>
        <v/>
      </c>
      <c r="G17" s="8">
        <f>BDP("EESWE5 Curncy","CHG_NET_YTD")</f>
        <v/>
      </c>
      <c r="H17" s="8">
        <f>BDP("EESWE5 Curncy","CHG_NET_1Y")</f>
        <v/>
      </c>
    </row>
    <row r="18">
      <c r="A18" s="5" t="inlineStr">
        <is>
          <t>EUR OIS 10Y</t>
        </is>
      </c>
      <c r="B18" s="6" t="inlineStr">
        <is>
          <t>EESWE10 Curncy</t>
        </is>
      </c>
      <c r="C18" s="7">
        <f>BDP("EESWE10 Curncy","PX_LAST")</f>
        <v/>
      </c>
      <c r="D18" s="8">
        <f>BDP("EESWE10 Curncy","CHG_NET_1D")</f>
        <v/>
      </c>
      <c r="E18" s="8">
        <f>BDP("EESWE10 Curncy","CHG_NET_5D")</f>
        <v/>
      </c>
      <c r="F18" s="8">
        <f>BDP("EESWE10 Curncy","CHG_NET_MTD")</f>
        <v/>
      </c>
      <c r="G18" s="8">
        <f>BDP("EESWE10 Curncy","CHG_NET_YTD")</f>
        <v/>
      </c>
      <c r="H18" s="8">
        <f>BDP("EESWE10 Curncy","CHG_NET_1Y")</f>
        <v/>
      </c>
    </row>
    <row r="19">
      <c r="A19" s="4" t="inlineStr">
        <is>
          <t>GBP OIS — SONIA-based (%)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GBP OIS 1Y</t>
        </is>
      </c>
      <c r="B20" s="6" t="inlineStr">
        <is>
          <t>BPSWS1 Curncy</t>
        </is>
      </c>
      <c r="C20" s="7">
        <f>BDP("BPSWS1 Curncy","PX_LAST")</f>
        <v/>
      </c>
      <c r="D20" s="8">
        <f>BDP("BPSWS1 Curncy","CHG_NET_1D")</f>
        <v/>
      </c>
      <c r="E20" s="8">
        <f>BDP("BPSWS1 Curncy","CHG_NET_5D")</f>
        <v/>
      </c>
      <c r="F20" s="8">
        <f>BDP("BPSWS1 Curncy","CHG_NET_MTD")</f>
        <v/>
      </c>
      <c r="G20" s="8">
        <f>BDP("BPSWS1 Curncy","CHG_NET_YTD")</f>
        <v/>
      </c>
      <c r="H20" s="8">
        <f>BDP("BPSWS1 Curncy","CHG_NET_1Y")</f>
        <v/>
      </c>
    </row>
    <row r="21">
      <c r="A21" s="5" t="inlineStr">
        <is>
          <t>GBP OIS 2Y</t>
        </is>
      </c>
      <c r="B21" s="6" t="inlineStr">
        <is>
          <t>BPSWS2 Curncy</t>
        </is>
      </c>
      <c r="C21" s="7">
        <f>BDP("BPSWS2 Curncy","PX_LAST")</f>
        <v/>
      </c>
      <c r="D21" s="8">
        <f>BDP("BPSWS2 Curncy","CHG_NET_1D")</f>
        <v/>
      </c>
      <c r="E21" s="8">
        <f>BDP("BPSWS2 Curncy","CHG_NET_5D")</f>
        <v/>
      </c>
      <c r="F21" s="8">
        <f>BDP("BPSWS2 Curncy","CHG_NET_MTD")</f>
        <v/>
      </c>
      <c r="G21" s="8">
        <f>BDP("BPSWS2 Curncy","CHG_NET_YTD")</f>
        <v/>
      </c>
      <c r="H21" s="8">
        <f>BDP("BPSWS2 Curncy","CHG_NET_1Y")</f>
        <v/>
      </c>
    </row>
    <row r="22">
      <c r="A22" s="5" t="inlineStr">
        <is>
          <t>GBP OIS 5Y</t>
        </is>
      </c>
      <c r="B22" s="6" t="inlineStr">
        <is>
          <t>BPSWS5 Curncy</t>
        </is>
      </c>
      <c r="C22" s="7">
        <f>BDP("BPSWS5 Curncy","PX_LAST")</f>
        <v/>
      </c>
      <c r="D22" s="8">
        <f>BDP("BPSWS5 Curncy","CHG_NET_1D")</f>
        <v/>
      </c>
      <c r="E22" s="8">
        <f>BDP("BPSWS5 Curncy","CHG_NET_5D")</f>
        <v/>
      </c>
      <c r="F22" s="8">
        <f>BDP("BPSWS5 Curncy","CHG_NET_MTD")</f>
        <v/>
      </c>
      <c r="G22" s="8">
        <f>BDP("BPSWS5 Curncy","CHG_NET_YTD")</f>
        <v/>
      </c>
      <c r="H22" s="8">
        <f>BDP("BPSWS5 Curncy","CHG_NET_1Y")</f>
        <v/>
      </c>
    </row>
    <row r="23">
      <c r="A23" s="5" t="inlineStr">
        <is>
          <t>GBP OIS 10Y</t>
        </is>
      </c>
      <c r="B23" s="6" t="inlineStr">
        <is>
          <t>BPSWS10 Curncy</t>
        </is>
      </c>
      <c r="C23" s="7">
        <f>BDP("BPSWS10 Curncy","PX_LAST")</f>
        <v/>
      </c>
      <c r="D23" s="8">
        <f>BDP("BPSWS10 Curncy","CHG_NET_1D")</f>
        <v/>
      </c>
      <c r="E23" s="8">
        <f>BDP("BPSWS10 Curncy","CHG_NET_5D")</f>
        <v/>
      </c>
      <c r="F23" s="8">
        <f>BDP("BPSWS10 Curncy","CHG_NET_MTD")</f>
        <v/>
      </c>
      <c r="G23" s="8">
        <f>BDP("BPSWS10 Curncy","CHG_NET_YTD")</f>
        <v/>
      </c>
      <c r="H23" s="8">
        <f>BDP("BPSWS10 Curncy","CHG_NET_1Y")</f>
        <v/>
      </c>
    </row>
    <row r="24">
      <c r="A24" s="4" t="inlineStr">
        <is>
          <t>Policy Rates (current %)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5" t="inlineStr">
        <is>
          <t>US Fed Funds Upper</t>
        </is>
      </c>
      <c r="B25" s="6" t="inlineStr">
        <is>
          <t>FDTR Index</t>
        </is>
      </c>
      <c r="C25" s="7">
        <f>BDP("FDTR Index","PX_LAST")</f>
        <v/>
      </c>
      <c r="D25" s="8">
        <f>BDP("FDTR Index","CHG_NET_1D")</f>
        <v/>
      </c>
      <c r="E25" s="8">
        <f>BDP("FDTR Index","CHG_NET_5D")</f>
        <v/>
      </c>
      <c r="F25" s="8">
        <f>BDP("FDTR Index","CHG_NET_MTD")</f>
        <v/>
      </c>
      <c r="G25" s="8">
        <f>BDP("FDTR Index","CHG_NET_YTD")</f>
        <v/>
      </c>
      <c r="H25" s="8">
        <f>BDP("FDTR Index","CHG_NET_1Y")</f>
        <v/>
      </c>
    </row>
    <row r="26">
      <c r="A26" s="5" t="inlineStr">
        <is>
          <t>ECB Deposit Rate</t>
        </is>
      </c>
      <c r="B26" s="6" t="inlineStr">
        <is>
          <t>EUORDEPO Index</t>
        </is>
      </c>
      <c r="C26" s="7">
        <f>BDP("EUORDEPO Index","PX_LAST")</f>
        <v/>
      </c>
      <c r="D26" s="8">
        <f>BDP("EUORDEPO Index","CHG_NET_1D")</f>
        <v/>
      </c>
      <c r="E26" s="8">
        <f>BDP("EUORDEPO Index","CHG_NET_5D")</f>
        <v/>
      </c>
      <c r="F26" s="8">
        <f>BDP("EUORDEPO Index","CHG_NET_MTD")</f>
        <v/>
      </c>
      <c r="G26" s="8">
        <f>BDP("EUORDEPO Index","CHG_NET_YTD")</f>
        <v/>
      </c>
      <c r="H26" s="8">
        <f>BDP("EUORDEPO Index","CHG_NET_1Y")</f>
        <v/>
      </c>
    </row>
    <row r="27">
      <c r="A27" s="5" t="inlineStr">
        <is>
          <t>BOE Bank Rate</t>
        </is>
      </c>
      <c r="B27" s="6" t="inlineStr">
        <is>
          <t>UKBRBASE Index</t>
        </is>
      </c>
      <c r="C27" s="7">
        <f>BDP("UKBRBASE Index","PX_LAST")</f>
        <v/>
      </c>
      <c r="D27" s="8">
        <f>BDP("UKBRBASE Index","CHG_NET_1D")</f>
        <v/>
      </c>
      <c r="E27" s="8">
        <f>BDP("UKBRBASE Index","CHG_NET_5D")</f>
        <v/>
      </c>
      <c r="F27" s="8">
        <f>BDP("UKBRBASE Index","CHG_NET_MTD")</f>
        <v/>
      </c>
      <c r="G27" s="8">
        <f>BDP("UKBRBASE Index","CHG_NET_YTD")</f>
        <v/>
      </c>
      <c r="H27" s="8">
        <f>BDP("UKBRBASE Index","CHG_NET_1Y")</f>
        <v/>
      </c>
    </row>
    <row r="28">
      <c r="A28" s="5" t="inlineStr">
        <is>
          <t>BOJ Policy Rate</t>
        </is>
      </c>
      <c r="B28" s="6" t="inlineStr">
        <is>
          <t>BOJDPBAL Index</t>
        </is>
      </c>
      <c r="C28" s="7">
        <f>BDP("BOJDPBAL Index","PX_LAST")</f>
        <v/>
      </c>
      <c r="D28" s="8">
        <f>BDP("BOJDPBAL Index","CHG_NET_1D")</f>
        <v/>
      </c>
      <c r="E28" s="8">
        <f>BDP("BOJDPBAL Index","CHG_NET_5D")</f>
        <v/>
      </c>
      <c r="F28" s="8">
        <f>BDP("BOJDPBAL Index","CHG_NET_MTD")</f>
        <v/>
      </c>
      <c r="G28" s="8">
        <f>BDP("BOJDPBAL Index","CHG_NET_YTD")</f>
        <v/>
      </c>
      <c r="H28" s="8">
        <f>BDP("BOJDPBAL Index","CHG_NET_1Y")</f>
        <v/>
      </c>
    </row>
    <row r="29">
      <c r="A29" s="5" t="inlineStr">
        <is>
          <t>BOC Overnight</t>
        </is>
      </c>
      <c r="B29" s="6" t="inlineStr">
        <is>
          <t>CABROVER Index</t>
        </is>
      </c>
      <c r="C29" s="7">
        <f>BDP("CABROVER Index","PX_LAST")</f>
        <v/>
      </c>
      <c r="D29" s="8">
        <f>BDP("CABROVER Index","CHG_NET_1D")</f>
        <v/>
      </c>
      <c r="E29" s="8">
        <f>BDP("CABROVER Index","CHG_NET_5D")</f>
        <v/>
      </c>
      <c r="F29" s="8">
        <f>BDP("CABROVER Index","CHG_NET_MTD")</f>
        <v/>
      </c>
      <c r="G29" s="8">
        <f>BDP("CABROVER Index","CHG_NET_YTD")</f>
        <v/>
      </c>
      <c r="H29" s="8">
        <f>BDP("CABROVER Index","CHG_NET_1Y")</f>
        <v/>
      </c>
    </row>
    <row r="30">
      <c r="A30" s="5" t="inlineStr">
        <is>
          <t>RBA Cash Rate</t>
        </is>
      </c>
      <c r="B30" s="6" t="inlineStr">
        <is>
          <t>RBACTRD Index</t>
        </is>
      </c>
      <c r="C30" s="7">
        <f>BDP("RBACTRD Index","PX_LAST")</f>
        <v/>
      </c>
      <c r="D30" s="8">
        <f>BDP("RBACTRD Index","CHG_NET_1D")</f>
        <v/>
      </c>
      <c r="E30" s="8">
        <f>BDP("RBACTRD Index","CHG_NET_5D")</f>
        <v/>
      </c>
      <c r="F30" s="8">
        <f>BDP("RBACTRD Index","CHG_NET_MTD")</f>
        <v/>
      </c>
      <c r="G30" s="8">
        <f>BDP("RBACTRD Index","CHG_NET_YTD")</f>
        <v/>
      </c>
      <c r="H30" s="8">
        <f>BDP("RBACTRD Index","CHG_NET_1Y")</f>
        <v/>
      </c>
    </row>
    <row r="31">
      <c r="A31" s="5" t="inlineStr">
        <is>
          <t>RBNZ OCR</t>
        </is>
      </c>
      <c r="B31" s="6" t="inlineStr">
        <is>
          <t>NZOCRS Index</t>
        </is>
      </c>
      <c r="C31" s="7">
        <f>BDP("NZOCRS Index","PX_LAST")</f>
        <v/>
      </c>
      <c r="D31" s="8">
        <f>BDP("NZOCRS Index","CHG_NET_1D")</f>
        <v/>
      </c>
      <c r="E31" s="8">
        <f>BDP("NZOCRS Index","CHG_NET_5D")</f>
        <v/>
      </c>
      <c r="F31" s="8">
        <f>BDP("NZOCRS Index","CHG_NET_MTD")</f>
        <v/>
      </c>
      <c r="G31" s="8">
        <f>BDP("NZOCRS Index","CHG_NET_YTD")</f>
        <v/>
      </c>
      <c r="H31" s="8">
        <f>BDP("NZOCRS Index","CHG_NET_1Y")</f>
        <v/>
      </c>
    </row>
    <row r="32">
      <c r="A32" s="5" t="inlineStr">
        <is>
          <t>SNB Policy Rate</t>
        </is>
      </c>
      <c r="B32" s="6" t="inlineStr">
        <is>
          <t>SZLTTR Index</t>
        </is>
      </c>
      <c r="C32" s="7">
        <f>BDP("SZLTTR Index","PX_LAST")</f>
        <v/>
      </c>
      <c r="D32" s="8">
        <f>BDP("SZLTTR Index","CHG_NET_1D")</f>
        <v/>
      </c>
      <c r="E32" s="8">
        <f>BDP("SZLTTR Index","CHG_NET_5D")</f>
        <v/>
      </c>
      <c r="F32" s="8">
        <f>BDP("SZLTTR Index","CHG_NET_MTD")</f>
        <v/>
      </c>
      <c r="G32" s="8">
        <f>BDP("SZLTTR Index","CHG_NET_YTD")</f>
        <v/>
      </c>
      <c r="H32" s="8">
        <f>BDP("SZLTTR Index","CHG_NET_1Y")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2026-05-14T21:24:05Z</dcterms:created>
  <dcterms:modified xmlns:dcterms="http://purl.org/dc/terms/" xmlns:xsi="http://www.w3.org/2001/XMLSchema-instance" xsi:type="dcterms:W3CDTF">2026-05-14T21:24:05Z</dcterms:modified>
</cp:coreProperties>
</file>