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lance of payments" sheetId="2" state="visible" r:id="rId4"/>
    <sheet name="Q1-2026 detail" sheetId="3" state="visible" r:id="rId5"/>
    <sheet name="IIP" sheetId="4" state="visible" r:id="rId6"/>
    <sheet name="External debt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<sst xmlns="http://schemas.openxmlformats.org/spreadsheetml/2006/main" count="234" uniqueCount="177">
  <si>
    <t xml:space="preserve">Chile — balance of payments, IIP and external debt</t>
  </si>
  <si>
    <t xml:space="preserve">Source: Banco Central de Chile, Balanza de Pagos, Posicion de Inversion Internacional y Deuda Externa, primer trimestre 2026 (published 18 May 2026). Millions of US dollars.</t>
  </si>
  <si>
    <t xml:space="preserve">THE SHORT VERSION</t>
  </si>
  <si>
    <t xml:space="preserve">The external position is improving fast</t>
  </si>
  <si>
    <t xml:space="preserve">The twelve-month current account deficit has narrowed from 2.0% of GDP in Q3-2025 to 0.6% now. Q1-2026 alone printed a surplus of US$1,883 million, 1.9% of quarterly GDP.</t>
  </si>
  <si>
    <t xml:space="preserve">It is a copper price story, not a volume story</t>
  </si>
  <si>
    <t xml:space="preserve">Goods exports rose 14.7% year on year — but prices were up 20.2% while VOLUMES FELL 4.6%. This is a terms-of-trade windfall, not an export boom. It reverses when the copper price does.</t>
  </si>
  <si>
    <t xml:space="preserve">The income account is the structural offset</t>
  </si>
  <si>
    <t xml:space="preserve">Chile runs a persistent income deficit because the mining base is foreign-owned. Of the US$5,999 million income deficit in Q1, US$5,207 million is direct investment income. A higher copper price raises export revenue AND the profits accruing to foreign owners — the second partly cancels the first, with a lag.</t>
  </si>
  <si>
    <t xml:space="preserve">WHY CHILE'S EXTERNAL ACCOUNTS READ DIFFERENTLY</t>
  </si>
  <si>
    <t xml:space="preserve">External debt at 76% of GDP is not what it looks like</t>
  </si>
  <si>
    <t xml:space="preserve">Most of it is private, and a large share is intercompany lending inside foreign-owned mining groups. Read it alongside the IIP, not on its own.</t>
  </si>
  <si>
    <t xml:space="preserve">Pension funds dominate the asset side</t>
  </si>
  <si>
    <t xml:space="preserve">The AFPs hold a net creditor position of US$123,284 million — larger than the entire net debtor position of the country. Chile's external balance sheet is really two balance sheets: foreign-owned mining on the liability side, pension savings on the asset side.</t>
  </si>
  <si>
    <t xml:space="preserve">Valuation effects swamp flows</t>
  </si>
  <si>
    <t xml:space="preserve">The net IIP improved by US$1,958 million in the quarter on transactions of just US$160 million. The rest was the peso depreciating against the dollar, which shrinks the dollar value of foreign-owned equity in Chile. Never read the IIP change as a flow.</t>
  </si>
  <si>
    <t xml:space="preserve">Reserves are being rebuilt on purpose</t>
  </si>
  <si>
    <t xml:space="preserve">The central bank began an international reserve accumulation programme in August 2025. Reserves reached US$50,674 million by March 2026.</t>
  </si>
  <si>
    <t xml:space="preserve">CAVEAT</t>
  </si>
  <si>
    <t xml:space="preserve">Quarterly vs twelve-month</t>
  </si>
  <si>
    <t xml:space="preserve">The 1.9% of GDP surplus is a QUARTERLY ratio; the -0.6% is a twelve-month rolling ratio. They are not comparable. Q1 is seasonally Chile's strongest external quarter.</t>
  </si>
  <si>
    <t xml:space="preserve">Revisions are routine</t>
  </si>
  <si>
    <t xml:space="preserve">The BCCh revised Q1-2026 in this very publication: goods exports up US$254 million, imports up US$285 million, and the financial account by US$1,373 million. Treat the latest quarter as provisional.</t>
  </si>
  <si>
    <t xml:space="preserve">Balance of payments, quarterly</t>
  </si>
  <si>
    <t xml:space="preserve">Millions of US dollars. Negative on the financial account means a capital outflow from Chile.</t>
  </si>
  <si>
    <t xml:space="preserve">Line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</si>
  <si>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</si>
  <si>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</si>
  <si>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</si>
  <si>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</si>
  <si>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</si>
  <si>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CURRENT ACCOUNT</t>
  </si>
  <si>
    <t xml:space="preserve"> Goods and services</t>
  </si>
  <si>
    <t xml:space="preserve">  Goods balance</t>
  </si>
  <si>
    <t xml:space="preserve">   Exports</t>
  </si>
  <si>
    <t xml:space="preserve">   Imports</t>
  </si>
  <si>
    <t xml:space="preserve">  Services balance</t>
  </si>
  <si>
    <t xml:space="preserve"> Income (primary)</t>
  </si>
  <si>
    <t xml:space="preserve"> Current transfers (secondary)</t>
  </si>
  <si>
    <t xml:space="preserve">CAPITAL ACCOUNT</t>
  </si>
  <si>
    <t xml:space="preserve">NET LENDING / BORROWING</t>
  </si>
  <si>
    <t xml:space="preserve">FINANCIAL ACCOUNT</t>
  </si>
  <si>
    <t xml:space="preserve"> Direct investment</t>
  </si>
  <si>
    <t xml:space="preserve"> Portfolio investment</t>
  </si>
  <si>
    <t xml:space="preserve"> Financial derivatives</t>
  </si>
  <si>
    <t xml:space="preserve"> Other investment</t>
  </si>
  <si>
    <t xml:space="preserve"> Reserve assets</t>
  </si>
  <si>
    <t xml:space="preserve">ERRORS AND OMISSIONS</t>
  </si>
  <si>
    <t xml:space="preserve">Check: CA + KA - FA + E&amp;O = 0</t>
  </si>
  <si>
    <t xml:space="preserve">As a percent of GDP</t>
  </si>
  <si>
    <t xml:space="preserve">Current account (12m rolling)</t>
  </si>
  <si>
    <t xml:space="preserve">Financial account (12m rolling)</t>
  </si>
  <si>
    <t xml:space="preserve">Net IIP</t>
  </si>
  <si>
    <t xml:space="preserve">External debt</t>
  </si>
  <si>
    <t xml:space="preserve">The twelve-month current account deficit has narrowed by 1.4pp of GDP in three quarters. That is a large and fast adjustment, and it is almost entirely the copper price.</t>
  </si>
  <si>
    <t xml:space="preserve">Chart data (transposed)</t>
  </si>
  <si>
    <t xml:space="preserve">Current account</t>
  </si>
  <si>
    <t xml:space="preserve">Income balance</t>
  </si>
  <si>
    <t xml:space="preserve">What drove the first quarter</t>
  </si>
  <si>
    <t xml:space="preserve">Millions of US dollars and year-on-year percent change.</t>
  </si>
  <si>
    <t xml:space="preserve">Goods exports — a price effect, not a volume effect</t>
  </si>
  <si>
    <t xml:space="preserve">US$ mn</t>
  </si>
  <si>
    <t xml:space="preserve">y/y %</t>
  </si>
  <si>
    <t xml:space="preserve">Total goods exports</t>
  </si>
  <si>
    <t xml:space="preserve">  of which price effect</t>
  </si>
  <si>
    <t xml:space="preserve">  of which volume effect</t>
  </si>
  <si>
    <t xml:space="preserve">Mining</t>
  </si>
  <si>
    <t xml:space="preserve">Industrial</t>
  </si>
  <si>
    <t xml:space="preserve">Agricultural, forestry, fishing</t>
  </si>
  <si>
    <t xml:space="preserve">This is the single most important line in the pack. Export VALUE rose 14.7% while export VOLUME fell 4.6%. Chile is earning more for shipping less. The external improvement is a terms-of-trade windfall and unwinds when copper turns.</t>
  </si>
  <si>
    <t xml:space="preserve">Goods imports (CIF basis)</t>
  </si>
  <si>
    <t xml:space="preserve">Total imports CIF</t>
  </si>
  <si>
    <t xml:space="preserve">  of which volume</t>
  </si>
  <si>
    <t xml:space="preserve">  of which price</t>
  </si>
  <si>
    <t xml:space="preserve">Capital goods</t>
  </si>
  <si>
    <t xml:space="preserve">Consumer goods</t>
  </si>
  <si>
    <t xml:space="preserve">Intermediate goods</t>
  </si>
  <si>
    <t xml:space="preserve">Capital goods imports +10.8% is the constructive signal — machinery, generators and transformers for the energy and mining build-out. That is investment, and it shows up as an import drag today and capacity later.</t>
  </si>
  <si>
    <t xml:space="preserve">Income account — where the copper gain leaks back out</t>
  </si>
  <si>
    <t xml:space="preserve">Income balance, net</t>
  </si>
  <si>
    <t xml:space="preserve">  Direct investment income, net</t>
  </si>
  <si>
    <t xml:space="preserve">   Income accrued to foreign investment in Chile</t>
  </si>
  <si>
    <t xml:space="preserve">   Income from Chilean investment abroad</t>
  </si>
  <si>
    <t xml:space="preserve">Current transfers, net</t>
  </si>
  <si>
    <t xml:space="preserve">  Inflows</t>
  </si>
  <si>
    <t xml:space="preserve">  Outflows (remittances)</t>
  </si>
  <si>
    <t xml:space="preserve">US$7,021 million accrued to foreign owners of Chilean assets in a single quarter — 87% of the quarter's entire goods surplus. This is the structural cost of a foreign-owned resource base and it rises with the copper price.</t>
  </si>
  <si>
    <t xml:space="preserve">Financial account detail</t>
  </si>
  <si>
    <t xml:space="preserve">Note</t>
  </si>
  <si>
    <t xml:space="preserve">FDI into Chile</t>
  </si>
  <si>
    <t xml:space="preserve">led by reinvested earnings</t>
  </si>
  <si>
    <t xml:space="preserve">Chilean direct investment abroad</t>
  </si>
  <si>
    <t xml:space="preserve">reinvested earnings, capital, loans</t>
  </si>
  <si>
    <t xml:space="preserve">Portfolio liabilities</t>
  </si>
  <si>
    <t xml:space="preserve">government bond issuance, some corporates</t>
  </si>
  <si>
    <t xml:space="preserve">Portfolio assets</t>
  </si>
  <si>
    <t xml:space="preserve">pension funds buying foreign equities</t>
  </si>
  <si>
    <t xml:space="preserve">Other investment assets</t>
  </si>
  <si>
    <t xml:space="preserve">deposits abroad, derivative collateral</t>
  </si>
  <si>
    <t xml:space="preserve">Reserve accumulation</t>
  </si>
  <si>
    <t xml:space="preserve">BCCh programme running since August 2025</t>
  </si>
  <si>
    <t xml:space="preserve">Reserve stock</t>
  </si>
  <si>
    <t xml:space="preserve">as at end-March 2026</t>
  </si>
  <si>
    <t xml:space="preserve">International investment position</t>
  </si>
  <si>
    <t xml:space="preserve">Stocks in millions of US dollars. Negative net position means Chile is a net debtor to the world.</t>
  </si>
  <si>
    <t xml:space="preserve">NET POSITION</t>
  </si>
  <si>
    <t xml:space="preserve"> Assets</t>
  </si>
  <si>
    <t xml:space="preserve">  Direct investment</t>
  </si>
  <si>
    <t xml:space="preserve">  Portfolio investment</t>
  </si>
  <si>
    <t xml:space="preserve">  Derivatives</t>
  </si>
  <si>
    <t xml:space="preserve">  Other investment</t>
  </si>
  <si>
    <t xml:space="preserve">  Reserve assets</t>
  </si>
  <si>
    <t xml:space="preserve"> Liabilities</t>
  </si>
  <si>
    <t xml:space="preserve">How the position moved, December 2025 to March 2026</t>
  </si>
  <si>
    <t xml:space="preserve">Component</t>
  </si>
  <si>
    <t xml:space="preserve">Dec-25</t>
  </si>
  <si>
    <t xml:space="preserve">Transactions</t>
  </si>
  <si>
    <t xml:space="preserve">Price change</t>
  </si>
  <si>
    <t xml:space="preserve">FX change</t>
  </si>
  <si>
    <t xml:space="preserve">Other</t>
  </si>
  <si>
    <t xml:space="preserve">Mar-26</t>
  </si>
  <si>
    <t xml:space="preserve">Change</t>
  </si>
  <si>
    <t xml:space="preserve">Net position</t>
  </si>
  <si>
    <t xml:space="preserve">Direct investment</t>
  </si>
  <si>
    <t xml:space="preserve">Portfolio investment</t>
  </si>
  <si>
    <t xml:space="preserve">Derivatives</t>
  </si>
  <si>
    <t xml:space="preserve">Other investment</t>
  </si>
  <si>
    <t xml:space="preserve">Reserves</t>
  </si>
  <si>
    <t xml:space="preserve">The net position improved by US$1,958 million on transactions of only US$160 million. The driver was the peso depreciating against the dollar, worth US$3,742 million, which reduces the dollar value of foreign-owned equity in Chile. This is an accounting effect, not an improvement in solvency.</t>
  </si>
  <si>
    <t xml:space="preserve">By institutional sector</t>
  </si>
  <si>
    <t xml:space="preserve">Sector</t>
  </si>
  <si>
    <t xml:space="preserve">General government</t>
  </si>
  <si>
    <t xml:space="preserve">Financial corporations</t>
  </si>
  <si>
    <t xml:space="preserve">  Central bank</t>
  </si>
  <si>
    <t xml:space="preserve">  Banks</t>
  </si>
  <si>
    <t xml:space="preserve">  Pension funds</t>
  </si>
  <si>
    <t xml:space="preserve">  Other financial corporations</t>
  </si>
  <si>
    <t xml:space="preserve">Non-financial corporations and households</t>
  </si>
  <si>
    <t xml:space="preserve">Two balance sheets sitting on top of each other. Pension funds hold a net creditor position of US$123,284 million; non-financial corporates, largely foreign-owned mining, a net debtor position of US$157,596 million. The country's net figure is the residual of those two.</t>
  </si>
  <si>
    <t xml:space="preserve">The government's position deteriorated by US$3,063 million in one quarter on bond issuance — the external counterpart of the fiscal deficit in the companion pack.</t>
  </si>
  <si>
    <t xml:space="preserve">Excludes equity participations, reinvested earnings and derivatives.</t>
  </si>
  <si>
    <t xml:space="preserve">TOTAL EXTERNAL DEBT</t>
  </si>
  <si>
    <t xml:space="preserve"> Public</t>
  </si>
  <si>
    <t xml:space="preserve"> Private</t>
  </si>
  <si>
    <t xml:space="preserve">Ratio</t>
  </si>
  <si>
    <t xml:space="preserve">External debt (% of GDP)</t>
  </si>
  <si>
    <t xml:space="preserve">Public share of total</t>
  </si>
  <si>
    <t xml:space="preserve">Residual short-term debt at March 2026 — US$70,737 million</t>
  </si>
  <si>
    <t xml:space="preserve">Share</t>
  </si>
  <si>
    <t xml:space="preserve">Non-financial corporates (rest)</t>
  </si>
  <si>
    <t xml:space="preserve">Banks</t>
  </si>
  <si>
    <t xml:space="preserve">FDI companies and related financial</t>
  </si>
  <si>
    <t xml:space="preserve">Other financial corporations</t>
  </si>
  <si>
    <t xml:space="preserve">Residual short-term debt measures short-term borrowing plus the portion of long-term debt maturing within twelve months. At US$70,737 million it is 1.40 times the reserve stock of US$50,674 million — a ratio worth tracking, though the bulk sits with corporates and banks rather than the sovereign.</t>
  </si>
  <si>
    <t xml:space="preserve">Currency composition</t>
  </si>
  <si>
    <t xml:space="preserve">Currency</t>
  </si>
  <si>
    <t xml:space="preserve">US dollar</t>
  </si>
  <si>
    <t xml:space="preserve">Chilean peso</t>
  </si>
  <si>
    <t xml:space="preserve">Euro</t>
  </si>
  <si>
    <t xml:space="preserve">78.3% dollar-denominated. A peso depreciation raises the peso value of that stock immediately — the same mechanism that drives the debt ratio in the fiscal pack, and the reason the two packs should be read together.</t>
  </si>
  <si>
    <t xml:space="preserve">Public</t>
  </si>
  <si>
    <t xml:space="preserve">Private</t>
  </si>
  <si>
    <t xml:space="preserve">Sources and caveats</t>
  </si>
  <si>
    <t xml:space="preserve">Primary source</t>
  </si>
  <si>
    <t xml:space="preserve">Banco Central de Chile, Balanza de Pagos, Posicion de Inversion Internacional y Deuda Externa, resultados al primer trimestre de 2026, published 18 May 2026.</t>
  </si>
  <si>
    <t xml:space="preserve">Sign convention</t>
  </si>
  <si>
    <t xml:space="preserve">On the financial account a negative value is a capital outflow from Chile; positive is an inflow. On the IIP a negative net position means Chile is a net debtor.</t>
  </si>
  <si>
    <t xml:space="preserve">GDP ratios</t>
  </si>
  <si>
    <t xml:space="preserve">The BCCh computes these using the simple average exchange rate of the quarter. The current and financial account ratios are twelve-month rolling; the IIP and external debt ratios are point-in-time.</t>
  </si>
  <si>
    <t xml:space="preserve">Revisions</t>
  </si>
  <si>
    <t xml:space="preserve">The BCCh revised Q1-2026 within this same publication: goods exports +US$254 million, imports +US$285 million, financial account +US$1,373 million, following customs value-variation reports and updated exchange-regulation filings. The latest quarter is provisional.</t>
  </si>
  <si>
    <t xml:space="preserve">External debt scope</t>
  </si>
  <si>
    <t xml:space="preserve">Excludes equity participations, reinvested earnings and derivatives. It is therefore not comparable to the IIP liability stock.</t>
  </si>
  <si>
    <t xml:space="preserve">Companion packs</t>
  </si>
  <si>
    <t xml:space="preserve">Read with the Chile fiscal and debt pack: the government's IIP deterioration and the public external debt line are the external counterpart of the fiscal deficit.</t>
  </si>
  <si>
    <t xml:space="preserve">Prepared</t>
  </si>
  <si>
    <t xml:space="preserve">4 August 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</si>
</sst>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#,##0;\-#,##0;\-"/>
    <numFmt numFmtId="166" formatCode="\+0.0;\-0.0;\-"/>
    <numFmt numFmtId="167" formatCode="#,##0"/>
    <numFmt numFmtId="168" formatCode="#,##0.0;\(#,##0.0\);\-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F3B63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B63"/>
        <bgColor rgb="FF2F5C8F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B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  <sz val="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1495B"/>
      <rgbColor rgb="FFF2F4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B6B6B"/>
      <rgbColor rgb="FF969696"/>
      <rgbColor rgb="FF1F3B63"/>
      <rgbColor rgb="FF339966"/>
      <rgbColor rgb="FF003300"/>
      <rgbColor rgb="FF333300"/>
      <rgbColor rgb="FF993300"/>
      <rgbColor rgb="FF993366"/>
      <rgbColor rgb="FF2F5C8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account and income balance (US$ mn per quarter)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'Balance of payments'!C46</c:f>
              <c:strCache>
                <c:ptCount val="1"/>
                <c:pt idx="0">
                  <c:v>Current account</c:v>
                </c:pt>
              </c:strCache>
            </c:strRef>
          </c:tx>
          <c:spPr>
            <a:solidFill>
              <a:srgbClr val="2f5c8f"/>
            </a:solidFill>
            <a:ln w="2808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of payments'!$B$47:$B$51</c:f>
              <c:strCache>
                <c:ptCount val="5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  <c:pt idx="4">
                  <c:v>2026-Q1</c:v>
                </c:pt>
              </c:strCache>
            </c:strRef>
          </c:cat>
          <c:val>
            <c:numRef>
              <c:f>'Balance of payments'!$C$47:$C$51</c:f>
              <c:numCache>
                <c:formatCode>\+#,##0;\-#,##0;\-</c:formatCode>
                <c:ptCount val="5"/>
                <c:pt idx="0">
                  <c:v>-309</c:v>
                </c:pt>
                <c:pt idx="1">
                  <c:v>-1983</c:v>
                </c:pt>
                <c:pt idx="2">
                  <c:v>-3325</c:v>
                </c:pt>
                <c:pt idx="3">
                  <c:v>1269</c:v>
                </c:pt>
                <c:pt idx="4">
                  <c:v>1883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'Balance of payments'!D46</c:f>
              <c:strCache>
                <c:ptCount val="1"/>
                <c:pt idx="0">
                  <c:v>Income balance</c:v>
                </c:pt>
              </c:strCache>
            </c:strRef>
          </c:tx>
          <c:spPr>
            <a:solidFill>
              <a:srgbClr val="d1495b"/>
            </a:solidFill>
            <a:ln w="2808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of payments'!$B$47:$B$51</c:f>
              <c:strCache>
                <c:ptCount val="5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  <c:pt idx="4">
                  <c:v>2026-Q1</c:v>
                </c:pt>
              </c:strCache>
            </c:strRef>
          </c:cat>
          <c:val>
            <c:numRef>
              <c:f>'Balance of payments'!$D$47:$D$51</c:f>
              <c:numCache>
                <c:formatCode>\+#,##0;\-#,##0;\-</c:formatCode>
                <c:ptCount val="5"/>
                <c:pt idx="0">
                  <c:v>-4606</c:v>
                </c:pt>
                <c:pt idx="1">
                  <c:v>-5077</c:v>
                </c:pt>
                <c:pt idx="2">
                  <c:v>-4465</c:v>
                </c:pt>
                <c:pt idx="3">
                  <c:v>-5205</c:v>
                </c:pt>
                <c:pt idx="4">
                  <c:v>-5999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205962"/>
        <c:axId val="57332261"/>
      </c:lineChart>
      <c:catAx>
        <c:axId val="40205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32261"/>
        <c:crosses val="autoZero"/>
        <c:auto val="1"/>
        <c:lblAlgn val="ctr"/>
        <c:lblOffset val="100"/>
        <c:noMultiLvlLbl val="0"/>
      </c:catAx>
      <c:valAx>
        <c:axId val="57332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05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External debt, public vs private (US$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'External debt'!C36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2f5c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'External debt'!$B$37:$B$41</c:f>
              <c:strCache>
                <c:ptCount val="5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  <c:pt idx="4">
                  <c:v>2026-Q1</c:v>
                </c:pt>
              </c:strCache>
            </c:strRef>
          </c:cat>
          <c:val>
            <c:numRef>
              <c:f>'External debt'!$C$37:$C$41</c:f>
              <c:numCache>
                <c:formatCode>\+#,##0;\-#,##0;\-</c:formatCode>
                <c:ptCount val="5"/>
                <c:pt idx="0">
                  <c:v>86500</c:v>
                </c:pt>
                <c:pt idx="1">
                  <c:v>89756</c:v>
                </c:pt>
                <c:pt idx="2">
                  <c:v>95613</c:v>
                </c:pt>
                <c:pt idx="3">
                  <c:v>103071</c:v>
                </c:pt>
                <c:pt idx="4">
                  <c:v>106119</c:v>
                </c:pt>
              </c:numCache>
            </c:numRef>
          </c:val>
        </c:ser>
        <c:ser>
          <c:idx val="1"/>
          <c:order val="1"/>
          <c:tx>
            <c:strRef>
              <c:f>'External debt'!D36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'External debt'!$B$37:$B$41</c:f>
              <c:strCache>
                <c:ptCount val="5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  <c:pt idx="4">
                  <c:v>2026-Q1</c:v>
                </c:pt>
              </c:strCache>
            </c:strRef>
          </c:cat>
          <c:val>
            <c:numRef>
              <c:f>'External debt'!$D$37:$D$41</c:f>
              <c:numCache>
                <c:formatCode>\+#,##0;\-#,##0;\-</c:formatCode>
                <c:ptCount val="5"/>
                <c:pt idx="0">
                  <c:v>165028</c:v>
                </c:pt>
                <c:pt idx="1">
                  <c:v>169063</c:v>
                </c:pt>
                <c:pt idx="2">
                  <c:v>173288</c:v>
                </c:pt>
                <c:pt idx="3">
                  <c:v>174350</c:v>
                </c:pt>
                <c:pt idx="4">
                  <c:v>176172</c:v>
                </c:pt>
              </c:numCache>
            </c:numRef>
          </c:val>
        </c:ser>
        <c:gapWidth val="150"/>
        <c:overlap val="100"/>
        <c:axId val="1272688"/>
        <c:axId val="96349689"/>
      </c:barChart>
      <c:catAx>
        <c:axId val="12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49689"/>
        <c:crosses val="autoZero"/>
        <c:auto val="1"/>
        <c:lblAlgn val="ctr"/>
        <c:lblOffset val="100"/>
        <c:noMultiLvlLbl val="0"/>
      </c:catAx>
      <c:valAx>
        <c:axId val="96349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2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25</xdr:col>
      <xdr:colOff>404280</xdr:colOff>
      <xdr:row>25</xdr:row>
      <xdr:rowOff>109440</xdr:rowOff>
    </xdr:to>
    <xdr:graphicFrame>
      <xdr:nvGraphicFramePr>
        <xdr:cNvPr id="0" name="Chart 1"/>
        <xdr:cNvGraphicFramePr/>
      </xdr:nvGraphicFramePr>
      <xdr:xfrm>
        <a:off x="8083080" y="895320"/>
        <a:ext cx="107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25</xdr:col>
      <xdr:colOff>404280</xdr:colOff>
      <xdr:row>23</xdr:row>
      <xdr:rowOff>71280</xdr:rowOff>
    </xdr:to>
    <xdr:graphicFrame>
      <xdr:nvGraphicFramePr>
        <xdr:cNvPr id="1" name="Chart 1"/>
        <xdr:cNvGraphicFramePr/>
      </xdr:nvGraphicFramePr>
      <xdr:xfrm>
        <a:off x="7660080" y="895320"/>
        <a:ext cx="107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04"/>
  </cols>
  <sheetData>
    <row r="2" customFormat="false" ht="25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1.75" hidden="false" customHeight="true" outlineLevel="0" collapsed="false">
      <c r="B6" s="4" t="s">
        <v>3</v>
      </c>
      <c r="C6" s="5" t="s">
        <v>4</v>
      </c>
    </row>
    <row r="7" customFormat="false" ht="21.75" hidden="false" customHeight="true" outlineLevel="0" collapsed="false">
      <c r="B7" s="4" t="s">
        <v>5</v>
      </c>
      <c r="C7" s="5" t="s">
        <v>6</v>
      </c>
    </row>
    <row r="8" customFormat="false" ht="43.5" hidden="false" customHeight="tru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3" t="s">
        <v>9</v>
      </c>
    </row>
    <row r="11" customFormat="false" ht="21.75" hidden="false" customHeight="true" outlineLevel="0" collapsed="false">
      <c r="B11" s="4" t="s">
        <v>10</v>
      </c>
      <c r="C11" s="5" t="s">
        <v>11</v>
      </c>
    </row>
    <row r="12" customFormat="false" ht="33" hidden="false" customHeight="true" outlineLevel="0" collapsed="false">
      <c r="B12" s="4" t="s">
        <v>12</v>
      </c>
      <c r="C12" s="5" t="s">
        <v>13</v>
      </c>
    </row>
    <row r="13" customFormat="false" ht="33" hidden="false" customHeight="true" outlineLevel="0" collapsed="false">
      <c r="B13" s="4" t="s">
        <v>14</v>
      </c>
      <c r="C13" s="5" t="s">
        <v>15</v>
      </c>
    </row>
    <row r="14" customFormat="false" ht="21.75" hidden="false" customHeight="true" outlineLevel="0" collapsed="false">
      <c r="B14" s="4" t="s">
        <v>16</v>
      </c>
      <c r="C14" s="5" t="s">
        <v>17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 t="s">
        <v>18</v>
      </c>
    </row>
    <row r="17" customFormat="false" ht="21.75" hidden="false" customHeight="true" outlineLevel="0" collapsed="false">
      <c r="B17" s="4" t="s">
        <v>19</v>
      </c>
      <c r="C17" s="5" t="s">
        <v>20</v>
      </c>
    </row>
    <row r="18" customFormat="false" ht="21.75" hidden="false" customHeight="true" outlineLevel="0" collapsed="false">
      <c r="B18" s="4" t="s">
        <v>21</v>
      </c>
      <c r="C18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4"/>
  </cols>
  <sheetData>
    <row r="2" customFormat="false" ht="25.5" hidden="false" customHeight="true" outlineLevel="0" collapsed="false">
      <c r="B2" s="1" t="s">
        <v>23</v>
      </c>
    </row>
    <row r="3" customFormat="false" ht="15" hidden="false" customHeight="false" outlineLevel="0" collapsed="false">
      <c r="B3" s="2" t="s">
        <v>24</v>
      </c>
    </row>
    <row r="7" customFormat="false" ht="31.5" hidden="false" customHeight="true" outlineLevel="0" collapsed="false"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</row>
    <row r="8" customFormat="false" ht="15" hidden="false" customHeight="false" outlineLevel="0" collapsed="false">
      <c r="B8" s="4" t="s">
        <v>31</v>
      </c>
      <c r="C8" s="7" t="n">
        <v>-309</v>
      </c>
      <c r="D8" s="7" t="n">
        <v>-1983</v>
      </c>
      <c r="E8" s="7" t="n">
        <v>-3325</v>
      </c>
      <c r="F8" s="7" t="n">
        <v>1269</v>
      </c>
      <c r="G8" s="7" t="n">
        <v>1883</v>
      </c>
    </row>
    <row r="9" customFormat="false" ht="15" hidden="false" customHeight="false" outlineLevel="0" collapsed="false">
      <c r="B9" s="8" t="s">
        <v>32</v>
      </c>
      <c r="C9" s="9" t="n">
        <v>4410</v>
      </c>
      <c r="D9" s="9" t="n">
        <v>2762</v>
      </c>
      <c r="E9" s="9" t="n">
        <v>1257</v>
      </c>
      <c r="F9" s="9" t="n">
        <v>6483</v>
      </c>
      <c r="G9" s="9" t="n">
        <v>7628</v>
      </c>
    </row>
    <row r="10" customFormat="false" ht="15" hidden="false" customHeight="false" outlineLevel="0" collapsed="false">
      <c r="B10" s="8" t="s">
        <v>33</v>
      </c>
      <c r="C10" s="9" t="n">
        <v>6319</v>
      </c>
      <c r="D10" s="9" t="n">
        <v>5285</v>
      </c>
      <c r="E10" s="9" t="n">
        <v>3605</v>
      </c>
      <c r="F10" s="9" t="n">
        <v>8639</v>
      </c>
      <c r="G10" s="9" t="n">
        <v>9625</v>
      </c>
    </row>
    <row r="11" customFormat="false" ht="15" hidden="false" customHeight="false" outlineLevel="0" collapsed="false">
      <c r="B11" s="8" t="s">
        <v>34</v>
      </c>
      <c r="C11" s="9" t="n">
        <v>26417</v>
      </c>
      <c r="D11" s="9" t="n">
        <v>26435</v>
      </c>
      <c r="E11" s="9" t="n">
        <v>26311</v>
      </c>
      <c r="F11" s="9" t="n">
        <v>31200</v>
      </c>
      <c r="G11" s="9" t="n">
        <v>30307</v>
      </c>
    </row>
    <row r="12" customFormat="false" ht="15" hidden="false" customHeight="false" outlineLevel="0" collapsed="false">
      <c r="B12" s="8" t="s">
        <v>35</v>
      </c>
      <c r="C12" s="9" t="n">
        <v>20099</v>
      </c>
      <c r="D12" s="9" t="n">
        <v>21150</v>
      </c>
      <c r="E12" s="9" t="n">
        <v>22706</v>
      </c>
      <c r="F12" s="9" t="n">
        <v>22561</v>
      </c>
      <c r="G12" s="9" t="n">
        <v>20682</v>
      </c>
    </row>
    <row r="13" customFormat="false" ht="15" hidden="false" customHeight="false" outlineLevel="0" collapsed="false">
      <c r="B13" s="8" t="s">
        <v>36</v>
      </c>
      <c r="C13" s="9" t="n">
        <v>-1909</v>
      </c>
      <c r="D13" s="9" t="n">
        <v>-2523</v>
      </c>
      <c r="E13" s="9" t="n">
        <v>-2348</v>
      </c>
      <c r="F13" s="9" t="n">
        <v>-2157</v>
      </c>
      <c r="G13" s="9" t="n">
        <v>-1997</v>
      </c>
    </row>
    <row r="14" customFormat="false" ht="15" hidden="false" customHeight="false" outlineLevel="0" collapsed="false">
      <c r="B14" s="8" t="s">
        <v>34</v>
      </c>
      <c r="C14" s="9" t="n">
        <v>3617</v>
      </c>
      <c r="D14" s="9" t="n">
        <v>2912</v>
      </c>
      <c r="E14" s="9" t="n">
        <v>3114</v>
      </c>
      <c r="F14" s="9" t="n">
        <v>3369</v>
      </c>
      <c r="G14" s="9" t="n">
        <v>3586</v>
      </c>
    </row>
    <row r="15" customFormat="false" ht="15" hidden="false" customHeight="false" outlineLevel="0" collapsed="false">
      <c r="B15" s="8" t="s">
        <v>35</v>
      </c>
      <c r="C15" s="9" t="n">
        <v>5526</v>
      </c>
      <c r="D15" s="9" t="n">
        <v>5435</v>
      </c>
      <c r="E15" s="9" t="n">
        <v>5461</v>
      </c>
      <c r="F15" s="9" t="n">
        <v>5526</v>
      </c>
      <c r="G15" s="9" t="n">
        <v>5583</v>
      </c>
    </row>
    <row r="16" customFormat="false" ht="15" hidden="false" customHeight="false" outlineLevel="0" collapsed="false">
      <c r="B16" s="8" t="s">
        <v>37</v>
      </c>
      <c r="C16" s="9" t="n">
        <v>-4606</v>
      </c>
      <c r="D16" s="9" t="n">
        <v>-5077</v>
      </c>
      <c r="E16" s="9" t="n">
        <v>-4465</v>
      </c>
      <c r="F16" s="9" t="n">
        <v>-5205</v>
      </c>
      <c r="G16" s="9" t="n">
        <v>-5999</v>
      </c>
    </row>
    <row r="17" customFormat="false" ht="15" hidden="false" customHeight="false" outlineLevel="0" collapsed="false">
      <c r="B17" s="8" t="s">
        <v>38</v>
      </c>
      <c r="C17" s="9" t="n">
        <v>-113</v>
      </c>
      <c r="D17" s="9" t="n">
        <v>332</v>
      </c>
      <c r="E17" s="9" t="n">
        <v>-117</v>
      </c>
      <c r="F17" s="9" t="n">
        <v>-9</v>
      </c>
      <c r="G17" s="9" t="n">
        <v>253</v>
      </c>
    </row>
    <row r="18" customFormat="false" ht="15" hidden="false" customHeight="false" outlineLevel="0" collapsed="false">
      <c r="B18" s="4" t="s">
        <v>39</v>
      </c>
      <c r="C18" s="7" t="n">
        <v>0</v>
      </c>
      <c r="D18" s="7" t="n">
        <v>1</v>
      </c>
      <c r="E18" s="7" t="n">
        <v>1</v>
      </c>
      <c r="F18" s="7" t="n">
        <v>0</v>
      </c>
      <c r="G18" s="7" t="n">
        <v>22</v>
      </c>
    </row>
    <row r="19" customFormat="false" ht="15" hidden="false" customHeight="false" outlineLevel="0" collapsed="false">
      <c r="B19" s="4" t="s">
        <v>40</v>
      </c>
      <c r="C19" s="7" t="n">
        <v>-309</v>
      </c>
      <c r="D19" s="7" t="n">
        <v>-1982</v>
      </c>
      <c r="E19" s="7" t="n">
        <v>-3324</v>
      </c>
      <c r="F19" s="7" t="n">
        <v>1269</v>
      </c>
      <c r="G19" s="7" t="n">
        <v>1905</v>
      </c>
    </row>
    <row r="20" customFormat="false" ht="15" hidden="false" customHeight="false" outlineLevel="0" collapsed="false">
      <c r="B20" s="4" t="s">
        <v>41</v>
      </c>
      <c r="C20" s="7" t="n">
        <v>-2920</v>
      </c>
      <c r="D20" s="7" t="n">
        <v>-3010</v>
      </c>
      <c r="E20" s="7" t="n">
        <v>-3626</v>
      </c>
      <c r="F20" s="7" t="n">
        <v>3397</v>
      </c>
      <c r="G20" s="7" t="n">
        <v>160</v>
      </c>
    </row>
    <row r="21" customFormat="false" ht="15" hidden="false" customHeight="false" outlineLevel="0" collapsed="false">
      <c r="B21" s="8" t="s">
        <v>42</v>
      </c>
      <c r="C21" s="9" t="n">
        <v>-1396</v>
      </c>
      <c r="D21" s="9" t="n">
        <v>-2043</v>
      </c>
      <c r="E21" s="9" t="n">
        <v>-881</v>
      </c>
      <c r="F21" s="9" t="n">
        <v>-1510</v>
      </c>
      <c r="G21" s="9" t="n">
        <v>-2355</v>
      </c>
    </row>
    <row r="22" customFormat="false" ht="15" hidden="false" customHeight="false" outlineLevel="0" collapsed="false">
      <c r="B22" s="8" t="s">
        <v>43</v>
      </c>
      <c r="C22" s="9" t="n">
        <v>1983</v>
      </c>
      <c r="D22" s="9" t="n">
        <v>1745</v>
      </c>
      <c r="E22" s="9" t="n">
        <v>1373</v>
      </c>
      <c r="F22" s="9" t="n">
        <v>2260</v>
      </c>
      <c r="G22" s="9" t="n">
        <v>-1595</v>
      </c>
    </row>
    <row r="23" customFormat="false" ht="15" hidden="false" customHeight="false" outlineLevel="0" collapsed="false">
      <c r="B23" s="8" t="s">
        <v>44</v>
      </c>
      <c r="C23" s="9" t="n">
        <v>-763</v>
      </c>
      <c r="D23" s="9" t="n">
        <v>-635</v>
      </c>
      <c r="E23" s="9" t="n">
        <v>-86</v>
      </c>
      <c r="F23" s="9" t="n">
        <v>-304</v>
      </c>
      <c r="G23" s="9" t="n">
        <v>-989</v>
      </c>
    </row>
    <row r="24" customFormat="false" ht="15" hidden="false" customHeight="false" outlineLevel="0" collapsed="false">
      <c r="B24" s="8" t="s">
        <v>45</v>
      </c>
      <c r="C24" s="9" t="n">
        <v>-2490</v>
      </c>
      <c r="D24" s="9" t="n">
        <v>-2174</v>
      </c>
      <c r="E24" s="9" t="n">
        <v>-4706</v>
      </c>
      <c r="F24" s="9" t="n">
        <v>1277</v>
      </c>
      <c r="G24" s="9" t="n">
        <v>3641</v>
      </c>
    </row>
    <row r="25" customFormat="false" ht="15" hidden="false" customHeight="false" outlineLevel="0" collapsed="false">
      <c r="B25" s="8" t="s">
        <v>46</v>
      </c>
      <c r="C25" s="9" t="n">
        <v>-255</v>
      </c>
      <c r="D25" s="9" t="n">
        <v>97</v>
      </c>
      <c r="E25" s="9" t="n">
        <v>674</v>
      </c>
      <c r="F25" s="9" t="n">
        <v>1674</v>
      </c>
      <c r="G25" s="9" t="n">
        <v>1457</v>
      </c>
    </row>
    <row r="26" customFormat="false" ht="15" hidden="false" customHeight="false" outlineLevel="0" collapsed="false">
      <c r="B26" s="4" t="s">
        <v>47</v>
      </c>
      <c r="C26" s="7" t="n">
        <v>-2612</v>
      </c>
      <c r="D26" s="7" t="n">
        <v>-1028</v>
      </c>
      <c r="E26" s="7" t="n">
        <v>-303</v>
      </c>
      <c r="F26" s="7" t="n">
        <v>2128</v>
      </c>
      <c r="G26" s="7" t="n">
        <v>-1745</v>
      </c>
    </row>
    <row r="28" customFormat="false" ht="15" hidden="false" customHeight="false" outlineLevel="0" collapsed="false">
      <c r="B28" s="4" t="s">
        <v>48</v>
      </c>
      <c r="C28" s="10" t="n">
        <f aca="false">C8+C18-C20+C26</f>
        <v>-1</v>
      </c>
      <c r="D28" s="10" t="n">
        <f aca="false">D8+D18-D20+D26</f>
        <v>0</v>
      </c>
      <c r="E28" s="10" t="n">
        <f aca="false">E8+E18-E20+E26</f>
        <v>-1</v>
      </c>
      <c r="F28" s="10" t="n">
        <f aca="false">F8+F18-F20+F26</f>
        <v>0</v>
      </c>
      <c r="G28" s="10" t="n">
        <f aca="false">G8+G18-G20+G26</f>
        <v>0</v>
      </c>
    </row>
    <row r="30" customFormat="false" ht="15" hidden="false" customHeight="false" outlineLevel="0" collapsed="false">
      <c r="B30" s="3" t="s">
        <v>49</v>
      </c>
    </row>
    <row r="31" customFormat="false" ht="31.5" hidden="false" customHeight="true" outlineLevel="0" collapsed="false">
      <c r="B31" s="6" t="s">
        <v>25</v>
      </c>
      <c r="C31" s="6" t="s">
        <v>26</v>
      </c>
      <c r="D31" s="6" t="s">
        <v>27</v>
      </c>
      <c r="E31" s="6" t="s">
        <v>28</v>
      </c>
      <c r="F31" s="6" t="s">
        <v>29</v>
      </c>
      <c r="G31" s="6" t="s">
        <v>30</v>
      </c>
    </row>
    <row r="32" customFormat="false" ht="15" hidden="false" customHeight="false" outlineLevel="0" collapsed="false">
      <c r="B32" s="4" t="s">
        <v>50</v>
      </c>
      <c r="C32" s="11" t="n">
        <v>-1.6</v>
      </c>
      <c r="D32" s="11" t="n">
        <v>-1.7</v>
      </c>
      <c r="E32" s="11" t="n">
        <v>-2</v>
      </c>
      <c r="F32" s="11" t="n">
        <v>-1.2</v>
      </c>
      <c r="G32" s="11" t="n">
        <v>-0.6</v>
      </c>
    </row>
    <row r="33" customFormat="false" ht="15" hidden="false" customHeight="false" outlineLevel="0" collapsed="false">
      <c r="B33" s="4" t="s">
        <v>51</v>
      </c>
      <c r="C33" s="11" t="n">
        <v>-3.1</v>
      </c>
      <c r="D33" s="11" t="n">
        <v>-2.8</v>
      </c>
      <c r="E33" s="11" t="n">
        <v>-2.5</v>
      </c>
      <c r="F33" s="11" t="n">
        <v>-1.8</v>
      </c>
      <c r="G33" s="11" t="n">
        <v>-0.9</v>
      </c>
    </row>
    <row r="34" customFormat="false" ht="15" hidden="false" customHeight="false" outlineLevel="0" collapsed="false">
      <c r="B34" s="4" t="s">
        <v>52</v>
      </c>
      <c r="C34" s="11" t="n">
        <v>-20.2</v>
      </c>
      <c r="D34" s="11" t="n">
        <v>-19.1</v>
      </c>
      <c r="E34" s="11" t="n">
        <v>-18.5</v>
      </c>
      <c r="F34" s="11" t="n">
        <v>-19.2</v>
      </c>
      <c r="G34" s="11" t="n">
        <v>-18.7</v>
      </c>
    </row>
    <row r="35" customFormat="false" ht="15" hidden="false" customHeight="false" outlineLevel="0" collapsed="false">
      <c r="B35" s="4" t="s">
        <v>53</v>
      </c>
      <c r="C35" s="11" t="n">
        <v>75.3</v>
      </c>
      <c r="D35" s="11" t="n">
        <v>74.8</v>
      </c>
      <c r="E35" s="11" t="n">
        <v>77.9</v>
      </c>
      <c r="F35" s="11" t="n">
        <v>74.4</v>
      </c>
      <c r="G35" s="11" t="n">
        <v>75.9</v>
      </c>
    </row>
    <row r="37" customFormat="false" ht="15" hidden="false" customHeight="false" outlineLevel="0" collapsed="false">
      <c r="B37" s="12" t="s">
        <v>54</v>
      </c>
    </row>
    <row r="46" customFormat="false" ht="15" hidden="false" customHeight="false" outlineLevel="0" collapsed="false">
      <c r="B46" s="4" t="s">
        <v>55</v>
      </c>
      <c r="C46" s="8" t="s">
        <v>56</v>
      </c>
      <c r="D46" s="8" t="s">
        <v>57</v>
      </c>
    </row>
    <row r="47" customFormat="false" ht="15" hidden="false" customHeight="false" outlineLevel="0" collapsed="false">
      <c r="B47" s="8" t="s">
        <v>26</v>
      </c>
      <c r="C47" s="10" t="n">
        <f aca="false">INDEX($C$8:$G$8,1)</f>
        <v>-309</v>
      </c>
      <c r="D47" s="10" t="n">
        <f aca="false">INDEX($C$16:$G$16,1)</f>
        <v>-4606</v>
      </c>
    </row>
    <row r="48" customFormat="false" ht="15" hidden="false" customHeight="false" outlineLevel="0" collapsed="false">
      <c r="B48" s="8" t="s">
        <v>27</v>
      </c>
      <c r="C48" s="10" t="n">
        <f aca="false">INDEX($C$8:$G$8,2)</f>
        <v>-1983</v>
      </c>
      <c r="D48" s="10" t="n">
        <f aca="false">INDEX($C$16:$G$16,2)</f>
        <v>-5077</v>
      </c>
    </row>
    <row r="49" customFormat="false" ht="15" hidden="false" customHeight="false" outlineLevel="0" collapsed="false">
      <c r="B49" s="8" t="s">
        <v>28</v>
      </c>
      <c r="C49" s="10" t="n">
        <f aca="false">INDEX($C$8:$G$8,3)</f>
        <v>-3325</v>
      </c>
      <c r="D49" s="10" t="n">
        <f aca="false">INDEX($C$16:$G$16,3)</f>
        <v>-4465</v>
      </c>
    </row>
    <row r="50" customFormat="false" ht="15" hidden="false" customHeight="false" outlineLevel="0" collapsed="false">
      <c r="B50" s="8" t="s">
        <v>29</v>
      </c>
      <c r="C50" s="10" t="n">
        <f aca="false">INDEX($C$8:$G$8,4)</f>
        <v>1269</v>
      </c>
      <c r="D50" s="10" t="n">
        <f aca="false">INDEX($C$16:$G$16,4)</f>
        <v>-5205</v>
      </c>
    </row>
    <row r="51" customFormat="false" ht="15" hidden="false" customHeight="false" outlineLevel="0" collapsed="false">
      <c r="B51" s="8" t="s">
        <v>30</v>
      </c>
      <c r="C51" s="10" t="n">
        <f aca="false">INDEX($C$8:$G$8,5)</f>
        <v>1883</v>
      </c>
      <c r="D51" s="10" t="n">
        <f aca="false">INDEX($C$16:$G$16,5)</f>
        <v>-5999</v>
      </c>
    </row>
  </sheetData>
  <conditionalFormatting sqref="C8:G26">
    <cfRule type="cellIs" priority="2" operator="lessThan" aboveAverage="0" equalAverage="0" bottom="0" percent="0" rank="0" text="" dxfId="0">
      <formula>0</formula>
    </cfRule>
  </conditionalFormatting>
  <conditionalFormatting sqref="C32:G35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8"/>
  </cols>
  <sheetData>
    <row r="2" customFormat="false" ht="25.5" hidden="false" customHeight="true" outlineLevel="0" collapsed="false">
      <c r="B2" s="1" t="s">
        <v>58</v>
      </c>
    </row>
    <row r="3" customFormat="false" ht="15" hidden="false" customHeight="false" outlineLevel="0" collapsed="false">
      <c r="B3" s="2" t="s">
        <v>59</v>
      </c>
    </row>
    <row r="5" customFormat="false" ht="15" hidden="false" customHeight="false" outlineLevel="0" collapsed="false">
      <c r="B5" s="3" t="s">
        <v>60</v>
      </c>
    </row>
    <row r="6" customFormat="false" ht="31.5" hidden="false" customHeight="true" outlineLevel="0" collapsed="false">
      <c r="B6" s="6" t="s">
        <v>25</v>
      </c>
      <c r="C6" s="6" t="s">
        <v>61</v>
      </c>
      <c r="D6" s="6" t="s">
        <v>62</v>
      </c>
    </row>
    <row r="7" customFormat="false" ht="15" hidden="false" customHeight="false" outlineLevel="0" collapsed="false">
      <c r="B7" s="4" t="s">
        <v>63</v>
      </c>
      <c r="C7" s="7" t="n">
        <v>30307</v>
      </c>
      <c r="D7" s="13" t="n">
        <v>14.7</v>
      </c>
    </row>
    <row r="8" customFormat="false" ht="15" hidden="false" customHeight="false" outlineLevel="0" collapsed="false">
      <c r="B8" s="8" t="s">
        <v>64</v>
      </c>
      <c r="D8" s="13" t="n">
        <v>20.2</v>
      </c>
    </row>
    <row r="9" customFormat="false" ht="15" hidden="false" customHeight="false" outlineLevel="0" collapsed="false">
      <c r="B9" s="8" t="s">
        <v>65</v>
      </c>
      <c r="D9" s="13" t="n">
        <v>-4.6</v>
      </c>
    </row>
    <row r="10" customFormat="false" ht="15" hidden="false" customHeight="false" outlineLevel="0" collapsed="false">
      <c r="B10" s="8" t="s">
        <v>66</v>
      </c>
      <c r="C10" s="9" t="n">
        <v>17819</v>
      </c>
      <c r="D10" s="14" t="n">
        <v>22.8</v>
      </c>
    </row>
    <row r="11" customFormat="false" ht="15" hidden="false" customHeight="false" outlineLevel="0" collapsed="false">
      <c r="B11" s="8" t="s">
        <v>67</v>
      </c>
      <c r="C11" s="9" t="n">
        <v>9382</v>
      </c>
      <c r="D11" s="14" t="n">
        <v>10.9</v>
      </c>
    </row>
    <row r="12" customFormat="false" ht="15" hidden="false" customHeight="false" outlineLevel="0" collapsed="false">
      <c r="B12" s="8" t="s">
        <v>68</v>
      </c>
      <c r="C12" s="9" t="n">
        <v>3107</v>
      </c>
      <c r="D12" s="14" t="n">
        <v>-9.8</v>
      </c>
    </row>
    <row r="14" customFormat="false" ht="15" hidden="false" customHeight="false" outlineLevel="0" collapsed="false">
      <c r="B14" s="12" t="s">
        <v>69</v>
      </c>
    </row>
    <row r="16" customFormat="false" ht="15" hidden="false" customHeight="false" outlineLevel="0" collapsed="false">
      <c r="B16" s="3" t="s">
        <v>70</v>
      </c>
    </row>
    <row r="17" customFormat="false" ht="31.5" hidden="false" customHeight="true" outlineLevel="0" collapsed="false">
      <c r="B17" s="6" t="s">
        <v>25</v>
      </c>
      <c r="C17" s="6" t="s">
        <v>61</v>
      </c>
      <c r="D17" s="6" t="s">
        <v>62</v>
      </c>
    </row>
    <row r="18" customFormat="false" ht="15" hidden="false" customHeight="false" outlineLevel="0" collapsed="false">
      <c r="B18" s="4" t="s">
        <v>71</v>
      </c>
      <c r="C18" s="7" t="n">
        <v>22121</v>
      </c>
      <c r="D18" s="14" t="n">
        <v>2.2</v>
      </c>
    </row>
    <row r="19" customFormat="false" ht="15" hidden="false" customHeight="false" outlineLevel="0" collapsed="false">
      <c r="B19" s="8" t="s">
        <v>72</v>
      </c>
      <c r="D19" s="14" t="n">
        <v>1.8</v>
      </c>
    </row>
    <row r="20" customFormat="false" ht="15" hidden="false" customHeight="false" outlineLevel="0" collapsed="false">
      <c r="B20" s="8" t="s">
        <v>73</v>
      </c>
      <c r="D20" s="14" t="n">
        <v>0.4</v>
      </c>
    </row>
    <row r="21" customFormat="false" ht="15" hidden="false" customHeight="false" outlineLevel="0" collapsed="false">
      <c r="B21" s="8" t="s">
        <v>74</v>
      </c>
      <c r="C21" s="9" t="n">
        <v>4774</v>
      </c>
      <c r="D21" s="14" t="n">
        <v>10.8</v>
      </c>
    </row>
    <row r="22" customFormat="false" ht="15" hidden="false" customHeight="false" outlineLevel="0" collapsed="false">
      <c r="B22" s="8" t="s">
        <v>75</v>
      </c>
      <c r="C22" s="9" t="n">
        <v>6242</v>
      </c>
      <c r="D22" s="14" t="n">
        <v>0.6</v>
      </c>
    </row>
    <row r="23" customFormat="false" ht="15" hidden="false" customHeight="false" outlineLevel="0" collapsed="false">
      <c r="B23" s="8" t="s">
        <v>76</v>
      </c>
      <c r="C23" s="9" t="n">
        <v>11105</v>
      </c>
      <c r="D23" s="14" t="n">
        <v>-0.2</v>
      </c>
    </row>
    <row r="25" customFormat="false" ht="15" hidden="false" customHeight="false" outlineLevel="0" collapsed="false">
      <c r="B25" s="12" t="s">
        <v>77</v>
      </c>
    </row>
    <row r="27" customFormat="false" ht="15" hidden="false" customHeight="false" outlineLevel="0" collapsed="false">
      <c r="B27" s="3" t="s">
        <v>78</v>
      </c>
    </row>
    <row r="28" customFormat="false" ht="31.5" hidden="false" customHeight="true" outlineLevel="0" collapsed="false">
      <c r="B28" s="6" t="s">
        <v>25</v>
      </c>
      <c r="C28" s="6" t="s">
        <v>61</v>
      </c>
    </row>
    <row r="29" customFormat="false" ht="15" hidden="false" customHeight="false" outlineLevel="0" collapsed="false">
      <c r="B29" s="4" t="s">
        <v>79</v>
      </c>
      <c r="C29" s="7" t="n">
        <v>-5999</v>
      </c>
    </row>
    <row r="30" customFormat="false" ht="15" hidden="false" customHeight="false" outlineLevel="0" collapsed="false">
      <c r="B30" s="8" t="s">
        <v>80</v>
      </c>
      <c r="C30" s="9" t="n">
        <v>-5207</v>
      </c>
    </row>
    <row r="31" customFormat="false" ht="15" hidden="false" customHeight="false" outlineLevel="0" collapsed="false">
      <c r="B31" s="8" t="s">
        <v>81</v>
      </c>
      <c r="C31" s="9" t="n">
        <v>-7021</v>
      </c>
    </row>
    <row r="32" customFormat="false" ht="15" hidden="false" customHeight="false" outlineLevel="0" collapsed="false">
      <c r="B32" s="8" t="s">
        <v>82</v>
      </c>
      <c r="C32" s="9" t="n">
        <v>1814</v>
      </c>
    </row>
    <row r="33" customFormat="false" ht="15" hidden="false" customHeight="false" outlineLevel="0" collapsed="false">
      <c r="B33" s="4" t="s">
        <v>83</v>
      </c>
      <c r="C33" s="7" t="n">
        <v>253</v>
      </c>
    </row>
    <row r="34" customFormat="false" ht="15" hidden="false" customHeight="false" outlineLevel="0" collapsed="false">
      <c r="B34" s="8" t="s">
        <v>84</v>
      </c>
      <c r="C34" s="9" t="n">
        <v>1428</v>
      </c>
    </row>
    <row r="35" customFormat="false" ht="15" hidden="false" customHeight="false" outlineLevel="0" collapsed="false">
      <c r="B35" s="8" t="s">
        <v>85</v>
      </c>
      <c r="C35" s="9" t="n">
        <v>-1174</v>
      </c>
    </row>
    <row r="37" customFormat="false" ht="15" hidden="false" customHeight="false" outlineLevel="0" collapsed="false">
      <c r="B37" s="12" t="s">
        <v>86</v>
      </c>
    </row>
    <row r="39" customFormat="false" ht="15" hidden="false" customHeight="false" outlineLevel="0" collapsed="false">
      <c r="B39" s="3" t="s">
        <v>87</v>
      </c>
    </row>
    <row r="40" customFormat="false" ht="31.5" hidden="false" customHeight="true" outlineLevel="0" collapsed="false">
      <c r="B40" s="6" t="s">
        <v>25</v>
      </c>
      <c r="C40" s="6" t="s">
        <v>61</v>
      </c>
      <c r="D40" s="6" t="s">
        <v>88</v>
      </c>
    </row>
    <row r="41" customFormat="false" ht="15" hidden="false" customHeight="false" outlineLevel="0" collapsed="false">
      <c r="B41" s="8" t="s">
        <v>89</v>
      </c>
      <c r="C41" s="9" t="n">
        <v>5451</v>
      </c>
      <c r="D41" s="12" t="s">
        <v>90</v>
      </c>
    </row>
    <row r="42" customFormat="false" ht="15" hidden="false" customHeight="false" outlineLevel="0" collapsed="false">
      <c r="B42" s="8" t="s">
        <v>91</v>
      </c>
      <c r="C42" s="9" t="n">
        <v>3096</v>
      </c>
      <c r="D42" s="12" t="s">
        <v>92</v>
      </c>
    </row>
    <row r="43" customFormat="false" ht="15" hidden="false" customHeight="false" outlineLevel="0" collapsed="false">
      <c r="B43" s="8" t="s">
        <v>93</v>
      </c>
      <c r="C43" s="9" t="n">
        <v>6048</v>
      </c>
      <c r="D43" s="12" t="s">
        <v>94</v>
      </c>
    </row>
    <row r="44" customFormat="false" ht="15" hidden="false" customHeight="false" outlineLevel="0" collapsed="false">
      <c r="B44" s="8" t="s">
        <v>95</v>
      </c>
      <c r="C44" s="9" t="n">
        <v>4453</v>
      </c>
      <c r="D44" s="12" t="s">
        <v>96</v>
      </c>
    </row>
    <row r="45" customFormat="false" ht="15" hidden="false" customHeight="false" outlineLevel="0" collapsed="false">
      <c r="B45" s="8" t="s">
        <v>97</v>
      </c>
      <c r="C45" s="9" t="n">
        <v>4293</v>
      </c>
      <c r="D45" s="12" t="s">
        <v>98</v>
      </c>
    </row>
    <row r="46" customFormat="false" ht="15" hidden="false" customHeight="false" outlineLevel="0" collapsed="false">
      <c r="B46" s="8" t="s">
        <v>99</v>
      </c>
      <c r="C46" s="9" t="n">
        <v>1457</v>
      </c>
      <c r="D46" s="12" t="s">
        <v>100</v>
      </c>
    </row>
    <row r="47" customFormat="false" ht="15" hidden="false" customHeight="false" outlineLevel="0" collapsed="false">
      <c r="B47" s="8" t="s">
        <v>101</v>
      </c>
      <c r="C47" s="9" t="n">
        <v>50674</v>
      </c>
      <c r="D47" s="12" t="s">
        <v>102</v>
      </c>
    </row>
  </sheetData>
  <conditionalFormatting sqref="D7:D12">
    <cfRule type="cellIs" priority="2" operator="lessThan" aboveAverage="0" equalAverage="0" bottom="0" percent="0" rank="0" text="" dxfId="0">
      <formula>0</formula>
    </cfRule>
  </conditionalFormatting>
  <conditionalFormatting sqref="D18:D23">
    <cfRule type="cellIs" priority="3" operator="lessThan" aboveAverage="0" equalAverage="0" bottom="0" percent="0" rank="0" text="" dxfId="0">
      <formula>0</formula>
    </cfRule>
  </conditionalFormatting>
  <conditionalFormatting sqref="C29:C35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</cols>
  <sheetData>
    <row r="2" customFormat="false" ht="25.5" hidden="false" customHeight="true" outlineLevel="0" collapsed="false">
      <c r="B2" s="1" t="s">
        <v>103</v>
      </c>
    </row>
    <row r="3" customFormat="false" ht="15" hidden="false" customHeight="false" outlineLevel="0" collapsed="false">
      <c r="B3" s="2" t="s">
        <v>104</v>
      </c>
    </row>
    <row r="7" customFormat="false" ht="31.5" hidden="false" customHeight="true" outlineLevel="0" collapsed="false"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</row>
    <row r="8" customFormat="false" ht="15" hidden="false" customHeight="false" outlineLevel="0" collapsed="false">
      <c r="B8" s="4" t="s">
        <v>105</v>
      </c>
      <c r="C8" s="7" t="n">
        <v>-67453</v>
      </c>
      <c r="D8" s="7" t="n">
        <v>-66250</v>
      </c>
      <c r="E8" s="7" t="n">
        <v>-63793</v>
      </c>
      <c r="F8" s="7" t="n">
        <v>-71624</v>
      </c>
      <c r="G8" s="7" t="n">
        <v>-69665</v>
      </c>
    </row>
    <row r="9" customFormat="false" ht="15" hidden="false" customHeight="false" outlineLevel="0" collapsed="false">
      <c r="B9" s="8" t="s">
        <v>106</v>
      </c>
      <c r="C9" s="9" t="n">
        <v>475043</v>
      </c>
      <c r="D9" s="9" t="n">
        <v>491451</v>
      </c>
      <c r="E9" s="9" t="n">
        <v>505730</v>
      </c>
      <c r="F9" s="9" t="n">
        <v>525168</v>
      </c>
      <c r="G9" s="9" t="n">
        <v>533339</v>
      </c>
    </row>
    <row r="10" customFormat="false" ht="15" hidden="false" customHeight="false" outlineLevel="0" collapsed="false">
      <c r="B10" s="8" t="s">
        <v>107</v>
      </c>
      <c r="C10" s="9" t="n">
        <v>163968</v>
      </c>
      <c r="D10" s="9" t="n">
        <v>166747</v>
      </c>
      <c r="E10" s="9" t="n">
        <v>169929</v>
      </c>
      <c r="F10" s="9" t="n">
        <v>172273</v>
      </c>
      <c r="G10" s="9" t="n">
        <v>175258</v>
      </c>
    </row>
    <row r="11" customFormat="false" ht="15" hidden="false" customHeight="false" outlineLevel="0" collapsed="false">
      <c r="B11" s="8" t="s">
        <v>108</v>
      </c>
      <c r="C11" s="9" t="n">
        <v>200069</v>
      </c>
      <c r="D11" s="9" t="n">
        <v>211512</v>
      </c>
      <c r="E11" s="9" t="n">
        <v>222947</v>
      </c>
      <c r="F11" s="9" t="n">
        <v>232920</v>
      </c>
      <c r="G11" s="9" t="n">
        <v>233324</v>
      </c>
    </row>
    <row r="12" customFormat="false" ht="15" hidden="false" customHeight="false" outlineLevel="0" collapsed="false">
      <c r="B12" s="8" t="s">
        <v>109</v>
      </c>
      <c r="C12" s="9" t="n">
        <v>23461</v>
      </c>
      <c r="D12" s="9" t="n">
        <v>24009</v>
      </c>
      <c r="E12" s="9" t="n">
        <v>22955</v>
      </c>
      <c r="F12" s="9" t="n">
        <v>24698</v>
      </c>
      <c r="G12" s="9" t="n">
        <v>23885</v>
      </c>
    </row>
    <row r="13" customFormat="false" ht="15" hidden="false" customHeight="false" outlineLevel="0" collapsed="false">
      <c r="B13" s="8" t="s">
        <v>110</v>
      </c>
      <c r="C13" s="9" t="n">
        <v>42480</v>
      </c>
      <c r="D13" s="9" t="n">
        <v>42784</v>
      </c>
      <c r="E13" s="9" t="n">
        <v>42477</v>
      </c>
      <c r="F13" s="9" t="n">
        <v>45808</v>
      </c>
      <c r="G13" s="9" t="n">
        <v>50198</v>
      </c>
    </row>
    <row r="14" customFormat="false" ht="15" hidden="false" customHeight="false" outlineLevel="0" collapsed="false">
      <c r="B14" s="8" t="s">
        <v>111</v>
      </c>
      <c r="C14" s="9" t="n">
        <v>45066</v>
      </c>
      <c r="D14" s="9" t="n">
        <v>46398</v>
      </c>
      <c r="E14" s="9" t="n">
        <v>47422</v>
      </c>
      <c r="F14" s="9" t="n">
        <v>49468</v>
      </c>
      <c r="G14" s="9" t="n">
        <v>50674</v>
      </c>
    </row>
    <row r="15" customFormat="false" ht="15" hidden="false" customHeight="false" outlineLevel="0" collapsed="false">
      <c r="B15" s="8" t="s">
        <v>112</v>
      </c>
      <c r="C15" s="9" t="n">
        <v>542496</v>
      </c>
      <c r="D15" s="9" t="n">
        <v>557701</v>
      </c>
      <c r="E15" s="9" t="n">
        <v>569523</v>
      </c>
      <c r="F15" s="9" t="n">
        <v>596791</v>
      </c>
      <c r="G15" s="9" t="n">
        <v>603005</v>
      </c>
    </row>
    <row r="16" customFormat="false" ht="15" hidden="false" customHeight="false" outlineLevel="0" collapsed="false">
      <c r="B16" s="8" t="s">
        <v>107</v>
      </c>
      <c r="C16" s="9" t="n">
        <v>299952</v>
      </c>
      <c r="D16" s="9" t="n">
        <v>307415</v>
      </c>
      <c r="E16" s="9" t="n">
        <v>310100</v>
      </c>
      <c r="F16" s="9" t="n">
        <v>322665</v>
      </c>
      <c r="G16" s="9" t="n">
        <v>323818</v>
      </c>
    </row>
    <row r="17" customFormat="false" ht="15" hidden="false" customHeight="false" outlineLevel="0" collapsed="false">
      <c r="B17" s="8" t="s">
        <v>108</v>
      </c>
      <c r="C17" s="9" t="n">
        <v>142446</v>
      </c>
      <c r="D17" s="9" t="n">
        <v>148527</v>
      </c>
      <c r="E17" s="9" t="n">
        <v>154905</v>
      </c>
      <c r="F17" s="9" t="n">
        <v>165891</v>
      </c>
      <c r="G17" s="9" t="n">
        <v>168065</v>
      </c>
    </row>
    <row r="18" customFormat="false" ht="15" hidden="false" customHeight="false" outlineLevel="0" collapsed="false">
      <c r="B18" s="8" t="s">
        <v>109</v>
      </c>
      <c r="C18" s="9" t="n">
        <v>22918</v>
      </c>
      <c r="D18" s="9" t="n">
        <v>21878</v>
      </c>
      <c r="E18" s="9" t="n">
        <v>20287</v>
      </c>
      <c r="F18" s="9" t="n">
        <v>21868</v>
      </c>
      <c r="G18" s="9" t="n">
        <v>23961</v>
      </c>
    </row>
    <row r="19" customFormat="false" ht="15" hidden="false" customHeight="false" outlineLevel="0" collapsed="false">
      <c r="B19" s="8" t="s">
        <v>110</v>
      </c>
      <c r="C19" s="9" t="n">
        <v>77181</v>
      </c>
      <c r="D19" s="9" t="n">
        <v>79882</v>
      </c>
      <c r="E19" s="9" t="n">
        <v>84230</v>
      </c>
      <c r="F19" s="9" t="n">
        <v>86368</v>
      </c>
      <c r="G19" s="9" t="n">
        <v>87160</v>
      </c>
    </row>
    <row r="22" customFormat="false" ht="15" hidden="false" customHeight="false" outlineLevel="0" collapsed="false">
      <c r="B22" s="3" t="s">
        <v>113</v>
      </c>
    </row>
    <row r="23" customFormat="false" ht="31.5" hidden="false" customHeight="true" outlineLevel="0" collapsed="false">
      <c r="B23" s="6" t="s">
        <v>114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119</v>
      </c>
      <c r="H23" s="6" t="s">
        <v>120</v>
      </c>
      <c r="I23" s="6" t="s">
        <v>121</v>
      </c>
    </row>
    <row r="24" customFormat="false" ht="15" hidden="false" customHeight="false" outlineLevel="0" collapsed="false">
      <c r="B24" s="4" t="s">
        <v>122</v>
      </c>
      <c r="C24" s="7" t="n">
        <v>-71624</v>
      </c>
      <c r="D24" s="7" t="n">
        <v>160</v>
      </c>
      <c r="E24" s="7" t="n">
        <v>-1178</v>
      </c>
      <c r="F24" s="7" t="n">
        <v>3742</v>
      </c>
      <c r="G24" s="7" t="n">
        <v>-767</v>
      </c>
      <c r="H24" s="7" t="n">
        <v>-69665</v>
      </c>
      <c r="I24" s="7" t="n">
        <v>1958</v>
      </c>
    </row>
    <row r="25" customFormat="false" ht="15" hidden="false" customHeight="false" outlineLevel="0" collapsed="false">
      <c r="B25" s="8" t="s">
        <v>123</v>
      </c>
      <c r="C25" s="9" t="n">
        <v>-150392</v>
      </c>
      <c r="D25" s="9" t="n">
        <v>-2355</v>
      </c>
      <c r="E25" s="9" t="n">
        <v>1794</v>
      </c>
      <c r="F25" s="9" t="n">
        <v>3152</v>
      </c>
      <c r="G25" s="9" t="n">
        <v>-759</v>
      </c>
      <c r="H25" s="9" t="n">
        <v>-148560</v>
      </c>
      <c r="I25" s="9" t="n">
        <v>1832</v>
      </c>
    </row>
    <row r="26" customFormat="false" ht="15" hidden="false" customHeight="false" outlineLevel="0" collapsed="false">
      <c r="B26" s="8" t="s">
        <v>124</v>
      </c>
      <c r="C26" s="9" t="n">
        <v>67030</v>
      </c>
      <c r="D26" s="9" t="n">
        <v>-1595</v>
      </c>
      <c r="E26" s="9" t="n">
        <v>-1124</v>
      </c>
      <c r="F26" s="9" t="n">
        <v>796</v>
      </c>
      <c r="G26" s="9" t="n">
        <v>152</v>
      </c>
      <c r="H26" s="9" t="n">
        <v>65259</v>
      </c>
      <c r="I26" s="9" t="n">
        <v>-1771</v>
      </c>
    </row>
    <row r="27" customFormat="false" ht="15" hidden="false" customHeight="false" outlineLevel="0" collapsed="false">
      <c r="B27" s="8" t="s">
        <v>125</v>
      </c>
      <c r="C27" s="9" t="n">
        <v>2830</v>
      </c>
      <c r="D27" s="9" t="n">
        <v>-989</v>
      </c>
      <c r="E27" s="9" t="n">
        <v>-1728</v>
      </c>
      <c r="F27" s="9" t="n">
        <v>-190</v>
      </c>
      <c r="G27" s="9" t="n">
        <v>0</v>
      </c>
      <c r="H27" s="9" t="n">
        <v>-76</v>
      </c>
      <c r="I27" s="9" t="n">
        <v>-2906</v>
      </c>
    </row>
    <row r="28" customFormat="false" ht="15" hidden="false" customHeight="false" outlineLevel="0" collapsed="false">
      <c r="B28" s="8" t="s">
        <v>126</v>
      </c>
      <c r="C28" s="9" t="n">
        <v>-40559</v>
      </c>
      <c r="D28" s="9" t="n">
        <v>3641</v>
      </c>
      <c r="E28" s="9" t="n">
        <v>14</v>
      </c>
      <c r="F28" s="9" t="n">
        <v>102</v>
      </c>
      <c r="G28" s="9" t="n">
        <v>-160</v>
      </c>
      <c r="H28" s="9" t="n">
        <v>-36962</v>
      </c>
      <c r="I28" s="9" t="n">
        <v>3597</v>
      </c>
    </row>
    <row r="29" customFormat="false" ht="15" hidden="false" customHeight="false" outlineLevel="0" collapsed="false">
      <c r="B29" s="8" t="s">
        <v>127</v>
      </c>
      <c r="C29" s="9" t="n">
        <v>49468</v>
      </c>
      <c r="D29" s="9" t="n">
        <v>1457</v>
      </c>
      <c r="E29" s="9" t="n">
        <v>-134</v>
      </c>
      <c r="F29" s="9" t="n">
        <v>-116</v>
      </c>
      <c r="G29" s="9" t="n">
        <v>0</v>
      </c>
      <c r="H29" s="9" t="n">
        <v>50674</v>
      </c>
      <c r="I29" s="9" t="n">
        <v>1206</v>
      </c>
    </row>
    <row r="31" customFormat="false" ht="15" hidden="false" customHeight="false" outlineLevel="0" collapsed="false">
      <c r="B31" s="12" t="s">
        <v>128</v>
      </c>
    </row>
    <row r="33" customFormat="false" ht="15" hidden="false" customHeight="false" outlineLevel="0" collapsed="false">
      <c r="B33" s="3" t="s">
        <v>129</v>
      </c>
    </row>
    <row r="34" customFormat="false" ht="31.5" hidden="false" customHeight="true" outlineLevel="0" collapsed="false">
      <c r="B34" s="6" t="s">
        <v>130</v>
      </c>
      <c r="C34" s="6" t="s">
        <v>115</v>
      </c>
      <c r="D34" s="6" t="s">
        <v>120</v>
      </c>
      <c r="E34" s="6" t="s">
        <v>121</v>
      </c>
    </row>
    <row r="35" customFormat="false" ht="15" hidden="false" customHeight="false" outlineLevel="0" collapsed="false">
      <c r="B35" s="4" t="s">
        <v>131</v>
      </c>
      <c r="C35" s="9" t="n">
        <v>-47423</v>
      </c>
      <c r="D35" s="9" t="n">
        <v>-50485</v>
      </c>
      <c r="E35" s="15" t="n">
        <v>-3063</v>
      </c>
    </row>
    <row r="36" customFormat="false" ht="15" hidden="false" customHeight="false" outlineLevel="0" collapsed="false">
      <c r="B36" s="4" t="s">
        <v>132</v>
      </c>
      <c r="C36" s="9" t="n">
        <v>138575</v>
      </c>
      <c r="D36" s="9" t="n">
        <v>138415</v>
      </c>
      <c r="E36" s="15" t="n">
        <v>-159</v>
      </c>
    </row>
    <row r="37" customFormat="false" ht="15" hidden="false" customHeight="false" outlineLevel="0" collapsed="false">
      <c r="B37" s="8" t="s">
        <v>133</v>
      </c>
      <c r="C37" s="9" t="n">
        <v>46352</v>
      </c>
      <c r="D37" s="9" t="n">
        <v>47248</v>
      </c>
      <c r="E37" s="15" t="n">
        <v>896</v>
      </c>
    </row>
    <row r="38" customFormat="false" ht="15" hidden="false" customHeight="false" outlineLevel="0" collapsed="false">
      <c r="B38" s="8" t="s">
        <v>134</v>
      </c>
      <c r="C38" s="9" t="n">
        <v>-49021</v>
      </c>
      <c r="D38" s="9" t="n">
        <v>-49983</v>
      </c>
      <c r="E38" s="15" t="n">
        <v>-962</v>
      </c>
    </row>
    <row r="39" customFormat="false" ht="15" hidden="false" customHeight="false" outlineLevel="0" collapsed="false">
      <c r="B39" s="8" t="s">
        <v>135</v>
      </c>
      <c r="C39" s="9" t="n">
        <v>122806</v>
      </c>
      <c r="D39" s="9" t="n">
        <v>123284</v>
      </c>
      <c r="E39" s="15" t="n">
        <v>478</v>
      </c>
    </row>
    <row r="40" customFormat="false" ht="15" hidden="false" customHeight="false" outlineLevel="0" collapsed="false">
      <c r="B40" s="8" t="s">
        <v>136</v>
      </c>
      <c r="C40" s="9" t="n">
        <v>18438</v>
      </c>
      <c r="D40" s="9" t="n">
        <v>17867</v>
      </c>
      <c r="E40" s="15" t="n">
        <v>-571</v>
      </c>
    </row>
    <row r="41" customFormat="false" ht="15" hidden="false" customHeight="false" outlineLevel="0" collapsed="false">
      <c r="B41" s="4" t="s">
        <v>137</v>
      </c>
      <c r="C41" s="9" t="n">
        <v>-162776</v>
      </c>
      <c r="D41" s="9" t="n">
        <v>-157596</v>
      </c>
      <c r="E41" s="15" t="n">
        <v>5180</v>
      </c>
    </row>
    <row r="43" customFormat="false" ht="15" hidden="false" customHeight="false" outlineLevel="0" collapsed="false">
      <c r="B43" s="12" t="s">
        <v>138</v>
      </c>
    </row>
    <row r="44" customFormat="false" ht="15" hidden="false" customHeight="false" outlineLevel="0" collapsed="false">
      <c r="B44" s="12" t="s">
        <v>139</v>
      </c>
    </row>
  </sheetData>
  <conditionalFormatting sqref="C8:G19">
    <cfRule type="cellIs" priority="2" operator="lessThan" aboveAverage="0" equalAverage="0" bottom="0" percent="0" rank="0" text="" dxfId="0">
      <formula>0</formula>
    </cfRule>
  </conditionalFormatting>
  <conditionalFormatting sqref="C24:J29">
    <cfRule type="cellIs" priority="3" operator="lessThan" aboveAverage="0" equalAverage="0" bottom="0" percent="0" rank="0" text="" dxfId="0">
      <formula>0</formula>
    </cfRule>
  </conditionalFormatting>
  <conditionalFormatting sqref="C35:E41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7" min="5" style="0" width="14"/>
  </cols>
  <sheetData>
    <row r="2" customFormat="false" ht="25.5" hidden="false" customHeight="true" outlineLevel="0" collapsed="false">
      <c r="B2" s="1" t="s">
        <v>53</v>
      </c>
    </row>
    <row r="3" customFormat="false" ht="15" hidden="false" customHeight="false" outlineLevel="0" collapsed="false">
      <c r="B3" s="2" t="s">
        <v>140</v>
      </c>
    </row>
    <row r="7" customFormat="false" ht="31.5" hidden="false" customHeight="true" outlineLevel="0" collapsed="false"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</row>
    <row r="8" customFormat="false" ht="15" hidden="false" customHeight="false" outlineLevel="0" collapsed="false">
      <c r="B8" s="4" t="s">
        <v>141</v>
      </c>
      <c r="C8" s="7" t="n">
        <v>251527</v>
      </c>
      <c r="D8" s="7" t="n">
        <v>258819</v>
      </c>
      <c r="E8" s="7" t="n">
        <v>268901</v>
      </c>
      <c r="F8" s="7" t="n">
        <v>277421</v>
      </c>
      <c r="G8" s="7" t="n">
        <v>282290</v>
      </c>
    </row>
    <row r="9" customFormat="false" ht="15" hidden="false" customHeight="false" outlineLevel="0" collapsed="false">
      <c r="B9" s="8" t="s">
        <v>142</v>
      </c>
      <c r="C9" s="9" t="n">
        <v>86500</v>
      </c>
      <c r="D9" s="9" t="n">
        <v>89756</v>
      </c>
      <c r="E9" s="9" t="n">
        <v>95613</v>
      </c>
      <c r="F9" s="9" t="n">
        <v>103071</v>
      </c>
      <c r="G9" s="9" t="n">
        <v>106119</v>
      </c>
    </row>
    <row r="10" customFormat="false" ht="15" hidden="false" customHeight="false" outlineLevel="0" collapsed="false">
      <c r="B10" s="8" t="s">
        <v>143</v>
      </c>
      <c r="C10" s="9" t="n">
        <v>165028</v>
      </c>
      <c r="D10" s="9" t="n">
        <v>169063</v>
      </c>
      <c r="E10" s="9" t="n">
        <v>173288</v>
      </c>
      <c r="F10" s="9" t="n">
        <v>174350</v>
      </c>
      <c r="G10" s="9" t="n">
        <v>176172</v>
      </c>
    </row>
    <row r="12" customFormat="false" ht="31.5" hidden="false" customHeight="true" outlineLevel="0" collapsed="false">
      <c r="B12" s="6" t="s">
        <v>144</v>
      </c>
      <c r="C12" s="6" t="s">
        <v>26</v>
      </c>
      <c r="D12" s="6" t="s">
        <v>27</v>
      </c>
      <c r="E12" s="6" t="s">
        <v>28</v>
      </c>
      <c r="F12" s="6" t="s">
        <v>29</v>
      </c>
      <c r="G12" s="6" t="s">
        <v>30</v>
      </c>
    </row>
    <row r="13" customFormat="false" ht="15" hidden="false" customHeight="false" outlineLevel="0" collapsed="false">
      <c r="B13" s="8" t="s">
        <v>145</v>
      </c>
      <c r="C13" s="16" t="n">
        <v>75.3</v>
      </c>
      <c r="D13" s="16" t="n">
        <v>74.8</v>
      </c>
      <c r="E13" s="16" t="n">
        <v>77.9</v>
      </c>
      <c r="F13" s="16" t="n">
        <v>74.4</v>
      </c>
      <c r="G13" s="16" t="n">
        <v>75.9</v>
      </c>
    </row>
    <row r="14" customFormat="false" ht="15" hidden="false" customHeight="false" outlineLevel="0" collapsed="false">
      <c r="B14" s="8" t="s">
        <v>146</v>
      </c>
      <c r="C14" s="17" t="n">
        <f aca="false">C9/C8</f>
        <v>0.343899462085581</v>
      </c>
      <c r="D14" s="17" t="n">
        <f aca="false">D9/D8</f>
        <v>0.346790614290296</v>
      </c>
      <c r="E14" s="17" t="n">
        <f aca="false">E9/E8</f>
        <v>0.355569521868643</v>
      </c>
      <c r="F14" s="17" t="n">
        <f aca="false">F9/F8</f>
        <v>0.371532796724112</v>
      </c>
      <c r="G14" s="17" t="n">
        <f aca="false">G9/G8</f>
        <v>0.375921924262284</v>
      </c>
    </row>
    <row r="16" customFormat="false" ht="15" hidden="false" customHeight="false" outlineLevel="0" collapsed="false">
      <c r="B16" s="3" t="s">
        <v>147</v>
      </c>
    </row>
    <row r="17" customFormat="false" ht="31.5" hidden="false" customHeight="true" outlineLevel="0" collapsed="false">
      <c r="B17" s="6" t="s">
        <v>130</v>
      </c>
      <c r="C17" s="6" t="s">
        <v>61</v>
      </c>
      <c r="D17" s="6" t="s">
        <v>148</v>
      </c>
    </row>
    <row r="18" customFormat="false" ht="15" hidden="false" customHeight="false" outlineLevel="0" collapsed="false">
      <c r="B18" s="8" t="s">
        <v>149</v>
      </c>
      <c r="C18" s="9" t="n">
        <v>26422</v>
      </c>
      <c r="D18" s="17" t="n">
        <v>0.38</v>
      </c>
    </row>
    <row r="19" customFormat="false" ht="15" hidden="false" customHeight="false" outlineLevel="0" collapsed="false">
      <c r="B19" s="8" t="s">
        <v>150</v>
      </c>
      <c r="C19" s="9" t="n">
        <v>24053</v>
      </c>
      <c r="D19" s="17" t="n">
        <v>0.34</v>
      </c>
    </row>
    <row r="20" customFormat="false" ht="15" hidden="false" customHeight="false" outlineLevel="0" collapsed="false">
      <c r="B20" s="8" t="s">
        <v>151</v>
      </c>
      <c r="C20" s="9" t="n">
        <v>12144</v>
      </c>
      <c r="D20" s="17" t="n">
        <v>0.17</v>
      </c>
    </row>
    <row r="21" customFormat="false" ht="15" hidden="false" customHeight="false" outlineLevel="0" collapsed="false">
      <c r="B21" s="8" t="s">
        <v>131</v>
      </c>
      <c r="C21" s="9" t="n">
        <v>5687</v>
      </c>
      <c r="D21" s="17" t="n">
        <v>0.08</v>
      </c>
    </row>
    <row r="22" customFormat="false" ht="15" hidden="false" customHeight="false" outlineLevel="0" collapsed="false">
      <c r="B22" s="8" t="s">
        <v>152</v>
      </c>
      <c r="C22" s="9" t="n">
        <v>1606</v>
      </c>
      <c r="D22" s="17" t="n">
        <v>0.02</v>
      </c>
    </row>
    <row r="24" customFormat="false" ht="15" hidden="false" customHeight="false" outlineLevel="0" collapsed="false">
      <c r="B24" s="12" t="s">
        <v>153</v>
      </c>
    </row>
    <row r="26" customFormat="false" ht="15" hidden="false" customHeight="false" outlineLevel="0" collapsed="false">
      <c r="B26" s="3" t="s">
        <v>154</v>
      </c>
    </row>
    <row r="27" customFormat="false" ht="31.5" hidden="false" customHeight="true" outlineLevel="0" collapsed="false">
      <c r="B27" s="6" t="s">
        <v>155</v>
      </c>
      <c r="C27" s="6" t="s">
        <v>148</v>
      </c>
    </row>
    <row r="28" customFormat="false" ht="15" hidden="false" customHeight="false" outlineLevel="0" collapsed="false">
      <c r="B28" s="8" t="s">
        <v>156</v>
      </c>
      <c r="C28" s="18" t="n">
        <v>0.783</v>
      </c>
    </row>
    <row r="29" customFormat="false" ht="15" hidden="false" customHeight="false" outlineLevel="0" collapsed="false">
      <c r="B29" s="8" t="s">
        <v>157</v>
      </c>
      <c r="C29" s="19" t="n">
        <v>0.09</v>
      </c>
    </row>
    <row r="30" customFormat="false" ht="15" hidden="false" customHeight="false" outlineLevel="0" collapsed="false">
      <c r="B30" s="8" t="s">
        <v>158</v>
      </c>
      <c r="C30" s="19" t="n">
        <v>0.082</v>
      </c>
    </row>
    <row r="31" customFormat="false" ht="15" hidden="false" customHeight="false" outlineLevel="0" collapsed="false">
      <c r="B31" s="8" t="s">
        <v>119</v>
      </c>
      <c r="C31" s="19" t="n">
        <v>0.045</v>
      </c>
    </row>
    <row r="33" customFormat="false" ht="15" hidden="false" customHeight="false" outlineLevel="0" collapsed="false">
      <c r="B33" s="12" t="s">
        <v>159</v>
      </c>
    </row>
    <row r="36" customFormat="false" ht="15" hidden="false" customHeight="false" outlineLevel="0" collapsed="false">
      <c r="B36" s="4" t="s">
        <v>55</v>
      </c>
      <c r="C36" s="8" t="s">
        <v>160</v>
      </c>
      <c r="D36" s="8" t="s">
        <v>161</v>
      </c>
    </row>
    <row r="37" customFormat="false" ht="15" hidden="false" customHeight="false" outlineLevel="0" collapsed="false">
      <c r="B37" s="8" t="s">
        <v>26</v>
      </c>
      <c r="C37" s="10" t="n">
        <f aca="false">INDEX($C$9:$G$9,1)</f>
        <v>86500</v>
      </c>
      <c r="D37" s="10" t="n">
        <f aca="false">INDEX($C$10:$G$10,1)</f>
        <v>165028</v>
      </c>
    </row>
    <row r="38" customFormat="false" ht="15" hidden="false" customHeight="false" outlineLevel="0" collapsed="false">
      <c r="B38" s="8" t="s">
        <v>27</v>
      </c>
      <c r="C38" s="10" t="n">
        <f aca="false">INDEX($C$9:$G$9,2)</f>
        <v>89756</v>
      </c>
      <c r="D38" s="10" t="n">
        <f aca="false">INDEX($C$10:$G$10,2)</f>
        <v>169063</v>
      </c>
    </row>
    <row r="39" customFormat="false" ht="15" hidden="false" customHeight="false" outlineLevel="0" collapsed="false">
      <c r="B39" s="8" t="s">
        <v>28</v>
      </c>
      <c r="C39" s="10" t="n">
        <f aca="false">INDEX($C$9:$G$9,3)</f>
        <v>95613</v>
      </c>
      <c r="D39" s="10" t="n">
        <f aca="false">INDEX($C$10:$G$10,3)</f>
        <v>173288</v>
      </c>
    </row>
    <row r="40" customFormat="false" ht="15" hidden="false" customHeight="false" outlineLevel="0" collapsed="false">
      <c r="B40" s="8" t="s">
        <v>29</v>
      </c>
      <c r="C40" s="10" t="n">
        <f aca="false">INDEX($C$9:$G$9,4)</f>
        <v>103071</v>
      </c>
      <c r="D40" s="10" t="n">
        <f aca="false">INDEX($C$10:$G$10,4)</f>
        <v>174350</v>
      </c>
    </row>
    <row r="41" customFormat="false" ht="15" hidden="false" customHeight="false" outlineLevel="0" collapsed="false">
      <c r="B41" s="8" t="s">
        <v>30</v>
      </c>
      <c r="C41" s="10" t="n">
        <f aca="false">INDEX($C$9:$G$9,5)</f>
        <v>106119</v>
      </c>
      <c r="D41" s="10" t="n">
        <f aca="false">INDEX($C$10:$G$10,5)</f>
        <v>176172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25.5" hidden="false" customHeight="true" outlineLevel="0" collapsed="false">
      <c r="B2" s="1" t="s">
        <v>162</v>
      </c>
    </row>
    <row r="4" customFormat="false" ht="21.75" hidden="false" customHeight="true" outlineLevel="0" collapsed="false">
      <c r="B4" s="4" t="s">
        <v>163</v>
      </c>
      <c r="C4" s="5" t="s">
        <v>164</v>
      </c>
    </row>
    <row r="5" customFormat="false" ht="21.75" hidden="false" customHeight="true" outlineLevel="0" collapsed="false">
      <c r="B5" s="4" t="s">
        <v>165</v>
      </c>
      <c r="C5" s="5" t="s">
        <v>166</v>
      </c>
    </row>
    <row r="6" customFormat="false" ht="33" hidden="false" customHeight="true" outlineLevel="0" collapsed="false">
      <c r="B6" s="4" t="s">
        <v>167</v>
      </c>
      <c r="C6" s="5" t="s">
        <v>168</v>
      </c>
    </row>
    <row r="7" customFormat="false" ht="33" hidden="false" customHeight="true" outlineLevel="0" collapsed="false">
      <c r="B7" s="4" t="s">
        <v>169</v>
      </c>
      <c r="C7" s="5" t="s">
        <v>170</v>
      </c>
    </row>
    <row r="8" customFormat="false" ht="21.75" hidden="false" customHeight="true" outlineLevel="0" collapsed="false">
      <c r="B8" s="4" t="s">
        <v>171</v>
      </c>
      <c r="C8" s="5" t="s">
        <v>172</v>
      </c>
    </row>
    <row r="9" customFormat="false" ht="21.75" hidden="false" customHeight="true" outlineLevel="0" collapsed="false">
      <c r="B9" s="4" t="s">
        <v>173</v>
      </c>
      <c r="C9" s="5" t="s">
        <v>174</v>
      </c>
    </row>
    <row r="11" customFormat="false" ht="12" hidden="false" customHeight="true" outlineLevel="0" collapsed="false">
      <c r="B11" s="4" t="s">
        <v>175</v>
      </c>
      <c r="C11" s="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2026-08-04T22:32:24Z</dcterms:created>
  <dc:creator>openpyxl</dc:creator>
  <dc:description/>
  <dc:language>en-US</dc:language>
  <cp:lastModifiedBy/>
  <dcterms:modified xsi:type="dcterms:W3CDTF">2026-08-04T22:32:28Z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