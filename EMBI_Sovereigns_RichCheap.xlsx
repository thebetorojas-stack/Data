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Rating Lookup" sheetId="2" state="visible" r:id="rId2"/>
    <sheet xmlns:r="http://schemas.openxmlformats.org/officeDocument/2006/relationships" name="Chart_Rating_vs_Spread" sheetId="3" state="visible" r:id="rId3"/>
    <sheet xmlns:r="http://schemas.openxmlformats.org/officeDocument/2006/relationships" name="Chart_RichChe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;(#,##0);-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i val="1"/>
      <color rgb="00555555"/>
    </font>
    <font>
      <name val="Arial"/>
      <b val="1"/>
      <color rgb="001F3864"/>
      <sz val="14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Numeric Rating (x) vs Z-Spread bps (y)</a:t>
            </a:r>
          </a:p>
        </rich>
      </tx>
    </title>
    <plotArea>
      <scatterChart>
        <ser>
          <idx val="0"/>
          <order val="0"/>
          <tx>
            <v>EMBIG sovereigns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'Data'!$I$7:$I$76</f>
            </numRef>
          </xVal>
          <yVal>
            <numRef>
              <f>'Data'!$J$7:$J$76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Numeric Rating (1=AAA, 22=D)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− Peer Avg (bps)   |   Cheap &gt; 0   |   Expensive &lt; 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'Data'!$A$7:$A$76</f>
            </numRef>
          </cat>
          <val>
            <numRef>
              <f>'Data'!$L$7:$L$76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bps vs peers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Country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9360000" cy="84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32" customWidth="1" min="3" max="3"/>
    <col width="28" customWidth="1" min="4" max="4"/>
    <col width="12" customWidth="1" min="5" max="5"/>
    <col width="14" customWidth="1" min="6" max="6"/>
    <col width="14" customWidth="1" min="7" max="7"/>
    <col width="22" customWidth="1" min="8" max="8"/>
    <col width="14" customWidth="1" min="9" max="9"/>
    <col width="14" customWidth="1" min="10" max="10"/>
    <col width="18" customWidth="1" min="11" max="11"/>
    <col width="14" customWidth="1" min="12" max="12"/>
    <col width="18" customWidth="1" min="13" max="13"/>
    <col width="14" customWidth="1" min="14" max="14"/>
  </cols>
  <sheetData>
    <row r="1">
      <c r="A1" s="1" t="inlineStr">
        <is>
          <t>EMBI Global Diversified — Sovereign Ratings &amp; Rich/Cheap vs Rating Peers</t>
        </is>
      </c>
    </row>
    <row r="3">
      <c r="A3" s="2" t="inlineStr">
        <is>
          <t>Last refresh</t>
        </is>
      </c>
      <c r="B3" s="3">
        <f>TODAY()</f>
        <v/>
      </c>
    </row>
    <row r="4">
      <c r="A4" s="2" t="inlineStr">
        <is>
          <t>Spread units</t>
        </is>
      </c>
      <c r="B4" t="inlineStr">
        <is>
          <t>basis points (bps)</t>
        </is>
      </c>
    </row>
    <row r="6" ht="36" customHeight="1">
      <c r="A6" s="4" t="inlineStr">
        <is>
          <t>Country</t>
        </is>
      </c>
      <c r="B6" s="4" t="inlineStr">
        <is>
          <t>Region</t>
        </is>
      </c>
      <c r="C6" s="4" t="inlineStr">
        <is>
          <t>Sovereign Bond Ticker (for ratings)</t>
        </is>
      </c>
      <c r="D6" s="4" t="inlineStr">
        <is>
          <t>EMBI Sub-Index Ticker (for spread)</t>
        </is>
      </c>
      <c r="E6" s="4" t="inlineStr">
        <is>
          <t>S&amp;P (RTG_SP)</t>
        </is>
      </c>
      <c r="F6" s="4" t="inlineStr">
        <is>
          <t>Moody's (RTG_MDY)</t>
        </is>
      </c>
      <c r="G6" s="4" t="inlineStr">
        <is>
          <t>Fitch (RTG_FITCH)</t>
        </is>
      </c>
      <c r="H6" s="4" t="inlineStr">
        <is>
          <t>BBG Composite (BB_COMPOSITE)</t>
        </is>
      </c>
      <c r="I6" s="4" t="inlineStr">
        <is>
          <t>Numeric Rating</t>
        </is>
      </c>
      <c r="J6" s="4" t="inlineStr">
        <is>
          <t>Spread (bps)</t>
        </is>
      </c>
      <c r="K6" s="4" t="inlineStr">
        <is>
          <t>Peer Avg Spread (bps)</t>
        </is>
      </c>
      <c r="L6" s="4" t="inlineStr">
        <is>
          <t>Spread vs Peer</t>
        </is>
      </c>
      <c r="M6" s="4" t="inlineStr">
        <is>
          <t>Cheap / Expensive</t>
        </is>
      </c>
      <c r="N6" s="4" t="inlineStr">
        <is>
          <t>Z-Score vs Peers</t>
        </is>
      </c>
    </row>
    <row r="7">
      <c r="A7" t="inlineStr">
        <is>
          <t>Angola</t>
        </is>
      </c>
      <c r="B7" t="inlineStr">
        <is>
          <t>Africa</t>
        </is>
      </c>
      <c r="C7" s="5" t="inlineStr">
        <is>
          <t>ANGOL 8 1/4 05/09/28 Govt</t>
        </is>
      </c>
      <c r="D7" s="5" t="inlineStr">
        <is>
          <t>JBCDANGL Index</t>
        </is>
      </c>
      <c r="E7" s="6">
        <f>IFERROR(BDP(C7,"RTG_SP"),"")</f>
        <v/>
      </c>
      <c r="F7" s="6">
        <f>IFERROR(BDP(C7,"RTG_MDY"),"")</f>
        <v/>
      </c>
      <c r="G7" s="6">
        <f>IFERROR(BDP(C7,"RTG_FITCH"),"")</f>
        <v/>
      </c>
      <c r="H7" s="6">
        <f>IFERROR(BDP(C7,"BB_COMPOSITE"),"")</f>
        <v/>
      </c>
      <c r="I7" s="7">
        <f>IFERROR(VLOOKUP(H7,'Rating Lookup'!$A$4:$C$26,3,FALSE),IFERROR(VLOOKUP(H7,'Rating Lookup'!$B$4:$C$26,2,FALSE),""))</f>
        <v/>
      </c>
      <c r="J7" s="8">
        <f>IFERROR(BDP(D7,"PX_LAST"),"")</f>
        <v/>
      </c>
      <c r="K7" s="8">
        <f>IFERROR(AVERAGEIFS($J$7:$J$76,$I$7:$I$76,I7),"")</f>
        <v/>
      </c>
      <c r="L7" s="8">
        <f>IFERROR(J7-K7,"")</f>
        <v/>
      </c>
      <c r="M7" s="9">
        <f>IF(OR(I7="",J7="",K7=""),"",IF(L7&gt;0,"Cheap","Expensive"))</f>
        <v/>
      </c>
      <c r="N7" s="10">
        <f>IFERROR(L7/STDEV.P(IF($I$7:$I$76=I7,$J$7:$J$76)),"")</f>
        <v/>
      </c>
    </row>
    <row r="8">
      <c r="A8" t="inlineStr">
        <is>
          <t>Argentina</t>
        </is>
      </c>
      <c r="B8" t="inlineStr">
        <is>
          <t>Latin America</t>
        </is>
      </c>
      <c r="C8" s="5" t="inlineStr">
        <is>
          <t>ARGENT 1 07/09/29 Govt</t>
        </is>
      </c>
      <c r="D8" s="5" t="inlineStr">
        <is>
          <t>JBCDARGE Index</t>
        </is>
      </c>
      <c r="E8" s="6">
        <f>IFERROR(BDP(C8,"RTG_SP"),"")</f>
        <v/>
      </c>
      <c r="F8" s="6">
        <f>IFERROR(BDP(C8,"RTG_MDY"),"")</f>
        <v/>
      </c>
      <c r="G8" s="6">
        <f>IFERROR(BDP(C8,"RTG_FITCH"),"")</f>
        <v/>
      </c>
      <c r="H8" s="6">
        <f>IFERROR(BDP(C8,"BB_COMPOSITE"),"")</f>
        <v/>
      </c>
      <c r="I8" s="7">
        <f>IFERROR(VLOOKUP(H8,'Rating Lookup'!$A$4:$C$26,3,FALSE),IFERROR(VLOOKUP(H8,'Rating Lookup'!$B$4:$C$26,2,FALSE),""))</f>
        <v/>
      </c>
      <c r="J8" s="8">
        <f>IFERROR(BDP(D8,"PX_LAST"),"")</f>
        <v/>
      </c>
      <c r="K8" s="8">
        <f>IFERROR(AVERAGEIFS($J$7:$J$76,$I$7:$I$76,I8),"")</f>
        <v/>
      </c>
      <c r="L8" s="8">
        <f>IFERROR(J8-K8,"")</f>
        <v/>
      </c>
      <c r="M8" s="9">
        <f>IF(OR(I8="",J8="",K8=""),"",IF(L8&gt;0,"Cheap","Expensive"))</f>
        <v/>
      </c>
      <c r="N8" s="10">
        <f>IFERROR(L8/STDEV.P(IF($I$7:$I$76=I8,$J$7:$J$76)),"")</f>
        <v/>
      </c>
    </row>
    <row r="9">
      <c r="A9" t="inlineStr">
        <is>
          <t>Armenia</t>
        </is>
      </c>
      <c r="B9" t="inlineStr">
        <is>
          <t>EMEA</t>
        </is>
      </c>
      <c r="C9" s="5" t="inlineStr">
        <is>
          <t>ARMEN 3.6 02/02/31 Govt</t>
        </is>
      </c>
      <c r="D9" s="5" t="inlineStr">
        <is>
          <t>JBCDARMI Index</t>
        </is>
      </c>
      <c r="E9" s="6">
        <f>IFERROR(BDP(C9,"RTG_SP"),"")</f>
        <v/>
      </c>
      <c r="F9" s="6">
        <f>IFERROR(BDP(C9,"RTG_MDY"),"")</f>
        <v/>
      </c>
      <c r="G9" s="6">
        <f>IFERROR(BDP(C9,"RTG_FITCH"),"")</f>
        <v/>
      </c>
      <c r="H9" s="6">
        <f>IFERROR(BDP(C9,"BB_COMPOSITE"),"")</f>
        <v/>
      </c>
      <c r="I9" s="7">
        <f>IFERROR(VLOOKUP(H9,'Rating Lookup'!$A$4:$C$26,3,FALSE),IFERROR(VLOOKUP(H9,'Rating Lookup'!$B$4:$C$26,2,FALSE),""))</f>
        <v/>
      </c>
      <c r="J9" s="8">
        <f>IFERROR(BDP(D9,"PX_LAST"),"")</f>
        <v/>
      </c>
      <c r="K9" s="8">
        <f>IFERROR(AVERAGEIFS($J$7:$J$76,$I$7:$I$76,I9),"")</f>
        <v/>
      </c>
      <c r="L9" s="8">
        <f>IFERROR(J9-K9,"")</f>
        <v/>
      </c>
      <c r="M9" s="9">
        <f>IF(OR(I9="",J9="",K9=""),"",IF(L9&gt;0,"Cheap","Expensive"))</f>
        <v/>
      </c>
      <c r="N9" s="10">
        <f>IFERROR(L9/STDEV.P(IF($I$7:$I$76=I9,$J$7:$J$76)),"")</f>
        <v/>
      </c>
    </row>
    <row r="10">
      <c r="A10" t="inlineStr">
        <is>
          <t>Azerbaijan</t>
        </is>
      </c>
      <c r="B10" t="inlineStr">
        <is>
          <t>EMEA</t>
        </is>
      </c>
      <c r="C10" s="5" t="inlineStr">
        <is>
          <t>AZERBJ 3.5 09/01/32 Govt</t>
        </is>
      </c>
      <c r="D10" s="5" t="inlineStr">
        <is>
          <t>JBCDAZER Index</t>
        </is>
      </c>
      <c r="E10" s="6">
        <f>IFERROR(BDP(C10,"RTG_SP"),"")</f>
        <v/>
      </c>
      <c r="F10" s="6">
        <f>IFERROR(BDP(C10,"RTG_MDY"),"")</f>
        <v/>
      </c>
      <c r="G10" s="6">
        <f>IFERROR(BDP(C10,"RTG_FITCH"),"")</f>
        <v/>
      </c>
      <c r="H10" s="6">
        <f>IFERROR(BDP(C10,"BB_COMPOSITE"),"")</f>
        <v/>
      </c>
      <c r="I10" s="7">
        <f>IFERROR(VLOOKUP(H10,'Rating Lookup'!$A$4:$C$26,3,FALSE),IFERROR(VLOOKUP(H10,'Rating Lookup'!$B$4:$C$26,2,FALSE),""))</f>
        <v/>
      </c>
      <c r="J10" s="8">
        <f>IFERROR(BDP(D10,"PX_LAST"),"")</f>
        <v/>
      </c>
      <c r="K10" s="8">
        <f>IFERROR(AVERAGEIFS($J$7:$J$76,$I$7:$I$76,I10),"")</f>
        <v/>
      </c>
      <c r="L10" s="8">
        <f>IFERROR(J10-K10,"")</f>
        <v/>
      </c>
      <c r="M10" s="9">
        <f>IF(OR(I10="",J10="",K10=""),"",IF(L10&gt;0,"Cheap","Expensive"))</f>
        <v/>
      </c>
      <c r="N10" s="10">
        <f>IFERROR(L10/STDEV.P(IF($I$7:$I$76=I10,$J$7:$J$76)),"")</f>
        <v/>
      </c>
    </row>
    <row r="11">
      <c r="A11" t="inlineStr">
        <is>
          <t>Bahrain</t>
        </is>
      </c>
      <c r="B11" t="inlineStr">
        <is>
          <t>Middle East</t>
        </is>
      </c>
      <c r="C11" s="5" t="inlineStr">
        <is>
          <t>BHRAIN 7 01/26/26 Govt</t>
        </is>
      </c>
      <c r="D11" s="5" t="inlineStr">
        <is>
          <t>JBCDBHRN Index</t>
        </is>
      </c>
      <c r="E11" s="6">
        <f>IFERROR(BDP(C11,"RTG_SP"),"")</f>
        <v/>
      </c>
      <c r="F11" s="6">
        <f>IFERROR(BDP(C11,"RTG_MDY"),"")</f>
        <v/>
      </c>
      <c r="G11" s="6">
        <f>IFERROR(BDP(C11,"RTG_FITCH"),"")</f>
        <v/>
      </c>
      <c r="H11" s="6">
        <f>IFERROR(BDP(C11,"BB_COMPOSITE"),"")</f>
        <v/>
      </c>
      <c r="I11" s="7">
        <f>IFERROR(VLOOKUP(H11,'Rating Lookup'!$A$4:$C$26,3,FALSE),IFERROR(VLOOKUP(H11,'Rating Lookup'!$B$4:$C$26,2,FALSE),""))</f>
        <v/>
      </c>
      <c r="J11" s="8">
        <f>IFERROR(BDP(D11,"PX_LAST"),"")</f>
        <v/>
      </c>
      <c r="K11" s="8">
        <f>IFERROR(AVERAGEIFS($J$7:$J$76,$I$7:$I$76,I11),"")</f>
        <v/>
      </c>
      <c r="L11" s="8">
        <f>IFERROR(J11-K11,"")</f>
        <v/>
      </c>
      <c r="M11" s="9">
        <f>IF(OR(I11="",J11="",K11=""),"",IF(L11&gt;0,"Cheap","Expensive"))</f>
        <v/>
      </c>
      <c r="N11" s="10">
        <f>IFERROR(L11/STDEV.P(IF($I$7:$I$76=I11,$J$7:$J$76)),"")</f>
        <v/>
      </c>
    </row>
    <row r="12">
      <c r="A12" t="inlineStr">
        <is>
          <t>Belarus</t>
        </is>
      </c>
      <c r="B12" t="inlineStr">
        <is>
          <t>EMEA</t>
        </is>
      </c>
      <c r="C12" s="5" t="inlineStr">
        <is>
          <t>BELRUS 6.378 02/24/31 Govt</t>
        </is>
      </c>
      <c r="D12" s="5" t="inlineStr">
        <is>
          <t>JBCDBLRS Index</t>
        </is>
      </c>
      <c r="E12" s="6">
        <f>IFERROR(BDP(C12,"RTG_SP"),"")</f>
        <v/>
      </c>
      <c r="F12" s="6">
        <f>IFERROR(BDP(C12,"RTG_MDY"),"")</f>
        <v/>
      </c>
      <c r="G12" s="6">
        <f>IFERROR(BDP(C12,"RTG_FITCH"),"")</f>
        <v/>
      </c>
      <c r="H12" s="6">
        <f>IFERROR(BDP(C12,"BB_COMPOSITE"),"")</f>
        <v/>
      </c>
      <c r="I12" s="7">
        <f>IFERROR(VLOOKUP(H12,'Rating Lookup'!$A$4:$C$26,3,FALSE),IFERROR(VLOOKUP(H12,'Rating Lookup'!$B$4:$C$26,2,FALSE),""))</f>
        <v/>
      </c>
      <c r="J12" s="8">
        <f>IFERROR(BDP(D12,"PX_LAST"),"")</f>
        <v/>
      </c>
      <c r="K12" s="8">
        <f>IFERROR(AVERAGEIFS($J$7:$J$76,$I$7:$I$76,I12),"")</f>
        <v/>
      </c>
      <c r="L12" s="8">
        <f>IFERROR(J12-K12,"")</f>
        <v/>
      </c>
      <c r="M12" s="9">
        <f>IF(OR(I12="",J12="",K12=""),"",IF(L12&gt;0,"Cheap","Expensive"))</f>
        <v/>
      </c>
      <c r="N12" s="10">
        <f>IFERROR(L12/STDEV.P(IF($I$7:$I$76=I12,$J$7:$J$76)),"")</f>
        <v/>
      </c>
    </row>
    <row r="13">
      <c r="A13" t="inlineStr">
        <is>
          <t>Belize</t>
        </is>
      </c>
      <c r="B13" t="inlineStr">
        <is>
          <t>Latin America</t>
        </is>
      </c>
      <c r="C13" s="5" t="inlineStr">
        <is>
          <t>BELZE 5 02/20/34 Govt</t>
        </is>
      </c>
      <c r="D13" s="5" t="inlineStr">
        <is>
          <t>JBCDBLZE Index</t>
        </is>
      </c>
      <c r="E13" s="6">
        <f>IFERROR(BDP(C13,"RTG_SP"),"")</f>
        <v/>
      </c>
      <c r="F13" s="6">
        <f>IFERROR(BDP(C13,"RTG_MDY"),"")</f>
        <v/>
      </c>
      <c r="G13" s="6">
        <f>IFERROR(BDP(C13,"RTG_FITCH"),"")</f>
        <v/>
      </c>
      <c r="H13" s="6">
        <f>IFERROR(BDP(C13,"BB_COMPOSITE"),"")</f>
        <v/>
      </c>
      <c r="I13" s="7">
        <f>IFERROR(VLOOKUP(H13,'Rating Lookup'!$A$4:$C$26,3,FALSE),IFERROR(VLOOKUP(H13,'Rating Lookup'!$B$4:$C$26,2,FALSE),""))</f>
        <v/>
      </c>
      <c r="J13" s="8">
        <f>IFERROR(BDP(D13,"PX_LAST"),"")</f>
        <v/>
      </c>
      <c r="K13" s="8">
        <f>IFERROR(AVERAGEIFS($J$7:$J$76,$I$7:$I$76,I13),"")</f>
        <v/>
      </c>
      <c r="L13" s="8">
        <f>IFERROR(J13-K13,"")</f>
        <v/>
      </c>
      <c r="M13" s="9">
        <f>IF(OR(I13="",J13="",K13=""),"",IF(L13&gt;0,"Cheap","Expensive"))</f>
        <v/>
      </c>
      <c r="N13" s="10">
        <f>IFERROR(L13/STDEV.P(IF($I$7:$I$76=I13,$J$7:$J$76)),"")</f>
        <v/>
      </c>
    </row>
    <row r="14">
      <c r="A14" t="inlineStr">
        <is>
          <t>Bolivia</t>
        </is>
      </c>
      <c r="B14" t="inlineStr">
        <is>
          <t>Latin America</t>
        </is>
      </c>
      <c r="C14" s="5" t="inlineStr">
        <is>
          <t>BOLIVI 7 1/2 03/02/30 Govt</t>
        </is>
      </c>
      <c r="D14" s="5" t="inlineStr">
        <is>
          <t>JBCDBOLI Index</t>
        </is>
      </c>
      <c r="E14" s="6">
        <f>IFERROR(BDP(C14,"RTG_SP"),"")</f>
        <v/>
      </c>
      <c r="F14" s="6">
        <f>IFERROR(BDP(C14,"RTG_MDY"),"")</f>
        <v/>
      </c>
      <c r="G14" s="6">
        <f>IFERROR(BDP(C14,"RTG_FITCH"),"")</f>
        <v/>
      </c>
      <c r="H14" s="6">
        <f>IFERROR(BDP(C14,"BB_COMPOSITE"),"")</f>
        <v/>
      </c>
      <c r="I14" s="7">
        <f>IFERROR(VLOOKUP(H14,'Rating Lookup'!$A$4:$C$26,3,FALSE),IFERROR(VLOOKUP(H14,'Rating Lookup'!$B$4:$C$26,2,FALSE),""))</f>
        <v/>
      </c>
      <c r="J14" s="8">
        <f>IFERROR(BDP(D14,"PX_LAST"),"")</f>
        <v/>
      </c>
      <c r="K14" s="8">
        <f>IFERROR(AVERAGEIFS($J$7:$J$76,$I$7:$I$76,I14),"")</f>
        <v/>
      </c>
      <c r="L14" s="8">
        <f>IFERROR(J14-K14,"")</f>
        <v/>
      </c>
      <c r="M14" s="9">
        <f>IF(OR(I14="",J14="",K14=""),"",IF(L14&gt;0,"Cheap","Expensive"))</f>
        <v/>
      </c>
      <c r="N14" s="10">
        <f>IFERROR(L14/STDEV.P(IF($I$7:$I$76=I14,$J$7:$J$76)),"")</f>
        <v/>
      </c>
    </row>
    <row r="15">
      <c r="A15" t="inlineStr">
        <is>
          <t>Brazil</t>
        </is>
      </c>
      <c r="B15" t="inlineStr">
        <is>
          <t>Latin America</t>
        </is>
      </c>
      <c r="C15" s="5" t="inlineStr">
        <is>
          <t>BRAZIL 3 7/8 06/12/30 Govt</t>
        </is>
      </c>
      <c r="D15" s="5" t="inlineStr">
        <is>
          <t>JBCDBRAZ Index</t>
        </is>
      </c>
      <c r="E15" s="6">
        <f>IFERROR(BDP(C15,"RTG_SP"),"")</f>
        <v/>
      </c>
      <c r="F15" s="6">
        <f>IFERROR(BDP(C15,"RTG_MDY"),"")</f>
        <v/>
      </c>
      <c r="G15" s="6">
        <f>IFERROR(BDP(C15,"RTG_FITCH"),"")</f>
        <v/>
      </c>
      <c r="H15" s="6">
        <f>IFERROR(BDP(C15,"BB_COMPOSITE"),"")</f>
        <v/>
      </c>
      <c r="I15" s="7">
        <f>IFERROR(VLOOKUP(H15,'Rating Lookup'!$A$4:$C$26,3,FALSE),IFERROR(VLOOKUP(H15,'Rating Lookup'!$B$4:$C$26,2,FALSE),""))</f>
        <v/>
      </c>
      <c r="J15" s="8">
        <f>IFERROR(BDP(D15,"PX_LAST"),"")</f>
        <v/>
      </c>
      <c r="K15" s="8">
        <f>IFERROR(AVERAGEIFS($J$7:$J$76,$I$7:$I$76,I15),"")</f>
        <v/>
      </c>
      <c r="L15" s="8">
        <f>IFERROR(J15-K15,"")</f>
        <v/>
      </c>
      <c r="M15" s="9">
        <f>IF(OR(I15="",J15="",K15=""),"",IF(L15&gt;0,"Cheap","Expensive"))</f>
        <v/>
      </c>
      <c r="N15" s="10">
        <f>IFERROR(L15/STDEV.P(IF($I$7:$I$76=I15,$J$7:$J$76)),"")</f>
        <v/>
      </c>
    </row>
    <row r="16">
      <c r="A16" t="inlineStr">
        <is>
          <t>Cameroon</t>
        </is>
      </c>
      <c r="B16" t="inlineStr">
        <is>
          <t>Africa</t>
        </is>
      </c>
      <c r="C16" s="5" t="inlineStr">
        <is>
          <t>REPCAM 5.95 07/07/32 Govt</t>
        </is>
      </c>
      <c r="D16" s="5" t="inlineStr">
        <is>
          <t>JBCDCMRN Index</t>
        </is>
      </c>
      <c r="E16" s="6">
        <f>IFERROR(BDP(C16,"RTG_SP"),"")</f>
        <v/>
      </c>
      <c r="F16" s="6">
        <f>IFERROR(BDP(C16,"RTG_MDY"),"")</f>
        <v/>
      </c>
      <c r="G16" s="6">
        <f>IFERROR(BDP(C16,"RTG_FITCH"),"")</f>
        <v/>
      </c>
      <c r="H16" s="6">
        <f>IFERROR(BDP(C16,"BB_COMPOSITE"),"")</f>
        <v/>
      </c>
      <c r="I16" s="7">
        <f>IFERROR(VLOOKUP(H16,'Rating Lookup'!$A$4:$C$26,3,FALSE),IFERROR(VLOOKUP(H16,'Rating Lookup'!$B$4:$C$26,2,FALSE),""))</f>
        <v/>
      </c>
      <c r="J16" s="8">
        <f>IFERROR(BDP(D16,"PX_LAST"),"")</f>
        <v/>
      </c>
      <c r="K16" s="8">
        <f>IFERROR(AVERAGEIFS($J$7:$J$76,$I$7:$I$76,I16),"")</f>
        <v/>
      </c>
      <c r="L16" s="8">
        <f>IFERROR(J16-K16,"")</f>
        <v/>
      </c>
      <c r="M16" s="9">
        <f>IF(OR(I16="",J16="",K16=""),"",IF(L16&gt;0,"Cheap","Expensive"))</f>
        <v/>
      </c>
      <c r="N16" s="10">
        <f>IFERROR(L16/STDEV.P(IF($I$7:$I$76=I16,$J$7:$J$76)),"")</f>
        <v/>
      </c>
    </row>
    <row r="17">
      <c r="A17" t="inlineStr">
        <is>
          <t>Chile</t>
        </is>
      </c>
      <c r="B17" t="inlineStr">
        <is>
          <t>Latin America</t>
        </is>
      </c>
      <c r="C17" s="5" t="inlineStr">
        <is>
          <t>CHILE 2.55 01/27/32 Govt</t>
        </is>
      </c>
      <c r="D17" s="5" t="inlineStr">
        <is>
          <t>JBCDCHIL Index</t>
        </is>
      </c>
      <c r="E17" s="6">
        <f>IFERROR(BDP(C17,"RTG_SP"),"")</f>
        <v/>
      </c>
      <c r="F17" s="6">
        <f>IFERROR(BDP(C17,"RTG_MDY"),"")</f>
        <v/>
      </c>
      <c r="G17" s="6">
        <f>IFERROR(BDP(C17,"RTG_FITCH"),"")</f>
        <v/>
      </c>
      <c r="H17" s="6">
        <f>IFERROR(BDP(C17,"BB_COMPOSITE"),"")</f>
        <v/>
      </c>
      <c r="I17" s="7">
        <f>IFERROR(VLOOKUP(H17,'Rating Lookup'!$A$4:$C$26,3,FALSE),IFERROR(VLOOKUP(H17,'Rating Lookup'!$B$4:$C$26,2,FALSE),""))</f>
        <v/>
      </c>
      <c r="J17" s="8">
        <f>IFERROR(BDP(D17,"PX_LAST"),"")</f>
        <v/>
      </c>
      <c r="K17" s="8">
        <f>IFERROR(AVERAGEIFS($J$7:$J$76,$I$7:$I$76,I17),"")</f>
        <v/>
      </c>
      <c r="L17" s="8">
        <f>IFERROR(J17-K17,"")</f>
        <v/>
      </c>
      <c r="M17" s="9">
        <f>IF(OR(I17="",J17="",K17=""),"",IF(L17&gt;0,"Cheap","Expensive"))</f>
        <v/>
      </c>
      <c r="N17" s="10">
        <f>IFERROR(L17/STDEV.P(IF($I$7:$I$76=I17,$J$7:$J$76)),"")</f>
        <v/>
      </c>
    </row>
    <row r="18">
      <c r="A18" t="inlineStr">
        <is>
          <t>China</t>
        </is>
      </c>
      <c r="B18" t="inlineStr">
        <is>
          <t>Asia</t>
        </is>
      </c>
      <c r="C18" s="5" t="inlineStr">
        <is>
          <t>CHINA 2 5/8 11/02/27 Govt</t>
        </is>
      </c>
      <c r="D18" s="5" t="inlineStr">
        <is>
          <t>JBCDCHIN Index</t>
        </is>
      </c>
      <c r="E18" s="6">
        <f>IFERROR(BDP(C18,"RTG_SP"),"")</f>
        <v/>
      </c>
      <c r="F18" s="6">
        <f>IFERROR(BDP(C18,"RTG_MDY"),"")</f>
        <v/>
      </c>
      <c r="G18" s="6">
        <f>IFERROR(BDP(C18,"RTG_FITCH"),"")</f>
        <v/>
      </c>
      <c r="H18" s="6">
        <f>IFERROR(BDP(C18,"BB_COMPOSITE"),"")</f>
        <v/>
      </c>
      <c r="I18" s="7">
        <f>IFERROR(VLOOKUP(H18,'Rating Lookup'!$A$4:$C$26,3,FALSE),IFERROR(VLOOKUP(H18,'Rating Lookup'!$B$4:$C$26,2,FALSE),""))</f>
        <v/>
      </c>
      <c r="J18" s="8">
        <f>IFERROR(BDP(D18,"PX_LAST"),"")</f>
        <v/>
      </c>
      <c r="K18" s="8">
        <f>IFERROR(AVERAGEIFS($J$7:$J$76,$I$7:$I$76,I18),"")</f>
        <v/>
      </c>
      <c r="L18" s="8">
        <f>IFERROR(J18-K18,"")</f>
        <v/>
      </c>
      <c r="M18" s="9">
        <f>IF(OR(I18="",J18="",K18=""),"",IF(L18&gt;0,"Cheap","Expensive"))</f>
        <v/>
      </c>
      <c r="N18" s="10">
        <f>IFERROR(L18/STDEV.P(IF($I$7:$I$76=I18,$J$7:$J$76)),"")</f>
        <v/>
      </c>
    </row>
    <row r="19">
      <c r="A19" t="inlineStr">
        <is>
          <t>Colombia</t>
        </is>
      </c>
      <c r="B19" t="inlineStr">
        <is>
          <t>Latin America</t>
        </is>
      </c>
      <c r="C19" s="5" t="inlineStr">
        <is>
          <t>COLOM 3 1/8 04/15/31 Govt</t>
        </is>
      </c>
      <c r="D19" s="5" t="inlineStr">
        <is>
          <t>JBCDCOLM Index</t>
        </is>
      </c>
      <c r="E19" s="6">
        <f>IFERROR(BDP(C19,"RTG_SP"),"")</f>
        <v/>
      </c>
      <c r="F19" s="6">
        <f>IFERROR(BDP(C19,"RTG_MDY"),"")</f>
        <v/>
      </c>
      <c r="G19" s="6">
        <f>IFERROR(BDP(C19,"RTG_FITCH"),"")</f>
        <v/>
      </c>
      <c r="H19" s="6">
        <f>IFERROR(BDP(C19,"BB_COMPOSITE"),"")</f>
        <v/>
      </c>
      <c r="I19" s="7">
        <f>IFERROR(VLOOKUP(H19,'Rating Lookup'!$A$4:$C$26,3,FALSE),IFERROR(VLOOKUP(H19,'Rating Lookup'!$B$4:$C$26,2,FALSE),""))</f>
        <v/>
      </c>
      <c r="J19" s="8">
        <f>IFERROR(BDP(D19,"PX_LAST"),"")</f>
        <v/>
      </c>
      <c r="K19" s="8">
        <f>IFERROR(AVERAGEIFS($J$7:$J$76,$I$7:$I$76,I19),"")</f>
        <v/>
      </c>
      <c r="L19" s="8">
        <f>IFERROR(J19-K19,"")</f>
        <v/>
      </c>
      <c r="M19" s="9">
        <f>IF(OR(I19="",J19="",K19=""),"",IF(L19&gt;0,"Cheap","Expensive"))</f>
        <v/>
      </c>
      <c r="N19" s="10">
        <f>IFERROR(L19/STDEV.P(IF($I$7:$I$76=I19,$J$7:$J$76)),"")</f>
        <v/>
      </c>
    </row>
    <row r="20">
      <c r="A20" t="inlineStr">
        <is>
          <t>Costa Rica</t>
        </is>
      </c>
      <c r="B20" t="inlineStr">
        <is>
          <t>Latin America</t>
        </is>
      </c>
      <c r="C20" s="5" t="inlineStr">
        <is>
          <t>COSTAR 6.55 04/03/34 Govt</t>
        </is>
      </c>
      <c r="D20" s="5" t="inlineStr">
        <is>
          <t>JBCDCRIC Index</t>
        </is>
      </c>
      <c r="E20" s="6">
        <f>IFERROR(BDP(C20,"RTG_SP"),"")</f>
        <v/>
      </c>
      <c r="F20" s="6">
        <f>IFERROR(BDP(C20,"RTG_MDY"),"")</f>
        <v/>
      </c>
      <c r="G20" s="6">
        <f>IFERROR(BDP(C20,"RTG_FITCH"),"")</f>
        <v/>
      </c>
      <c r="H20" s="6">
        <f>IFERROR(BDP(C20,"BB_COMPOSITE"),"")</f>
        <v/>
      </c>
      <c r="I20" s="7">
        <f>IFERROR(VLOOKUP(H20,'Rating Lookup'!$A$4:$C$26,3,FALSE),IFERROR(VLOOKUP(H20,'Rating Lookup'!$B$4:$C$26,2,FALSE),""))</f>
        <v/>
      </c>
      <c r="J20" s="8">
        <f>IFERROR(BDP(D20,"PX_LAST"),"")</f>
        <v/>
      </c>
      <c r="K20" s="8">
        <f>IFERROR(AVERAGEIFS($J$7:$J$76,$I$7:$I$76,I20),"")</f>
        <v/>
      </c>
      <c r="L20" s="8">
        <f>IFERROR(J20-K20,"")</f>
        <v/>
      </c>
      <c r="M20" s="9">
        <f>IF(OR(I20="",J20="",K20=""),"",IF(L20&gt;0,"Cheap","Expensive"))</f>
        <v/>
      </c>
      <c r="N20" s="10">
        <f>IFERROR(L20/STDEV.P(IF($I$7:$I$76=I20,$J$7:$J$76)),"")</f>
        <v/>
      </c>
    </row>
    <row r="21">
      <c r="A21" t="inlineStr">
        <is>
          <t>Cote d'Ivoire</t>
        </is>
      </c>
      <c r="B21" t="inlineStr">
        <is>
          <t>Africa</t>
        </is>
      </c>
      <c r="C21" s="5" t="inlineStr">
        <is>
          <t>IVYCST 6 1/8 06/15/33 Govt</t>
        </is>
      </c>
      <c r="D21" s="5" t="inlineStr">
        <is>
          <t>JBCDIVCT Index</t>
        </is>
      </c>
      <c r="E21" s="6">
        <f>IFERROR(BDP(C21,"RTG_SP"),"")</f>
        <v/>
      </c>
      <c r="F21" s="6">
        <f>IFERROR(BDP(C21,"RTG_MDY"),"")</f>
        <v/>
      </c>
      <c r="G21" s="6">
        <f>IFERROR(BDP(C21,"RTG_FITCH"),"")</f>
        <v/>
      </c>
      <c r="H21" s="6">
        <f>IFERROR(BDP(C21,"BB_COMPOSITE"),"")</f>
        <v/>
      </c>
      <c r="I21" s="7">
        <f>IFERROR(VLOOKUP(H21,'Rating Lookup'!$A$4:$C$26,3,FALSE),IFERROR(VLOOKUP(H21,'Rating Lookup'!$B$4:$C$26,2,FALSE),""))</f>
        <v/>
      </c>
      <c r="J21" s="8">
        <f>IFERROR(BDP(D21,"PX_LAST"),"")</f>
        <v/>
      </c>
      <c r="K21" s="8">
        <f>IFERROR(AVERAGEIFS($J$7:$J$76,$I$7:$I$76,I21),"")</f>
        <v/>
      </c>
      <c r="L21" s="8">
        <f>IFERROR(J21-K21,"")</f>
        <v/>
      </c>
      <c r="M21" s="9">
        <f>IF(OR(I21="",J21="",K21=""),"",IF(L21&gt;0,"Cheap","Expensive"))</f>
        <v/>
      </c>
      <c r="N21" s="10">
        <f>IFERROR(L21/STDEV.P(IF($I$7:$I$76=I21,$J$7:$J$76)),"")</f>
        <v/>
      </c>
    </row>
    <row r="22">
      <c r="A22" t="inlineStr">
        <is>
          <t>Croatia</t>
        </is>
      </c>
      <c r="B22" t="inlineStr">
        <is>
          <t>EMEA</t>
        </is>
      </c>
      <c r="C22" s="5" t="inlineStr">
        <is>
          <t>CROATI 1.5 06/17/31 Govt</t>
        </is>
      </c>
      <c r="D22" s="5" t="inlineStr">
        <is>
          <t>JBCDCROA Index</t>
        </is>
      </c>
      <c r="E22" s="6">
        <f>IFERROR(BDP(C22,"RTG_SP"),"")</f>
        <v/>
      </c>
      <c r="F22" s="6">
        <f>IFERROR(BDP(C22,"RTG_MDY"),"")</f>
        <v/>
      </c>
      <c r="G22" s="6">
        <f>IFERROR(BDP(C22,"RTG_FITCH"),"")</f>
        <v/>
      </c>
      <c r="H22" s="6">
        <f>IFERROR(BDP(C22,"BB_COMPOSITE"),"")</f>
        <v/>
      </c>
      <c r="I22" s="7">
        <f>IFERROR(VLOOKUP(H22,'Rating Lookup'!$A$4:$C$26,3,FALSE),IFERROR(VLOOKUP(H22,'Rating Lookup'!$B$4:$C$26,2,FALSE),""))</f>
        <v/>
      </c>
      <c r="J22" s="8">
        <f>IFERROR(BDP(D22,"PX_LAST"),"")</f>
        <v/>
      </c>
      <c r="K22" s="8">
        <f>IFERROR(AVERAGEIFS($J$7:$J$76,$I$7:$I$76,I22),"")</f>
        <v/>
      </c>
      <c r="L22" s="8">
        <f>IFERROR(J22-K22,"")</f>
        <v/>
      </c>
      <c r="M22" s="9">
        <f>IF(OR(I22="",J22="",K22=""),"",IF(L22&gt;0,"Cheap","Expensive"))</f>
        <v/>
      </c>
      <c r="N22" s="10">
        <f>IFERROR(L22/STDEV.P(IF($I$7:$I$76=I22,$J$7:$J$76)),"")</f>
        <v/>
      </c>
    </row>
    <row r="23">
      <c r="A23" t="inlineStr">
        <is>
          <t>Dominican Republic</t>
        </is>
      </c>
      <c r="B23" t="inlineStr">
        <is>
          <t>Latin America</t>
        </is>
      </c>
      <c r="C23" s="5" t="inlineStr">
        <is>
          <t>DOMREP 4 7/8 09/23/32 Govt</t>
        </is>
      </c>
      <c r="D23" s="5" t="inlineStr">
        <is>
          <t>JBCDDRPC Index</t>
        </is>
      </c>
      <c r="E23" s="6">
        <f>IFERROR(BDP(C23,"RTG_SP"),"")</f>
        <v/>
      </c>
      <c r="F23" s="6">
        <f>IFERROR(BDP(C23,"RTG_MDY"),"")</f>
        <v/>
      </c>
      <c r="G23" s="6">
        <f>IFERROR(BDP(C23,"RTG_FITCH"),"")</f>
        <v/>
      </c>
      <c r="H23" s="6">
        <f>IFERROR(BDP(C23,"BB_COMPOSITE"),"")</f>
        <v/>
      </c>
      <c r="I23" s="7">
        <f>IFERROR(VLOOKUP(H23,'Rating Lookup'!$A$4:$C$26,3,FALSE),IFERROR(VLOOKUP(H23,'Rating Lookup'!$B$4:$C$26,2,FALSE),""))</f>
        <v/>
      </c>
      <c r="J23" s="8">
        <f>IFERROR(BDP(D23,"PX_LAST"),"")</f>
        <v/>
      </c>
      <c r="K23" s="8">
        <f>IFERROR(AVERAGEIFS($J$7:$J$76,$I$7:$I$76,I23),"")</f>
        <v/>
      </c>
      <c r="L23" s="8">
        <f>IFERROR(J23-K23,"")</f>
        <v/>
      </c>
      <c r="M23" s="9">
        <f>IF(OR(I23="",J23="",K23=""),"",IF(L23&gt;0,"Cheap","Expensive"))</f>
        <v/>
      </c>
      <c r="N23" s="10">
        <f>IFERROR(L23/STDEV.P(IF($I$7:$I$76=I23,$J$7:$J$76)),"")</f>
        <v/>
      </c>
    </row>
    <row r="24">
      <c r="A24" t="inlineStr">
        <is>
          <t>Ecuador</t>
        </is>
      </c>
      <c r="B24" t="inlineStr">
        <is>
          <t>Latin America</t>
        </is>
      </c>
      <c r="C24" s="5" t="inlineStr">
        <is>
          <t>ECUA 6.9 07/31/30 Govt</t>
        </is>
      </c>
      <c r="D24" s="5" t="inlineStr">
        <is>
          <t>JBCDECUA Index</t>
        </is>
      </c>
      <c r="E24" s="6">
        <f>IFERROR(BDP(C24,"RTG_SP"),"")</f>
        <v/>
      </c>
      <c r="F24" s="6">
        <f>IFERROR(BDP(C24,"RTG_MDY"),"")</f>
        <v/>
      </c>
      <c r="G24" s="6">
        <f>IFERROR(BDP(C24,"RTG_FITCH"),"")</f>
        <v/>
      </c>
      <c r="H24" s="6">
        <f>IFERROR(BDP(C24,"BB_COMPOSITE"),"")</f>
        <v/>
      </c>
      <c r="I24" s="7">
        <f>IFERROR(VLOOKUP(H24,'Rating Lookup'!$A$4:$C$26,3,FALSE),IFERROR(VLOOKUP(H24,'Rating Lookup'!$B$4:$C$26,2,FALSE),""))</f>
        <v/>
      </c>
      <c r="J24" s="8">
        <f>IFERROR(BDP(D24,"PX_LAST"),"")</f>
        <v/>
      </c>
      <c r="K24" s="8">
        <f>IFERROR(AVERAGEIFS($J$7:$J$76,$I$7:$I$76,I24),"")</f>
        <v/>
      </c>
      <c r="L24" s="8">
        <f>IFERROR(J24-K24,"")</f>
        <v/>
      </c>
      <c r="M24" s="9">
        <f>IF(OR(I24="",J24="",K24=""),"",IF(L24&gt;0,"Cheap","Expensive"))</f>
        <v/>
      </c>
      <c r="N24" s="10">
        <f>IFERROR(L24/STDEV.P(IF($I$7:$I$76=I24,$J$7:$J$76)),"")</f>
        <v/>
      </c>
    </row>
    <row r="25">
      <c r="A25" t="inlineStr">
        <is>
          <t>Egypt</t>
        </is>
      </c>
      <c r="B25" t="inlineStr">
        <is>
          <t>Middle East</t>
        </is>
      </c>
      <c r="C25" s="5" t="inlineStr">
        <is>
          <t>EGYPT 5 7/8 02/16/31 Govt</t>
        </is>
      </c>
      <c r="D25" s="5" t="inlineStr">
        <is>
          <t>JBCDEGPT Index</t>
        </is>
      </c>
      <c r="E25" s="6">
        <f>IFERROR(BDP(C25,"RTG_SP"),"")</f>
        <v/>
      </c>
      <c r="F25" s="6">
        <f>IFERROR(BDP(C25,"RTG_MDY"),"")</f>
        <v/>
      </c>
      <c r="G25" s="6">
        <f>IFERROR(BDP(C25,"RTG_FITCH"),"")</f>
        <v/>
      </c>
      <c r="H25" s="6">
        <f>IFERROR(BDP(C25,"BB_COMPOSITE"),"")</f>
        <v/>
      </c>
      <c r="I25" s="7">
        <f>IFERROR(VLOOKUP(H25,'Rating Lookup'!$A$4:$C$26,3,FALSE),IFERROR(VLOOKUP(H25,'Rating Lookup'!$B$4:$C$26,2,FALSE),""))</f>
        <v/>
      </c>
      <c r="J25" s="8">
        <f>IFERROR(BDP(D25,"PX_LAST"),"")</f>
        <v/>
      </c>
      <c r="K25" s="8">
        <f>IFERROR(AVERAGEIFS($J$7:$J$76,$I$7:$I$76,I25),"")</f>
        <v/>
      </c>
      <c r="L25" s="8">
        <f>IFERROR(J25-K25,"")</f>
        <v/>
      </c>
      <c r="M25" s="9">
        <f>IF(OR(I25="",J25="",K25=""),"",IF(L25&gt;0,"Cheap","Expensive"))</f>
        <v/>
      </c>
      <c r="N25" s="10">
        <f>IFERROR(L25/STDEV.P(IF($I$7:$I$76=I25,$J$7:$J$76)),"")</f>
        <v/>
      </c>
    </row>
    <row r="26">
      <c r="A26" t="inlineStr">
        <is>
          <t>El Salvador</t>
        </is>
      </c>
      <c r="B26" t="inlineStr">
        <is>
          <t>Latin America</t>
        </is>
      </c>
      <c r="C26" s="5" t="inlineStr">
        <is>
          <t>ELSALV 7.65 06/15/35 Govt</t>
        </is>
      </c>
      <c r="D26" s="5" t="inlineStr">
        <is>
          <t>JBCDELSL Index</t>
        </is>
      </c>
      <c r="E26" s="6">
        <f>IFERROR(BDP(C26,"RTG_SP"),"")</f>
        <v/>
      </c>
      <c r="F26" s="6">
        <f>IFERROR(BDP(C26,"RTG_MDY"),"")</f>
        <v/>
      </c>
      <c r="G26" s="6">
        <f>IFERROR(BDP(C26,"RTG_FITCH"),"")</f>
        <v/>
      </c>
      <c r="H26" s="6">
        <f>IFERROR(BDP(C26,"BB_COMPOSITE"),"")</f>
        <v/>
      </c>
      <c r="I26" s="7">
        <f>IFERROR(VLOOKUP(H26,'Rating Lookup'!$A$4:$C$26,3,FALSE),IFERROR(VLOOKUP(H26,'Rating Lookup'!$B$4:$C$26,2,FALSE),""))</f>
        <v/>
      </c>
      <c r="J26" s="8">
        <f>IFERROR(BDP(D26,"PX_LAST"),"")</f>
        <v/>
      </c>
      <c r="K26" s="8">
        <f>IFERROR(AVERAGEIFS($J$7:$J$76,$I$7:$I$76,I26),"")</f>
        <v/>
      </c>
      <c r="L26" s="8">
        <f>IFERROR(J26-K26,"")</f>
        <v/>
      </c>
      <c r="M26" s="9">
        <f>IF(OR(I26="",J26="",K26=""),"",IF(L26&gt;0,"Cheap","Expensive"))</f>
        <v/>
      </c>
      <c r="N26" s="10">
        <f>IFERROR(L26/STDEV.P(IF($I$7:$I$76=I26,$J$7:$J$76)),"")</f>
        <v/>
      </c>
    </row>
    <row r="27">
      <c r="A27" t="inlineStr">
        <is>
          <t>Ethiopia</t>
        </is>
      </c>
      <c r="B27" t="inlineStr">
        <is>
          <t>Africa</t>
        </is>
      </c>
      <c r="C27" s="5" t="inlineStr">
        <is>
          <t>ETHOPI 6 5/8 12/11/24 Govt</t>
        </is>
      </c>
      <c r="D27" s="5" t="inlineStr">
        <is>
          <t>JBCDETHI Index</t>
        </is>
      </c>
      <c r="E27" s="6">
        <f>IFERROR(BDP(C27,"RTG_SP"),"")</f>
        <v/>
      </c>
      <c r="F27" s="6">
        <f>IFERROR(BDP(C27,"RTG_MDY"),"")</f>
        <v/>
      </c>
      <c r="G27" s="6">
        <f>IFERROR(BDP(C27,"RTG_FITCH"),"")</f>
        <v/>
      </c>
      <c r="H27" s="6">
        <f>IFERROR(BDP(C27,"BB_COMPOSITE"),"")</f>
        <v/>
      </c>
      <c r="I27" s="7">
        <f>IFERROR(VLOOKUP(H27,'Rating Lookup'!$A$4:$C$26,3,FALSE),IFERROR(VLOOKUP(H27,'Rating Lookup'!$B$4:$C$26,2,FALSE),""))</f>
        <v/>
      </c>
      <c r="J27" s="8">
        <f>IFERROR(BDP(D27,"PX_LAST"),"")</f>
        <v/>
      </c>
      <c r="K27" s="8">
        <f>IFERROR(AVERAGEIFS($J$7:$J$76,$I$7:$I$76,I27),"")</f>
        <v/>
      </c>
      <c r="L27" s="8">
        <f>IFERROR(J27-K27,"")</f>
        <v/>
      </c>
      <c r="M27" s="9">
        <f>IF(OR(I27="",J27="",K27=""),"",IF(L27&gt;0,"Cheap","Expensive"))</f>
        <v/>
      </c>
      <c r="N27" s="10">
        <f>IFERROR(L27/STDEV.P(IF($I$7:$I$76=I27,$J$7:$J$76)),"")</f>
        <v/>
      </c>
    </row>
    <row r="28">
      <c r="A28" t="inlineStr">
        <is>
          <t>Gabon</t>
        </is>
      </c>
      <c r="B28" t="inlineStr">
        <is>
          <t>Africa</t>
        </is>
      </c>
      <c r="C28" s="5" t="inlineStr">
        <is>
          <t>GABON 6.95 06/16/25 Govt</t>
        </is>
      </c>
      <c r="D28" s="5" t="inlineStr">
        <is>
          <t>JBCDGABN Index</t>
        </is>
      </c>
      <c r="E28" s="6">
        <f>IFERROR(BDP(C28,"RTG_SP"),"")</f>
        <v/>
      </c>
      <c r="F28" s="6">
        <f>IFERROR(BDP(C28,"RTG_MDY"),"")</f>
        <v/>
      </c>
      <c r="G28" s="6">
        <f>IFERROR(BDP(C28,"RTG_FITCH"),"")</f>
        <v/>
      </c>
      <c r="H28" s="6">
        <f>IFERROR(BDP(C28,"BB_COMPOSITE"),"")</f>
        <v/>
      </c>
      <c r="I28" s="7">
        <f>IFERROR(VLOOKUP(H28,'Rating Lookup'!$A$4:$C$26,3,FALSE),IFERROR(VLOOKUP(H28,'Rating Lookup'!$B$4:$C$26,2,FALSE),""))</f>
        <v/>
      </c>
      <c r="J28" s="8">
        <f>IFERROR(BDP(D28,"PX_LAST"),"")</f>
        <v/>
      </c>
      <c r="K28" s="8">
        <f>IFERROR(AVERAGEIFS($J$7:$J$76,$I$7:$I$76,I28),"")</f>
        <v/>
      </c>
      <c r="L28" s="8">
        <f>IFERROR(J28-K28,"")</f>
        <v/>
      </c>
      <c r="M28" s="9">
        <f>IF(OR(I28="",J28="",K28=""),"",IF(L28&gt;0,"Cheap","Expensive"))</f>
        <v/>
      </c>
      <c r="N28" s="10">
        <f>IFERROR(L28/STDEV.P(IF($I$7:$I$76=I28,$J$7:$J$76)),"")</f>
        <v/>
      </c>
    </row>
    <row r="29">
      <c r="A29" t="inlineStr">
        <is>
          <t>Georgia</t>
        </is>
      </c>
      <c r="B29" t="inlineStr">
        <is>
          <t>EMEA</t>
        </is>
      </c>
      <c r="C29" s="5" t="inlineStr">
        <is>
          <t>GEORG 2 3/4 04/22/26 Govt</t>
        </is>
      </c>
      <c r="D29" s="5" t="inlineStr">
        <is>
          <t>JBCDGEOR Index</t>
        </is>
      </c>
      <c r="E29" s="6">
        <f>IFERROR(BDP(C29,"RTG_SP"),"")</f>
        <v/>
      </c>
      <c r="F29" s="6">
        <f>IFERROR(BDP(C29,"RTG_MDY"),"")</f>
        <v/>
      </c>
      <c r="G29" s="6">
        <f>IFERROR(BDP(C29,"RTG_FITCH"),"")</f>
        <v/>
      </c>
      <c r="H29" s="6">
        <f>IFERROR(BDP(C29,"BB_COMPOSITE"),"")</f>
        <v/>
      </c>
      <c r="I29" s="7">
        <f>IFERROR(VLOOKUP(H29,'Rating Lookup'!$A$4:$C$26,3,FALSE),IFERROR(VLOOKUP(H29,'Rating Lookup'!$B$4:$C$26,2,FALSE),""))</f>
        <v/>
      </c>
      <c r="J29" s="8">
        <f>IFERROR(BDP(D29,"PX_LAST"),"")</f>
        <v/>
      </c>
      <c r="K29" s="8">
        <f>IFERROR(AVERAGEIFS($J$7:$J$76,$I$7:$I$76,I29),"")</f>
        <v/>
      </c>
      <c r="L29" s="8">
        <f>IFERROR(J29-K29,"")</f>
        <v/>
      </c>
      <c r="M29" s="9">
        <f>IF(OR(I29="",J29="",K29=""),"",IF(L29&gt;0,"Cheap","Expensive"))</f>
        <v/>
      </c>
      <c r="N29" s="10">
        <f>IFERROR(L29/STDEV.P(IF($I$7:$I$76=I29,$J$7:$J$76)),"")</f>
        <v/>
      </c>
    </row>
    <row r="30">
      <c r="A30" t="inlineStr">
        <is>
          <t>Ghana</t>
        </is>
      </c>
      <c r="B30" t="inlineStr">
        <is>
          <t>Africa</t>
        </is>
      </c>
      <c r="C30" s="5" t="inlineStr">
        <is>
          <t>GHANA 8 5/8 06/16/49 Govt</t>
        </is>
      </c>
      <c r="D30" s="5" t="inlineStr">
        <is>
          <t>JBCDGHAN Index</t>
        </is>
      </c>
      <c r="E30" s="6">
        <f>IFERROR(BDP(C30,"RTG_SP"),"")</f>
        <v/>
      </c>
      <c r="F30" s="6">
        <f>IFERROR(BDP(C30,"RTG_MDY"),"")</f>
        <v/>
      </c>
      <c r="G30" s="6">
        <f>IFERROR(BDP(C30,"RTG_FITCH"),"")</f>
        <v/>
      </c>
      <c r="H30" s="6">
        <f>IFERROR(BDP(C30,"BB_COMPOSITE"),"")</f>
        <v/>
      </c>
      <c r="I30" s="7">
        <f>IFERROR(VLOOKUP(H30,'Rating Lookup'!$A$4:$C$26,3,FALSE),IFERROR(VLOOKUP(H30,'Rating Lookup'!$B$4:$C$26,2,FALSE),""))</f>
        <v/>
      </c>
      <c r="J30" s="8">
        <f>IFERROR(BDP(D30,"PX_LAST"),"")</f>
        <v/>
      </c>
      <c r="K30" s="8">
        <f>IFERROR(AVERAGEIFS($J$7:$J$76,$I$7:$I$76,I30),"")</f>
        <v/>
      </c>
      <c r="L30" s="8">
        <f>IFERROR(J30-K30,"")</f>
        <v/>
      </c>
      <c r="M30" s="9">
        <f>IF(OR(I30="",J30="",K30=""),"",IF(L30&gt;0,"Cheap","Expensive"))</f>
        <v/>
      </c>
      <c r="N30" s="10">
        <f>IFERROR(L30/STDEV.P(IF($I$7:$I$76=I30,$J$7:$J$76)),"")</f>
        <v/>
      </c>
    </row>
    <row r="31">
      <c r="A31" t="inlineStr">
        <is>
          <t>Guatemala</t>
        </is>
      </c>
      <c r="B31" t="inlineStr">
        <is>
          <t>Latin America</t>
        </is>
      </c>
      <c r="C31" s="5" t="inlineStr">
        <is>
          <t>GUATEM 6 1/8 06/01/50 Govt</t>
        </is>
      </c>
      <c r="D31" s="5" t="inlineStr">
        <is>
          <t>JBCDGUAT Index</t>
        </is>
      </c>
      <c r="E31" s="6">
        <f>IFERROR(BDP(C31,"RTG_SP"),"")</f>
        <v/>
      </c>
      <c r="F31" s="6">
        <f>IFERROR(BDP(C31,"RTG_MDY"),"")</f>
        <v/>
      </c>
      <c r="G31" s="6">
        <f>IFERROR(BDP(C31,"RTG_FITCH"),"")</f>
        <v/>
      </c>
      <c r="H31" s="6">
        <f>IFERROR(BDP(C31,"BB_COMPOSITE"),"")</f>
        <v/>
      </c>
      <c r="I31" s="7">
        <f>IFERROR(VLOOKUP(H31,'Rating Lookup'!$A$4:$C$26,3,FALSE),IFERROR(VLOOKUP(H31,'Rating Lookup'!$B$4:$C$26,2,FALSE),""))</f>
        <v/>
      </c>
      <c r="J31" s="8">
        <f>IFERROR(BDP(D31,"PX_LAST"),"")</f>
        <v/>
      </c>
      <c r="K31" s="8">
        <f>IFERROR(AVERAGEIFS($J$7:$J$76,$I$7:$I$76,I31),"")</f>
        <v/>
      </c>
      <c r="L31" s="8">
        <f>IFERROR(J31-K31,"")</f>
        <v/>
      </c>
      <c r="M31" s="9">
        <f>IF(OR(I31="",J31="",K31=""),"",IF(L31&gt;0,"Cheap","Expensive"))</f>
        <v/>
      </c>
      <c r="N31" s="10">
        <f>IFERROR(L31/STDEV.P(IF($I$7:$I$76=I31,$J$7:$J$76)),"")</f>
        <v/>
      </c>
    </row>
    <row r="32">
      <c r="A32" t="inlineStr">
        <is>
          <t>Honduras</t>
        </is>
      </c>
      <c r="B32" t="inlineStr">
        <is>
          <t>Latin America</t>
        </is>
      </c>
      <c r="C32" s="5" t="inlineStr">
        <is>
          <t>HONDUR 5 5/8 06/24/30 Govt</t>
        </is>
      </c>
      <c r="D32" s="5" t="inlineStr">
        <is>
          <t>JBCDHOND Index</t>
        </is>
      </c>
      <c r="E32" s="6">
        <f>IFERROR(BDP(C32,"RTG_SP"),"")</f>
        <v/>
      </c>
      <c r="F32" s="6">
        <f>IFERROR(BDP(C32,"RTG_MDY"),"")</f>
        <v/>
      </c>
      <c r="G32" s="6">
        <f>IFERROR(BDP(C32,"RTG_FITCH"),"")</f>
        <v/>
      </c>
      <c r="H32" s="6">
        <f>IFERROR(BDP(C32,"BB_COMPOSITE"),"")</f>
        <v/>
      </c>
      <c r="I32" s="7">
        <f>IFERROR(VLOOKUP(H32,'Rating Lookup'!$A$4:$C$26,3,FALSE),IFERROR(VLOOKUP(H32,'Rating Lookup'!$B$4:$C$26,2,FALSE),""))</f>
        <v/>
      </c>
      <c r="J32" s="8">
        <f>IFERROR(BDP(D32,"PX_LAST"),"")</f>
        <v/>
      </c>
      <c r="K32" s="8">
        <f>IFERROR(AVERAGEIFS($J$7:$J$76,$I$7:$I$76,I32),"")</f>
        <v/>
      </c>
      <c r="L32" s="8">
        <f>IFERROR(J32-K32,"")</f>
        <v/>
      </c>
      <c r="M32" s="9">
        <f>IF(OR(I32="",J32="",K32=""),"",IF(L32&gt;0,"Cheap","Expensive"))</f>
        <v/>
      </c>
      <c r="N32" s="10">
        <f>IFERROR(L32/STDEV.P(IF($I$7:$I$76=I32,$J$7:$J$76)),"")</f>
        <v/>
      </c>
    </row>
    <row r="33">
      <c r="A33" t="inlineStr">
        <is>
          <t>Hungary</t>
        </is>
      </c>
      <c r="B33" t="inlineStr">
        <is>
          <t>EMEA</t>
        </is>
      </c>
      <c r="C33" s="5" t="inlineStr">
        <is>
          <t>REPHUN 2 1/8 09/22/31 Govt</t>
        </is>
      </c>
      <c r="D33" s="5" t="inlineStr">
        <is>
          <t>JBCDHUNG Index</t>
        </is>
      </c>
      <c r="E33" s="6">
        <f>IFERROR(BDP(C33,"RTG_SP"),"")</f>
        <v/>
      </c>
      <c r="F33" s="6">
        <f>IFERROR(BDP(C33,"RTG_MDY"),"")</f>
        <v/>
      </c>
      <c r="G33" s="6">
        <f>IFERROR(BDP(C33,"RTG_FITCH"),"")</f>
        <v/>
      </c>
      <c r="H33" s="6">
        <f>IFERROR(BDP(C33,"BB_COMPOSITE"),"")</f>
        <v/>
      </c>
      <c r="I33" s="7">
        <f>IFERROR(VLOOKUP(H33,'Rating Lookup'!$A$4:$C$26,3,FALSE),IFERROR(VLOOKUP(H33,'Rating Lookup'!$B$4:$C$26,2,FALSE),""))</f>
        <v/>
      </c>
      <c r="J33" s="8">
        <f>IFERROR(BDP(D33,"PX_LAST"),"")</f>
        <v/>
      </c>
      <c r="K33" s="8">
        <f>IFERROR(AVERAGEIFS($J$7:$J$76,$I$7:$I$76,I33),"")</f>
        <v/>
      </c>
      <c r="L33" s="8">
        <f>IFERROR(J33-K33,"")</f>
        <v/>
      </c>
      <c r="M33" s="9">
        <f>IF(OR(I33="",J33="",K33=""),"",IF(L33&gt;0,"Cheap","Expensive"))</f>
        <v/>
      </c>
      <c r="N33" s="10">
        <f>IFERROR(L33/STDEV.P(IF($I$7:$I$76=I33,$J$7:$J$76)),"")</f>
        <v/>
      </c>
    </row>
    <row r="34">
      <c r="A34" t="inlineStr">
        <is>
          <t>India</t>
        </is>
      </c>
      <c r="B34" t="inlineStr">
        <is>
          <t>Asia</t>
        </is>
      </c>
      <c r="C34" s="5" t="inlineStr">
        <is>
          <t>INDON 4.55 01/11/28 Govt</t>
        </is>
      </c>
      <c r="D34" s="5" t="inlineStr">
        <is>
          <t>JBCDINDI Index</t>
        </is>
      </c>
      <c r="E34" s="6">
        <f>IFERROR(BDP(C34,"RTG_SP"),"")</f>
        <v/>
      </c>
      <c r="F34" s="6">
        <f>IFERROR(BDP(C34,"RTG_MDY"),"")</f>
        <v/>
      </c>
      <c r="G34" s="6">
        <f>IFERROR(BDP(C34,"RTG_FITCH"),"")</f>
        <v/>
      </c>
      <c r="H34" s="6">
        <f>IFERROR(BDP(C34,"BB_COMPOSITE"),"")</f>
        <v/>
      </c>
      <c r="I34" s="7">
        <f>IFERROR(VLOOKUP(H34,'Rating Lookup'!$A$4:$C$26,3,FALSE),IFERROR(VLOOKUP(H34,'Rating Lookup'!$B$4:$C$26,2,FALSE),""))</f>
        <v/>
      </c>
      <c r="J34" s="8">
        <f>IFERROR(BDP(D34,"PX_LAST"),"")</f>
        <v/>
      </c>
      <c r="K34" s="8">
        <f>IFERROR(AVERAGEIFS($J$7:$J$76,$I$7:$I$76,I34),"")</f>
        <v/>
      </c>
      <c r="L34" s="8">
        <f>IFERROR(J34-K34,"")</f>
        <v/>
      </c>
      <c r="M34" s="9">
        <f>IF(OR(I34="",J34="",K34=""),"",IF(L34&gt;0,"Cheap","Expensive"))</f>
        <v/>
      </c>
      <c r="N34" s="10">
        <f>IFERROR(L34/STDEV.P(IF($I$7:$I$76=I34,$J$7:$J$76)),"")</f>
        <v/>
      </c>
    </row>
    <row r="35">
      <c r="A35" t="inlineStr">
        <is>
          <t>Indonesia</t>
        </is>
      </c>
      <c r="B35" t="inlineStr">
        <is>
          <t>Asia</t>
        </is>
      </c>
      <c r="C35" s="5" t="inlineStr">
        <is>
          <t>INDON 4 1/8 01/15/25 Govt</t>
        </is>
      </c>
      <c r="D35" s="5" t="inlineStr">
        <is>
          <t>JBCDINDO Index</t>
        </is>
      </c>
      <c r="E35" s="6">
        <f>IFERROR(BDP(C35,"RTG_SP"),"")</f>
        <v/>
      </c>
      <c r="F35" s="6">
        <f>IFERROR(BDP(C35,"RTG_MDY"),"")</f>
        <v/>
      </c>
      <c r="G35" s="6">
        <f>IFERROR(BDP(C35,"RTG_FITCH"),"")</f>
        <v/>
      </c>
      <c r="H35" s="6">
        <f>IFERROR(BDP(C35,"BB_COMPOSITE"),"")</f>
        <v/>
      </c>
      <c r="I35" s="7">
        <f>IFERROR(VLOOKUP(H35,'Rating Lookup'!$A$4:$C$26,3,FALSE),IFERROR(VLOOKUP(H35,'Rating Lookup'!$B$4:$C$26,2,FALSE),""))</f>
        <v/>
      </c>
      <c r="J35" s="8">
        <f>IFERROR(BDP(D35,"PX_LAST"),"")</f>
        <v/>
      </c>
      <c r="K35" s="8">
        <f>IFERROR(AVERAGEIFS($J$7:$J$76,$I$7:$I$76,I35),"")</f>
        <v/>
      </c>
      <c r="L35" s="8">
        <f>IFERROR(J35-K35,"")</f>
        <v/>
      </c>
      <c r="M35" s="9">
        <f>IF(OR(I35="",J35="",K35=""),"",IF(L35&gt;0,"Cheap","Expensive"))</f>
        <v/>
      </c>
      <c r="N35" s="10">
        <f>IFERROR(L35/STDEV.P(IF($I$7:$I$76=I35,$J$7:$J$76)),"")</f>
        <v/>
      </c>
    </row>
    <row r="36">
      <c r="A36" t="inlineStr">
        <is>
          <t>Iraq</t>
        </is>
      </c>
      <c r="B36" t="inlineStr">
        <is>
          <t>Middle East</t>
        </is>
      </c>
      <c r="C36" s="5" t="inlineStr">
        <is>
          <t>IRAQ 5.8 01/15/28 Govt</t>
        </is>
      </c>
      <c r="D36" s="5" t="inlineStr">
        <is>
          <t>JBCDIRAQ Index</t>
        </is>
      </c>
      <c r="E36" s="6">
        <f>IFERROR(BDP(C36,"RTG_SP"),"")</f>
        <v/>
      </c>
      <c r="F36" s="6">
        <f>IFERROR(BDP(C36,"RTG_MDY"),"")</f>
        <v/>
      </c>
      <c r="G36" s="6">
        <f>IFERROR(BDP(C36,"RTG_FITCH"),"")</f>
        <v/>
      </c>
      <c r="H36" s="6">
        <f>IFERROR(BDP(C36,"BB_COMPOSITE"),"")</f>
        <v/>
      </c>
      <c r="I36" s="7">
        <f>IFERROR(VLOOKUP(H36,'Rating Lookup'!$A$4:$C$26,3,FALSE),IFERROR(VLOOKUP(H36,'Rating Lookup'!$B$4:$C$26,2,FALSE),""))</f>
        <v/>
      </c>
      <c r="J36" s="8">
        <f>IFERROR(BDP(D36,"PX_LAST"),"")</f>
        <v/>
      </c>
      <c r="K36" s="8">
        <f>IFERROR(AVERAGEIFS($J$7:$J$76,$I$7:$I$76,I36),"")</f>
        <v/>
      </c>
      <c r="L36" s="8">
        <f>IFERROR(J36-K36,"")</f>
        <v/>
      </c>
      <c r="M36" s="9">
        <f>IF(OR(I36="",J36="",K36=""),"",IF(L36&gt;0,"Cheap","Expensive"))</f>
        <v/>
      </c>
      <c r="N36" s="10">
        <f>IFERROR(L36/STDEV.P(IF($I$7:$I$76=I36,$J$7:$J$76)),"")</f>
        <v/>
      </c>
    </row>
    <row r="37">
      <c r="A37" t="inlineStr">
        <is>
          <t>Jamaica</t>
        </is>
      </c>
      <c r="B37" t="inlineStr">
        <is>
          <t>Latin America</t>
        </is>
      </c>
      <c r="C37" s="5" t="inlineStr">
        <is>
          <t>JAMAN 7 7/8 07/28/45 Govt</t>
        </is>
      </c>
      <c r="D37" s="5" t="inlineStr">
        <is>
          <t>JBCDJAMA Index</t>
        </is>
      </c>
      <c r="E37" s="6">
        <f>IFERROR(BDP(C37,"RTG_SP"),"")</f>
        <v/>
      </c>
      <c r="F37" s="6">
        <f>IFERROR(BDP(C37,"RTG_MDY"),"")</f>
        <v/>
      </c>
      <c r="G37" s="6">
        <f>IFERROR(BDP(C37,"RTG_FITCH"),"")</f>
        <v/>
      </c>
      <c r="H37" s="6">
        <f>IFERROR(BDP(C37,"BB_COMPOSITE"),"")</f>
        <v/>
      </c>
      <c r="I37" s="7">
        <f>IFERROR(VLOOKUP(H37,'Rating Lookup'!$A$4:$C$26,3,FALSE),IFERROR(VLOOKUP(H37,'Rating Lookup'!$B$4:$C$26,2,FALSE),""))</f>
        <v/>
      </c>
      <c r="J37" s="8">
        <f>IFERROR(BDP(D37,"PX_LAST"),"")</f>
        <v/>
      </c>
      <c r="K37" s="8">
        <f>IFERROR(AVERAGEIFS($J$7:$J$76,$I$7:$I$76,I37),"")</f>
        <v/>
      </c>
      <c r="L37" s="8">
        <f>IFERROR(J37-K37,"")</f>
        <v/>
      </c>
      <c r="M37" s="9">
        <f>IF(OR(I37="",J37="",K37=""),"",IF(L37&gt;0,"Cheap","Expensive"))</f>
        <v/>
      </c>
      <c r="N37" s="10">
        <f>IFERROR(L37/STDEV.P(IF($I$7:$I$76=I37,$J$7:$J$76)),"")</f>
        <v/>
      </c>
    </row>
    <row r="38">
      <c r="A38" t="inlineStr">
        <is>
          <t>Jordan</t>
        </is>
      </c>
      <c r="B38" t="inlineStr">
        <is>
          <t>Middle East</t>
        </is>
      </c>
      <c r="C38" s="5" t="inlineStr">
        <is>
          <t>JORDAN 4.95 07/07/25 Govt</t>
        </is>
      </c>
      <c r="D38" s="5" t="inlineStr">
        <is>
          <t>JBCDJORD Index</t>
        </is>
      </c>
      <c r="E38" s="6">
        <f>IFERROR(BDP(C38,"RTG_SP"),"")</f>
        <v/>
      </c>
      <c r="F38" s="6">
        <f>IFERROR(BDP(C38,"RTG_MDY"),"")</f>
        <v/>
      </c>
      <c r="G38" s="6">
        <f>IFERROR(BDP(C38,"RTG_FITCH"),"")</f>
        <v/>
      </c>
      <c r="H38" s="6">
        <f>IFERROR(BDP(C38,"BB_COMPOSITE"),"")</f>
        <v/>
      </c>
      <c r="I38" s="7">
        <f>IFERROR(VLOOKUP(H38,'Rating Lookup'!$A$4:$C$26,3,FALSE),IFERROR(VLOOKUP(H38,'Rating Lookup'!$B$4:$C$26,2,FALSE),""))</f>
        <v/>
      </c>
      <c r="J38" s="8">
        <f>IFERROR(BDP(D38,"PX_LAST"),"")</f>
        <v/>
      </c>
      <c r="K38" s="8">
        <f>IFERROR(AVERAGEIFS($J$7:$J$76,$I$7:$I$76,I38),"")</f>
        <v/>
      </c>
      <c r="L38" s="8">
        <f>IFERROR(J38-K38,"")</f>
        <v/>
      </c>
      <c r="M38" s="9">
        <f>IF(OR(I38="",J38="",K38=""),"",IF(L38&gt;0,"Cheap","Expensive"))</f>
        <v/>
      </c>
      <c r="N38" s="10">
        <f>IFERROR(L38/STDEV.P(IF($I$7:$I$76=I38,$J$7:$J$76)),"")</f>
        <v/>
      </c>
    </row>
    <row r="39">
      <c r="A39" t="inlineStr">
        <is>
          <t>Kazakhstan</t>
        </is>
      </c>
      <c r="B39" t="inlineStr">
        <is>
          <t>Asia</t>
        </is>
      </c>
      <c r="C39" s="5" t="inlineStr">
        <is>
          <t>KAZAKS 4 7/8 10/14/44 Govt</t>
        </is>
      </c>
      <c r="D39" s="5" t="inlineStr">
        <is>
          <t>JBCDKAZA Index</t>
        </is>
      </c>
      <c r="E39" s="6">
        <f>IFERROR(BDP(C39,"RTG_SP"),"")</f>
        <v/>
      </c>
      <c r="F39" s="6">
        <f>IFERROR(BDP(C39,"RTG_MDY"),"")</f>
        <v/>
      </c>
      <c r="G39" s="6">
        <f>IFERROR(BDP(C39,"RTG_FITCH"),"")</f>
        <v/>
      </c>
      <c r="H39" s="6">
        <f>IFERROR(BDP(C39,"BB_COMPOSITE"),"")</f>
        <v/>
      </c>
      <c r="I39" s="7">
        <f>IFERROR(VLOOKUP(H39,'Rating Lookup'!$A$4:$C$26,3,FALSE),IFERROR(VLOOKUP(H39,'Rating Lookup'!$B$4:$C$26,2,FALSE),""))</f>
        <v/>
      </c>
      <c r="J39" s="8">
        <f>IFERROR(BDP(D39,"PX_LAST"),"")</f>
        <v/>
      </c>
      <c r="K39" s="8">
        <f>IFERROR(AVERAGEIFS($J$7:$J$76,$I$7:$I$76,I39),"")</f>
        <v/>
      </c>
      <c r="L39" s="8">
        <f>IFERROR(J39-K39,"")</f>
        <v/>
      </c>
      <c r="M39" s="9">
        <f>IF(OR(I39="",J39="",K39=""),"",IF(L39&gt;0,"Cheap","Expensive"))</f>
        <v/>
      </c>
      <c r="N39" s="10">
        <f>IFERROR(L39/STDEV.P(IF($I$7:$I$76=I39,$J$7:$J$76)),"")</f>
        <v/>
      </c>
    </row>
    <row r="40">
      <c r="A40" t="inlineStr">
        <is>
          <t>Kenya</t>
        </is>
      </c>
      <c r="B40" t="inlineStr">
        <is>
          <t>Africa</t>
        </is>
      </c>
      <c r="C40" s="5" t="inlineStr">
        <is>
          <t>KENINT 7 1/4 02/28/28 Govt</t>
        </is>
      </c>
      <c r="D40" s="5" t="inlineStr">
        <is>
          <t>JBCDKENY Index</t>
        </is>
      </c>
      <c r="E40" s="6">
        <f>IFERROR(BDP(C40,"RTG_SP"),"")</f>
        <v/>
      </c>
      <c r="F40" s="6">
        <f>IFERROR(BDP(C40,"RTG_MDY"),"")</f>
        <v/>
      </c>
      <c r="G40" s="6">
        <f>IFERROR(BDP(C40,"RTG_FITCH"),"")</f>
        <v/>
      </c>
      <c r="H40" s="6">
        <f>IFERROR(BDP(C40,"BB_COMPOSITE"),"")</f>
        <v/>
      </c>
      <c r="I40" s="7">
        <f>IFERROR(VLOOKUP(H40,'Rating Lookup'!$A$4:$C$26,3,FALSE),IFERROR(VLOOKUP(H40,'Rating Lookup'!$B$4:$C$26,2,FALSE),""))</f>
        <v/>
      </c>
      <c r="J40" s="8">
        <f>IFERROR(BDP(D40,"PX_LAST"),"")</f>
        <v/>
      </c>
      <c r="K40" s="8">
        <f>IFERROR(AVERAGEIFS($J$7:$J$76,$I$7:$I$76,I40),"")</f>
        <v/>
      </c>
      <c r="L40" s="8">
        <f>IFERROR(J40-K40,"")</f>
        <v/>
      </c>
      <c r="M40" s="9">
        <f>IF(OR(I40="",J40="",K40=""),"",IF(L40&gt;0,"Cheap","Expensive"))</f>
        <v/>
      </c>
      <c r="N40" s="10">
        <f>IFERROR(L40/STDEV.P(IF($I$7:$I$76=I40,$J$7:$J$76)),"")</f>
        <v/>
      </c>
    </row>
    <row r="41">
      <c r="A41" t="inlineStr">
        <is>
          <t>Kuwait</t>
        </is>
      </c>
      <c r="B41" t="inlineStr">
        <is>
          <t>Middle East</t>
        </is>
      </c>
      <c r="C41" s="5" t="inlineStr">
        <is>
          <t>KUWIB 3 1/2 03/20/27 Govt</t>
        </is>
      </c>
      <c r="D41" s="5" t="inlineStr">
        <is>
          <t>JBCDKUWT Index</t>
        </is>
      </c>
      <c r="E41" s="6">
        <f>IFERROR(BDP(C41,"RTG_SP"),"")</f>
        <v/>
      </c>
      <c r="F41" s="6">
        <f>IFERROR(BDP(C41,"RTG_MDY"),"")</f>
        <v/>
      </c>
      <c r="G41" s="6">
        <f>IFERROR(BDP(C41,"RTG_FITCH"),"")</f>
        <v/>
      </c>
      <c r="H41" s="6">
        <f>IFERROR(BDP(C41,"BB_COMPOSITE"),"")</f>
        <v/>
      </c>
      <c r="I41" s="7">
        <f>IFERROR(VLOOKUP(H41,'Rating Lookup'!$A$4:$C$26,3,FALSE),IFERROR(VLOOKUP(H41,'Rating Lookup'!$B$4:$C$26,2,FALSE),""))</f>
        <v/>
      </c>
      <c r="J41" s="8">
        <f>IFERROR(BDP(D41,"PX_LAST"),"")</f>
        <v/>
      </c>
      <c r="K41" s="8">
        <f>IFERROR(AVERAGEIFS($J$7:$J$76,$I$7:$I$76,I41),"")</f>
        <v/>
      </c>
      <c r="L41" s="8">
        <f>IFERROR(J41-K41,"")</f>
        <v/>
      </c>
      <c r="M41" s="9">
        <f>IF(OR(I41="",J41="",K41=""),"",IF(L41&gt;0,"Cheap","Expensive"))</f>
        <v/>
      </c>
      <c r="N41" s="10">
        <f>IFERROR(L41/STDEV.P(IF($I$7:$I$76=I41,$J$7:$J$76)),"")</f>
        <v/>
      </c>
    </row>
    <row r="42">
      <c r="A42" t="inlineStr">
        <is>
          <t>Lebanon</t>
        </is>
      </c>
      <c r="B42" t="inlineStr">
        <is>
          <t>Middle East</t>
        </is>
      </c>
      <c r="C42" s="5" t="inlineStr">
        <is>
          <t>LEBAN 6.65 04/22/24 Govt</t>
        </is>
      </c>
      <c r="D42" s="5" t="inlineStr">
        <is>
          <t>JBCDLBNN Index</t>
        </is>
      </c>
      <c r="E42" s="6">
        <f>IFERROR(BDP(C42,"RTG_SP"),"")</f>
        <v/>
      </c>
      <c r="F42" s="6">
        <f>IFERROR(BDP(C42,"RTG_MDY"),"")</f>
        <v/>
      </c>
      <c r="G42" s="6">
        <f>IFERROR(BDP(C42,"RTG_FITCH"),"")</f>
        <v/>
      </c>
      <c r="H42" s="6">
        <f>IFERROR(BDP(C42,"BB_COMPOSITE"),"")</f>
        <v/>
      </c>
      <c r="I42" s="7">
        <f>IFERROR(VLOOKUP(H42,'Rating Lookup'!$A$4:$C$26,3,FALSE),IFERROR(VLOOKUP(H42,'Rating Lookup'!$B$4:$C$26,2,FALSE),""))</f>
        <v/>
      </c>
      <c r="J42" s="8">
        <f>IFERROR(BDP(D42,"PX_LAST"),"")</f>
        <v/>
      </c>
      <c r="K42" s="8">
        <f>IFERROR(AVERAGEIFS($J$7:$J$76,$I$7:$I$76,I42),"")</f>
        <v/>
      </c>
      <c r="L42" s="8">
        <f>IFERROR(J42-K42,"")</f>
        <v/>
      </c>
      <c r="M42" s="9">
        <f>IF(OR(I42="",J42="",K42=""),"",IF(L42&gt;0,"Cheap","Expensive"))</f>
        <v/>
      </c>
      <c r="N42" s="10">
        <f>IFERROR(L42/STDEV.P(IF($I$7:$I$76=I42,$J$7:$J$76)),"")</f>
        <v/>
      </c>
    </row>
    <row r="43">
      <c r="A43" t="inlineStr">
        <is>
          <t>Malaysia</t>
        </is>
      </c>
      <c r="B43" t="inlineStr">
        <is>
          <t>Asia</t>
        </is>
      </c>
      <c r="C43" s="5" t="inlineStr">
        <is>
          <t>MALAYS 3.043 04/14/25 Govt</t>
        </is>
      </c>
      <c r="D43" s="5" t="inlineStr">
        <is>
          <t>JBCDMALY Index</t>
        </is>
      </c>
      <c r="E43" s="6">
        <f>IFERROR(BDP(C43,"RTG_SP"),"")</f>
        <v/>
      </c>
      <c r="F43" s="6">
        <f>IFERROR(BDP(C43,"RTG_MDY"),"")</f>
        <v/>
      </c>
      <c r="G43" s="6">
        <f>IFERROR(BDP(C43,"RTG_FITCH"),"")</f>
        <v/>
      </c>
      <c r="H43" s="6">
        <f>IFERROR(BDP(C43,"BB_COMPOSITE"),"")</f>
        <v/>
      </c>
      <c r="I43" s="7">
        <f>IFERROR(VLOOKUP(H43,'Rating Lookup'!$A$4:$C$26,3,FALSE),IFERROR(VLOOKUP(H43,'Rating Lookup'!$B$4:$C$26,2,FALSE),""))</f>
        <v/>
      </c>
      <c r="J43" s="8">
        <f>IFERROR(BDP(D43,"PX_LAST"),"")</f>
        <v/>
      </c>
      <c r="K43" s="8">
        <f>IFERROR(AVERAGEIFS($J$7:$J$76,$I$7:$I$76,I43),"")</f>
        <v/>
      </c>
      <c r="L43" s="8">
        <f>IFERROR(J43-K43,"")</f>
        <v/>
      </c>
      <c r="M43" s="9">
        <f>IF(OR(I43="",J43="",K43=""),"",IF(L43&gt;0,"Cheap","Expensive"))</f>
        <v/>
      </c>
      <c r="N43" s="10">
        <f>IFERROR(L43/STDEV.P(IF($I$7:$I$76=I43,$J$7:$J$76)),"")</f>
        <v/>
      </c>
    </row>
    <row r="44">
      <c r="A44" t="inlineStr">
        <is>
          <t>Mexico</t>
        </is>
      </c>
      <c r="B44" t="inlineStr">
        <is>
          <t>Latin America</t>
        </is>
      </c>
      <c r="C44" s="5" t="inlineStr">
        <is>
          <t>MEX 4 1/2 04/22/29 Govt</t>
        </is>
      </c>
      <c r="D44" s="5" t="inlineStr">
        <is>
          <t>JBCDMEXX Index</t>
        </is>
      </c>
      <c r="E44" s="6">
        <f>IFERROR(BDP(C44,"RTG_SP"),"")</f>
        <v/>
      </c>
      <c r="F44" s="6">
        <f>IFERROR(BDP(C44,"RTG_MDY"),"")</f>
        <v/>
      </c>
      <c r="G44" s="6">
        <f>IFERROR(BDP(C44,"RTG_FITCH"),"")</f>
        <v/>
      </c>
      <c r="H44" s="6">
        <f>IFERROR(BDP(C44,"BB_COMPOSITE"),"")</f>
        <v/>
      </c>
      <c r="I44" s="7">
        <f>IFERROR(VLOOKUP(H44,'Rating Lookup'!$A$4:$C$26,3,FALSE),IFERROR(VLOOKUP(H44,'Rating Lookup'!$B$4:$C$26,2,FALSE),""))</f>
        <v/>
      </c>
      <c r="J44" s="8">
        <f>IFERROR(BDP(D44,"PX_LAST"),"")</f>
        <v/>
      </c>
      <c r="K44" s="8">
        <f>IFERROR(AVERAGEIFS($J$7:$J$76,$I$7:$I$76,I44),"")</f>
        <v/>
      </c>
      <c r="L44" s="8">
        <f>IFERROR(J44-K44,"")</f>
        <v/>
      </c>
      <c r="M44" s="9">
        <f>IF(OR(I44="",J44="",K44=""),"",IF(L44&gt;0,"Cheap","Expensive"))</f>
        <v/>
      </c>
      <c r="N44" s="10">
        <f>IFERROR(L44/STDEV.P(IF($I$7:$I$76=I44,$J$7:$J$76)),"")</f>
        <v/>
      </c>
    </row>
    <row r="45">
      <c r="A45" t="inlineStr">
        <is>
          <t>Mongolia</t>
        </is>
      </c>
      <c r="B45" t="inlineStr">
        <is>
          <t>Asia</t>
        </is>
      </c>
      <c r="C45" s="5" t="inlineStr">
        <is>
          <t>MONGOL 5 1/8 04/07/26 Govt</t>
        </is>
      </c>
      <c r="D45" s="5" t="inlineStr">
        <is>
          <t>JBCDMNGL Index</t>
        </is>
      </c>
      <c r="E45" s="6">
        <f>IFERROR(BDP(C45,"RTG_SP"),"")</f>
        <v/>
      </c>
      <c r="F45" s="6">
        <f>IFERROR(BDP(C45,"RTG_MDY"),"")</f>
        <v/>
      </c>
      <c r="G45" s="6">
        <f>IFERROR(BDP(C45,"RTG_FITCH"),"")</f>
        <v/>
      </c>
      <c r="H45" s="6">
        <f>IFERROR(BDP(C45,"BB_COMPOSITE"),"")</f>
        <v/>
      </c>
      <c r="I45" s="7">
        <f>IFERROR(VLOOKUP(H45,'Rating Lookup'!$A$4:$C$26,3,FALSE),IFERROR(VLOOKUP(H45,'Rating Lookup'!$B$4:$C$26,2,FALSE),""))</f>
        <v/>
      </c>
      <c r="J45" s="8">
        <f>IFERROR(BDP(D45,"PX_LAST"),"")</f>
        <v/>
      </c>
      <c r="K45" s="8">
        <f>IFERROR(AVERAGEIFS($J$7:$J$76,$I$7:$I$76,I45),"")</f>
        <v/>
      </c>
      <c r="L45" s="8">
        <f>IFERROR(J45-K45,"")</f>
        <v/>
      </c>
      <c r="M45" s="9">
        <f>IF(OR(I45="",J45="",K45=""),"",IF(L45&gt;0,"Cheap","Expensive"))</f>
        <v/>
      </c>
      <c r="N45" s="10">
        <f>IFERROR(L45/STDEV.P(IF($I$7:$I$76=I45,$J$7:$J$76)),"")</f>
        <v/>
      </c>
    </row>
    <row r="46">
      <c r="A46" t="inlineStr">
        <is>
          <t>Morocco</t>
        </is>
      </c>
      <c r="B46" t="inlineStr">
        <is>
          <t>Africa</t>
        </is>
      </c>
      <c r="C46" s="5" t="inlineStr">
        <is>
          <t>MOROC 3 12/15/32 Govt</t>
        </is>
      </c>
      <c r="D46" s="5" t="inlineStr">
        <is>
          <t>JBCDMORO Index</t>
        </is>
      </c>
      <c r="E46" s="6">
        <f>IFERROR(BDP(C46,"RTG_SP"),"")</f>
        <v/>
      </c>
      <c r="F46" s="6">
        <f>IFERROR(BDP(C46,"RTG_MDY"),"")</f>
        <v/>
      </c>
      <c r="G46" s="6">
        <f>IFERROR(BDP(C46,"RTG_FITCH"),"")</f>
        <v/>
      </c>
      <c r="H46" s="6">
        <f>IFERROR(BDP(C46,"BB_COMPOSITE"),"")</f>
        <v/>
      </c>
      <c r="I46" s="7">
        <f>IFERROR(VLOOKUP(H46,'Rating Lookup'!$A$4:$C$26,3,FALSE),IFERROR(VLOOKUP(H46,'Rating Lookup'!$B$4:$C$26,2,FALSE),""))</f>
        <v/>
      </c>
      <c r="J46" s="8">
        <f>IFERROR(BDP(D46,"PX_LAST"),"")</f>
        <v/>
      </c>
      <c r="K46" s="8">
        <f>IFERROR(AVERAGEIFS($J$7:$J$76,$I$7:$I$76,I46),"")</f>
        <v/>
      </c>
      <c r="L46" s="8">
        <f>IFERROR(J46-K46,"")</f>
        <v/>
      </c>
      <c r="M46" s="9">
        <f>IF(OR(I46="",J46="",K46=""),"",IF(L46&gt;0,"Cheap","Expensive"))</f>
        <v/>
      </c>
      <c r="N46" s="10">
        <f>IFERROR(L46/STDEV.P(IF($I$7:$I$76=I46,$J$7:$J$76)),"")</f>
        <v/>
      </c>
    </row>
    <row r="47">
      <c r="A47" t="inlineStr">
        <is>
          <t>Mozambique</t>
        </is>
      </c>
      <c r="B47" t="inlineStr">
        <is>
          <t>Africa</t>
        </is>
      </c>
      <c r="C47" s="5" t="inlineStr">
        <is>
          <t>MOZAM 5 09/15/31 Govt</t>
        </is>
      </c>
      <c r="D47" s="5" t="inlineStr">
        <is>
          <t>JBCDMOZA Index</t>
        </is>
      </c>
      <c r="E47" s="6">
        <f>IFERROR(BDP(C47,"RTG_SP"),"")</f>
        <v/>
      </c>
      <c r="F47" s="6">
        <f>IFERROR(BDP(C47,"RTG_MDY"),"")</f>
        <v/>
      </c>
      <c r="G47" s="6">
        <f>IFERROR(BDP(C47,"RTG_FITCH"),"")</f>
        <v/>
      </c>
      <c r="H47" s="6">
        <f>IFERROR(BDP(C47,"BB_COMPOSITE"),"")</f>
        <v/>
      </c>
      <c r="I47" s="7">
        <f>IFERROR(VLOOKUP(H47,'Rating Lookup'!$A$4:$C$26,3,FALSE),IFERROR(VLOOKUP(H47,'Rating Lookup'!$B$4:$C$26,2,FALSE),""))</f>
        <v/>
      </c>
      <c r="J47" s="8">
        <f>IFERROR(BDP(D47,"PX_LAST"),"")</f>
        <v/>
      </c>
      <c r="K47" s="8">
        <f>IFERROR(AVERAGEIFS($J$7:$J$76,$I$7:$I$76,I47),"")</f>
        <v/>
      </c>
      <c r="L47" s="8">
        <f>IFERROR(J47-K47,"")</f>
        <v/>
      </c>
      <c r="M47" s="9">
        <f>IF(OR(I47="",J47="",K47=""),"",IF(L47&gt;0,"Cheap","Expensive"))</f>
        <v/>
      </c>
      <c r="N47" s="10">
        <f>IFERROR(L47/STDEV.P(IF($I$7:$I$76=I47,$J$7:$J$76)),"")</f>
        <v/>
      </c>
    </row>
    <row r="48">
      <c r="A48" t="inlineStr">
        <is>
          <t>Namibia</t>
        </is>
      </c>
      <c r="B48" t="inlineStr">
        <is>
          <t>Africa</t>
        </is>
      </c>
      <c r="C48" s="5" t="inlineStr">
        <is>
          <t>NAMIB 5 1/4 10/29/25 Govt</t>
        </is>
      </c>
      <c r="D48" s="5" t="inlineStr">
        <is>
          <t>JBCDNAMI Index</t>
        </is>
      </c>
      <c r="E48" s="6">
        <f>IFERROR(BDP(C48,"RTG_SP"),"")</f>
        <v/>
      </c>
      <c r="F48" s="6">
        <f>IFERROR(BDP(C48,"RTG_MDY"),"")</f>
        <v/>
      </c>
      <c r="G48" s="6">
        <f>IFERROR(BDP(C48,"RTG_FITCH"),"")</f>
        <v/>
      </c>
      <c r="H48" s="6">
        <f>IFERROR(BDP(C48,"BB_COMPOSITE"),"")</f>
        <v/>
      </c>
      <c r="I48" s="7">
        <f>IFERROR(VLOOKUP(H48,'Rating Lookup'!$A$4:$C$26,3,FALSE),IFERROR(VLOOKUP(H48,'Rating Lookup'!$B$4:$C$26,2,FALSE),""))</f>
        <v/>
      </c>
      <c r="J48" s="8">
        <f>IFERROR(BDP(D48,"PX_LAST"),"")</f>
        <v/>
      </c>
      <c r="K48" s="8">
        <f>IFERROR(AVERAGEIFS($J$7:$J$76,$I$7:$I$76,I48),"")</f>
        <v/>
      </c>
      <c r="L48" s="8">
        <f>IFERROR(J48-K48,"")</f>
        <v/>
      </c>
      <c r="M48" s="9">
        <f>IF(OR(I48="",J48="",K48=""),"",IF(L48&gt;0,"Cheap","Expensive"))</f>
        <v/>
      </c>
      <c r="N48" s="10">
        <f>IFERROR(L48/STDEV.P(IF($I$7:$I$76=I48,$J$7:$J$76)),"")</f>
        <v/>
      </c>
    </row>
    <row r="49">
      <c r="A49" t="inlineStr">
        <is>
          <t>Nigeria</t>
        </is>
      </c>
      <c r="B49" t="inlineStr">
        <is>
          <t>Africa</t>
        </is>
      </c>
      <c r="C49" s="5" t="inlineStr">
        <is>
          <t>NGERIA 7 7/8 02/16/32 Govt</t>
        </is>
      </c>
      <c r="D49" s="5" t="inlineStr">
        <is>
          <t>JBCDNIGR Index</t>
        </is>
      </c>
      <c r="E49" s="6">
        <f>IFERROR(BDP(C49,"RTG_SP"),"")</f>
        <v/>
      </c>
      <c r="F49" s="6">
        <f>IFERROR(BDP(C49,"RTG_MDY"),"")</f>
        <v/>
      </c>
      <c r="G49" s="6">
        <f>IFERROR(BDP(C49,"RTG_FITCH"),"")</f>
        <v/>
      </c>
      <c r="H49" s="6">
        <f>IFERROR(BDP(C49,"BB_COMPOSITE"),"")</f>
        <v/>
      </c>
      <c r="I49" s="7">
        <f>IFERROR(VLOOKUP(H49,'Rating Lookup'!$A$4:$C$26,3,FALSE),IFERROR(VLOOKUP(H49,'Rating Lookup'!$B$4:$C$26,2,FALSE),""))</f>
        <v/>
      </c>
      <c r="J49" s="8">
        <f>IFERROR(BDP(D49,"PX_LAST"),"")</f>
        <v/>
      </c>
      <c r="K49" s="8">
        <f>IFERROR(AVERAGEIFS($J$7:$J$76,$I$7:$I$76,I49),"")</f>
        <v/>
      </c>
      <c r="L49" s="8">
        <f>IFERROR(J49-K49,"")</f>
        <v/>
      </c>
      <c r="M49" s="9">
        <f>IF(OR(I49="",J49="",K49=""),"",IF(L49&gt;0,"Cheap","Expensive"))</f>
        <v/>
      </c>
      <c r="N49" s="10">
        <f>IFERROR(L49/STDEV.P(IF($I$7:$I$76=I49,$J$7:$J$76)),"")</f>
        <v/>
      </c>
    </row>
    <row r="50">
      <c r="A50" t="inlineStr">
        <is>
          <t>Oman</t>
        </is>
      </c>
      <c r="B50" t="inlineStr">
        <is>
          <t>Middle East</t>
        </is>
      </c>
      <c r="C50" s="5" t="inlineStr">
        <is>
          <t>OMAN 6 08/01/29 Govt</t>
        </is>
      </c>
      <c r="D50" s="5" t="inlineStr">
        <is>
          <t>JBCDOMAN Index</t>
        </is>
      </c>
      <c r="E50" s="6">
        <f>IFERROR(BDP(C50,"RTG_SP"),"")</f>
        <v/>
      </c>
      <c r="F50" s="6">
        <f>IFERROR(BDP(C50,"RTG_MDY"),"")</f>
        <v/>
      </c>
      <c r="G50" s="6">
        <f>IFERROR(BDP(C50,"RTG_FITCH"),"")</f>
        <v/>
      </c>
      <c r="H50" s="6">
        <f>IFERROR(BDP(C50,"BB_COMPOSITE"),"")</f>
        <v/>
      </c>
      <c r="I50" s="7">
        <f>IFERROR(VLOOKUP(H50,'Rating Lookup'!$A$4:$C$26,3,FALSE),IFERROR(VLOOKUP(H50,'Rating Lookup'!$B$4:$C$26,2,FALSE),""))</f>
        <v/>
      </c>
      <c r="J50" s="8">
        <f>IFERROR(BDP(D50,"PX_LAST"),"")</f>
        <v/>
      </c>
      <c r="K50" s="8">
        <f>IFERROR(AVERAGEIFS($J$7:$J$76,$I$7:$I$76,I50),"")</f>
        <v/>
      </c>
      <c r="L50" s="8">
        <f>IFERROR(J50-K50,"")</f>
        <v/>
      </c>
      <c r="M50" s="9">
        <f>IF(OR(I50="",J50="",K50=""),"",IF(L50&gt;0,"Cheap","Expensive"))</f>
        <v/>
      </c>
      <c r="N50" s="10">
        <f>IFERROR(L50/STDEV.P(IF($I$7:$I$76=I50,$J$7:$J$76)),"")</f>
        <v/>
      </c>
    </row>
    <row r="51">
      <c r="A51" t="inlineStr">
        <is>
          <t>Pakistan</t>
        </is>
      </c>
      <c r="B51" t="inlineStr">
        <is>
          <t>Asia</t>
        </is>
      </c>
      <c r="C51" s="5" t="inlineStr">
        <is>
          <t>PKSTAN 7 3/8 04/08/31 Govt</t>
        </is>
      </c>
      <c r="D51" s="5" t="inlineStr">
        <is>
          <t>JBCDPAKS Index</t>
        </is>
      </c>
      <c r="E51" s="6">
        <f>IFERROR(BDP(C51,"RTG_SP"),"")</f>
        <v/>
      </c>
      <c r="F51" s="6">
        <f>IFERROR(BDP(C51,"RTG_MDY"),"")</f>
        <v/>
      </c>
      <c r="G51" s="6">
        <f>IFERROR(BDP(C51,"RTG_FITCH"),"")</f>
        <v/>
      </c>
      <c r="H51" s="6">
        <f>IFERROR(BDP(C51,"BB_COMPOSITE"),"")</f>
        <v/>
      </c>
      <c r="I51" s="7">
        <f>IFERROR(VLOOKUP(H51,'Rating Lookup'!$A$4:$C$26,3,FALSE),IFERROR(VLOOKUP(H51,'Rating Lookup'!$B$4:$C$26,2,FALSE),""))</f>
        <v/>
      </c>
      <c r="J51" s="8">
        <f>IFERROR(BDP(D51,"PX_LAST"),"")</f>
        <v/>
      </c>
      <c r="K51" s="8">
        <f>IFERROR(AVERAGEIFS($J$7:$J$76,$I$7:$I$76,I51),"")</f>
        <v/>
      </c>
      <c r="L51" s="8">
        <f>IFERROR(J51-K51,"")</f>
        <v/>
      </c>
      <c r="M51" s="9">
        <f>IF(OR(I51="",J51="",K51=""),"",IF(L51&gt;0,"Cheap","Expensive"))</f>
        <v/>
      </c>
      <c r="N51" s="10">
        <f>IFERROR(L51/STDEV.P(IF($I$7:$I$76=I51,$J$7:$J$76)),"")</f>
        <v/>
      </c>
    </row>
    <row r="52">
      <c r="A52" t="inlineStr">
        <is>
          <t>Panama</t>
        </is>
      </c>
      <c r="B52" t="inlineStr">
        <is>
          <t>Latin America</t>
        </is>
      </c>
      <c r="C52" s="5" t="inlineStr">
        <is>
          <t>PANAMA 3.16 01/23/30 Govt</t>
        </is>
      </c>
      <c r="D52" s="5" t="inlineStr">
        <is>
          <t>JBCDPANA Index</t>
        </is>
      </c>
      <c r="E52" s="6">
        <f>IFERROR(BDP(C52,"RTG_SP"),"")</f>
        <v/>
      </c>
      <c r="F52" s="6">
        <f>IFERROR(BDP(C52,"RTG_MDY"),"")</f>
        <v/>
      </c>
      <c r="G52" s="6">
        <f>IFERROR(BDP(C52,"RTG_FITCH"),"")</f>
        <v/>
      </c>
      <c r="H52" s="6">
        <f>IFERROR(BDP(C52,"BB_COMPOSITE"),"")</f>
        <v/>
      </c>
      <c r="I52" s="7">
        <f>IFERROR(VLOOKUP(H52,'Rating Lookup'!$A$4:$C$26,3,FALSE),IFERROR(VLOOKUP(H52,'Rating Lookup'!$B$4:$C$26,2,FALSE),""))</f>
        <v/>
      </c>
      <c r="J52" s="8">
        <f>IFERROR(BDP(D52,"PX_LAST"),"")</f>
        <v/>
      </c>
      <c r="K52" s="8">
        <f>IFERROR(AVERAGEIFS($J$7:$J$76,$I$7:$I$76,I52),"")</f>
        <v/>
      </c>
      <c r="L52" s="8">
        <f>IFERROR(J52-K52,"")</f>
        <v/>
      </c>
      <c r="M52" s="9">
        <f>IF(OR(I52="",J52="",K52=""),"",IF(L52&gt;0,"Cheap","Expensive"))</f>
        <v/>
      </c>
      <c r="N52" s="10">
        <f>IFERROR(L52/STDEV.P(IF($I$7:$I$76=I52,$J$7:$J$76)),"")</f>
        <v/>
      </c>
    </row>
    <row r="53">
      <c r="A53" t="inlineStr">
        <is>
          <t>Paraguay</t>
        </is>
      </c>
      <c r="B53" t="inlineStr">
        <is>
          <t>Latin America</t>
        </is>
      </c>
      <c r="C53" s="5" t="inlineStr">
        <is>
          <t>PARGUY 5.4 03/30/50 Govt</t>
        </is>
      </c>
      <c r="D53" s="5" t="inlineStr">
        <is>
          <t>JBCDPARA Index</t>
        </is>
      </c>
      <c r="E53" s="6">
        <f>IFERROR(BDP(C53,"RTG_SP"),"")</f>
        <v/>
      </c>
      <c r="F53" s="6">
        <f>IFERROR(BDP(C53,"RTG_MDY"),"")</f>
        <v/>
      </c>
      <c r="G53" s="6">
        <f>IFERROR(BDP(C53,"RTG_FITCH"),"")</f>
        <v/>
      </c>
      <c r="H53" s="6">
        <f>IFERROR(BDP(C53,"BB_COMPOSITE"),"")</f>
        <v/>
      </c>
      <c r="I53" s="7">
        <f>IFERROR(VLOOKUP(H53,'Rating Lookup'!$A$4:$C$26,3,FALSE),IFERROR(VLOOKUP(H53,'Rating Lookup'!$B$4:$C$26,2,FALSE),""))</f>
        <v/>
      </c>
      <c r="J53" s="8">
        <f>IFERROR(BDP(D53,"PX_LAST"),"")</f>
        <v/>
      </c>
      <c r="K53" s="8">
        <f>IFERROR(AVERAGEIFS($J$7:$J$76,$I$7:$I$76,I53),"")</f>
        <v/>
      </c>
      <c r="L53" s="8">
        <f>IFERROR(J53-K53,"")</f>
        <v/>
      </c>
      <c r="M53" s="9">
        <f>IF(OR(I53="",J53="",K53=""),"",IF(L53&gt;0,"Cheap","Expensive"))</f>
        <v/>
      </c>
      <c r="N53" s="10">
        <f>IFERROR(L53/STDEV.P(IF($I$7:$I$76=I53,$J$7:$J$76)),"")</f>
        <v/>
      </c>
    </row>
    <row r="54">
      <c r="A54" t="inlineStr">
        <is>
          <t>Peru</t>
        </is>
      </c>
      <c r="B54" t="inlineStr">
        <is>
          <t>Latin America</t>
        </is>
      </c>
      <c r="C54" s="5" t="inlineStr">
        <is>
          <t>PERU 2.844 06/20/30 Govt</t>
        </is>
      </c>
      <c r="D54" s="5" t="inlineStr">
        <is>
          <t>JBCDPERU Index</t>
        </is>
      </c>
      <c r="E54" s="6">
        <f>IFERROR(BDP(C54,"RTG_SP"),"")</f>
        <v/>
      </c>
      <c r="F54" s="6">
        <f>IFERROR(BDP(C54,"RTG_MDY"),"")</f>
        <v/>
      </c>
      <c r="G54" s="6">
        <f>IFERROR(BDP(C54,"RTG_FITCH"),"")</f>
        <v/>
      </c>
      <c r="H54" s="6">
        <f>IFERROR(BDP(C54,"BB_COMPOSITE"),"")</f>
        <v/>
      </c>
      <c r="I54" s="7">
        <f>IFERROR(VLOOKUP(H54,'Rating Lookup'!$A$4:$C$26,3,FALSE),IFERROR(VLOOKUP(H54,'Rating Lookup'!$B$4:$C$26,2,FALSE),""))</f>
        <v/>
      </c>
      <c r="J54" s="8">
        <f>IFERROR(BDP(D54,"PX_LAST"),"")</f>
        <v/>
      </c>
      <c r="K54" s="8">
        <f>IFERROR(AVERAGEIFS($J$7:$J$76,$I$7:$I$76,I54),"")</f>
        <v/>
      </c>
      <c r="L54" s="8">
        <f>IFERROR(J54-K54,"")</f>
        <v/>
      </c>
      <c r="M54" s="9">
        <f>IF(OR(I54="",J54="",K54=""),"",IF(L54&gt;0,"Cheap","Expensive"))</f>
        <v/>
      </c>
      <c r="N54" s="10">
        <f>IFERROR(L54/STDEV.P(IF($I$7:$I$76=I54,$J$7:$J$76)),"")</f>
        <v/>
      </c>
    </row>
    <row r="55">
      <c r="A55" t="inlineStr">
        <is>
          <t>Philippines</t>
        </is>
      </c>
      <c r="B55" t="inlineStr">
        <is>
          <t>Asia</t>
        </is>
      </c>
      <c r="C55" s="5" t="inlineStr">
        <is>
          <t>PHILIP 2.95 05/05/45 Govt</t>
        </is>
      </c>
      <c r="D55" s="5" t="inlineStr">
        <is>
          <t>JBCDPHIL Index</t>
        </is>
      </c>
      <c r="E55" s="6">
        <f>IFERROR(BDP(C55,"RTG_SP"),"")</f>
        <v/>
      </c>
      <c r="F55" s="6">
        <f>IFERROR(BDP(C55,"RTG_MDY"),"")</f>
        <v/>
      </c>
      <c r="G55" s="6">
        <f>IFERROR(BDP(C55,"RTG_FITCH"),"")</f>
        <v/>
      </c>
      <c r="H55" s="6">
        <f>IFERROR(BDP(C55,"BB_COMPOSITE"),"")</f>
        <v/>
      </c>
      <c r="I55" s="7">
        <f>IFERROR(VLOOKUP(H55,'Rating Lookup'!$A$4:$C$26,3,FALSE),IFERROR(VLOOKUP(H55,'Rating Lookup'!$B$4:$C$26,2,FALSE),""))</f>
        <v/>
      </c>
      <c r="J55" s="8">
        <f>IFERROR(BDP(D55,"PX_LAST"),"")</f>
        <v/>
      </c>
      <c r="K55" s="8">
        <f>IFERROR(AVERAGEIFS($J$7:$J$76,$I$7:$I$76,I55),"")</f>
        <v/>
      </c>
      <c r="L55" s="8">
        <f>IFERROR(J55-K55,"")</f>
        <v/>
      </c>
      <c r="M55" s="9">
        <f>IF(OR(I55="",J55="",K55=""),"",IF(L55&gt;0,"Cheap","Expensive"))</f>
        <v/>
      </c>
      <c r="N55" s="10">
        <f>IFERROR(L55/STDEV.P(IF($I$7:$I$76=I55,$J$7:$J$76)),"")</f>
        <v/>
      </c>
    </row>
    <row r="56">
      <c r="A56" t="inlineStr">
        <is>
          <t>Poland</t>
        </is>
      </c>
      <c r="B56" t="inlineStr">
        <is>
          <t>EMEA</t>
        </is>
      </c>
      <c r="C56" s="5" t="inlineStr">
        <is>
          <t>POLAND 3 03/17/23 Govt</t>
        </is>
      </c>
      <c r="D56" s="5" t="inlineStr">
        <is>
          <t>JBCDPOLA Index</t>
        </is>
      </c>
      <c r="E56" s="6">
        <f>IFERROR(BDP(C56,"RTG_SP"),"")</f>
        <v/>
      </c>
      <c r="F56" s="6">
        <f>IFERROR(BDP(C56,"RTG_MDY"),"")</f>
        <v/>
      </c>
      <c r="G56" s="6">
        <f>IFERROR(BDP(C56,"RTG_FITCH"),"")</f>
        <v/>
      </c>
      <c r="H56" s="6">
        <f>IFERROR(BDP(C56,"BB_COMPOSITE"),"")</f>
        <v/>
      </c>
      <c r="I56" s="7">
        <f>IFERROR(VLOOKUP(H56,'Rating Lookup'!$A$4:$C$26,3,FALSE),IFERROR(VLOOKUP(H56,'Rating Lookup'!$B$4:$C$26,2,FALSE),""))</f>
        <v/>
      </c>
      <c r="J56" s="8">
        <f>IFERROR(BDP(D56,"PX_LAST"),"")</f>
        <v/>
      </c>
      <c r="K56" s="8">
        <f>IFERROR(AVERAGEIFS($J$7:$J$76,$I$7:$I$76,I56),"")</f>
        <v/>
      </c>
      <c r="L56" s="8">
        <f>IFERROR(J56-K56,"")</f>
        <v/>
      </c>
      <c r="M56" s="9">
        <f>IF(OR(I56="",J56="",K56=""),"",IF(L56&gt;0,"Cheap","Expensive"))</f>
        <v/>
      </c>
      <c r="N56" s="10">
        <f>IFERROR(L56/STDEV.P(IF($I$7:$I$76=I56,$J$7:$J$76)),"")</f>
        <v/>
      </c>
    </row>
    <row r="57">
      <c r="A57" t="inlineStr">
        <is>
          <t>Qatar</t>
        </is>
      </c>
      <c r="B57" t="inlineStr">
        <is>
          <t>Middle East</t>
        </is>
      </c>
      <c r="C57" s="5" t="inlineStr">
        <is>
          <t>QATAR 3 3/8 03/14/24 Govt</t>
        </is>
      </c>
      <c r="D57" s="5" t="inlineStr">
        <is>
          <t>JBCDQATR Index</t>
        </is>
      </c>
      <c r="E57" s="6">
        <f>IFERROR(BDP(C57,"RTG_SP"),"")</f>
        <v/>
      </c>
      <c r="F57" s="6">
        <f>IFERROR(BDP(C57,"RTG_MDY"),"")</f>
        <v/>
      </c>
      <c r="G57" s="6">
        <f>IFERROR(BDP(C57,"RTG_FITCH"),"")</f>
        <v/>
      </c>
      <c r="H57" s="6">
        <f>IFERROR(BDP(C57,"BB_COMPOSITE"),"")</f>
        <v/>
      </c>
      <c r="I57" s="7">
        <f>IFERROR(VLOOKUP(H57,'Rating Lookup'!$A$4:$C$26,3,FALSE),IFERROR(VLOOKUP(H57,'Rating Lookup'!$B$4:$C$26,2,FALSE),""))</f>
        <v/>
      </c>
      <c r="J57" s="8">
        <f>IFERROR(BDP(D57,"PX_LAST"),"")</f>
        <v/>
      </c>
      <c r="K57" s="8">
        <f>IFERROR(AVERAGEIFS($J$7:$J$76,$I$7:$I$76,I57),"")</f>
        <v/>
      </c>
      <c r="L57" s="8">
        <f>IFERROR(J57-K57,"")</f>
        <v/>
      </c>
      <c r="M57" s="9">
        <f>IF(OR(I57="",J57="",K57=""),"",IF(L57&gt;0,"Cheap","Expensive"))</f>
        <v/>
      </c>
      <c r="N57" s="10">
        <f>IFERROR(L57/STDEV.P(IF($I$7:$I$76=I57,$J$7:$J$76)),"")</f>
        <v/>
      </c>
    </row>
    <row r="58">
      <c r="A58" t="inlineStr">
        <is>
          <t>Romania</t>
        </is>
      </c>
      <c r="B58" t="inlineStr">
        <is>
          <t>EMEA</t>
        </is>
      </c>
      <c r="C58" s="5" t="inlineStr">
        <is>
          <t>ROMANI 3 02/14/31 Govt</t>
        </is>
      </c>
      <c r="D58" s="5" t="inlineStr">
        <is>
          <t>JBCDROMA Index</t>
        </is>
      </c>
      <c r="E58" s="6">
        <f>IFERROR(BDP(C58,"RTG_SP"),"")</f>
        <v/>
      </c>
      <c r="F58" s="6">
        <f>IFERROR(BDP(C58,"RTG_MDY"),"")</f>
        <v/>
      </c>
      <c r="G58" s="6">
        <f>IFERROR(BDP(C58,"RTG_FITCH"),"")</f>
        <v/>
      </c>
      <c r="H58" s="6">
        <f>IFERROR(BDP(C58,"BB_COMPOSITE"),"")</f>
        <v/>
      </c>
      <c r="I58" s="7">
        <f>IFERROR(VLOOKUP(H58,'Rating Lookup'!$A$4:$C$26,3,FALSE),IFERROR(VLOOKUP(H58,'Rating Lookup'!$B$4:$C$26,2,FALSE),""))</f>
        <v/>
      </c>
      <c r="J58" s="8">
        <f>IFERROR(BDP(D58,"PX_LAST"),"")</f>
        <v/>
      </c>
      <c r="K58" s="8">
        <f>IFERROR(AVERAGEIFS($J$7:$J$76,$I$7:$I$76,I58),"")</f>
        <v/>
      </c>
      <c r="L58" s="8">
        <f>IFERROR(J58-K58,"")</f>
        <v/>
      </c>
      <c r="M58" s="9">
        <f>IF(OR(I58="",J58="",K58=""),"",IF(L58&gt;0,"Cheap","Expensive"))</f>
        <v/>
      </c>
      <c r="N58" s="10">
        <f>IFERROR(L58/STDEV.P(IF($I$7:$I$76=I58,$J$7:$J$76)),"")</f>
        <v/>
      </c>
    </row>
    <row r="59">
      <c r="A59" t="inlineStr">
        <is>
          <t>Russia</t>
        </is>
      </c>
      <c r="B59" t="inlineStr">
        <is>
          <t>EMEA</t>
        </is>
      </c>
      <c r="C59" s="5" t="inlineStr">
        <is>
          <t>RUSSIA 5 1/4 06/23/47 Govt</t>
        </is>
      </c>
      <c r="D59" s="5" t="inlineStr">
        <is>
          <t>JBCDRUSS Index</t>
        </is>
      </c>
      <c r="E59" s="6">
        <f>IFERROR(BDP(C59,"RTG_SP"),"")</f>
        <v/>
      </c>
      <c r="F59" s="6">
        <f>IFERROR(BDP(C59,"RTG_MDY"),"")</f>
        <v/>
      </c>
      <c r="G59" s="6">
        <f>IFERROR(BDP(C59,"RTG_FITCH"),"")</f>
        <v/>
      </c>
      <c r="H59" s="6">
        <f>IFERROR(BDP(C59,"BB_COMPOSITE"),"")</f>
        <v/>
      </c>
      <c r="I59" s="7">
        <f>IFERROR(VLOOKUP(H59,'Rating Lookup'!$A$4:$C$26,3,FALSE),IFERROR(VLOOKUP(H59,'Rating Lookup'!$B$4:$C$26,2,FALSE),""))</f>
        <v/>
      </c>
      <c r="J59" s="8">
        <f>IFERROR(BDP(D59,"PX_LAST"),"")</f>
        <v/>
      </c>
      <c r="K59" s="8">
        <f>IFERROR(AVERAGEIFS($J$7:$J$76,$I$7:$I$76,I59),"")</f>
        <v/>
      </c>
      <c r="L59" s="8">
        <f>IFERROR(J59-K59,"")</f>
        <v/>
      </c>
      <c r="M59" s="9">
        <f>IF(OR(I59="",J59="",K59=""),"",IF(L59&gt;0,"Cheap","Expensive"))</f>
        <v/>
      </c>
      <c r="N59" s="10">
        <f>IFERROR(L59/STDEV.P(IF($I$7:$I$76=I59,$J$7:$J$76)),"")</f>
        <v/>
      </c>
    </row>
    <row r="60">
      <c r="A60" t="inlineStr">
        <is>
          <t>Saudi Arabia</t>
        </is>
      </c>
      <c r="B60" t="inlineStr">
        <is>
          <t>Middle East</t>
        </is>
      </c>
      <c r="C60" s="5" t="inlineStr">
        <is>
          <t>KSA 4 1/2 04/17/30 Govt</t>
        </is>
      </c>
      <c r="D60" s="5" t="inlineStr">
        <is>
          <t>JBCDSAUA Index</t>
        </is>
      </c>
      <c r="E60" s="6">
        <f>IFERROR(BDP(C60,"RTG_SP"),"")</f>
        <v/>
      </c>
      <c r="F60" s="6">
        <f>IFERROR(BDP(C60,"RTG_MDY"),"")</f>
        <v/>
      </c>
      <c r="G60" s="6">
        <f>IFERROR(BDP(C60,"RTG_FITCH"),"")</f>
        <v/>
      </c>
      <c r="H60" s="6">
        <f>IFERROR(BDP(C60,"BB_COMPOSITE"),"")</f>
        <v/>
      </c>
      <c r="I60" s="7">
        <f>IFERROR(VLOOKUP(H60,'Rating Lookup'!$A$4:$C$26,3,FALSE),IFERROR(VLOOKUP(H60,'Rating Lookup'!$B$4:$C$26,2,FALSE),""))</f>
        <v/>
      </c>
      <c r="J60" s="8">
        <f>IFERROR(BDP(D60,"PX_LAST"),"")</f>
        <v/>
      </c>
      <c r="K60" s="8">
        <f>IFERROR(AVERAGEIFS($J$7:$J$76,$I$7:$I$76,I60),"")</f>
        <v/>
      </c>
      <c r="L60" s="8">
        <f>IFERROR(J60-K60,"")</f>
        <v/>
      </c>
      <c r="M60" s="9">
        <f>IF(OR(I60="",J60="",K60=""),"",IF(L60&gt;0,"Cheap","Expensive"))</f>
        <v/>
      </c>
      <c r="N60" s="10">
        <f>IFERROR(L60/STDEV.P(IF($I$7:$I$76=I60,$J$7:$J$76)),"")</f>
        <v/>
      </c>
    </row>
    <row r="61">
      <c r="A61" t="inlineStr">
        <is>
          <t>Senegal</t>
        </is>
      </c>
      <c r="B61" t="inlineStr">
        <is>
          <t>Africa</t>
        </is>
      </c>
      <c r="C61" s="5" t="inlineStr">
        <is>
          <t>SENEGL 6 1/4 05/23/33 Govt</t>
        </is>
      </c>
      <c r="D61" s="5" t="inlineStr">
        <is>
          <t>JBCDSENL Index</t>
        </is>
      </c>
      <c r="E61" s="6">
        <f>IFERROR(BDP(C61,"RTG_SP"),"")</f>
        <v/>
      </c>
      <c r="F61" s="6">
        <f>IFERROR(BDP(C61,"RTG_MDY"),"")</f>
        <v/>
      </c>
      <c r="G61" s="6">
        <f>IFERROR(BDP(C61,"RTG_FITCH"),"")</f>
        <v/>
      </c>
      <c r="H61" s="6">
        <f>IFERROR(BDP(C61,"BB_COMPOSITE"),"")</f>
        <v/>
      </c>
      <c r="I61" s="7">
        <f>IFERROR(VLOOKUP(H61,'Rating Lookup'!$A$4:$C$26,3,FALSE),IFERROR(VLOOKUP(H61,'Rating Lookup'!$B$4:$C$26,2,FALSE),""))</f>
        <v/>
      </c>
      <c r="J61" s="8">
        <f>IFERROR(BDP(D61,"PX_LAST"),"")</f>
        <v/>
      </c>
      <c r="K61" s="8">
        <f>IFERROR(AVERAGEIFS($J$7:$J$76,$I$7:$I$76,I61),"")</f>
        <v/>
      </c>
      <c r="L61" s="8">
        <f>IFERROR(J61-K61,"")</f>
        <v/>
      </c>
      <c r="M61" s="9">
        <f>IF(OR(I61="",J61="",K61=""),"",IF(L61&gt;0,"Cheap","Expensive"))</f>
        <v/>
      </c>
      <c r="N61" s="10">
        <f>IFERROR(L61/STDEV.P(IF($I$7:$I$76=I61,$J$7:$J$76)),"")</f>
        <v/>
      </c>
    </row>
    <row r="62">
      <c r="A62" t="inlineStr">
        <is>
          <t>Serbia</t>
        </is>
      </c>
      <c r="B62" t="inlineStr">
        <is>
          <t>EMEA</t>
        </is>
      </c>
      <c r="C62" s="5" t="inlineStr">
        <is>
          <t>SERBIA 2 1/8 12/01/30 Govt</t>
        </is>
      </c>
      <c r="D62" s="5" t="inlineStr">
        <is>
          <t>JBCDSERB Index</t>
        </is>
      </c>
      <c r="E62" s="6">
        <f>IFERROR(BDP(C62,"RTG_SP"),"")</f>
        <v/>
      </c>
      <c r="F62" s="6">
        <f>IFERROR(BDP(C62,"RTG_MDY"),"")</f>
        <v/>
      </c>
      <c r="G62" s="6">
        <f>IFERROR(BDP(C62,"RTG_FITCH"),"")</f>
        <v/>
      </c>
      <c r="H62" s="6">
        <f>IFERROR(BDP(C62,"BB_COMPOSITE"),"")</f>
        <v/>
      </c>
      <c r="I62" s="7">
        <f>IFERROR(VLOOKUP(H62,'Rating Lookup'!$A$4:$C$26,3,FALSE),IFERROR(VLOOKUP(H62,'Rating Lookup'!$B$4:$C$26,2,FALSE),""))</f>
        <v/>
      </c>
      <c r="J62" s="8">
        <f>IFERROR(BDP(D62,"PX_LAST"),"")</f>
        <v/>
      </c>
      <c r="K62" s="8">
        <f>IFERROR(AVERAGEIFS($J$7:$J$76,$I$7:$I$76,I62),"")</f>
        <v/>
      </c>
      <c r="L62" s="8">
        <f>IFERROR(J62-K62,"")</f>
        <v/>
      </c>
      <c r="M62" s="9">
        <f>IF(OR(I62="",J62="",K62=""),"",IF(L62&gt;0,"Cheap","Expensive"))</f>
        <v/>
      </c>
      <c r="N62" s="10">
        <f>IFERROR(L62/STDEV.P(IF($I$7:$I$76=I62,$J$7:$J$76)),"")</f>
        <v/>
      </c>
    </row>
    <row r="63">
      <c r="A63" t="inlineStr">
        <is>
          <t>South Africa</t>
        </is>
      </c>
      <c r="B63" t="inlineStr">
        <is>
          <t>Africa</t>
        </is>
      </c>
      <c r="C63" s="5" t="inlineStr">
        <is>
          <t>SOAF 5 7/8 06/22/30 Govt</t>
        </is>
      </c>
      <c r="D63" s="5" t="inlineStr">
        <is>
          <t>JBCDSOAF Index</t>
        </is>
      </c>
      <c r="E63" s="6">
        <f>IFERROR(BDP(C63,"RTG_SP"),"")</f>
        <v/>
      </c>
      <c r="F63" s="6">
        <f>IFERROR(BDP(C63,"RTG_MDY"),"")</f>
        <v/>
      </c>
      <c r="G63" s="6">
        <f>IFERROR(BDP(C63,"RTG_FITCH"),"")</f>
        <v/>
      </c>
      <c r="H63" s="6">
        <f>IFERROR(BDP(C63,"BB_COMPOSITE"),"")</f>
        <v/>
      </c>
      <c r="I63" s="7">
        <f>IFERROR(VLOOKUP(H63,'Rating Lookup'!$A$4:$C$26,3,FALSE),IFERROR(VLOOKUP(H63,'Rating Lookup'!$B$4:$C$26,2,FALSE),""))</f>
        <v/>
      </c>
      <c r="J63" s="8">
        <f>IFERROR(BDP(D63,"PX_LAST"),"")</f>
        <v/>
      </c>
      <c r="K63" s="8">
        <f>IFERROR(AVERAGEIFS($J$7:$J$76,$I$7:$I$76,I63),"")</f>
        <v/>
      </c>
      <c r="L63" s="8">
        <f>IFERROR(J63-K63,"")</f>
        <v/>
      </c>
      <c r="M63" s="9">
        <f>IF(OR(I63="",J63="",K63=""),"",IF(L63&gt;0,"Cheap","Expensive"))</f>
        <v/>
      </c>
      <c r="N63" s="10">
        <f>IFERROR(L63/STDEV.P(IF($I$7:$I$76=I63,$J$7:$J$76)),"")</f>
        <v/>
      </c>
    </row>
    <row r="64">
      <c r="A64" t="inlineStr">
        <is>
          <t>Sri Lanka</t>
        </is>
      </c>
      <c r="B64" t="inlineStr">
        <is>
          <t>Asia</t>
        </is>
      </c>
      <c r="C64" s="5" t="inlineStr">
        <is>
          <t>SRILAN 6.85 11/03/25 Govt</t>
        </is>
      </c>
      <c r="D64" s="5" t="inlineStr">
        <is>
          <t>JBCDSRLK Index</t>
        </is>
      </c>
      <c r="E64" s="6">
        <f>IFERROR(BDP(C64,"RTG_SP"),"")</f>
        <v/>
      </c>
      <c r="F64" s="6">
        <f>IFERROR(BDP(C64,"RTG_MDY"),"")</f>
        <v/>
      </c>
      <c r="G64" s="6">
        <f>IFERROR(BDP(C64,"RTG_FITCH"),"")</f>
        <v/>
      </c>
      <c r="H64" s="6">
        <f>IFERROR(BDP(C64,"BB_COMPOSITE"),"")</f>
        <v/>
      </c>
      <c r="I64" s="7">
        <f>IFERROR(VLOOKUP(H64,'Rating Lookup'!$A$4:$C$26,3,FALSE),IFERROR(VLOOKUP(H64,'Rating Lookup'!$B$4:$C$26,2,FALSE),""))</f>
        <v/>
      </c>
      <c r="J64" s="8">
        <f>IFERROR(BDP(D64,"PX_LAST"),"")</f>
        <v/>
      </c>
      <c r="K64" s="8">
        <f>IFERROR(AVERAGEIFS($J$7:$J$76,$I$7:$I$76,I64),"")</f>
        <v/>
      </c>
      <c r="L64" s="8">
        <f>IFERROR(J64-K64,"")</f>
        <v/>
      </c>
      <c r="M64" s="9">
        <f>IF(OR(I64="",J64="",K64=""),"",IF(L64&gt;0,"Cheap","Expensive"))</f>
        <v/>
      </c>
      <c r="N64" s="10">
        <f>IFERROR(L64/STDEV.P(IF($I$7:$I$76=I64,$J$7:$J$76)),"")</f>
        <v/>
      </c>
    </row>
    <row r="65">
      <c r="A65" t="inlineStr">
        <is>
          <t>Suriname</t>
        </is>
      </c>
      <c r="B65" t="inlineStr">
        <is>
          <t>Latin America</t>
        </is>
      </c>
      <c r="C65" s="5" t="inlineStr">
        <is>
          <t>SURINM 9 1/4 10/26/26 Govt</t>
        </is>
      </c>
      <c r="D65" s="5" t="inlineStr">
        <is>
          <t>JBCDSURM Index</t>
        </is>
      </c>
      <c r="E65" s="6">
        <f>IFERROR(BDP(C65,"RTG_SP"),"")</f>
        <v/>
      </c>
      <c r="F65" s="6">
        <f>IFERROR(BDP(C65,"RTG_MDY"),"")</f>
        <v/>
      </c>
      <c r="G65" s="6">
        <f>IFERROR(BDP(C65,"RTG_FITCH"),"")</f>
        <v/>
      </c>
      <c r="H65" s="6">
        <f>IFERROR(BDP(C65,"BB_COMPOSITE"),"")</f>
        <v/>
      </c>
      <c r="I65" s="7">
        <f>IFERROR(VLOOKUP(H65,'Rating Lookup'!$A$4:$C$26,3,FALSE),IFERROR(VLOOKUP(H65,'Rating Lookup'!$B$4:$C$26,2,FALSE),""))</f>
        <v/>
      </c>
      <c r="J65" s="8">
        <f>IFERROR(BDP(D65,"PX_LAST"),"")</f>
        <v/>
      </c>
      <c r="K65" s="8">
        <f>IFERROR(AVERAGEIFS($J$7:$J$76,$I$7:$I$76,I65),"")</f>
        <v/>
      </c>
      <c r="L65" s="8">
        <f>IFERROR(J65-K65,"")</f>
        <v/>
      </c>
      <c r="M65" s="9">
        <f>IF(OR(I65="",J65="",K65=""),"",IF(L65&gt;0,"Cheap","Expensive"))</f>
        <v/>
      </c>
      <c r="N65" s="10">
        <f>IFERROR(L65/STDEV.P(IF($I$7:$I$76=I65,$J$7:$J$76)),"")</f>
        <v/>
      </c>
    </row>
    <row r="66">
      <c r="A66" t="inlineStr">
        <is>
          <t>Tajikistan</t>
        </is>
      </c>
      <c r="B66" t="inlineStr">
        <is>
          <t>Asia</t>
        </is>
      </c>
      <c r="C66" s="5" t="inlineStr">
        <is>
          <t>TAJIKI 7 1/8 09/14/27 Govt</t>
        </is>
      </c>
      <c r="D66" s="5" t="inlineStr">
        <is>
          <t>JBCDTAJI Index</t>
        </is>
      </c>
      <c r="E66" s="6">
        <f>IFERROR(BDP(C66,"RTG_SP"),"")</f>
        <v/>
      </c>
      <c r="F66" s="6">
        <f>IFERROR(BDP(C66,"RTG_MDY"),"")</f>
        <v/>
      </c>
      <c r="G66" s="6">
        <f>IFERROR(BDP(C66,"RTG_FITCH"),"")</f>
        <v/>
      </c>
      <c r="H66" s="6">
        <f>IFERROR(BDP(C66,"BB_COMPOSITE"),"")</f>
        <v/>
      </c>
      <c r="I66" s="7">
        <f>IFERROR(VLOOKUP(H66,'Rating Lookup'!$A$4:$C$26,3,FALSE),IFERROR(VLOOKUP(H66,'Rating Lookup'!$B$4:$C$26,2,FALSE),""))</f>
        <v/>
      </c>
      <c r="J66" s="8">
        <f>IFERROR(BDP(D66,"PX_LAST"),"")</f>
        <v/>
      </c>
      <c r="K66" s="8">
        <f>IFERROR(AVERAGEIFS($J$7:$J$76,$I$7:$I$76,I66),"")</f>
        <v/>
      </c>
      <c r="L66" s="8">
        <f>IFERROR(J66-K66,"")</f>
        <v/>
      </c>
      <c r="M66" s="9">
        <f>IF(OR(I66="",J66="",K66=""),"",IF(L66&gt;0,"Cheap","Expensive"))</f>
        <v/>
      </c>
      <c r="N66" s="10">
        <f>IFERROR(L66/STDEV.P(IF($I$7:$I$76=I66,$J$7:$J$76)),"")</f>
        <v/>
      </c>
    </row>
    <row r="67">
      <c r="A67" t="inlineStr">
        <is>
          <t>Trinidad &amp; Tobago</t>
        </is>
      </c>
      <c r="B67" t="inlineStr">
        <is>
          <t>Latin America</t>
        </is>
      </c>
      <c r="C67" s="5" t="inlineStr">
        <is>
          <t>TRITOB 4 1/2 08/04/26 Govt</t>
        </is>
      </c>
      <c r="D67" s="5" t="inlineStr">
        <is>
          <t>JBCDTTOB Index</t>
        </is>
      </c>
      <c r="E67" s="6">
        <f>IFERROR(BDP(C67,"RTG_SP"),"")</f>
        <v/>
      </c>
      <c r="F67" s="6">
        <f>IFERROR(BDP(C67,"RTG_MDY"),"")</f>
        <v/>
      </c>
      <c r="G67" s="6">
        <f>IFERROR(BDP(C67,"RTG_FITCH"),"")</f>
        <v/>
      </c>
      <c r="H67" s="6">
        <f>IFERROR(BDP(C67,"BB_COMPOSITE"),"")</f>
        <v/>
      </c>
      <c r="I67" s="7">
        <f>IFERROR(VLOOKUP(H67,'Rating Lookup'!$A$4:$C$26,3,FALSE),IFERROR(VLOOKUP(H67,'Rating Lookup'!$B$4:$C$26,2,FALSE),""))</f>
        <v/>
      </c>
      <c r="J67" s="8">
        <f>IFERROR(BDP(D67,"PX_LAST"),"")</f>
        <v/>
      </c>
      <c r="K67" s="8">
        <f>IFERROR(AVERAGEIFS($J$7:$J$76,$I$7:$I$76,I67),"")</f>
        <v/>
      </c>
      <c r="L67" s="8">
        <f>IFERROR(J67-K67,"")</f>
        <v/>
      </c>
      <c r="M67" s="9">
        <f>IF(OR(I67="",J67="",K67=""),"",IF(L67&gt;0,"Cheap","Expensive"))</f>
        <v/>
      </c>
      <c r="N67" s="10">
        <f>IFERROR(L67/STDEV.P(IF($I$7:$I$76=I67,$J$7:$J$76)),"")</f>
        <v/>
      </c>
    </row>
    <row r="68">
      <c r="A68" t="inlineStr">
        <is>
          <t>Tunisia</t>
        </is>
      </c>
      <c r="B68" t="inlineStr">
        <is>
          <t>Africa</t>
        </is>
      </c>
      <c r="C68" s="5" t="inlineStr">
        <is>
          <t>TUNIS 5 3/4 01/30/25 Govt</t>
        </is>
      </c>
      <c r="D68" s="5" t="inlineStr">
        <is>
          <t>JBCDTUNI Index</t>
        </is>
      </c>
      <c r="E68" s="6">
        <f>IFERROR(BDP(C68,"RTG_SP"),"")</f>
        <v/>
      </c>
      <c r="F68" s="6">
        <f>IFERROR(BDP(C68,"RTG_MDY"),"")</f>
        <v/>
      </c>
      <c r="G68" s="6">
        <f>IFERROR(BDP(C68,"RTG_FITCH"),"")</f>
        <v/>
      </c>
      <c r="H68" s="6">
        <f>IFERROR(BDP(C68,"BB_COMPOSITE"),"")</f>
        <v/>
      </c>
      <c r="I68" s="7">
        <f>IFERROR(VLOOKUP(H68,'Rating Lookup'!$A$4:$C$26,3,FALSE),IFERROR(VLOOKUP(H68,'Rating Lookup'!$B$4:$C$26,2,FALSE),""))</f>
        <v/>
      </c>
      <c r="J68" s="8">
        <f>IFERROR(BDP(D68,"PX_LAST"),"")</f>
        <v/>
      </c>
      <c r="K68" s="8">
        <f>IFERROR(AVERAGEIFS($J$7:$J$76,$I$7:$I$76,I68),"")</f>
        <v/>
      </c>
      <c r="L68" s="8">
        <f>IFERROR(J68-K68,"")</f>
        <v/>
      </c>
      <c r="M68" s="9">
        <f>IF(OR(I68="",J68="",K68=""),"",IF(L68&gt;0,"Cheap","Expensive"))</f>
        <v/>
      </c>
      <c r="N68" s="10">
        <f>IFERROR(L68/STDEV.P(IF($I$7:$I$76=I68,$J$7:$J$76)),"")</f>
        <v/>
      </c>
    </row>
    <row r="69">
      <c r="A69" t="inlineStr">
        <is>
          <t>Turkey</t>
        </is>
      </c>
      <c r="B69" t="inlineStr">
        <is>
          <t>EMEA</t>
        </is>
      </c>
      <c r="C69" s="5" t="inlineStr">
        <is>
          <t>TURKEY 5 1/8 02/17/28 Govt</t>
        </is>
      </c>
      <c r="D69" s="5" t="inlineStr">
        <is>
          <t>JBCDTURK Index</t>
        </is>
      </c>
      <c r="E69" s="6">
        <f>IFERROR(BDP(C69,"RTG_SP"),"")</f>
        <v/>
      </c>
      <c r="F69" s="6">
        <f>IFERROR(BDP(C69,"RTG_MDY"),"")</f>
        <v/>
      </c>
      <c r="G69" s="6">
        <f>IFERROR(BDP(C69,"RTG_FITCH"),"")</f>
        <v/>
      </c>
      <c r="H69" s="6">
        <f>IFERROR(BDP(C69,"BB_COMPOSITE"),"")</f>
        <v/>
      </c>
      <c r="I69" s="7">
        <f>IFERROR(VLOOKUP(H69,'Rating Lookup'!$A$4:$C$26,3,FALSE),IFERROR(VLOOKUP(H69,'Rating Lookup'!$B$4:$C$26,2,FALSE),""))</f>
        <v/>
      </c>
      <c r="J69" s="8">
        <f>IFERROR(BDP(D69,"PX_LAST"),"")</f>
        <v/>
      </c>
      <c r="K69" s="8">
        <f>IFERROR(AVERAGEIFS($J$7:$J$76,$I$7:$I$76,I69),"")</f>
        <v/>
      </c>
      <c r="L69" s="8">
        <f>IFERROR(J69-K69,"")</f>
        <v/>
      </c>
      <c r="M69" s="9">
        <f>IF(OR(I69="",J69="",K69=""),"",IF(L69&gt;0,"Cheap","Expensive"))</f>
        <v/>
      </c>
      <c r="N69" s="10">
        <f>IFERROR(L69/STDEV.P(IF($I$7:$I$76=I69,$J$7:$J$76)),"")</f>
        <v/>
      </c>
    </row>
    <row r="70">
      <c r="A70" t="inlineStr">
        <is>
          <t>UAE</t>
        </is>
      </c>
      <c r="B70" t="inlineStr">
        <is>
          <t>Middle East</t>
        </is>
      </c>
      <c r="C70" s="5" t="inlineStr">
        <is>
          <t>UAE 3 1/8 10/19/27 Govt</t>
        </is>
      </c>
      <c r="D70" s="5" t="inlineStr">
        <is>
          <t>JBCDUAEM Index</t>
        </is>
      </c>
      <c r="E70" s="6">
        <f>IFERROR(BDP(C70,"RTG_SP"),"")</f>
        <v/>
      </c>
      <c r="F70" s="6">
        <f>IFERROR(BDP(C70,"RTG_MDY"),"")</f>
        <v/>
      </c>
      <c r="G70" s="6">
        <f>IFERROR(BDP(C70,"RTG_FITCH"),"")</f>
        <v/>
      </c>
      <c r="H70" s="6">
        <f>IFERROR(BDP(C70,"BB_COMPOSITE"),"")</f>
        <v/>
      </c>
      <c r="I70" s="7">
        <f>IFERROR(VLOOKUP(H70,'Rating Lookup'!$A$4:$C$26,3,FALSE),IFERROR(VLOOKUP(H70,'Rating Lookup'!$B$4:$C$26,2,FALSE),""))</f>
        <v/>
      </c>
      <c r="J70" s="8">
        <f>IFERROR(BDP(D70,"PX_LAST"),"")</f>
        <v/>
      </c>
      <c r="K70" s="8">
        <f>IFERROR(AVERAGEIFS($J$7:$J$76,$I$7:$I$76,I70),"")</f>
        <v/>
      </c>
      <c r="L70" s="8">
        <f>IFERROR(J70-K70,"")</f>
        <v/>
      </c>
      <c r="M70" s="9">
        <f>IF(OR(I70="",J70="",K70=""),"",IF(L70&gt;0,"Cheap","Expensive"))</f>
        <v/>
      </c>
      <c r="N70" s="10">
        <f>IFERROR(L70/STDEV.P(IF($I$7:$I$76=I70,$J$7:$J$76)),"")</f>
        <v/>
      </c>
    </row>
    <row r="71">
      <c r="A71" t="inlineStr">
        <is>
          <t>Ukraine</t>
        </is>
      </c>
      <c r="B71" t="inlineStr">
        <is>
          <t>EMEA</t>
        </is>
      </c>
      <c r="C71" s="5" t="inlineStr">
        <is>
          <t>UKRAIN 7 3/4 09/01/26 Govt</t>
        </is>
      </c>
      <c r="D71" s="5" t="inlineStr">
        <is>
          <t>JBCDUKRA Index</t>
        </is>
      </c>
      <c r="E71" s="6">
        <f>IFERROR(BDP(C71,"RTG_SP"),"")</f>
        <v/>
      </c>
      <c r="F71" s="6">
        <f>IFERROR(BDP(C71,"RTG_MDY"),"")</f>
        <v/>
      </c>
      <c r="G71" s="6">
        <f>IFERROR(BDP(C71,"RTG_FITCH"),"")</f>
        <v/>
      </c>
      <c r="H71" s="6">
        <f>IFERROR(BDP(C71,"BB_COMPOSITE"),"")</f>
        <v/>
      </c>
      <c r="I71" s="7">
        <f>IFERROR(VLOOKUP(H71,'Rating Lookup'!$A$4:$C$26,3,FALSE),IFERROR(VLOOKUP(H71,'Rating Lookup'!$B$4:$C$26,2,FALSE),""))</f>
        <v/>
      </c>
      <c r="J71" s="8">
        <f>IFERROR(BDP(D71,"PX_LAST"),"")</f>
        <v/>
      </c>
      <c r="K71" s="8">
        <f>IFERROR(AVERAGEIFS($J$7:$J$76,$I$7:$I$76,I71),"")</f>
        <v/>
      </c>
      <c r="L71" s="8">
        <f>IFERROR(J71-K71,"")</f>
        <v/>
      </c>
      <c r="M71" s="9">
        <f>IF(OR(I71="",J71="",K71=""),"",IF(L71&gt;0,"Cheap","Expensive"))</f>
        <v/>
      </c>
      <c r="N71" s="10">
        <f>IFERROR(L71/STDEV.P(IF($I$7:$I$76=I71,$J$7:$J$76)),"")</f>
        <v/>
      </c>
    </row>
    <row r="72">
      <c r="A72" t="inlineStr">
        <is>
          <t>Uruguay</t>
        </is>
      </c>
      <c r="B72" t="inlineStr">
        <is>
          <t>Latin America</t>
        </is>
      </c>
      <c r="C72" s="5" t="inlineStr">
        <is>
          <t>URUGUY 4 3/8 01/23/31 Govt</t>
        </is>
      </c>
      <c r="D72" s="5" t="inlineStr">
        <is>
          <t>JBCDURGY Index</t>
        </is>
      </c>
      <c r="E72" s="6">
        <f>IFERROR(BDP(C72,"RTG_SP"),"")</f>
        <v/>
      </c>
      <c r="F72" s="6">
        <f>IFERROR(BDP(C72,"RTG_MDY"),"")</f>
        <v/>
      </c>
      <c r="G72" s="6">
        <f>IFERROR(BDP(C72,"RTG_FITCH"),"")</f>
        <v/>
      </c>
      <c r="H72" s="6">
        <f>IFERROR(BDP(C72,"BB_COMPOSITE"),"")</f>
        <v/>
      </c>
      <c r="I72" s="7">
        <f>IFERROR(VLOOKUP(H72,'Rating Lookup'!$A$4:$C$26,3,FALSE),IFERROR(VLOOKUP(H72,'Rating Lookup'!$B$4:$C$26,2,FALSE),""))</f>
        <v/>
      </c>
      <c r="J72" s="8">
        <f>IFERROR(BDP(D72,"PX_LAST"),"")</f>
        <v/>
      </c>
      <c r="K72" s="8">
        <f>IFERROR(AVERAGEIFS($J$7:$J$76,$I$7:$I$76,I72),"")</f>
        <v/>
      </c>
      <c r="L72" s="8">
        <f>IFERROR(J72-K72,"")</f>
        <v/>
      </c>
      <c r="M72" s="9">
        <f>IF(OR(I72="",J72="",K72=""),"",IF(L72&gt;0,"Cheap","Expensive"))</f>
        <v/>
      </c>
      <c r="N72" s="10">
        <f>IFERROR(L72/STDEV.P(IF($I$7:$I$76=I72,$J$7:$J$76)),"")</f>
        <v/>
      </c>
    </row>
    <row r="73">
      <c r="A73" t="inlineStr">
        <is>
          <t>Uzbekistan</t>
        </is>
      </c>
      <c r="B73" t="inlineStr">
        <is>
          <t>Asia</t>
        </is>
      </c>
      <c r="C73" s="5" t="inlineStr">
        <is>
          <t>UZBEK 3.7 11/25/30 Govt</t>
        </is>
      </c>
      <c r="D73" s="5" t="inlineStr">
        <is>
          <t>JBCDUZBK Index</t>
        </is>
      </c>
      <c r="E73" s="6">
        <f>IFERROR(BDP(C73,"RTG_SP"),"")</f>
        <v/>
      </c>
      <c r="F73" s="6">
        <f>IFERROR(BDP(C73,"RTG_MDY"),"")</f>
        <v/>
      </c>
      <c r="G73" s="6">
        <f>IFERROR(BDP(C73,"RTG_FITCH"),"")</f>
        <v/>
      </c>
      <c r="H73" s="6">
        <f>IFERROR(BDP(C73,"BB_COMPOSITE"),"")</f>
        <v/>
      </c>
      <c r="I73" s="7">
        <f>IFERROR(VLOOKUP(H73,'Rating Lookup'!$A$4:$C$26,3,FALSE),IFERROR(VLOOKUP(H73,'Rating Lookup'!$B$4:$C$26,2,FALSE),""))</f>
        <v/>
      </c>
      <c r="J73" s="8">
        <f>IFERROR(BDP(D73,"PX_LAST"),"")</f>
        <v/>
      </c>
      <c r="K73" s="8">
        <f>IFERROR(AVERAGEIFS($J$7:$J$76,$I$7:$I$76,I73),"")</f>
        <v/>
      </c>
      <c r="L73" s="8">
        <f>IFERROR(J73-K73,"")</f>
        <v/>
      </c>
      <c r="M73" s="9">
        <f>IF(OR(I73="",J73="",K73=""),"",IF(L73&gt;0,"Cheap","Expensive"))</f>
        <v/>
      </c>
      <c r="N73" s="10">
        <f>IFERROR(L73/STDEV.P(IF($I$7:$I$76=I73,$J$7:$J$76)),"")</f>
        <v/>
      </c>
    </row>
    <row r="74">
      <c r="A74" t="inlineStr">
        <is>
          <t>Venezuela</t>
        </is>
      </c>
      <c r="B74" t="inlineStr">
        <is>
          <t>Latin America</t>
        </is>
      </c>
      <c r="C74" s="5" t="inlineStr">
        <is>
          <t>VENZ 9 1/4 09/15/27 Govt</t>
        </is>
      </c>
      <c r="D74" s="5" t="inlineStr">
        <is>
          <t>JBCDVENZ Index</t>
        </is>
      </c>
      <c r="E74" s="6">
        <f>IFERROR(BDP(C74,"RTG_SP"),"")</f>
        <v/>
      </c>
      <c r="F74" s="6">
        <f>IFERROR(BDP(C74,"RTG_MDY"),"")</f>
        <v/>
      </c>
      <c r="G74" s="6">
        <f>IFERROR(BDP(C74,"RTG_FITCH"),"")</f>
        <v/>
      </c>
      <c r="H74" s="6">
        <f>IFERROR(BDP(C74,"BB_COMPOSITE"),"")</f>
        <v/>
      </c>
      <c r="I74" s="7">
        <f>IFERROR(VLOOKUP(H74,'Rating Lookup'!$A$4:$C$26,3,FALSE),IFERROR(VLOOKUP(H74,'Rating Lookup'!$B$4:$C$26,2,FALSE),""))</f>
        <v/>
      </c>
      <c r="J74" s="8">
        <f>IFERROR(BDP(D74,"PX_LAST"),"")</f>
        <v/>
      </c>
      <c r="K74" s="8">
        <f>IFERROR(AVERAGEIFS($J$7:$J$76,$I$7:$I$76,I74),"")</f>
        <v/>
      </c>
      <c r="L74" s="8">
        <f>IFERROR(J74-K74,"")</f>
        <v/>
      </c>
      <c r="M74" s="9">
        <f>IF(OR(I74="",J74="",K74=""),"",IF(L74&gt;0,"Cheap","Expensive"))</f>
        <v/>
      </c>
      <c r="N74" s="10">
        <f>IFERROR(L74/STDEV.P(IF($I$7:$I$76=I74,$J$7:$J$76)),"")</f>
        <v/>
      </c>
    </row>
    <row r="75">
      <c r="A75" t="inlineStr">
        <is>
          <t>Vietnam</t>
        </is>
      </c>
      <c r="B75" t="inlineStr">
        <is>
          <t>Asia</t>
        </is>
      </c>
      <c r="C75" s="5" t="inlineStr">
        <is>
          <t>VIETNM 4.8 11/19/24 Govt</t>
        </is>
      </c>
      <c r="D75" s="5" t="inlineStr">
        <is>
          <t>JBCDVIET Index</t>
        </is>
      </c>
      <c r="E75" s="6">
        <f>IFERROR(BDP(C75,"RTG_SP"),"")</f>
        <v/>
      </c>
      <c r="F75" s="6">
        <f>IFERROR(BDP(C75,"RTG_MDY"),"")</f>
        <v/>
      </c>
      <c r="G75" s="6">
        <f>IFERROR(BDP(C75,"RTG_FITCH"),"")</f>
        <v/>
      </c>
      <c r="H75" s="6">
        <f>IFERROR(BDP(C75,"BB_COMPOSITE"),"")</f>
        <v/>
      </c>
      <c r="I75" s="7">
        <f>IFERROR(VLOOKUP(H75,'Rating Lookup'!$A$4:$C$26,3,FALSE),IFERROR(VLOOKUP(H75,'Rating Lookup'!$B$4:$C$26,2,FALSE),""))</f>
        <v/>
      </c>
      <c r="J75" s="8">
        <f>IFERROR(BDP(D75,"PX_LAST"),"")</f>
        <v/>
      </c>
      <c r="K75" s="8">
        <f>IFERROR(AVERAGEIFS($J$7:$J$76,$I$7:$I$76,I75),"")</f>
        <v/>
      </c>
      <c r="L75" s="8">
        <f>IFERROR(J75-K75,"")</f>
        <v/>
      </c>
      <c r="M75" s="9">
        <f>IF(OR(I75="",J75="",K75=""),"",IF(L75&gt;0,"Cheap","Expensive"))</f>
        <v/>
      </c>
      <c r="N75" s="10">
        <f>IFERROR(L75/STDEV.P(IF($I$7:$I$76=I75,$J$7:$J$76)),"")</f>
        <v/>
      </c>
    </row>
    <row r="76">
      <c r="A76" t="inlineStr">
        <is>
          <t>Zambia</t>
        </is>
      </c>
      <c r="B76" t="inlineStr">
        <is>
          <t>Africa</t>
        </is>
      </c>
      <c r="C76" s="5" t="inlineStr">
        <is>
          <t>ZAMBIN 8 1/2 04/14/24 Govt</t>
        </is>
      </c>
      <c r="D76" s="5" t="inlineStr">
        <is>
          <t>JBCDZAMB Index</t>
        </is>
      </c>
      <c r="E76" s="6">
        <f>IFERROR(BDP(C76,"RTG_SP"),"")</f>
        <v/>
      </c>
      <c r="F76" s="6">
        <f>IFERROR(BDP(C76,"RTG_MDY"),"")</f>
        <v/>
      </c>
      <c r="G76" s="6">
        <f>IFERROR(BDP(C76,"RTG_FITCH"),"")</f>
        <v/>
      </c>
      <c r="H76" s="6">
        <f>IFERROR(BDP(C76,"BB_COMPOSITE"),"")</f>
        <v/>
      </c>
      <c r="I76" s="7">
        <f>IFERROR(VLOOKUP(H76,'Rating Lookup'!$A$4:$C$26,3,FALSE),IFERROR(VLOOKUP(H76,'Rating Lookup'!$B$4:$C$26,2,FALSE),""))</f>
        <v/>
      </c>
      <c r="J76" s="8">
        <f>IFERROR(BDP(D76,"PX_LAST"),"")</f>
        <v/>
      </c>
      <c r="K76" s="8">
        <f>IFERROR(AVERAGEIFS($J$7:$J$76,$I$7:$I$76,I76),"")</f>
        <v/>
      </c>
      <c r="L76" s="8">
        <f>IFERROR(J76-K76,"")</f>
        <v/>
      </c>
      <c r="M76" s="9">
        <f>IF(OR(I76="",J76="",K76=""),"",IF(L76&gt;0,"Cheap","Expensive"))</f>
        <v/>
      </c>
      <c r="N76" s="10">
        <f>IFERROR(L76/STDEV.P(IF($I$7:$I$76=I76,$J$7:$J$76)),"")</f>
        <v/>
      </c>
    </row>
    <row r="78">
      <c r="A78" s="11" t="inlineStr">
        <is>
          <t>Notes:</t>
        </is>
      </c>
    </row>
    <row r="79">
      <c r="A79" s="12" t="inlineStr">
        <is>
          <t>• Blue text = Bloomberg ticker you can edit. If a ticker doesn't resolve, replace it with the working one.</t>
        </is>
      </c>
    </row>
    <row r="80">
      <c r="A80" s="12" t="inlineStr">
        <is>
          <t>• Sovereign Bond Ticker is used only to pull RTG_SP / RTG_MDY / RTG_FITCH / BB_COMPOSITE. Any liquid USD sovereign bond for that issuer will work.</t>
        </is>
      </c>
    </row>
    <row r="81">
      <c r="A81" s="12" t="inlineStr">
        <is>
          <t>• EMBI Sub-Index Ticker (JBCDxxxx Index) — the PX_LAST of the JPM EMBIG-Diversified country sub-index is the Z-spread in bps.</t>
        </is>
      </c>
    </row>
    <row r="82">
      <c r="A82" s="12" t="inlineStr">
        <is>
          <t>• Numeric rating uses the BBG Composite. Edit column I if you'd rather drive peer buckets off S&amp;P (=VLOOKUP(E7,'Rating Lookup'!$A$4:$C$26,3,FALSE)).</t>
        </is>
      </c>
    </row>
    <row r="83">
      <c r="A83" s="12" t="inlineStr">
        <is>
          <t>• 'Cheap' means the country trades WIDER than its rating peers (more spread for similar risk). 'Expensive' means TIGHTER than peers.</t>
        </is>
      </c>
    </row>
    <row r="84">
      <c r="A84" s="12" t="inlineStr">
        <is>
          <t>• Z-Score = (spread − peer avg) / population stdev of peer spreads. Entered as an array formula — works in Excel 365/2021 dynamic arrays; on legacy Excel press Ctrl+Shift+Enter.</t>
        </is>
      </c>
    </row>
  </sheetData>
  <mergeCells count="7">
    <mergeCell ref="A1:N1"/>
    <mergeCell ref="A79:N79"/>
    <mergeCell ref="A83:N83"/>
    <mergeCell ref="A82:N82"/>
    <mergeCell ref="A81:N81"/>
    <mergeCell ref="A84:N84"/>
    <mergeCell ref="A80:N80"/>
  </mergeCells>
  <conditionalFormatting sqref="L7:L76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7:M76">
    <cfRule type="cellIs" priority="2" operator="equal" dxfId="0">
      <formula>"Cheap"</formula>
    </cfRule>
    <cfRule type="cellIs" priority="3" operator="equal" dxfId="1">
      <formula>"Expensive"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00" customWidth="1" min="5" max="5"/>
  </cols>
  <sheetData>
    <row r="1">
      <c r="A1" s="13" t="inlineStr">
        <is>
          <t>Rating Conversion Table</t>
        </is>
      </c>
    </row>
    <row r="3">
      <c r="A3" s="14" t="inlineStr">
        <is>
          <t>S&amp;P / Fitch</t>
        </is>
      </c>
      <c r="B3" s="14" t="inlineStr">
        <is>
          <t>Moody's</t>
        </is>
      </c>
      <c r="C3" s="14" t="inlineStr">
        <is>
          <t>Numeric</t>
        </is>
      </c>
      <c r="E3" s="11" t="inlineStr">
        <is>
          <t>Notes</t>
        </is>
      </c>
    </row>
    <row r="4">
      <c r="A4" s="6" t="inlineStr">
        <is>
          <t>AAA</t>
        </is>
      </c>
      <c r="B4" s="6" t="inlineStr">
        <is>
          <t>Aaa</t>
        </is>
      </c>
      <c r="C4" s="6" t="n">
        <v>1</v>
      </c>
      <c r="E4" s="12" t="inlineStr">
        <is>
          <t>Numeric scale: 1 = AAA (best) to 22 = D (default).</t>
        </is>
      </c>
    </row>
    <row r="5">
      <c r="A5" s="6" t="inlineStr">
        <is>
          <t>AA+</t>
        </is>
      </c>
      <c r="B5" s="6" t="inlineStr">
        <is>
          <t>Aa1</t>
        </is>
      </c>
      <c r="C5" s="6" t="n">
        <v>2</v>
      </c>
      <c r="E5" s="12" t="inlineStr">
        <is>
          <t>S&amp;P/Fitch and Moody's letter forms map to the same numeric on each row.</t>
        </is>
      </c>
    </row>
    <row r="6">
      <c r="A6" s="6" t="inlineStr">
        <is>
          <t>AA</t>
        </is>
      </c>
      <c r="B6" s="6" t="inlineStr">
        <is>
          <t>Aa2</t>
        </is>
      </c>
      <c r="C6" s="6" t="n">
        <v>3</v>
      </c>
      <c r="E6" s="12" t="inlineStr">
        <is>
          <t>Used by the Data sheet (column I) to convert the Bloomberg composite rating to a number,</t>
        </is>
      </c>
    </row>
    <row r="7">
      <c r="A7" s="6" t="inlineStr">
        <is>
          <t>AA-</t>
        </is>
      </c>
      <c r="B7" s="6" t="inlineStr">
        <is>
          <t>Aa3</t>
        </is>
      </c>
      <c r="C7" s="6" t="n">
        <v>4</v>
      </c>
      <c r="E7" s="12" t="inlineStr">
        <is>
          <t>then to compute peer-group average spread by rating bucket.</t>
        </is>
      </c>
    </row>
    <row r="8">
      <c r="A8" s="6" t="inlineStr">
        <is>
          <t>A+</t>
        </is>
      </c>
      <c r="B8" s="6" t="inlineStr">
        <is>
          <t>A1</t>
        </is>
      </c>
      <c r="C8" s="6" t="n">
        <v>5</v>
      </c>
    </row>
    <row r="9">
      <c r="A9" s="6" t="inlineStr">
        <is>
          <t>A</t>
        </is>
      </c>
      <c r="B9" s="6" t="inlineStr">
        <is>
          <t>A2</t>
        </is>
      </c>
      <c r="C9" s="6" t="n">
        <v>6</v>
      </c>
    </row>
    <row r="10">
      <c r="A10" s="6" t="inlineStr">
        <is>
          <t>A-</t>
        </is>
      </c>
      <c r="B10" s="6" t="inlineStr">
        <is>
          <t>A3</t>
        </is>
      </c>
      <c r="C10" s="6" t="n">
        <v>7</v>
      </c>
    </row>
    <row r="11">
      <c r="A11" s="6" t="inlineStr">
        <is>
          <t>BBB+</t>
        </is>
      </c>
      <c r="B11" s="6" t="inlineStr">
        <is>
          <t>Baa1</t>
        </is>
      </c>
      <c r="C11" s="6" t="n">
        <v>8</v>
      </c>
    </row>
    <row r="12">
      <c r="A12" s="6" t="inlineStr">
        <is>
          <t>BBB</t>
        </is>
      </c>
      <c r="B12" s="6" t="inlineStr">
        <is>
          <t>Baa2</t>
        </is>
      </c>
      <c r="C12" s="6" t="n">
        <v>9</v>
      </c>
    </row>
    <row r="13">
      <c r="A13" s="6" t="inlineStr">
        <is>
          <t>BBB-</t>
        </is>
      </c>
      <c r="B13" s="6" t="inlineStr">
        <is>
          <t>Baa3</t>
        </is>
      </c>
      <c r="C13" s="6" t="n">
        <v>10</v>
      </c>
    </row>
    <row r="14">
      <c r="A14" s="6" t="inlineStr">
        <is>
          <t>BB+</t>
        </is>
      </c>
      <c r="B14" s="6" t="inlineStr">
        <is>
          <t>Ba1</t>
        </is>
      </c>
      <c r="C14" s="6" t="n">
        <v>11</v>
      </c>
    </row>
    <row r="15">
      <c r="A15" s="6" t="inlineStr">
        <is>
          <t>BB</t>
        </is>
      </c>
      <c r="B15" s="6" t="inlineStr">
        <is>
          <t>Ba2</t>
        </is>
      </c>
      <c r="C15" s="6" t="n">
        <v>12</v>
      </c>
    </row>
    <row r="16">
      <c r="A16" s="6" t="inlineStr">
        <is>
          <t>BB-</t>
        </is>
      </c>
      <c r="B16" s="6" t="inlineStr">
        <is>
          <t>Ba3</t>
        </is>
      </c>
      <c r="C16" s="6" t="n">
        <v>13</v>
      </c>
    </row>
    <row r="17">
      <c r="A17" s="6" t="inlineStr">
        <is>
          <t>B+</t>
        </is>
      </c>
      <c r="B17" s="6" t="inlineStr">
        <is>
          <t>B1</t>
        </is>
      </c>
      <c r="C17" s="6" t="n">
        <v>14</v>
      </c>
    </row>
    <row r="18">
      <c r="A18" s="6" t="inlineStr">
        <is>
          <t>B</t>
        </is>
      </c>
      <c r="B18" s="6" t="inlineStr">
        <is>
          <t>B2</t>
        </is>
      </c>
      <c r="C18" s="6" t="n">
        <v>15</v>
      </c>
    </row>
    <row r="19">
      <c r="A19" s="6" t="inlineStr">
        <is>
          <t>B-</t>
        </is>
      </c>
      <c r="B19" s="6" t="inlineStr">
        <is>
          <t>B3</t>
        </is>
      </c>
      <c r="C19" s="6" t="n">
        <v>16</v>
      </c>
    </row>
    <row r="20">
      <c r="A20" s="6" t="inlineStr">
        <is>
          <t>CCC+</t>
        </is>
      </c>
      <c r="B20" s="6" t="inlineStr">
        <is>
          <t>Caa1</t>
        </is>
      </c>
      <c r="C20" s="6" t="n">
        <v>17</v>
      </c>
    </row>
    <row r="21">
      <c r="A21" s="6" t="inlineStr">
        <is>
          <t>CCC</t>
        </is>
      </c>
      <c r="B21" s="6" t="inlineStr">
        <is>
          <t>Caa2</t>
        </is>
      </c>
      <c r="C21" s="6" t="n">
        <v>18</v>
      </c>
    </row>
    <row r="22">
      <c r="A22" s="6" t="inlineStr">
        <is>
          <t>CCC-</t>
        </is>
      </c>
      <c r="B22" s="6" t="inlineStr">
        <is>
          <t>Caa3</t>
        </is>
      </c>
      <c r="C22" s="6" t="n">
        <v>19</v>
      </c>
    </row>
    <row r="23">
      <c r="A23" s="6" t="inlineStr">
        <is>
          <t>CC</t>
        </is>
      </c>
      <c r="B23" s="6" t="inlineStr">
        <is>
          <t>Ca</t>
        </is>
      </c>
      <c r="C23" s="6" t="n">
        <v>20</v>
      </c>
    </row>
    <row r="24">
      <c r="A24" s="6" t="inlineStr">
        <is>
          <t>C</t>
        </is>
      </c>
      <c r="B24" s="6" t="inlineStr">
        <is>
          <t>C</t>
        </is>
      </c>
      <c r="C24" s="6" t="n">
        <v>21</v>
      </c>
    </row>
    <row r="25">
      <c r="A25" s="6" t="inlineStr">
        <is>
          <t>SD</t>
        </is>
      </c>
      <c r="B25" s="6" t="inlineStr"/>
      <c r="C25" s="6" t="n">
        <v>22</v>
      </c>
    </row>
    <row r="26">
      <c r="A26" s="6" t="inlineStr">
        <is>
          <t>D</t>
        </is>
      </c>
      <c r="B26" s="6" t="inlineStr"/>
      <c r="C26" s="6" t="n">
        <v>22</v>
      </c>
    </row>
    <row r="27">
      <c r="A27" s="6" t="inlineStr">
        <is>
          <t>NR</t>
        </is>
      </c>
      <c r="B27" s="6" t="inlineStr">
        <is>
          <t>NR</t>
        </is>
      </c>
      <c r="C27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Sovereign spread (bps) by numeric rating — peer-group view</t>
        </is>
      </c>
    </row>
    <row r="3">
      <c r="A3" s="12" t="inlineStr">
        <is>
          <t>Drag the marker outliers by rating bucket to spot rich/cheap names. Source: Data sheet, cols I and J.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Spread vs peer average — sorted Cheap (positive) to Expensive (negative)</t>
        </is>
      </c>
    </row>
    <row r="3">
      <c r="A3" s="12" t="inlineStr">
        <is>
          <t>This chart pulls from Data!A:L. To get the bars sorted, sort the Data sheet by column L (Spread vs Peer) descending — the chart will follow.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2026-05-12T00:38:13Z</dcterms:created>
  <dcterms:modified xmlns:dcterms="http://purl.org/dc/terms/" xmlns:xsi="http://www.w3.org/2001/XMLSchema-instance" xsi:type="dcterms:W3CDTF">2026-05-12T00:38:13Z</dcterms:modified>
</cp:coreProperties>
</file>