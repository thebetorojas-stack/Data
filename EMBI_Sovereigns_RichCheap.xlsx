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ating Lookup" sheetId="2" state="visible" r:id="rId2"/>
    <sheet xmlns:r="http://schemas.openxmlformats.org/officeDocument/2006/relationships" name="Chart_Rating_vs_Spread" sheetId="3" state="visible" r:id="rId3"/>
    <sheet xmlns:r="http://schemas.openxmlformats.org/officeDocument/2006/relationships" name="Chart_RichCheap" sheetId="4" state="visible" r:id="rId4"/>
  </sheets>
  <definedNames>
    <definedName name="_xlnm._FilterDatabase" localSheetId="0" hidden="1">'Data'!$A$6:$O$74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</font>
    <font>
      <name val="Arial"/>
      <i val="1"/>
      <color rgb="00555555"/>
    </font>
    <font>
      <name val="Arial"/>
      <b val="1"/>
      <i val="1"/>
      <color rgb="00C00000"/>
    </font>
    <font>
      <name val="Consolas"/>
      <b val="1"/>
      <color rgb="000000FF"/>
    </font>
    <font>
      <name val="Arial"/>
      <color rgb="000000FF"/>
    </font>
    <font>
      <name val="Arial"/>
      <color rgb="0080808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6" fillId="4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Numeric Rating (x) vs Z-Spread bps (y)</a:t>
            </a:r>
          </a:p>
        </rich>
      </tx>
    </title>
    <plotArea>
      <scatterChart>
        <ser>
          <idx val="0"/>
          <order val="0"/>
          <tx>
            <v>EMBIG sovereigns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'Data'!$I$7:$I$74</f>
            </numRef>
          </xVal>
          <yVal>
            <numRef>
              <f>'Data'!$J$7:$J$74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Numeric Rating (1 = AAA, 22 = 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Spread (bps)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Spread vs Rating-Peer Average (bps)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'Data'!L6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'Data'!$A$7:$A$74</f>
            </numRef>
          </cat>
          <val>
            <numRef>
              <f>'Data'!$L$7:$L$74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bps vs peers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9360000" cy="82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24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2" customWidth="1" min="10" max="10"/>
    <col width="18" customWidth="1" min="11" max="11"/>
    <col width="14" customWidth="1" min="12" max="12"/>
    <col width="18" customWidth="1" min="13" max="13"/>
    <col width="14" customWidth="1" min="14" max="14"/>
    <col width="12" customWidth="1" min="15" max="15"/>
  </cols>
  <sheetData>
    <row r="1">
      <c r="A1" s="1" t="inlineStr">
        <is>
          <t>EMBI Global Diversified — Sovereign Ratings &amp; Rich/Cheap vs Rating Peers</t>
        </is>
      </c>
    </row>
    <row r="2">
      <c r="A2" s="2" t="inlineStr">
        <is>
          <t>Country universe &amp; EMBI tickers from Luis's EM_Sovereign_Credit_v2.xlsx.  Paste each sovereign's benchmark USD bond ISIN into column D.</t>
        </is>
      </c>
    </row>
    <row r="3">
      <c r="D3" s="3" t="inlineStr">
        <is>
          <t>↓ Edit these to change the Bloomberg identifier or field for every row ↓</t>
        </is>
      </c>
    </row>
    <row r="4">
      <c r="D4" s="4" t="inlineStr">
        <is>
          <t xml:space="preserve"> ISIN</t>
        </is>
      </c>
      <c r="E4" s="4" t="inlineStr">
        <is>
          <t>RTG_SP</t>
        </is>
      </c>
      <c r="F4" s="4" t="inlineStr">
        <is>
          <t>RTG_MDY</t>
        </is>
      </c>
      <c r="G4" s="4" t="inlineStr">
        <is>
          <t>RTG_FITCH</t>
        </is>
      </c>
      <c r="H4" s="4" t="inlineStr">
        <is>
          <t>BB_COMPOSITE</t>
        </is>
      </c>
      <c r="J4" s="4" t="inlineStr">
        <is>
          <t>PX_LAST</t>
        </is>
      </c>
    </row>
    <row r="6" ht="38" customHeight="1">
      <c r="A6" s="5" t="inlineStr">
        <is>
          <t>Country</t>
        </is>
      </c>
      <c r="B6" s="5" t="inlineStr">
        <is>
          <t>ISO</t>
        </is>
      </c>
      <c r="C6" s="5" t="inlineStr">
        <is>
          <t>EMBI Sub-Index Ticker (spread)</t>
        </is>
      </c>
      <c r="D6" s="5" t="inlineStr">
        <is>
          <t>Sovereign ISIN (ratings)</t>
        </is>
      </c>
      <c r="E6" s="5" t="inlineStr">
        <is>
          <t>S&amp;P</t>
        </is>
      </c>
      <c r="F6" s="5" t="inlineStr">
        <is>
          <t>Moody's</t>
        </is>
      </c>
      <c r="G6" s="5" t="inlineStr">
        <is>
          <t>Fitch</t>
        </is>
      </c>
      <c r="H6" s="5" t="inlineStr">
        <is>
          <t>BBG Composite</t>
        </is>
      </c>
      <c r="I6" s="5" t="inlineStr">
        <is>
          <t>Numeric Rating</t>
        </is>
      </c>
      <c r="J6" s="5" t="inlineStr">
        <is>
          <t>Spread (bps)</t>
        </is>
      </c>
      <c r="K6" s="5" t="inlineStr">
        <is>
          <t>Peer Avg Spread (bps)</t>
        </is>
      </c>
      <c r="L6" s="5" t="inlineStr">
        <is>
          <t>Spread vs Peer</t>
        </is>
      </c>
      <c r="M6" s="5" t="inlineStr">
        <is>
          <t>Cheap / Expensive</t>
        </is>
      </c>
      <c r="N6" s="5" t="inlineStr">
        <is>
          <t>Z-Score vs Peers</t>
        </is>
      </c>
      <c r="O6" s="5" t="inlineStr">
        <is>
          <t>Region</t>
        </is>
      </c>
    </row>
    <row r="7">
      <c r="A7" t="inlineStr">
        <is>
          <t>Argentina</t>
        </is>
      </c>
      <c r="B7" s="6" t="inlineStr">
        <is>
          <t>ARG</t>
        </is>
      </c>
      <c r="C7" s="7" t="inlineStr">
        <is>
          <t>JPSYARZW Index</t>
        </is>
      </c>
      <c r="D7" s="8" t="n"/>
      <c r="E7" s="6">
        <f>IFERROR(BDP($D7&amp;$D$4,$E$4),"")</f>
        <v/>
      </c>
      <c r="F7" s="6">
        <f>IFERROR(BDP($D7&amp;$D$4,$F$4),"")</f>
        <v/>
      </c>
      <c r="G7" s="6">
        <f>IFERROR(BDP($D7&amp;$D$4,$G$4),"")</f>
        <v/>
      </c>
      <c r="H7" s="6">
        <f>IFERROR(BDP($D7&amp;$D$4,$H$4),"")</f>
        <v/>
      </c>
      <c r="I7" s="9">
        <f>IFERROR(VLOOKUP(H7,'Rating Lookup'!$A$4:$C$27,3,FALSE),IFERROR(VLOOKUP(H7,'Rating Lookup'!$B$4:$C$27,2,FALSE),""))</f>
        <v/>
      </c>
      <c r="J7" s="10">
        <f>IFERROR(BDP($C7,$J$4),"")</f>
        <v/>
      </c>
      <c r="K7" s="10">
        <f>IFERROR(AVERAGEIFS($J$7:$J$74,$I$7:$I$74,I7),"")</f>
        <v/>
      </c>
      <c r="L7" s="10">
        <f>IFERROR(J7-K7,"")</f>
        <v/>
      </c>
      <c r="M7" s="6">
        <f>IF(OR(I7="",J7="",K7=""),"",IF(L7&gt;0,"Cheap","Expensive"))</f>
        <v/>
      </c>
      <c r="N7" s="11">
        <f>IFERROR(L7/STDEV.P(IF($I$7:$I$74=I7,$J$7:$J$74)),"")</f>
        <v/>
      </c>
      <c r="O7" s="12" t="inlineStr">
        <is>
          <t>LatAm</t>
        </is>
      </c>
    </row>
    <row r="8">
      <c r="A8" t="inlineStr">
        <is>
          <t>Bolivia</t>
        </is>
      </c>
      <c r="B8" s="6" t="inlineStr">
        <is>
          <t>BOL</t>
        </is>
      </c>
      <c r="C8" s="7" t="inlineStr">
        <is>
          <t>JPSYBVZW Index</t>
        </is>
      </c>
      <c r="D8" s="8" t="n"/>
      <c r="E8" s="6">
        <f>IFERROR(BDP($D8&amp;$D$4,$E$4),"")</f>
        <v/>
      </c>
      <c r="F8" s="6">
        <f>IFERROR(BDP($D8&amp;$D$4,$F$4),"")</f>
        <v/>
      </c>
      <c r="G8" s="6">
        <f>IFERROR(BDP($D8&amp;$D$4,$G$4),"")</f>
        <v/>
      </c>
      <c r="H8" s="6">
        <f>IFERROR(BDP($D8&amp;$D$4,$H$4),"")</f>
        <v/>
      </c>
      <c r="I8" s="9">
        <f>IFERROR(VLOOKUP(H8,'Rating Lookup'!$A$4:$C$27,3,FALSE),IFERROR(VLOOKUP(H8,'Rating Lookup'!$B$4:$C$27,2,FALSE),""))</f>
        <v/>
      </c>
      <c r="J8" s="10">
        <f>IFERROR(BDP($C8,$J$4),"")</f>
        <v/>
      </c>
      <c r="K8" s="10">
        <f>IFERROR(AVERAGEIFS($J$7:$J$74,$I$7:$I$74,I8),"")</f>
        <v/>
      </c>
      <c r="L8" s="10">
        <f>IFERROR(J8-K8,"")</f>
        <v/>
      </c>
      <c r="M8" s="6">
        <f>IF(OR(I8="",J8="",K8=""),"",IF(L8&gt;0,"Cheap","Expensive"))</f>
        <v/>
      </c>
      <c r="N8" s="11">
        <f>IFERROR(L8/STDEV.P(IF($I$7:$I$74=I8,$J$7:$J$74)),"")</f>
        <v/>
      </c>
      <c r="O8" s="12" t="inlineStr">
        <is>
          <t>LatAm</t>
        </is>
      </c>
    </row>
    <row r="9">
      <c r="A9" t="inlineStr">
        <is>
          <t>Brazil</t>
        </is>
      </c>
      <c r="B9" s="6" t="inlineStr">
        <is>
          <t>BRA</t>
        </is>
      </c>
      <c r="C9" s="7" t="inlineStr">
        <is>
          <t>JPSYBRZW Index</t>
        </is>
      </c>
      <c r="D9" s="8" t="n"/>
      <c r="E9" s="6">
        <f>IFERROR(BDP($D9&amp;$D$4,$E$4),"")</f>
        <v/>
      </c>
      <c r="F9" s="6">
        <f>IFERROR(BDP($D9&amp;$D$4,$F$4),"")</f>
        <v/>
      </c>
      <c r="G9" s="6">
        <f>IFERROR(BDP($D9&amp;$D$4,$G$4),"")</f>
        <v/>
      </c>
      <c r="H9" s="6">
        <f>IFERROR(BDP($D9&amp;$D$4,$H$4),"")</f>
        <v/>
      </c>
      <c r="I9" s="9">
        <f>IFERROR(VLOOKUP(H9,'Rating Lookup'!$A$4:$C$27,3,FALSE),IFERROR(VLOOKUP(H9,'Rating Lookup'!$B$4:$C$27,2,FALSE),""))</f>
        <v/>
      </c>
      <c r="J9" s="10">
        <f>IFERROR(BDP($C9,$J$4),"")</f>
        <v/>
      </c>
      <c r="K9" s="10">
        <f>IFERROR(AVERAGEIFS($J$7:$J$74,$I$7:$I$74,I9),"")</f>
        <v/>
      </c>
      <c r="L9" s="10">
        <f>IFERROR(J9-K9,"")</f>
        <v/>
      </c>
      <c r="M9" s="6">
        <f>IF(OR(I9="",J9="",K9=""),"",IF(L9&gt;0,"Cheap","Expensive"))</f>
        <v/>
      </c>
      <c r="N9" s="11">
        <f>IFERROR(L9/STDEV.P(IF($I$7:$I$74=I9,$J$7:$J$74)),"")</f>
        <v/>
      </c>
      <c r="O9" s="12" t="inlineStr">
        <is>
          <t>LatAm</t>
        </is>
      </c>
    </row>
    <row r="10">
      <c r="A10" t="inlineStr">
        <is>
          <t>Chile</t>
        </is>
      </c>
      <c r="B10" s="6" t="inlineStr">
        <is>
          <t>CHL</t>
        </is>
      </c>
      <c r="C10" s="7" t="inlineStr">
        <is>
          <t>JPSYCHZW Index</t>
        </is>
      </c>
      <c r="D10" s="8" t="n"/>
      <c r="E10" s="6">
        <f>IFERROR(BDP($D10&amp;$D$4,$E$4),"")</f>
        <v/>
      </c>
      <c r="F10" s="6">
        <f>IFERROR(BDP($D10&amp;$D$4,$F$4),"")</f>
        <v/>
      </c>
      <c r="G10" s="6">
        <f>IFERROR(BDP($D10&amp;$D$4,$G$4),"")</f>
        <v/>
      </c>
      <c r="H10" s="6">
        <f>IFERROR(BDP($D10&amp;$D$4,$H$4),"")</f>
        <v/>
      </c>
      <c r="I10" s="9">
        <f>IFERROR(VLOOKUP(H10,'Rating Lookup'!$A$4:$C$27,3,FALSE),IFERROR(VLOOKUP(H10,'Rating Lookup'!$B$4:$C$27,2,FALSE),""))</f>
        <v/>
      </c>
      <c r="J10" s="10">
        <f>IFERROR(BDP($C10,$J$4),"")</f>
        <v/>
      </c>
      <c r="K10" s="10">
        <f>IFERROR(AVERAGEIFS($J$7:$J$74,$I$7:$I$74,I10),"")</f>
        <v/>
      </c>
      <c r="L10" s="10">
        <f>IFERROR(J10-K10,"")</f>
        <v/>
      </c>
      <c r="M10" s="6">
        <f>IF(OR(I10="",J10="",K10=""),"",IF(L10&gt;0,"Cheap","Expensive"))</f>
        <v/>
      </c>
      <c r="N10" s="11">
        <f>IFERROR(L10/STDEV.P(IF($I$7:$I$74=I10,$J$7:$J$74)),"")</f>
        <v/>
      </c>
      <c r="O10" s="12" t="inlineStr">
        <is>
          <t>LatAm</t>
        </is>
      </c>
    </row>
    <row r="11">
      <c r="A11" t="inlineStr">
        <is>
          <t>Colombia</t>
        </is>
      </c>
      <c r="B11" s="6" t="inlineStr">
        <is>
          <t>COL</t>
        </is>
      </c>
      <c r="C11" s="7" t="inlineStr">
        <is>
          <t>JPSYCLZW Index</t>
        </is>
      </c>
      <c r="D11" s="8" t="n"/>
      <c r="E11" s="6">
        <f>IFERROR(BDP($D11&amp;$D$4,$E$4),"")</f>
        <v/>
      </c>
      <c r="F11" s="6">
        <f>IFERROR(BDP($D11&amp;$D$4,$F$4),"")</f>
        <v/>
      </c>
      <c r="G11" s="6">
        <f>IFERROR(BDP($D11&amp;$D$4,$G$4),"")</f>
        <v/>
      </c>
      <c r="H11" s="6">
        <f>IFERROR(BDP($D11&amp;$D$4,$H$4),"")</f>
        <v/>
      </c>
      <c r="I11" s="9">
        <f>IFERROR(VLOOKUP(H11,'Rating Lookup'!$A$4:$C$27,3,FALSE),IFERROR(VLOOKUP(H11,'Rating Lookup'!$B$4:$C$27,2,FALSE),""))</f>
        <v/>
      </c>
      <c r="J11" s="10">
        <f>IFERROR(BDP($C11,$J$4),"")</f>
        <v/>
      </c>
      <c r="K11" s="10">
        <f>IFERROR(AVERAGEIFS($J$7:$J$74,$I$7:$I$74,I11),"")</f>
        <v/>
      </c>
      <c r="L11" s="10">
        <f>IFERROR(J11-K11,"")</f>
        <v/>
      </c>
      <c r="M11" s="6">
        <f>IF(OR(I11="",J11="",K11=""),"",IF(L11&gt;0,"Cheap","Expensive"))</f>
        <v/>
      </c>
      <c r="N11" s="11">
        <f>IFERROR(L11/STDEV.P(IF($I$7:$I$74=I11,$J$7:$J$74)),"")</f>
        <v/>
      </c>
      <c r="O11" s="12" t="inlineStr">
        <is>
          <t>LatAm</t>
        </is>
      </c>
    </row>
    <row r="12">
      <c r="A12" t="inlineStr">
        <is>
          <t>Costa Rica</t>
        </is>
      </c>
      <c r="B12" s="6" t="inlineStr">
        <is>
          <t>CRI</t>
        </is>
      </c>
      <c r="C12" s="7" t="inlineStr">
        <is>
          <t>JPSYCRZW Index</t>
        </is>
      </c>
      <c r="D12" s="8" t="n"/>
      <c r="E12" s="6">
        <f>IFERROR(BDP($D12&amp;$D$4,$E$4),"")</f>
        <v/>
      </c>
      <c r="F12" s="6">
        <f>IFERROR(BDP($D12&amp;$D$4,$F$4),"")</f>
        <v/>
      </c>
      <c r="G12" s="6">
        <f>IFERROR(BDP($D12&amp;$D$4,$G$4),"")</f>
        <v/>
      </c>
      <c r="H12" s="6">
        <f>IFERROR(BDP($D12&amp;$D$4,$H$4),"")</f>
        <v/>
      </c>
      <c r="I12" s="9">
        <f>IFERROR(VLOOKUP(H12,'Rating Lookup'!$A$4:$C$27,3,FALSE),IFERROR(VLOOKUP(H12,'Rating Lookup'!$B$4:$C$27,2,FALSE),""))</f>
        <v/>
      </c>
      <c r="J12" s="10">
        <f>IFERROR(BDP($C12,$J$4),"")</f>
        <v/>
      </c>
      <c r="K12" s="10">
        <f>IFERROR(AVERAGEIFS($J$7:$J$74,$I$7:$I$74,I12),"")</f>
        <v/>
      </c>
      <c r="L12" s="10">
        <f>IFERROR(J12-K12,"")</f>
        <v/>
      </c>
      <c r="M12" s="6">
        <f>IF(OR(I12="",J12="",K12=""),"",IF(L12&gt;0,"Cheap","Expensive"))</f>
        <v/>
      </c>
      <c r="N12" s="11">
        <f>IFERROR(L12/STDEV.P(IF($I$7:$I$74=I12,$J$7:$J$74)),"")</f>
        <v/>
      </c>
      <c r="O12" s="12" t="inlineStr">
        <is>
          <t>LatAm</t>
        </is>
      </c>
    </row>
    <row r="13">
      <c r="A13" t="inlineStr">
        <is>
          <t>Dominican Republic</t>
        </is>
      </c>
      <c r="B13" s="6" t="inlineStr">
        <is>
          <t>DOM</t>
        </is>
      </c>
      <c r="C13" s="7" t="inlineStr">
        <is>
          <t>JPSYDRZW Index</t>
        </is>
      </c>
      <c r="D13" s="8" t="n"/>
      <c r="E13" s="6">
        <f>IFERROR(BDP($D13&amp;$D$4,$E$4),"")</f>
        <v/>
      </c>
      <c r="F13" s="6">
        <f>IFERROR(BDP($D13&amp;$D$4,$F$4),"")</f>
        <v/>
      </c>
      <c r="G13" s="6">
        <f>IFERROR(BDP($D13&amp;$D$4,$G$4),"")</f>
        <v/>
      </c>
      <c r="H13" s="6">
        <f>IFERROR(BDP($D13&amp;$D$4,$H$4),"")</f>
        <v/>
      </c>
      <c r="I13" s="9">
        <f>IFERROR(VLOOKUP(H13,'Rating Lookup'!$A$4:$C$27,3,FALSE),IFERROR(VLOOKUP(H13,'Rating Lookup'!$B$4:$C$27,2,FALSE),""))</f>
        <v/>
      </c>
      <c r="J13" s="10">
        <f>IFERROR(BDP($C13,$J$4),"")</f>
        <v/>
      </c>
      <c r="K13" s="10">
        <f>IFERROR(AVERAGEIFS($J$7:$J$74,$I$7:$I$74,I13),"")</f>
        <v/>
      </c>
      <c r="L13" s="10">
        <f>IFERROR(J13-K13,"")</f>
        <v/>
      </c>
      <c r="M13" s="6">
        <f>IF(OR(I13="",J13="",K13=""),"",IF(L13&gt;0,"Cheap","Expensive"))</f>
        <v/>
      </c>
      <c r="N13" s="11">
        <f>IFERROR(L13/STDEV.P(IF($I$7:$I$74=I13,$J$7:$J$74)),"")</f>
        <v/>
      </c>
      <c r="O13" s="12" t="inlineStr">
        <is>
          <t>LatAm</t>
        </is>
      </c>
    </row>
    <row r="14">
      <c r="A14" t="inlineStr">
        <is>
          <t>Ecuador</t>
        </is>
      </c>
      <c r="B14" s="6" t="inlineStr">
        <is>
          <t>ECU</t>
        </is>
      </c>
      <c r="C14" s="7" t="inlineStr">
        <is>
          <t>JPSYECZW Index</t>
        </is>
      </c>
      <c r="D14" s="8" t="n"/>
      <c r="E14" s="6">
        <f>IFERROR(BDP($D14&amp;$D$4,$E$4),"")</f>
        <v/>
      </c>
      <c r="F14" s="6">
        <f>IFERROR(BDP($D14&amp;$D$4,$F$4),"")</f>
        <v/>
      </c>
      <c r="G14" s="6">
        <f>IFERROR(BDP($D14&amp;$D$4,$G$4),"")</f>
        <v/>
      </c>
      <c r="H14" s="6">
        <f>IFERROR(BDP($D14&amp;$D$4,$H$4),"")</f>
        <v/>
      </c>
      <c r="I14" s="9">
        <f>IFERROR(VLOOKUP(H14,'Rating Lookup'!$A$4:$C$27,3,FALSE),IFERROR(VLOOKUP(H14,'Rating Lookup'!$B$4:$C$27,2,FALSE),""))</f>
        <v/>
      </c>
      <c r="J14" s="10">
        <f>IFERROR(BDP($C14,$J$4),"")</f>
        <v/>
      </c>
      <c r="K14" s="10">
        <f>IFERROR(AVERAGEIFS($J$7:$J$74,$I$7:$I$74,I14),"")</f>
        <v/>
      </c>
      <c r="L14" s="10">
        <f>IFERROR(J14-K14,"")</f>
        <v/>
      </c>
      <c r="M14" s="6">
        <f>IF(OR(I14="",J14="",K14=""),"",IF(L14&gt;0,"Cheap","Expensive"))</f>
        <v/>
      </c>
      <c r="N14" s="11">
        <f>IFERROR(L14/STDEV.P(IF($I$7:$I$74=I14,$J$7:$J$74)),"")</f>
        <v/>
      </c>
      <c r="O14" s="12" t="inlineStr">
        <is>
          <t>LatAm</t>
        </is>
      </c>
    </row>
    <row r="15">
      <c r="A15" t="inlineStr">
        <is>
          <t>El Salvador</t>
        </is>
      </c>
      <c r="B15" s="6" t="inlineStr">
        <is>
          <t>SLV</t>
        </is>
      </c>
      <c r="C15" s="7" t="inlineStr">
        <is>
          <t>JPSYESZW Index</t>
        </is>
      </c>
      <c r="D15" s="8" t="n"/>
      <c r="E15" s="6">
        <f>IFERROR(BDP($D15&amp;$D$4,$E$4),"")</f>
        <v/>
      </c>
      <c r="F15" s="6">
        <f>IFERROR(BDP($D15&amp;$D$4,$F$4),"")</f>
        <v/>
      </c>
      <c r="G15" s="6">
        <f>IFERROR(BDP($D15&amp;$D$4,$G$4),"")</f>
        <v/>
      </c>
      <c r="H15" s="6">
        <f>IFERROR(BDP($D15&amp;$D$4,$H$4),"")</f>
        <v/>
      </c>
      <c r="I15" s="9">
        <f>IFERROR(VLOOKUP(H15,'Rating Lookup'!$A$4:$C$27,3,FALSE),IFERROR(VLOOKUP(H15,'Rating Lookup'!$B$4:$C$27,2,FALSE),""))</f>
        <v/>
      </c>
      <c r="J15" s="10">
        <f>IFERROR(BDP($C15,$J$4),"")</f>
        <v/>
      </c>
      <c r="K15" s="10">
        <f>IFERROR(AVERAGEIFS($J$7:$J$74,$I$7:$I$74,I15),"")</f>
        <v/>
      </c>
      <c r="L15" s="10">
        <f>IFERROR(J15-K15,"")</f>
        <v/>
      </c>
      <c r="M15" s="6">
        <f>IF(OR(I15="",J15="",K15=""),"",IF(L15&gt;0,"Cheap","Expensive"))</f>
        <v/>
      </c>
      <c r="N15" s="11">
        <f>IFERROR(L15/STDEV.P(IF($I$7:$I$74=I15,$J$7:$J$74)),"")</f>
        <v/>
      </c>
      <c r="O15" s="12" t="inlineStr">
        <is>
          <t>LatAm</t>
        </is>
      </c>
    </row>
    <row r="16">
      <c r="A16" t="inlineStr">
        <is>
          <t>Guatemala</t>
        </is>
      </c>
      <c r="B16" s="6" t="inlineStr">
        <is>
          <t>GTM</t>
        </is>
      </c>
      <c r="C16" s="7" t="inlineStr">
        <is>
          <t>JPSYGTZW Index</t>
        </is>
      </c>
      <c r="D16" s="8" t="n"/>
      <c r="E16" s="6">
        <f>IFERROR(BDP($D16&amp;$D$4,$E$4),"")</f>
        <v/>
      </c>
      <c r="F16" s="6">
        <f>IFERROR(BDP($D16&amp;$D$4,$F$4),"")</f>
        <v/>
      </c>
      <c r="G16" s="6">
        <f>IFERROR(BDP($D16&amp;$D$4,$G$4),"")</f>
        <v/>
      </c>
      <c r="H16" s="6">
        <f>IFERROR(BDP($D16&amp;$D$4,$H$4),"")</f>
        <v/>
      </c>
      <c r="I16" s="9">
        <f>IFERROR(VLOOKUP(H16,'Rating Lookup'!$A$4:$C$27,3,FALSE),IFERROR(VLOOKUP(H16,'Rating Lookup'!$B$4:$C$27,2,FALSE),""))</f>
        <v/>
      </c>
      <c r="J16" s="10">
        <f>IFERROR(BDP($C16,$J$4),"")</f>
        <v/>
      </c>
      <c r="K16" s="10">
        <f>IFERROR(AVERAGEIFS($J$7:$J$74,$I$7:$I$74,I16),"")</f>
        <v/>
      </c>
      <c r="L16" s="10">
        <f>IFERROR(J16-K16,"")</f>
        <v/>
      </c>
      <c r="M16" s="6">
        <f>IF(OR(I16="",J16="",K16=""),"",IF(L16&gt;0,"Cheap","Expensive"))</f>
        <v/>
      </c>
      <c r="N16" s="11">
        <f>IFERROR(L16/STDEV.P(IF($I$7:$I$74=I16,$J$7:$J$74)),"")</f>
        <v/>
      </c>
      <c r="O16" s="12" t="inlineStr">
        <is>
          <t>LatAm</t>
        </is>
      </c>
    </row>
    <row r="17">
      <c r="A17" t="inlineStr">
        <is>
          <t>Jamaica</t>
        </is>
      </c>
      <c r="B17" s="6" t="inlineStr">
        <is>
          <t>JAM</t>
        </is>
      </c>
      <c r="C17" s="7" t="inlineStr">
        <is>
          <t>JPSYJMZW Index</t>
        </is>
      </c>
      <c r="D17" s="8" t="n"/>
      <c r="E17" s="6">
        <f>IFERROR(BDP($D17&amp;$D$4,$E$4),"")</f>
        <v/>
      </c>
      <c r="F17" s="6">
        <f>IFERROR(BDP($D17&amp;$D$4,$F$4),"")</f>
        <v/>
      </c>
      <c r="G17" s="6">
        <f>IFERROR(BDP($D17&amp;$D$4,$G$4),"")</f>
        <v/>
      </c>
      <c r="H17" s="6">
        <f>IFERROR(BDP($D17&amp;$D$4,$H$4),"")</f>
        <v/>
      </c>
      <c r="I17" s="9">
        <f>IFERROR(VLOOKUP(H17,'Rating Lookup'!$A$4:$C$27,3,FALSE),IFERROR(VLOOKUP(H17,'Rating Lookup'!$B$4:$C$27,2,FALSE),""))</f>
        <v/>
      </c>
      <c r="J17" s="10">
        <f>IFERROR(BDP($C17,$J$4),"")</f>
        <v/>
      </c>
      <c r="K17" s="10">
        <f>IFERROR(AVERAGEIFS($J$7:$J$74,$I$7:$I$74,I17),"")</f>
        <v/>
      </c>
      <c r="L17" s="10">
        <f>IFERROR(J17-K17,"")</f>
        <v/>
      </c>
      <c r="M17" s="6">
        <f>IF(OR(I17="",J17="",K17=""),"",IF(L17&gt;0,"Cheap","Expensive"))</f>
        <v/>
      </c>
      <c r="N17" s="11">
        <f>IFERROR(L17/STDEV.P(IF($I$7:$I$74=I17,$J$7:$J$74)),"")</f>
        <v/>
      </c>
      <c r="O17" s="12" t="inlineStr">
        <is>
          <t>LatAm</t>
        </is>
      </c>
    </row>
    <row r="18">
      <c r="A18" t="inlineStr">
        <is>
          <t>Mexico</t>
        </is>
      </c>
      <c r="B18" s="6" t="inlineStr">
        <is>
          <t>MEX</t>
        </is>
      </c>
      <c r="C18" s="7" t="inlineStr">
        <is>
          <t>JPSYMXZW Index</t>
        </is>
      </c>
      <c r="D18" s="8" t="n"/>
      <c r="E18" s="6">
        <f>IFERROR(BDP($D18&amp;$D$4,$E$4),"")</f>
        <v/>
      </c>
      <c r="F18" s="6">
        <f>IFERROR(BDP($D18&amp;$D$4,$F$4),"")</f>
        <v/>
      </c>
      <c r="G18" s="6">
        <f>IFERROR(BDP($D18&amp;$D$4,$G$4),"")</f>
        <v/>
      </c>
      <c r="H18" s="6">
        <f>IFERROR(BDP($D18&amp;$D$4,$H$4),"")</f>
        <v/>
      </c>
      <c r="I18" s="9">
        <f>IFERROR(VLOOKUP(H18,'Rating Lookup'!$A$4:$C$27,3,FALSE),IFERROR(VLOOKUP(H18,'Rating Lookup'!$B$4:$C$27,2,FALSE),""))</f>
        <v/>
      </c>
      <c r="J18" s="10">
        <f>IFERROR(BDP($C18,$J$4),"")</f>
        <v/>
      </c>
      <c r="K18" s="10">
        <f>IFERROR(AVERAGEIFS($J$7:$J$74,$I$7:$I$74,I18),"")</f>
        <v/>
      </c>
      <c r="L18" s="10">
        <f>IFERROR(J18-K18,"")</f>
        <v/>
      </c>
      <c r="M18" s="6">
        <f>IF(OR(I18="",J18="",K18=""),"",IF(L18&gt;0,"Cheap","Expensive"))</f>
        <v/>
      </c>
      <c r="N18" s="11">
        <f>IFERROR(L18/STDEV.P(IF($I$7:$I$74=I18,$J$7:$J$74)),"")</f>
        <v/>
      </c>
      <c r="O18" s="12" t="inlineStr">
        <is>
          <t>LatAm</t>
        </is>
      </c>
    </row>
    <row r="19">
      <c r="A19" t="inlineStr">
        <is>
          <t>Panama</t>
        </is>
      </c>
      <c r="B19" s="6" t="inlineStr">
        <is>
          <t>PAN</t>
        </is>
      </c>
      <c r="C19" s="7" t="inlineStr">
        <is>
          <t>JPSYPNZW Index</t>
        </is>
      </c>
      <c r="D19" s="8" t="n"/>
      <c r="E19" s="6">
        <f>IFERROR(BDP($D19&amp;$D$4,$E$4),"")</f>
        <v/>
      </c>
      <c r="F19" s="6">
        <f>IFERROR(BDP($D19&amp;$D$4,$F$4),"")</f>
        <v/>
      </c>
      <c r="G19" s="6">
        <f>IFERROR(BDP($D19&amp;$D$4,$G$4),"")</f>
        <v/>
      </c>
      <c r="H19" s="6">
        <f>IFERROR(BDP($D19&amp;$D$4,$H$4),"")</f>
        <v/>
      </c>
      <c r="I19" s="9">
        <f>IFERROR(VLOOKUP(H19,'Rating Lookup'!$A$4:$C$27,3,FALSE),IFERROR(VLOOKUP(H19,'Rating Lookup'!$B$4:$C$27,2,FALSE),""))</f>
        <v/>
      </c>
      <c r="J19" s="10">
        <f>IFERROR(BDP($C19,$J$4),"")</f>
        <v/>
      </c>
      <c r="K19" s="10">
        <f>IFERROR(AVERAGEIFS($J$7:$J$74,$I$7:$I$74,I19),"")</f>
        <v/>
      </c>
      <c r="L19" s="10">
        <f>IFERROR(J19-K19,"")</f>
        <v/>
      </c>
      <c r="M19" s="6">
        <f>IF(OR(I19="",J19="",K19=""),"",IF(L19&gt;0,"Cheap","Expensive"))</f>
        <v/>
      </c>
      <c r="N19" s="11">
        <f>IFERROR(L19/STDEV.P(IF($I$7:$I$74=I19,$J$7:$J$74)),"")</f>
        <v/>
      </c>
      <c r="O19" s="12" t="inlineStr">
        <is>
          <t>LatAm</t>
        </is>
      </c>
    </row>
    <row r="20">
      <c r="A20" t="inlineStr">
        <is>
          <t>Paraguay</t>
        </is>
      </c>
      <c r="B20" s="6" t="inlineStr">
        <is>
          <t>PRY</t>
        </is>
      </c>
      <c r="C20" s="7" t="inlineStr">
        <is>
          <t>JPSYPGZW Index</t>
        </is>
      </c>
      <c r="D20" s="8" t="n"/>
      <c r="E20" s="6">
        <f>IFERROR(BDP($D20&amp;$D$4,$E$4),"")</f>
        <v/>
      </c>
      <c r="F20" s="6">
        <f>IFERROR(BDP($D20&amp;$D$4,$F$4),"")</f>
        <v/>
      </c>
      <c r="G20" s="6">
        <f>IFERROR(BDP($D20&amp;$D$4,$G$4),"")</f>
        <v/>
      </c>
      <c r="H20" s="6">
        <f>IFERROR(BDP($D20&amp;$D$4,$H$4),"")</f>
        <v/>
      </c>
      <c r="I20" s="9">
        <f>IFERROR(VLOOKUP(H20,'Rating Lookup'!$A$4:$C$27,3,FALSE),IFERROR(VLOOKUP(H20,'Rating Lookup'!$B$4:$C$27,2,FALSE),""))</f>
        <v/>
      </c>
      <c r="J20" s="10">
        <f>IFERROR(BDP($C20,$J$4),"")</f>
        <v/>
      </c>
      <c r="K20" s="10">
        <f>IFERROR(AVERAGEIFS($J$7:$J$74,$I$7:$I$74,I20),"")</f>
        <v/>
      </c>
      <c r="L20" s="10">
        <f>IFERROR(J20-K20,"")</f>
        <v/>
      </c>
      <c r="M20" s="6">
        <f>IF(OR(I20="",J20="",K20=""),"",IF(L20&gt;0,"Cheap","Expensive"))</f>
        <v/>
      </c>
      <c r="N20" s="11">
        <f>IFERROR(L20/STDEV.P(IF($I$7:$I$74=I20,$J$7:$J$74)),"")</f>
        <v/>
      </c>
      <c r="O20" s="12" t="inlineStr">
        <is>
          <t>LatAm</t>
        </is>
      </c>
    </row>
    <row r="21">
      <c r="A21" t="inlineStr">
        <is>
          <t>Peru</t>
        </is>
      </c>
      <c r="B21" s="6" t="inlineStr">
        <is>
          <t>PER</t>
        </is>
      </c>
      <c r="C21" s="7" t="inlineStr">
        <is>
          <t>JPSYPEZW Index</t>
        </is>
      </c>
      <c r="D21" s="8" t="n"/>
      <c r="E21" s="6">
        <f>IFERROR(BDP($D21&amp;$D$4,$E$4),"")</f>
        <v/>
      </c>
      <c r="F21" s="6">
        <f>IFERROR(BDP($D21&amp;$D$4,$F$4),"")</f>
        <v/>
      </c>
      <c r="G21" s="6">
        <f>IFERROR(BDP($D21&amp;$D$4,$G$4),"")</f>
        <v/>
      </c>
      <c r="H21" s="6">
        <f>IFERROR(BDP($D21&amp;$D$4,$H$4),"")</f>
        <v/>
      </c>
      <c r="I21" s="9">
        <f>IFERROR(VLOOKUP(H21,'Rating Lookup'!$A$4:$C$27,3,FALSE),IFERROR(VLOOKUP(H21,'Rating Lookup'!$B$4:$C$27,2,FALSE),""))</f>
        <v/>
      </c>
      <c r="J21" s="10">
        <f>IFERROR(BDP($C21,$J$4),"")</f>
        <v/>
      </c>
      <c r="K21" s="10">
        <f>IFERROR(AVERAGEIFS($J$7:$J$74,$I$7:$I$74,I21),"")</f>
        <v/>
      </c>
      <c r="L21" s="10">
        <f>IFERROR(J21-K21,"")</f>
        <v/>
      </c>
      <c r="M21" s="6">
        <f>IF(OR(I21="",J21="",K21=""),"",IF(L21&gt;0,"Cheap","Expensive"))</f>
        <v/>
      </c>
      <c r="N21" s="11">
        <f>IFERROR(L21/STDEV.P(IF($I$7:$I$74=I21,$J$7:$J$74)),"")</f>
        <v/>
      </c>
      <c r="O21" s="12" t="inlineStr">
        <is>
          <t>LatAm</t>
        </is>
      </c>
    </row>
    <row r="22">
      <c r="A22" t="inlineStr">
        <is>
          <t>Uruguay</t>
        </is>
      </c>
      <c r="B22" s="6" t="inlineStr">
        <is>
          <t>URY</t>
        </is>
      </c>
      <c r="C22" s="7" t="inlineStr">
        <is>
          <t>JPSYUYZW Index</t>
        </is>
      </c>
      <c r="D22" s="8" t="n"/>
      <c r="E22" s="6">
        <f>IFERROR(BDP($D22&amp;$D$4,$E$4),"")</f>
        <v/>
      </c>
      <c r="F22" s="6">
        <f>IFERROR(BDP($D22&amp;$D$4,$F$4),"")</f>
        <v/>
      </c>
      <c r="G22" s="6">
        <f>IFERROR(BDP($D22&amp;$D$4,$G$4),"")</f>
        <v/>
      </c>
      <c r="H22" s="6">
        <f>IFERROR(BDP($D22&amp;$D$4,$H$4),"")</f>
        <v/>
      </c>
      <c r="I22" s="9">
        <f>IFERROR(VLOOKUP(H22,'Rating Lookup'!$A$4:$C$27,3,FALSE),IFERROR(VLOOKUP(H22,'Rating Lookup'!$B$4:$C$27,2,FALSE),""))</f>
        <v/>
      </c>
      <c r="J22" s="10">
        <f>IFERROR(BDP($C22,$J$4),"")</f>
        <v/>
      </c>
      <c r="K22" s="10">
        <f>IFERROR(AVERAGEIFS($J$7:$J$74,$I$7:$I$74,I22),"")</f>
        <v/>
      </c>
      <c r="L22" s="10">
        <f>IFERROR(J22-K22,"")</f>
        <v/>
      </c>
      <c r="M22" s="6">
        <f>IF(OR(I22="",J22="",K22=""),"",IF(L22&gt;0,"Cheap","Expensive"))</f>
        <v/>
      </c>
      <c r="N22" s="11">
        <f>IFERROR(L22/STDEV.P(IF($I$7:$I$74=I22,$J$7:$J$74)),"")</f>
        <v/>
      </c>
      <c r="O22" s="12" t="inlineStr">
        <is>
          <t>LatAm</t>
        </is>
      </c>
    </row>
    <row r="23">
      <c r="A23" t="inlineStr">
        <is>
          <t>Trinidad &amp; Tobago</t>
        </is>
      </c>
      <c r="B23" s="6" t="inlineStr">
        <is>
          <t>TTO</t>
        </is>
      </c>
      <c r="C23" s="7" t="inlineStr">
        <is>
          <t>JPSYTTZW Index</t>
        </is>
      </c>
      <c r="D23" s="8" t="n"/>
      <c r="E23" s="6">
        <f>IFERROR(BDP($D23&amp;$D$4,$E$4),"")</f>
        <v/>
      </c>
      <c r="F23" s="6">
        <f>IFERROR(BDP($D23&amp;$D$4,$F$4),"")</f>
        <v/>
      </c>
      <c r="G23" s="6">
        <f>IFERROR(BDP($D23&amp;$D$4,$G$4),"")</f>
        <v/>
      </c>
      <c r="H23" s="6">
        <f>IFERROR(BDP($D23&amp;$D$4,$H$4),"")</f>
        <v/>
      </c>
      <c r="I23" s="9">
        <f>IFERROR(VLOOKUP(H23,'Rating Lookup'!$A$4:$C$27,3,FALSE),IFERROR(VLOOKUP(H23,'Rating Lookup'!$B$4:$C$27,2,FALSE),""))</f>
        <v/>
      </c>
      <c r="J23" s="10">
        <f>IFERROR(BDP($C23,$J$4),"")</f>
        <v/>
      </c>
      <c r="K23" s="10">
        <f>IFERROR(AVERAGEIFS($J$7:$J$74,$I$7:$I$74,I23),"")</f>
        <v/>
      </c>
      <c r="L23" s="10">
        <f>IFERROR(J23-K23,"")</f>
        <v/>
      </c>
      <c r="M23" s="6">
        <f>IF(OR(I23="",J23="",K23=""),"",IF(L23&gt;0,"Cheap","Expensive"))</f>
        <v/>
      </c>
      <c r="N23" s="11">
        <f>IFERROR(L23/STDEV.P(IF($I$7:$I$74=I23,$J$7:$J$74)),"")</f>
        <v/>
      </c>
      <c r="O23" s="12" t="inlineStr">
        <is>
          <t>LatAm</t>
        </is>
      </c>
    </row>
    <row r="24">
      <c r="A24" t="inlineStr">
        <is>
          <t>Armenia</t>
        </is>
      </c>
      <c r="B24" s="6" t="inlineStr">
        <is>
          <t>ARM</t>
        </is>
      </c>
      <c r="C24" s="7" t="inlineStr">
        <is>
          <t>JPSYAMZW Index</t>
        </is>
      </c>
      <c r="D24" s="8" t="n"/>
      <c r="E24" s="6">
        <f>IFERROR(BDP($D24&amp;$D$4,$E$4),"")</f>
        <v/>
      </c>
      <c r="F24" s="6">
        <f>IFERROR(BDP($D24&amp;$D$4,$F$4),"")</f>
        <v/>
      </c>
      <c r="G24" s="6">
        <f>IFERROR(BDP($D24&amp;$D$4,$G$4),"")</f>
        <v/>
      </c>
      <c r="H24" s="6">
        <f>IFERROR(BDP($D24&amp;$D$4,$H$4),"")</f>
        <v/>
      </c>
      <c r="I24" s="9">
        <f>IFERROR(VLOOKUP(H24,'Rating Lookup'!$A$4:$C$27,3,FALSE),IFERROR(VLOOKUP(H24,'Rating Lookup'!$B$4:$C$27,2,FALSE),""))</f>
        <v/>
      </c>
      <c r="J24" s="10">
        <f>IFERROR(BDP($C24,$J$4),"")</f>
        <v/>
      </c>
      <c r="K24" s="10">
        <f>IFERROR(AVERAGEIFS($J$7:$J$74,$I$7:$I$74,I24),"")</f>
        <v/>
      </c>
      <c r="L24" s="10">
        <f>IFERROR(J24-K24,"")</f>
        <v/>
      </c>
      <c r="M24" s="6">
        <f>IF(OR(I24="",J24="",K24=""),"",IF(L24&gt;0,"Cheap","Expensive"))</f>
        <v/>
      </c>
      <c r="N24" s="11">
        <f>IFERROR(L24/STDEV.P(IF($I$7:$I$74=I24,$J$7:$J$74)),"")</f>
        <v/>
      </c>
      <c r="O24" s="12" t="inlineStr">
        <is>
          <t>CEE/CIS</t>
        </is>
      </c>
    </row>
    <row r="25">
      <c r="A25" t="inlineStr">
        <is>
          <t>Azerbaijan</t>
        </is>
      </c>
      <c r="B25" s="6" t="inlineStr">
        <is>
          <t>AZE</t>
        </is>
      </c>
      <c r="C25" s="7" t="inlineStr">
        <is>
          <t>JPSYAZZW Index</t>
        </is>
      </c>
      <c r="D25" s="8" t="n"/>
      <c r="E25" s="6">
        <f>IFERROR(BDP($D25&amp;$D$4,$E$4),"")</f>
        <v/>
      </c>
      <c r="F25" s="6">
        <f>IFERROR(BDP($D25&amp;$D$4,$F$4),"")</f>
        <v/>
      </c>
      <c r="G25" s="6">
        <f>IFERROR(BDP($D25&amp;$D$4,$G$4),"")</f>
        <v/>
      </c>
      <c r="H25" s="6">
        <f>IFERROR(BDP($D25&amp;$D$4,$H$4),"")</f>
        <v/>
      </c>
      <c r="I25" s="9">
        <f>IFERROR(VLOOKUP(H25,'Rating Lookup'!$A$4:$C$27,3,FALSE),IFERROR(VLOOKUP(H25,'Rating Lookup'!$B$4:$C$27,2,FALSE),""))</f>
        <v/>
      </c>
      <c r="J25" s="10">
        <f>IFERROR(BDP($C25,$J$4),"")</f>
        <v/>
      </c>
      <c r="K25" s="10">
        <f>IFERROR(AVERAGEIFS($J$7:$J$74,$I$7:$I$74,I25),"")</f>
        <v/>
      </c>
      <c r="L25" s="10">
        <f>IFERROR(J25-K25,"")</f>
        <v/>
      </c>
      <c r="M25" s="6">
        <f>IF(OR(I25="",J25="",K25=""),"",IF(L25&gt;0,"Cheap","Expensive"))</f>
        <v/>
      </c>
      <c r="N25" s="11">
        <f>IFERROR(L25/STDEV.P(IF($I$7:$I$74=I25,$J$7:$J$74)),"")</f>
        <v/>
      </c>
      <c r="O25" s="12" t="inlineStr">
        <is>
          <t>CEE/CIS</t>
        </is>
      </c>
    </row>
    <row r="26">
      <c r="A26" t="inlineStr">
        <is>
          <t>Croatia</t>
        </is>
      </c>
      <c r="B26" s="6" t="inlineStr">
        <is>
          <t>HRV</t>
        </is>
      </c>
      <c r="C26" s="7" t="inlineStr">
        <is>
          <t>JPSYCRSW Index</t>
        </is>
      </c>
      <c r="D26" s="8" t="n"/>
      <c r="E26" s="6">
        <f>IFERROR(BDP($D26&amp;$D$4,$E$4),"")</f>
        <v/>
      </c>
      <c r="F26" s="6">
        <f>IFERROR(BDP($D26&amp;$D$4,$F$4),"")</f>
        <v/>
      </c>
      <c r="G26" s="6">
        <f>IFERROR(BDP($D26&amp;$D$4,$G$4),"")</f>
        <v/>
      </c>
      <c r="H26" s="6">
        <f>IFERROR(BDP($D26&amp;$D$4,$H$4),"")</f>
        <v/>
      </c>
      <c r="I26" s="9">
        <f>IFERROR(VLOOKUP(H26,'Rating Lookup'!$A$4:$C$27,3,FALSE),IFERROR(VLOOKUP(H26,'Rating Lookup'!$B$4:$C$27,2,FALSE),""))</f>
        <v/>
      </c>
      <c r="J26" s="10">
        <f>IFERROR(BDP($C26,$J$4),"")</f>
        <v/>
      </c>
      <c r="K26" s="10">
        <f>IFERROR(AVERAGEIFS($J$7:$J$74,$I$7:$I$74,I26),"")</f>
        <v/>
      </c>
      <c r="L26" s="10">
        <f>IFERROR(J26-K26,"")</f>
        <v/>
      </c>
      <c r="M26" s="6">
        <f>IF(OR(I26="",J26="",K26=""),"",IF(L26&gt;0,"Cheap","Expensive"))</f>
        <v/>
      </c>
      <c r="N26" s="11">
        <f>IFERROR(L26/STDEV.P(IF($I$7:$I$74=I26,$J$7:$J$74)),"")</f>
        <v/>
      </c>
      <c r="O26" s="12" t="inlineStr">
        <is>
          <t>CEE/CIS</t>
        </is>
      </c>
    </row>
    <row r="27">
      <c r="A27" t="inlineStr">
        <is>
          <t>Georgia</t>
        </is>
      </c>
      <c r="B27" s="6" t="inlineStr">
        <is>
          <t>GEO</t>
        </is>
      </c>
      <c r="C27" s="7" t="inlineStr">
        <is>
          <t>JPSYGEZW Index</t>
        </is>
      </c>
      <c r="D27" s="8" t="n"/>
      <c r="E27" s="6">
        <f>IFERROR(BDP($D27&amp;$D$4,$E$4),"")</f>
        <v/>
      </c>
      <c r="F27" s="6">
        <f>IFERROR(BDP($D27&amp;$D$4,$F$4),"")</f>
        <v/>
      </c>
      <c r="G27" s="6">
        <f>IFERROR(BDP($D27&amp;$D$4,$G$4),"")</f>
        <v/>
      </c>
      <c r="H27" s="6">
        <f>IFERROR(BDP($D27&amp;$D$4,$H$4),"")</f>
        <v/>
      </c>
      <c r="I27" s="9">
        <f>IFERROR(VLOOKUP(H27,'Rating Lookup'!$A$4:$C$27,3,FALSE),IFERROR(VLOOKUP(H27,'Rating Lookup'!$B$4:$C$27,2,FALSE),""))</f>
        <v/>
      </c>
      <c r="J27" s="10">
        <f>IFERROR(BDP($C27,$J$4),"")</f>
        <v/>
      </c>
      <c r="K27" s="10">
        <f>IFERROR(AVERAGEIFS($J$7:$J$74,$I$7:$I$74,I27),"")</f>
        <v/>
      </c>
      <c r="L27" s="10">
        <f>IFERROR(J27-K27,"")</f>
        <v/>
      </c>
      <c r="M27" s="6">
        <f>IF(OR(I27="",J27="",K27=""),"",IF(L27&gt;0,"Cheap","Expensive"))</f>
        <v/>
      </c>
      <c r="N27" s="11">
        <f>IFERROR(L27/STDEV.P(IF($I$7:$I$74=I27,$J$7:$J$74)),"")</f>
        <v/>
      </c>
      <c r="O27" s="12" t="inlineStr">
        <is>
          <t>CEE/CIS</t>
        </is>
      </c>
    </row>
    <row r="28">
      <c r="A28" t="inlineStr">
        <is>
          <t>Hungary</t>
        </is>
      </c>
      <c r="B28" s="6" t="inlineStr">
        <is>
          <t>HUN</t>
        </is>
      </c>
      <c r="C28" s="7" t="inlineStr">
        <is>
          <t>JPSYHNZW Index</t>
        </is>
      </c>
      <c r="D28" s="8" t="n"/>
      <c r="E28" s="6">
        <f>IFERROR(BDP($D28&amp;$D$4,$E$4),"")</f>
        <v/>
      </c>
      <c r="F28" s="6">
        <f>IFERROR(BDP($D28&amp;$D$4,$F$4),"")</f>
        <v/>
      </c>
      <c r="G28" s="6">
        <f>IFERROR(BDP($D28&amp;$D$4,$G$4),"")</f>
        <v/>
      </c>
      <c r="H28" s="6">
        <f>IFERROR(BDP($D28&amp;$D$4,$H$4),"")</f>
        <v/>
      </c>
      <c r="I28" s="9">
        <f>IFERROR(VLOOKUP(H28,'Rating Lookup'!$A$4:$C$27,3,FALSE),IFERROR(VLOOKUP(H28,'Rating Lookup'!$B$4:$C$27,2,FALSE),""))</f>
        <v/>
      </c>
      <c r="J28" s="10">
        <f>IFERROR(BDP($C28,$J$4),"")</f>
        <v/>
      </c>
      <c r="K28" s="10">
        <f>IFERROR(AVERAGEIFS($J$7:$J$74,$I$7:$I$74,I28),"")</f>
        <v/>
      </c>
      <c r="L28" s="10">
        <f>IFERROR(J28-K28,"")</f>
        <v/>
      </c>
      <c r="M28" s="6">
        <f>IF(OR(I28="",J28="",K28=""),"",IF(L28&gt;0,"Cheap","Expensive"))</f>
        <v/>
      </c>
      <c r="N28" s="11">
        <f>IFERROR(L28/STDEV.P(IF($I$7:$I$74=I28,$J$7:$J$74)),"")</f>
        <v/>
      </c>
      <c r="O28" s="12" t="inlineStr">
        <is>
          <t>CEE/CIS</t>
        </is>
      </c>
    </row>
    <row r="29">
      <c r="A29" t="inlineStr">
        <is>
          <t>Kazakhstan</t>
        </is>
      </c>
      <c r="B29" s="6" t="inlineStr">
        <is>
          <t>KAZ</t>
        </is>
      </c>
      <c r="C29" s="7" t="inlineStr">
        <is>
          <t>JPSYKZZW Index</t>
        </is>
      </c>
      <c r="D29" s="8" t="n"/>
      <c r="E29" s="6">
        <f>IFERROR(BDP($D29&amp;$D$4,$E$4),"")</f>
        <v/>
      </c>
      <c r="F29" s="6">
        <f>IFERROR(BDP($D29&amp;$D$4,$F$4),"")</f>
        <v/>
      </c>
      <c r="G29" s="6">
        <f>IFERROR(BDP($D29&amp;$D$4,$G$4),"")</f>
        <v/>
      </c>
      <c r="H29" s="6">
        <f>IFERROR(BDP($D29&amp;$D$4,$H$4),"")</f>
        <v/>
      </c>
      <c r="I29" s="9">
        <f>IFERROR(VLOOKUP(H29,'Rating Lookup'!$A$4:$C$27,3,FALSE),IFERROR(VLOOKUP(H29,'Rating Lookup'!$B$4:$C$27,2,FALSE),""))</f>
        <v/>
      </c>
      <c r="J29" s="10">
        <f>IFERROR(BDP($C29,$J$4),"")</f>
        <v/>
      </c>
      <c r="K29" s="10">
        <f>IFERROR(AVERAGEIFS($J$7:$J$74,$I$7:$I$74,I29),"")</f>
        <v/>
      </c>
      <c r="L29" s="10">
        <f>IFERROR(J29-K29,"")</f>
        <v/>
      </c>
      <c r="M29" s="6">
        <f>IF(OR(I29="",J29="",K29=""),"",IF(L29&gt;0,"Cheap","Expensive"))</f>
        <v/>
      </c>
      <c r="N29" s="11">
        <f>IFERROR(L29/STDEV.P(IF($I$7:$I$74=I29,$J$7:$J$74)),"")</f>
        <v/>
      </c>
      <c r="O29" s="12" t="inlineStr">
        <is>
          <t>CEE/CIS</t>
        </is>
      </c>
    </row>
    <row r="30">
      <c r="A30" t="inlineStr">
        <is>
          <t>Latvia</t>
        </is>
      </c>
      <c r="B30" s="6" t="inlineStr">
        <is>
          <t>LVA</t>
        </is>
      </c>
      <c r="C30" s="7" t="inlineStr">
        <is>
          <t>JPSYLVZW Index</t>
        </is>
      </c>
      <c r="D30" s="8" t="n"/>
      <c r="E30" s="6">
        <f>IFERROR(BDP($D30&amp;$D$4,$E$4),"")</f>
        <v/>
      </c>
      <c r="F30" s="6">
        <f>IFERROR(BDP($D30&amp;$D$4,$F$4),"")</f>
        <v/>
      </c>
      <c r="G30" s="6">
        <f>IFERROR(BDP($D30&amp;$D$4,$G$4),"")</f>
        <v/>
      </c>
      <c r="H30" s="6">
        <f>IFERROR(BDP($D30&amp;$D$4,$H$4),"")</f>
        <v/>
      </c>
      <c r="I30" s="9">
        <f>IFERROR(VLOOKUP(H30,'Rating Lookup'!$A$4:$C$27,3,FALSE),IFERROR(VLOOKUP(H30,'Rating Lookup'!$B$4:$C$27,2,FALSE),""))</f>
        <v/>
      </c>
      <c r="J30" s="10">
        <f>IFERROR(BDP($C30,$J$4),"")</f>
        <v/>
      </c>
      <c r="K30" s="10">
        <f>IFERROR(AVERAGEIFS($J$7:$J$74,$I$7:$I$74,I30),"")</f>
        <v/>
      </c>
      <c r="L30" s="10">
        <f>IFERROR(J30-K30,"")</f>
        <v/>
      </c>
      <c r="M30" s="6">
        <f>IF(OR(I30="",J30="",K30=""),"",IF(L30&gt;0,"Cheap","Expensive"))</f>
        <v/>
      </c>
      <c r="N30" s="11">
        <f>IFERROR(L30/STDEV.P(IF($I$7:$I$74=I30,$J$7:$J$74)),"")</f>
        <v/>
      </c>
      <c r="O30" s="12" t="inlineStr">
        <is>
          <t>CEE/CIS</t>
        </is>
      </c>
    </row>
    <row r="31">
      <c r="A31" t="inlineStr">
        <is>
          <t>Lithuania</t>
        </is>
      </c>
      <c r="B31" s="6" t="inlineStr">
        <is>
          <t>LTU</t>
        </is>
      </c>
      <c r="C31" s="7" t="inlineStr">
        <is>
          <t>JPSYLIZW Index</t>
        </is>
      </c>
      <c r="D31" s="8" t="n"/>
      <c r="E31" s="6">
        <f>IFERROR(BDP($D31&amp;$D$4,$E$4),"")</f>
        <v/>
      </c>
      <c r="F31" s="6">
        <f>IFERROR(BDP($D31&amp;$D$4,$F$4),"")</f>
        <v/>
      </c>
      <c r="G31" s="6">
        <f>IFERROR(BDP($D31&amp;$D$4,$G$4),"")</f>
        <v/>
      </c>
      <c r="H31" s="6">
        <f>IFERROR(BDP($D31&amp;$D$4,$H$4),"")</f>
        <v/>
      </c>
      <c r="I31" s="9">
        <f>IFERROR(VLOOKUP(H31,'Rating Lookup'!$A$4:$C$27,3,FALSE),IFERROR(VLOOKUP(H31,'Rating Lookup'!$B$4:$C$27,2,FALSE),""))</f>
        <v/>
      </c>
      <c r="J31" s="10">
        <f>IFERROR(BDP($C31,$J$4),"")</f>
        <v/>
      </c>
      <c r="K31" s="10">
        <f>IFERROR(AVERAGEIFS($J$7:$J$74,$I$7:$I$74,I31),"")</f>
        <v/>
      </c>
      <c r="L31" s="10">
        <f>IFERROR(J31-K31,"")</f>
        <v/>
      </c>
      <c r="M31" s="6">
        <f>IF(OR(I31="",J31="",K31=""),"",IF(L31&gt;0,"Cheap","Expensive"))</f>
        <v/>
      </c>
      <c r="N31" s="11">
        <f>IFERROR(L31/STDEV.P(IF($I$7:$I$74=I31,$J$7:$J$74)),"")</f>
        <v/>
      </c>
      <c r="O31" s="12" t="inlineStr">
        <is>
          <t>CEE/CIS</t>
        </is>
      </c>
    </row>
    <row r="32">
      <c r="A32" t="inlineStr">
        <is>
          <t>North Macedonia</t>
        </is>
      </c>
      <c r="B32" s="6" t="inlineStr">
        <is>
          <t>MKD</t>
        </is>
      </c>
      <c r="C32" s="7" t="inlineStr">
        <is>
          <t>JPSYMKZW Index</t>
        </is>
      </c>
      <c r="D32" s="8" t="n"/>
      <c r="E32" s="6">
        <f>IFERROR(BDP($D32&amp;$D$4,$E$4),"")</f>
        <v/>
      </c>
      <c r="F32" s="6">
        <f>IFERROR(BDP($D32&amp;$D$4,$F$4),"")</f>
        <v/>
      </c>
      <c r="G32" s="6">
        <f>IFERROR(BDP($D32&amp;$D$4,$G$4),"")</f>
        <v/>
      </c>
      <c r="H32" s="6">
        <f>IFERROR(BDP($D32&amp;$D$4,$H$4),"")</f>
        <v/>
      </c>
      <c r="I32" s="9">
        <f>IFERROR(VLOOKUP(H32,'Rating Lookup'!$A$4:$C$27,3,FALSE),IFERROR(VLOOKUP(H32,'Rating Lookup'!$B$4:$C$27,2,FALSE),""))</f>
        <v/>
      </c>
      <c r="J32" s="10">
        <f>IFERROR(BDP($C32,$J$4),"")</f>
        <v/>
      </c>
      <c r="K32" s="10">
        <f>IFERROR(AVERAGEIFS($J$7:$J$74,$I$7:$I$74,I32),"")</f>
        <v/>
      </c>
      <c r="L32" s="10">
        <f>IFERROR(J32-K32,"")</f>
        <v/>
      </c>
      <c r="M32" s="6">
        <f>IF(OR(I32="",J32="",K32=""),"",IF(L32&gt;0,"Cheap","Expensive"))</f>
        <v/>
      </c>
      <c r="N32" s="11">
        <f>IFERROR(L32/STDEV.P(IF($I$7:$I$74=I32,$J$7:$J$74)),"")</f>
        <v/>
      </c>
      <c r="O32" s="12" t="inlineStr">
        <is>
          <t>CEE/CIS</t>
        </is>
      </c>
    </row>
    <row r="33">
      <c r="A33" t="inlineStr">
        <is>
          <t>Poland</t>
        </is>
      </c>
      <c r="B33" s="6" t="inlineStr">
        <is>
          <t>POL</t>
        </is>
      </c>
      <c r="C33" s="7" t="inlineStr">
        <is>
          <t>JPSYPOSW Index</t>
        </is>
      </c>
      <c r="D33" s="8" t="n"/>
      <c r="E33" s="6">
        <f>IFERROR(BDP($D33&amp;$D$4,$E$4),"")</f>
        <v/>
      </c>
      <c r="F33" s="6">
        <f>IFERROR(BDP($D33&amp;$D$4,$F$4),"")</f>
        <v/>
      </c>
      <c r="G33" s="6">
        <f>IFERROR(BDP($D33&amp;$D$4,$G$4),"")</f>
        <v/>
      </c>
      <c r="H33" s="6">
        <f>IFERROR(BDP($D33&amp;$D$4,$H$4),"")</f>
        <v/>
      </c>
      <c r="I33" s="9">
        <f>IFERROR(VLOOKUP(H33,'Rating Lookup'!$A$4:$C$27,3,FALSE),IFERROR(VLOOKUP(H33,'Rating Lookup'!$B$4:$C$27,2,FALSE),""))</f>
        <v/>
      </c>
      <c r="J33" s="10">
        <f>IFERROR(BDP($C33,$J$4),"")</f>
        <v/>
      </c>
      <c r="K33" s="10">
        <f>IFERROR(AVERAGEIFS($J$7:$J$74,$I$7:$I$74,I33),"")</f>
        <v/>
      </c>
      <c r="L33" s="10">
        <f>IFERROR(J33-K33,"")</f>
        <v/>
      </c>
      <c r="M33" s="6">
        <f>IF(OR(I33="",J33="",K33=""),"",IF(L33&gt;0,"Cheap","Expensive"))</f>
        <v/>
      </c>
      <c r="N33" s="11">
        <f>IFERROR(L33/STDEV.P(IF($I$7:$I$74=I33,$J$7:$J$74)),"")</f>
        <v/>
      </c>
      <c r="O33" s="12" t="inlineStr">
        <is>
          <t>CEE/CIS</t>
        </is>
      </c>
    </row>
    <row r="34">
      <c r="A34" t="inlineStr">
        <is>
          <t>Romania</t>
        </is>
      </c>
      <c r="B34" s="6" t="inlineStr">
        <is>
          <t>ROU</t>
        </is>
      </c>
      <c r="C34" s="7" t="inlineStr">
        <is>
          <t>JPSYROZW Index</t>
        </is>
      </c>
      <c r="D34" s="8" t="n"/>
      <c r="E34" s="6">
        <f>IFERROR(BDP($D34&amp;$D$4,$E$4),"")</f>
        <v/>
      </c>
      <c r="F34" s="6">
        <f>IFERROR(BDP($D34&amp;$D$4,$F$4),"")</f>
        <v/>
      </c>
      <c r="G34" s="6">
        <f>IFERROR(BDP($D34&amp;$D$4,$G$4),"")</f>
        <v/>
      </c>
      <c r="H34" s="6">
        <f>IFERROR(BDP($D34&amp;$D$4,$H$4),"")</f>
        <v/>
      </c>
      <c r="I34" s="9">
        <f>IFERROR(VLOOKUP(H34,'Rating Lookup'!$A$4:$C$27,3,FALSE),IFERROR(VLOOKUP(H34,'Rating Lookup'!$B$4:$C$27,2,FALSE),""))</f>
        <v/>
      </c>
      <c r="J34" s="10">
        <f>IFERROR(BDP($C34,$J$4),"")</f>
        <v/>
      </c>
      <c r="K34" s="10">
        <f>IFERROR(AVERAGEIFS($J$7:$J$74,$I$7:$I$74,I34),"")</f>
        <v/>
      </c>
      <c r="L34" s="10">
        <f>IFERROR(J34-K34,"")</f>
        <v/>
      </c>
      <c r="M34" s="6">
        <f>IF(OR(I34="",J34="",K34=""),"",IF(L34&gt;0,"Cheap","Expensive"))</f>
        <v/>
      </c>
      <c r="N34" s="11">
        <f>IFERROR(L34/STDEV.P(IF($I$7:$I$74=I34,$J$7:$J$74)),"")</f>
        <v/>
      </c>
      <c r="O34" s="12" t="inlineStr">
        <is>
          <t>CEE/CIS</t>
        </is>
      </c>
    </row>
    <row r="35">
      <c r="A35" t="inlineStr">
        <is>
          <t>Serbia</t>
        </is>
      </c>
      <c r="B35" s="6" t="inlineStr">
        <is>
          <t>SRB</t>
        </is>
      </c>
      <c r="C35" s="7" t="inlineStr">
        <is>
          <t>JPSYCSZW Index</t>
        </is>
      </c>
      <c r="D35" s="8" t="n"/>
      <c r="E35" s="6">
        <f>IFERROR(BDP($D35&amp;$D$4,$E$4),"")</f>
        <v/>
      </c>
      <c r="F35" s="6">
        <f>IFERROR(BDP($D35&amp;$D$4,$F$4),"")</f>
        <v/>
      </c>
      <c r="G35" s="6">
        <f>IFERROR(BDP($D35&amp;$D$4,$G$4),"")</f>
        <v/>
      </c>
      <c r="H35" s="6">
        <f>IFERROR(BDP($D35&amp;$D$4,$H$4),"")</f>
        <v/>
      </c>
      <c r="I35" s="9">
        <f>IFERROR(VLOOKUP(H35,'Rating Lookup'!$A$4:$C$27,3,FALSE),IFERROR(VLOOKUP(H35,'Rating Lookup'!$B$4:$C$27,2,FALSE),""))</f>
        <v/>
      </c>
      <c r="J35" s="10">
        <f>IFERROR(BDP($C35,$J$4),"")</f>
        <v/>
      </c>
      <c r="K35" s="10">
        <f>IFERROR(AVERAGEIFS($J$7:$J$74,$I$7:$I$74,I35),"")</f>
        <v/>
      </c>
      <c r="L35" s="10">
        <f>IFERROR(J35-K35,"")</f>
        <v/>
      </c>
      <c r="M35" s="6">
        <f>IF(OR(I35="",J35="",K35=""),"",IF(L35&gt;0,"Cheap","Expensive"))</f>
        <v/>
      </c>
      <c r="N35" s="11">
        <f>IFERROR(L35/STDEV.P(IF($I$7:$I$74=I35,$J$7:$J$74)),"")</f>
        <v/>
      </c>
      <c r="O35" s="12" t="inlineStr">
        <is>
          <t>CEE/CIS</t>
        </is>
      </c>
    </row>
    <row r="36">
      <c r="A36" t="inlineStr">
        <is>
          <t>Slovakia</t>
        </is>
      </c>
      <c r="B36" s="6" t="inlineStr">
        <is>
          <t>SVK</t>
        </is>
      </c>
      <c r="C36" s="7" t="inlineStr">
        <is>
          <t>JPSYSKZW Index</t>
        </is>
      </c>
      <c r="D36" s="8" t="n"/>
      <c r="E36" s="6">
        <f>IFERROR(BDP($D36&amp;$D$4,$E$4),"")</f>
        <v/>
      </c>
      <c r="F36" s="6">
        <f>IFERROR(BDP($D36&amp;$D$4,$F$4),"")</f>
        <v/>
      </c>
      <c r="G36" s="6">
        <f>IFERROR(BDP($D36&amp;$D$4,$G$4),"")</f>
        <v/>
      </c>
      <c r="H36" s="6">
        <f>IFERROR(BDP($D36&amp;$D$4,$H$4),"")</f>
        <v/>
      </c>
      <c r="I36" s="9">
        <f>IFERROR(VLOOKUP(H36,'Rating Lookup'!$A$4:$C$27,3,FALSE),IFERROR(VLOOKUP(H36,'Rating Lookup'!$B$4:$C$27,2,FALSE),""))</f>
        <v/>
      </c>
      <c r="J36" s="10">
        <f>IFERROR(BDP($C36,$J$4),"")</f>
        <v/>
      </c>
      <c r="K36" s="10">
        <f>IFERROR(AVERAGEIFS($J$7:$J$74,$I$7:$I$74,I36),"")</f>
        <v/>
      </c>
      <c r="L36" s="10">
        <f>IFERROR(J36-K36,"")</f>
        <v/>
      </c>
      <c r="M36" s="6">
        <f>IF(OR(I36="",J36="",K36=""),"",IF(L36&gt;0,"Cheap","Expensive"))</f>
        <v/>
      </c>
      <c r="N36" s="11">
        <f>IFERROR(L36/STDEV.P(IF($I$7:$I$74=I36,$J$7:$J$74)),"")</f>
        <v/>
      </c>
      <c r="O36" s="12" t="inlineStr">
        <is>
          <t>CEE/CIS</t>
        </is>
      </c>
    </row>
    <row r="37">
      <c r="A37" t="inlineStr">
        <is>
          <t>Slovenia</t>
        </is>
      </c>
      <c r="B37" s="6" t="inlineStr">
        <is>
          <t>SVN</t>
        </is>
      </c>
      <c r="C37" s="7" t="inlineStr">
        <is>
          <t>JPSYSJZW Index</t>
        </is>
      </c>
      <c r="D37" s="8" t="n"/>
      <c r="E37" s="6">
        <f>IFERROR(BDP($D37&amp;$D$4,$E$4),"")</f>
        <v/>
      </c>
      <c r="F37" s="6">
        <f>IFERROR(BDP($D37&amp;$D$4,$F$4),"")</f>
        <v/>
      </c>
      <c r="G37" s="6">
        <f>IFERROR(BDP($D37&amp;$D$4,$G$4),"")</f>
        <v/>
      </c>
      <c r="H37" s="6">
        <f>IFERROR(BDP($D37&amp;$D$4,$H$4),"")</f>
        <v/>
      </c>
      <c r="I37" s="9">
        <f>IFERROR(VLOOKUP(H37,'Rating Lookup'!$A$4:$C$27,3,FALSE),IFERROR(VLOOKUP(H37,'Rating Lookup'!$B$4:$C$27,2,FALSE),""))</f>
        <v/>
      </c>
      <c r="J37" s="10">
        <f>IFERROR(BDP($C37,$J$4),"")</f>
        <v/>
      </c>
      <c r="K37" s="10">
        <f>IFERROR(AVERAGEIFS($J$7:$J$74,$I$7:$I$74,I37),"")</f>
        <v/>
      </c>
      <c r="L37" s="10">
        <f>IFERROR(J37-K37,"")</f>
        <v/>
      </c>
      <c r="M37" s="6">
        <f>IF(OR(I37="",J37="",K37=""),"",IF(L37&gt;0,"Cheap","Expensive"))</f>
        <v/>
      </c>
      <c r="N37" s="11">
        <f>IFERROR(L37/STDEV.P(IF($I$7:$I$74=I37,$J$7:$J$74)),"")</f>
        <v/>
      </c>
      <c r="O37" s="12" t="inlineStr">
        <is>
          <t>CEE/CIS</t>
        </is>
      </c>
    </row>
    <row r="38">
      <c r="A38" t="inlineStr">
        <is>
          <t>Turkey</t>
        </is>
      </c>
      <c r="B38" s="6" t="inlineStr">
        <is>
          <t>TUR</t>
        </is>
      </c>
      <c r="C38" s="7" t="inlineStr">
        <is>
          <t>JPSYTRZW Index</t>
        </is>
      </c>
      <c r="D38" s="8" t="n"/>
      <c r="E38" s="6">
        <f>IFERROR(BDP($D38&amp;$D$4,$E$4),"")</f>
        <v/>
      </c>
      <c r="F38" s="6">
        <f>IFERROR(BDP($D38&amp;$D$4,$F$4),"")</f>
        <v/>
      </c>
      <c r="G38" s="6">
        <f>IFERROR(BDP($D38&amp;$D$4,$G$4),"")</f>
        <v/>
      </c>
      <c r="H38" s="6">
        <f>IFERROR(BDP($D38&amp;$D$4,$H$4),"")</f>
        <v/>
      </c>
      <c r="I38" s="9">
        <f>IFERROR(VLOOKUP(H38,'Rating Lookup'!$A$4:$C$27,3,FALSE),IFERROR(VLOOKUP(H38,'Rating Lookup'!$B$4:$C$27,2,FALSE),""))</f>
        <v/>
      </c>
      <c r="J38" s="10">
        <f>IFERROR(BDP($C38,$J$4),"")</f>
        <v/>
      </c>
      <c r="K38" s="10">
        <f>IFERROR(AVERAGEIFS($J$7:$J$74,$I$7:$I$74,I38),"")</f>
        <v/>
      </c>
      <c r="L38" s="10">
        <f>IFERROR(J38-K38,"")</f>
        <v/>
      </c>
      <c r="M38" s="6">
        <f>IF(OR(I38="",J38="",K38=""),"",IF(L38&gt;0,"Cheap","Expensive"))</f>
        <v/>
      </c>
      <c r="N38" s="11">
        <f>IFERROR(L38/STDEV.P(IF($I$7:$I$74=I38,$J$7:$J$74)),"")</f>
        <v/>
      </c>
      <c r="O38" s="12" t="inlineStr">
        <is>
          <t>CEE/CIS</t>
        </is>
      </c>
    </row>
    <row r="39">
      <c r="A39" t="inlineStr">
        <is>
          <t>Ukraine</t>
        </is>
      </c>
      <c r="B39" s="6" t="inlineStr">
        <is>
          <t>UKR</t>
        </is>
      </c>
      <c r="C39" s="7" t="inlineStr">
        <is>
          <t>JPSYUKZW Index</t>
        </is>
      </c>
      <c r="D39" s="8" t="n"/>
      <c r="E39" s="6">
        <f>IFERROR(BDP($D39&amp;$D$4,$E$4),"")</f>
        <v/>
      </c>
      <c r="F39" s="6">
        <f>IFERROR(BDP($D39&amp;$D$4,$F$4),"")</f>
        <v/>
      </c>
      <c r="G39" s="6">
        <f>IFERROR(BDP($D39&amp;$D$4,$G$4),"")</f>
        <v/>
      </c>
      <c r="H39" s="6">
        <f>IFERROR(BDP($D39&amp;$D$4,$H$4),"")</f>
        <v/>
      </c>
      <c r="I39" s="9">
        <f>IFERROR(VLOOKUP(H39,'Rating Lookup'!$A$4:$C$27,3,FALSE),IFERROR(VLOOKUP(H39,'Rating Lookup'!$B$4:$C$27,2,FALSE),""))</f>
        <v/>
      </c>
      <c r="J39" s="10">
        <f>IFERROR(BDP($C39,$J$4),"")</f>
        <v/>
      </c>
      <c r="K39" s="10">
        <f>IFERROR(AVERAGEIFS($J$7:$J$74,$I$7:$I$74,I39),"")</f>
        <v/>
      </c>
      <c r="L39" s="10">
        <f>IFERROR(J39-K39,"")</f>
        <v/>
      </c>
      <c r="M39" s="6">
        <f>IF(OR(I39="",J39="",K39=""),"",IF(L39&gt;0,"Cheap","Expensive"))</f>
        <v/>
      </c>
      <c r="N39" s="11">
        <f>IFERROR(L39/STDEV.P(IF($I$7:$I$74=I39,$J$7:$J$74)),"")</f>
        <v/>
      </c>
      <c r="O39" s="12" t="inlineStr">
        <is>
          <t>CEE/CIS</t>
        </is>
      </c>
    </row>
    <row r="40">
      <c r="A40" t="inlineStr">
        <is>
          <t>Uzbekistan</t>
        </is>
      </c>
      <c r="B40" s="6" t="inlineStr">
        <is>
          <t>UZB</t>
        </is>
      </c>
      <c r="C40" s="7" t="inlineStr">
        <is>
          <t>JPSYUZZW Index</t>
        </is>
      </c>
      <c r="D40" s="8" t="n"/>
      <c r="E40" s="6">
        <f>IFERROR(BDP($D40&amp;$D$4,$E$4),"")</f>
        <v/>
      </c>
      <c r="F40" s="6">
        <f>IFERROR(BDP($D40&amp;$D$4,$F$4),"")</f>
        <v/>
      </c>
      <c r="G40" s="6">
        <f>IFERROR(BDP($D40&amp;$D$4,$G$4),"")</f>
        <v/>
      </c>
      <c r="H40" s="6">
        <f>IFERROR(BDP($D40&amp;$D$4,$H$4),"")</f>
        <v/>
      </c>
      <c r="I40" s="9">
        <f>IFERROR(VLOOKUP(H40,'Rating Lookup'!$A$4:$C$27,3,FALSE),IFERROR(VLOOKUP(H40,'Rating Lookup'!$B$4:$C$27,2,FALSE),""))</f>
        <v/>
      </c>
      <c r="J40" s="10">
        <f>IFERROR(BDP($C40,$J$4),"")</f>
        <v/>
      </c>
      <c r="K40" s="10">
        <f>IFERROR(AVERAGEIFS($J$7:$J$74,$I$7:$I$74,I40),"")</f>
        <v/>
      </c>
      <c r="L40" s="10">
        <f>IFERROR(J40-K40,"")</f>
        <v/>
      </c>
      <c r="M40" s="6">
        <f>IF(OR(I40="",J40="",K40=""),"",IF(L40&gt;0,"Cheap","Expensive"))</f>
        <v/>
      </c>
      <c r="N40" s="11">
        <f>IFERROR(L40/STDEV.P(IF($I$7:$I$74=I40,$J$7:$J$74)),"")</f>
        <v/>
      </c>
      <c r="O40" s="12" t="inlineStr">
        <is>
          <t>CEE/CIS</t>
        </is>
      </c>
    </row>
    <row r="41">
      <c r="A41" t="inlineStr">
        <is>
          <t>Bahrain</t>
        </is>
      </c>
      <c r="B41" s="6" t="inlineStr">
        <is>
          <t>BHR</t>
        </is>
      </c>
      <c r="C41" s="7" t="inlineStr">
        <is>
          <t>JPEGBHZW Index</t>
        </is>
      </c>
      <c r="D41" s="8" t="n"/>
      <c r="E41" s="6">
        <f>IFERROR(BDP($D41&amp;$D$4,$E$4),"")</f>
        <v/>
      </c>
      <c r="F41" s="6">
        <f>IFERROR(BDP($D41&amp;$D$4,$F$4),"")</f>
        <v/>
      </c>
      <c r="G41" s="6">
        <f>IFERROR(BDP($D41&amp;$D$4,$G$4),"")</f>
        <v/>
      </c>
      <c r="H41" s="6">
        <f>IFERROR(BDP($D41&amp;$D$4,$H$4),"")</f>
        <v/>
      </c>
      <c r="I41" s="9">
        <f>IFERROR(VLOOKUP(H41,'Rating Lookup'!$A$4:$C$27,3,FALSE),IFERROR(VLOOKUP(H41,'Rating Lookup'!$B$4:$C$27,2,FALSE),""))</f>
        <v/>
      </c>
      <c r="J41" s="10">
        <f>IFERROR(BDP($C41,$J$4),"")</f>
        <v/>
      </c>
      <c r="K41" s="10">
        <f>IFERROR(AVERAGEIFS($J$7:$J$74,$I$7:$I$74,I41),"")</f>
        <v/>
      </c>
      <c r="L41" s="10">
        <f>IFERROR(J41-K41,"")</f>
        <v/>
      </c>
      <c r="M41" s="6">
        <f>IF(OR(I41="",J41="",K41=""),"",IF(L41&gt;0,"Cheap","Expensive"))</f>
        <v/>
      </c>
      <c r="N41" s="11">
        <f>IFERROR(L41/STDEV.P(IF($I$7:$I$74=I41,$J$7:$J$74)),"")</f>
        <v/>
      </c>
      <c r="O41" s="12" t="inlineStr">
        <is>
          <t>MENA</t>
        </is>
      </c>
    </row>
    <row r="42">
      <c r="A42" t="inlineStr">
        <is>
          <t>Egypt</t>
        </is>
      </c>
      <c r="B42" s="6" t="inlineStr">
        <is>
          <t>EGY</t>
        </is>
      </c>
      <c r="C42" s="7" t="inlineStr">
        <is>
          <t>JPSYEGZW Index</t>
        </is>
      </c>
      <c r="D42" s="8" t="n"/>
      <c r="E42" s="6">
        <f>IFERROR(BDP($D42&amp;$D$4,$E$4),"")</f>
        <v/>
      </c>
      <c r="F42" s="6">
        <f>IFERROR(BDP($D42&amp;$D$4,$F$4),"")</f>
        <v/>
      </c>
      <c r="G42" s="6">
        <f>IFERROR(BDP($D42&amp;$D$4,$G$4),"")</f>
        <v/>
      </c>
      <c r="H42" s="6">
        <f>IFERROR(BDP($D42&amp;$D$4,$H$4),"")</f>
        <v/>
      </c>
      <c r="I42" s="9">
        <f>IFERROR(VLOOKUP(H42,'Rating Lookup'!$A$4:$C$27,3,FALSE),IFERROR(VLOOKUP(H42,'Rating Lookup'!$B$4:$C$27,2,FALSE),""))</f>
        <v/>
      </c>
      <c r="J42" s="10">
        <f>IFERROR(BDP($C42,$J$4),"")</f>
        <v/>
      </c>
      <c r="K42" s="10">
        <f>IFERROR(AVERAGEIFS($J$7:$J$74,$I$7:$I$74,I42),"")</f>
        <v/>
      </c>
      <c r="L42" s="10">
        <f>IFERROR(J42-K42,"")</f>
        <v/>
      </c>
      <c r="M42" s="6">
        <f>IF(OR(I42="",J42="",K42=""),"",IF(L42&gt;0,"Cheap","Expensive"))</f>
        <v/>
      </c>
      <c r="N42" s="11">
        <f>IFERROR(L42/STDEV.P(IF($I$7:$I$74=I42,$J$7:$J$74)),"")</f>
        <v/>
      </c>
      <c r="O42" s="12" t="inlineStr">
        <is>
          <t>MENA</t>
        </is>
      </c>
    </row>
    <row r="43">
      <c r="A43" t="inlineStr">
        <is>
          <t>Iraq</t>
        </is>
      </c>
      <c r="B43" s="6" t="inlineStr">
        <is>
          <t>IRQ</t>
        </is>
      </c>
      <c r="C43" s="7" t="inlineStr">
        <is>
          <t>JPSYIQZW Index</t>
        </is>
      </c>
      <c r="D43" s="8" t="n"/>
      <c r="E43" s="6">
        <f>IFERROR(BDP($D43&amp;$D$4,$E$4),"")</f>
        <v/>
      </c>
      <c r="F43" s="6">
        <f>IFERROR(BDP($D43&amp;$D$4,$F$4),"")</f>
        <v/>
      </c>
      <c r="G43" s="6">
        <f>IFERROR(BDP($D43&amp;$D$4,$G$4),"")</f>
        <v/>
      </c>
      <c r="H43" s="6">
        <f>IFERROR(BDP($D43&amp;$D$4,$H$4),"")</f>
        <v/>
      </c>
      <c r="I43" s="9">
        <f>IFERROR(VLOOKUP(H43,'Rating Lookup'!$A$4:$C$27,3,FALSE),IFERROR(VLOOKUP(H43,'Rating Lookup'!$B$4:$C$27,2,FALSE),""))</f>
        <v/>
      </c>
      <c r="J43" s="10">
        <f>IFERROR(BDP($C43,$J$4),"")</f>
        <v/>
      </c>
      <c r="K43" s="10">
        <f>IFERROR(AVERAGEIFS($J$7:$J$74,$I$7:$I$74,I43),"")</f>
        <v/>
      </c>
      <c r="L43" s="10">
        <f>IFERROR(J43-K43,"")</f>
        <v/>
      </c>
      <c r="M43" s="6">
        <f>IF(OR(I43="",J43="",K43=""),"",IF(L43&gt;0,"Cheap","Expensive"))</f>
        <v/>
      </c>
      <c r="N43" s="11">
        <f>IFERROR(L43/STDEV.P(IF($I$7:$I$74=I43,$J$7:$J$74)),"")</f>
        <v/>
      </c>
      <c r="O43" s="12" t="inlineStr">
        <is>
          <t>MENA</t>
        </is>
      </c>
    </row>
    <row r="44">
      <c r="A44" t="inlineStr">
        <is>
          <t>Israel</t>
        </is>
      </c>
      <c r="B44" s="6" t="inlineStr">
        <is>
          <t>ISR</t>
        </is>
      </c>
      <c r="C44" s="7" t="inlineStr">
        <is>
          <t>JPSYISZW Index</t>
        </is>
      </c>
      <c r="D44" s="8" t="n"/>
      <c r="E44" s="6">
        <f>IFERROR(BDP($D44&amp;$D$4,$E$4),"")</f>
        <v/>
      </c>
      <c r="F44" s="6">
        <f>IFERROR(BDP($D44&amp;$D$4,$F$4),"")</f>
        <v/>
      </c>
      <c r="G44" s="6">
        <f>IFERROR(BDP($D44&amp;$D$4,$G$4),"")</f>
        <v/>
      </c>
      <c r="H44" s="6">
        <f>IFERROR(BDP($D44&amp;$D$4,$H$4),"")</f>
        <v/>
      </c>
      <c r="I44" s="9">
        <f>IFERROR(VLOOKUP(H44,'Rating Lookup'!$A$4:$C$27,3,FALSE),IFERROR(VLOOKUP(H44,'Rating Lookup'!$B$4:$C$27,2,FALSE),""))</f>
        <v/>
      </c>
      <c r="J44" s="10">
        <f>IFERROR(BDP($C44,$J$4),"")</f>
        <v/>
      </c>
      <c r="K44" s="10">
        <f>IFERROR(AVERAGEIFS($J$7:$J$74,$I$7:$I$74,I44),"")</f>
        <v/>
      </c>
      <c r="L44" s="10">
        <f>IFERROR(J44-K44,"")</f>
        <v/>
      </c>
      <c r="M44" s="6">
        <f>IF(OR(I44="",J44="",K44=""),"",IF(L44&gt;0,"Cheap","Expensive"))</f>
        <v/>
      </c>
      <c r="N44" s="11">
        <f>IFERROR(L44/STDEV.P(IF($I$7:$I$74=I44,$J$7:$J$74)),"")</f>
        <v/>
      </c>
      <c r="O44" s="12" t="inlineStr">
        <is>
          <t>MENA</t>
        </is>
      </c>
    </row>
    <row r="45">
      <c r="A45" t="inlineStr">
        <is>
          <t>Jordan</t>
        </is>
      </c>
      <c r="B45" s="6" t="inlineStr">
        <is>
          <t>JOR</t>
        </is>
      </c>
      <c r="C45" s="7" t="inlineStr">
        <is>
          <t>JPSYJOZW Index</t>
        </is>
      </c>
      <c r="D45" s="8" t="n"/>
      <c r="E45" s="6">
        <f>IFERROR(BDP($D45&amp;$D$4,$E$4),"")</f>
        <v/>
      </c>
      <c r="F45" s="6">
        <f>IFERROR(BDP($D45&amp;$D$4,$F$4),"")</f>
        <v/>
      </c>
      <c r="G45" s="6">
        <f>IFERROR(BDP($D45&amp;$D$4,$G$4),"")</f>
        <v/>
      </c>
      <c r="H45" s="6">
        <f>IFERROR(BDP($D45&amp;$D$4,$H$4),"")</f>
        <v/>
      </c>
      <c r="I45" s="9">
        <f>IFERROR(VLOOKUP(H45,'Rating Lookup'!$A$4:$C$27,3,FALSE),IFERROR(VLOOKUP(H45,'Rating Lookup'!$B$4:$C$27,2,FALSE),""))</f>
        <v/>
      </c>
      <c r="J45" s="10">
        <f>IFERROR(BDP($C45,$J$4),"")</f>
        <v/>
      </c>
      <c r="K45" s="10">
        <f>IFERROR(AVERAGEIFS($J$7:$J$74,$I$7:$I$74,I45),"")</f>
        <v/>
      </c>
      <c r="L45" s="10">
        <f>IFERROR(J45-K45,"")</f>
        <v/>
      </c>
      <c r="M45" s="6">
        <f>IF(OR(I45="",J45="",K45=""),"",IF(L45&gt;0,"Cheap","Expensive"))</f>
        <v/>
      </c>
      <c r="N45" s="11">
        <f>IFERROR(L45/STDEV.P(IF($I$7:$I$74=I45,$J$7:$J$74)),"")</f>
        <v/>
      </c>
      <c r="O45" s="12" t="inlineStr">
        <is>
          <t>MENA</t>
        </is>
      </c>
    </row>
    <row r="46">
      <c r="A46" t="inlineStr">
        <is>
          <t>Kuwait</t>
        </is>
      </c>
      <c r="B46" s="6" t="inlineStr">
        <is>
          <t>KWT</t>
        </is>
      </c>
      <c r="C46" s="7" t="inlineStr">
        <is>
          <t>JPSYKWZW Index</t>
        </is>
      </c>
      <c r="D46" s="8" t="n"/>
      <c r="E46" s="6">
        <f>IFERROR(BDP($D46&amp;$D$4,$E$4),"")</f>
        <v/>
      </c>
      <c r="F46" s="6">
        <f>IFERROR(BDP($D46&amp;$D$4,$F$4),"")</f>
        <v/>
      </c>
      <c r="G46" s="6">
        <f>IFERROR(BDP($D46&amp;$D$4,$G$4),"")</f>
        <v/>
      </c>
      <c r="H46" s="6">
        <f>IFERROR(BDP($D46&amp;$D$4,$H$4),"")</f>
        <v/>
      </c>
      <c r="I46" s="9">
        <f>IFERROR(VLOOKUP(H46,'Rating Lookup'!$A$4:$C$27,3,FALSE),IFERROR(VLOOKUP(H46,'Rating Lookup'!$B$4:$C$27,2,FALSE),""))</f>
        <v/>
      </c>
      <c r="J46" s="10">
        <f>IFERROR(BDP($C46,$J$4),"")</f>
        <v/>
      </c>
      <c r="K46" s="10">
        <f>IFERROR(AVERAGEIFS($J$7:$J$74,$I$7:$I$74,I46),"")</f>
        <v/>
      </c>
      <c r="L46" s="10">
        <f>IFERROR(J46-K46,"")</f>
        <v/>
      </c>
      <c r="M46" s="6">
        <f>IF(OR(I46="",J46="",K46=""),"",IF(L46&gt;0,"Cheap","Expensive"))</f>
        <v/>
      </c>
      <c r="N46" s="11">
        <f>IFERROR(L46/STDEV.P(IF($I$7:$I$74=I46,$J$7:$J$74)),"")</f>
        <v/>
      </c>
      <c r="O46" s="12" t="inlineStr">
        <is>
          <t>MENA</t>
        </is>
      </c>
    </row>
    <row r="47">
      <c r="A47" t="inlineStr">
        <is>
          <t>Morocco</t>
        </is>
      </c>
      <c r="B47" s="6" t="inlineStr">
        <is>
          <t>MAR</t>
        </is>
      </c>
      <c r="C47" s="7" t="inlineStr">
        <is>
          <t>JPSYMOZW Index</t>
        </is>
      </c>
      <c r="D47" s="8" t="n"/>
      <c r="E47" s="6">
        <f>IFERROR(BDP($D47&amp;$D$4,$E$4),"")</f>
        <v/>
      </c>
      <c r="F47" s="6">
        <f>IFERROR(BDP($D47&amp;$D$4,$F$4),"")</f>
        <v/>
      </c>
      <c r="G47" s="6">
        <f>IFERROR(BDP($D47&amp;$D$4,$G$4),"")</f>
        <v/>
      </c>
      <c r="H47" s="6">
        <f>IFERROR(BDP($D47&amp;$D$4,$H$4),"")</f>
        <v/>
      </c>
      <c r="I47" s="9">
        <f>IFERROR(VLOOKUP(H47,'Rating Lookup'!$A$4:$C$27,3,FALSE),IFERROR(VLOOKUP(H47,'Rating Lookup'!$B$4:$C$27,2,FALSE),""))</f>
        <v/>
      </c>
      <c r="J47" s="10">
        <f>IFERROR(BDP($C47,$J$4),"")</f>
        <v/>
      </c>
      <c r="K47" s="10">
        <f>IFERROR(AVERAGEIFS($J$7:$J$74,$I$7:$I$74,I47),"")</f>
        <v/>
      </c>
      <c r="L47" s="10">
        <f>IFERROR(J47-K47,"")</f>
        <v/>
      </c>
      <c r="M47" s="6">
        <f>IF(OR(I47="",J47="",K47=""),"",IF(L47&gt;0,"Cheap","Expensive"))</f>
        <v/>
      </c>
      <c r="N47" s="11">
        <f>IFERROR(L47/STDEV.P(IF($I$7:$I$74=I47,$J$7:$J$74)),"")</f>
        <v/>
      </c>
      <c r="O47" s="12" t="inlineStr">
        <is>
          <t>MENA</t>
        </is>
      </c>
    </row>
    <row r="48">
      <c r="A48" t="inlineStr">
        <is>
          <t>Oman</t>
        </is>
      </c>
      <c r="B48" s="6" t="inlineStr">
        <is>
          <t>OMN</t>
        </is>
      </c>
      <c r="C48" s="7" t="inlineStr">
        <is>
          <t>JPSYOMZW Index</t>
        </is>
      </c>
      <c r="D48" s="8" t="n"/>
      <c r="E48" s="6">
        <f>IFERROR(BDP($D48&amp;$D$4,$E$4),"")</f>
        <v/>
      </c>
      <c r="F48" s="6">
        <f>IFERROR(BDP($D48&amp;$D$4,$F$4),"")</f>
        <v/>
      </c>
      <c r="G48" s="6">
        <f>IFERROR(BDP($D48&amp;$D$4,$G$4),"")</f>
        <v/>
      </c>
      <c r="H48" s="6">
        <f>IFERROR(BDP($D48&amp;$D$4,$H$4),"")</f>
        <v/>
      </c>
      <c r="I48" s="9">
        <f>IFERROR(VLOOKUP(H48,'Rating Lookup'!$A$4:$C$27,3,FALSE),IFERROR(VLOOKUP(H48,'Rating Lookup'!$B$4:$C$27,2,FALSE),""))</f>
        <v/>
      </c>
      <c r="J48" s="10">
        <f>IFERROR(BDP($C48,$J$4),"")</f>
        <v/>
      </c>
      <c r="K48" s="10">
        <f>IFERROR(AVERAGEIFS($J$7:$J$74,$I$7:$I$74,I48),"")</f>
        <v/>
      </c>
      <c r="L48" s="10">
        <f>IFERROR(J48-K48,"")</f>
        <v/>
      </c>
      <c r="M48" s="6">
        <f>IF(OR(I48="",J48="",K48=""),"",IF(L48&gt;0,"Cheap","Expensive"))</f>
        <v/>
      </c>
      <c r="N48" s="11">
        <f>IFERROR(L48/STDEV.P(IF($I$7:$I$74=I48,$J$7:$J$74)),"")</f>
        <v/>
      </c>
      <c r="O48" s="12" t="inlineStr">
        <is>
          <t>MENA</t>
        </is>
      </c>
    </row>
    <row r="49">
      <c r="A49" t="inlineStr">
        <is>
          <t>Qatar</t>
        </is>
      </c>
      <c r="B49" s="6" t="inlineStr">
        <is>
          <t>QAT</t>
        </is>
      </c>
      <c r="C49" s="7" t="inlineStr">
        <is>
          <t>JPSYQAZW Index</t>
        </is>
      </c>
      <c r="D49" s="8" t="n"/>
      <c r="E49" s="6">
        <f>IFERROR(BDP($D49&amp;$D$4,$E$4),"")</f>
        <v/>
      </c>
      <c r="F49" s="6">
        <f>IFERROR(BDP($D49&amp;$D$4,$F$4),"")</f>
        <v/>
      </c>
      <c r="G49" s="6">
        <f>IFERROR(BDP($D49&amp;$D$4,$G$4),"")</f>
        <v/>
      </c>
      <c r="H49" s="6">
        <f>IFERROR(BDP($D49&amp;$D$4,$H$4),"")</f>
        <v/>
      </c>
      <c r="I49" s="9">
        <f>IFERROR(VLOOKUP(H49,'Rating Lookup'!$A$4:$C$27,3,FALSE),IFERROR(VLOOKUP(H49,'Rating Lookup'!$B$4:$C$27,2,FALSE),""))</f>
        <v/>
      </c>
      <c r="J49" s="10">
        <f>IFERROR(BDP($C49,$J$4),"")</f>
        <v/>
      </c>
      <c r="K49" s="10">
        <f>IFERROR(AVERAGEIFS($J$7:$J$74,$I$7:$I$74,I49),"")</f>
        <v/>
      </c>
      <c r="L49" s="10">
        <f>IFERROR(J49-K49,"")</f>
        <v/>
      </c>
      <c r="M49" s="6">
        <f>IF(OR(I49="",J49="",K49=""),"",IF(L49&gt;0,"Cheap","Expensive"))</f>
        <v/>
      </c>
      <c r="N49" s="11">
        <f>IFERROR(L49/STDEV.P(IF($I$7:$I$74=I49,$J$7:$J$74)),"")</f>
        <v/>
      </c>
      <c r="O49" s="12" t="inlineStr">
        <is>
          <t>MENA</t>
        </is>
      </c>
    </row>
    <row r="50">
      <c r="A50" t="inlineStr">
        <is>
          <t>Saudi Arabia</t>
        </is>
      </c>
      <c r="B50" s="6" t="inlineStr">
        <is>
          <t>SAU</t>
        </is>
      </c>
      <c r="C50" s="7" t="inlineStr">
        <is>
          <t>JPSYSAZW Index</t>
        </is>
      </c>
      <c r="D50" s="8" t="n"/>
      <c r="E50" s="6">
        <f>IFERROR(BDP($D50&amp;$D$4,$E$4),"")</f>
        <v/>
      </c>
      <c r="F50" s="6">
        <f>IFERROR(BDP($D50&amp;$D$4,$F$4),"")</f>
        <v/>
      </c>
      <c r="G50" s="6">
        <f>IFERROR(BDP($D50&amp;$D$4,$G$4),"")</f>
        <v/>
      </c>
      <c r="H50" s="6">
        <f>IFERROR(BDP($D50&amp;$D$4,$H$4),"")</f>
        <v/>
      </c>
      <c r="I50" s="9">
        <f>IFERROR(VLOOKUP(H50,'Rating Lookup'!$A$4:$C$27,3,FALSE),IFERROR(VLOOKUP(H50,'Rating Lookup'!$B$4:$C$27,2,FALSE),""))</f>
        <v/>
      </c>
      <c r="J50" s="10">
        <f>IFERROR(BDP($C50,$J$4),"")</f>
        <v/>
      </c>
      <c r="K50" s="10">
        <f>IFERROR(AVERAGEIFS($J$7:$J$74,$I$7:$I$74,I50),"")</f>
        <v/>
      </c>
      <c r="L50" s="10">
        <f>IFERROR(J50-K50,"")</f>
        <v/>
      </c>
      <c r="M50" s="6">
        <f>IF(OR(I50="",J50="",K50=""),"",IF(L50&gt;0,"Cheap","Expensive"))</f>
        <v/>
      </c>
      <c r="N50" s="11">
        <f>IFERROR(L50/STDEV.P(IF($I$7:$I$74=I50,$J$7:$J$74)),"")</f>
        <v/>
      </c>
      <c r="O50" s="12" t="inlineStr">
        <is>
          <t>MENA</t>
        </is>
      </c>
    </row>
    <row r="51">
      <c r="A51" t="inlineStr">
        <is>
          <t>Tunisia</t>
        </is>
      </c>
      <c r="B51" s="6" t="inlineStr">
        <is>
          <t>TUN</t>
        </is>
      </c>
      <c r="C51" s="7" t="inlineStr">
        <is>
          <t>JPEGTNZW Index</t>
        </is>
      </c>
      <c r="D51" s="8" t="n"/>
      <c r="E51" s="6">
        <f>IFERROR(BDP($D51&amp;$D$4,$E$4),"")</f>
        <v/>
      </c>
      <c r="F51" s="6">
        <f>IFERROR(BDP($D51&amp;$D$4,$F$4),"")</f>
        <v/>
      </c>
      <c r="G51" s="6">
        <f>IFERROR(BDP($D51&amp;$D$4,$G$4),"")</f>
        <v/>
      </c>
      <c r="H51" s="6">
        <f>IFERROR(BDP($D51&amp;$D$4,$H$4),"")</f>
        <v/>
      </c>
      <c r="I51" s="9">
        <f>IFERROR(VLOOKUP(H51,'Rating Lookup'!$A$4:$C$27,3,FALSE),IFERROR(VLOOKUP(H51,'Rating Lookup'!$B$4:$C$27,2,FALSE),""))</f>
        <v/>
      </c>
      <c r="J51" s="10">
        <f>IFERROR(BDP($C51,$J$4),"")</f>
        <v/>
      </c>
      <c r="K51" s="10">
        <f>IFERROR(AVERAGEIFS($J$7:$J$74,$I$7:$I$74,I51),"")</f>
        <v/>
      </c>
      <c r="L51" s="10">
        <f>IFERROR(J51-K51,"")</f>
        <v/>
      </c>
      <c r="M51" s="6">
        <f>IF(OR(I51="",J51="",K51=""),"",IF(L51&gt;0,"Cheap","Expensive"))</f>
        <v/>
      </c>
      <c r="N51" s="11">
        <f>IFERROR(L51/STDEV.P(IF($I$7:$I$74=I51,$J$7:$J$74)),"")</f>
        <v/>
      </c>
      <c r="O51" s="12" t="inlineStr">
        <is>
          <t>MENA</t>
        </is>
      </c>
    </row>
    <row r="52">
      <c r="A52" t="inlineStr">
        <is>
          <t>United Arab Emirates</t>
        </is>
      </c>
      <c r="B52" s="6" t="inlineStr">
        <is>
          <t>ARE</t>
        </is>
      </c>
      <c r="C52" s="7" t="inlineStr">
        <is>
          <t>JPSYAEZW Index</t>
        </is>
      </c>
      <c r="D52" s="8" t="n"/>
      <c r="E52" s="6">
        <f>IFERROR(BDP($D52&amp;$D$4,$E$4),"")</f>
        <v/>
      </c>
      <c r="F52" s="6">
        <f>IFERROR(BDP($D52&amp;$D$4,$F$4),"")</f>
        <v/>
      </c>
      <c r="G52" s="6">
        <f>IFERROR(BDP($D52&amp;$D$4,$G$4),"")</f>
        <v/>
      </c>
      <c r="H52" s="6">
        <f>IFERROR(BDP($D52&amp;$D$4,$H$4),"")</f>
        <v/>
      </c>
      <c r="I52" s="9">
        <f>IFERROR(VLOOKUP(H52,'Rating Lookup'!$A$4:$C$27,3,FALSE),IFERROR(VLOOKUP(H52,'Rating Lookup'!$B$4:$C$27,2,FALSE),""))</f>
        <v/>
      </c>
      <c r="J52" s="10">
        <f>IFERROR(BDP($C52,$J$4),"")</f>
        <v/>
      </c>
      <c r="K52" s="10">
        <f>IFERROR(AVERAGEIFS($J$7:$J$74,$I$7:$I$74,I52),"")</f>
        <v/>
      </c>
      <c r="L52" s="10">
        <f>IFERROR(J52-K52,"")</f>
        <v/>
      </c>
      <c r="M52" s="6">
        <f>IF(OR(I52="",J52="",K52=""),"",IF(L52&gt;0,"Cheap","Expensive"))</f>
        <v/>
      </c>
      <c r="N52" s="11">
        <f>IFERROR(L52/STDEV.P(IF($I$7:$I$74=I52,$J$7:$J$74)),"")</f>
        <v/>
      </c>
      <c r="O52" s="12" t="inlineStr">
        <is>
          <t>MENA</t>
        </is>
      </c>
    </row>
    <row r="53">
      <c r="A53" t="inlineStr">
        <is>
          <t>Angola</t>
        </is>
      </c>
      <c r="B53" s="6" t="inlineStr">
        <is>
          <t>AGO</t>
        </is>
      </c>
      <c r="C53" s="7" t="inlineStr">
        <is>
          <t>JPSYAOZW Index</t>
        </is>
      </c>
      <c r="D53" s="8" t="n"/>
      <c r="E53" s="6">
        <f>IFERROR(BDP($D53&amp;$D$4,$E$4),"")</f>
        <v/>
      </c>
      <c r="F53" s="6">
        <f>IFERROR(BDP($D53&amp;$D$4,$F$4),"")</f>
        <v/>
      </c>
      <c r="G53" s="6">
        <f>IFERROR(BDP($D53&amp;$D$4,$G$4),"")</f>
        <v/>
      </c>
      <c r="H53" s="6">
        <f>IFERROR(BDP($D53&amp;$D$4,$H$4),"")</f>
        <v/>
      </c>
      <c r="I53" s="9">
        <f>IFERROR(VLOOKUP(H53,'Rating Lookup'!$A$4:$C$27,3,FALSE),IFERROR(VLOOKUP(H53,'Rating Lookup'!$B$4:$C$27,2,FALSE),""))</f>
        <v/>
      </c>
      <c r="J53" s="10">
        <f>IFERROR(BDP($C53,$J$4),"")</f>
        <v/>
      </c>
      <c r="K53" s="10">
        <f>IFERROR(AVERAGEIFS($J$7:$J$74,$I$7:$I$74,I53),"")</f>
        <v/>
      </c>
      <c r="L53" s="10">
        <f>IFERROR(J53-K53,"")</f>
        <v/>
      </c>
      <c r="M53" s="6">
        <f>IF(OR(I53="",J53="",K53=""),"",IF(L53&gt;0,"Cheap","Expensive"))</f>
        <v/>
      </c>
      <c r="N53" s="11">
        <f>IFERROR(L53/STDEV.P(IF($I$7:$I$74=I53,$J$7:$J$74)),"")</f>
        <v/>
      </c>
      <c r="O53" s="12" t="inlineStr">
        <is>
          <t>Africa</t>
        </is>
      </c>
    </row>
    <row r="54">
      <c r="A54" t="inlineStr">
        <is>
          <t>Cameroon</t>
        </is>
      </c>
      <c r="B54" s="6" t="inlineStr">
        <is>
          <t>CMR</t>
        </is>
      </c>
      <c r="C54" s="7" t="inlineStr">
        <is>
          <t>JPEGCMZW Index</t>
        </is>
      </c>
      <c r="D54" s="8" t="n"/>
      <c r="E54" s="6">
        <f>IFERROR(BDP($D54&amp;$D$4,$E$4),"")</f>
        <v/>
      </c>
      <c r="F54" s="6">
        <f>IFERROR(BDP($D54&amp;$D$4,$F$4),"")</f>
        <v/>
      </c>
      <c r="G54" s="6">
        <f>IFERROR(BDP($D54&amp;$D$4,$G$4),"")</f>
        <v/>
      </c>
      <c r="H54" s="6">
        <f>IFERROR(BDP($D54&amp;$D$4,$H$4),"")</f>
        <v/>
      </c>
      <c r="I54" s="9">
        <f>IFERROR(VLOOKUP(H54,'Rating Lookup'!$A$4:$C$27,3,FALSE),IFERROR(VLOOKUP(H54,'Rating Lookup'!$B$4:$C$27,2,FALSE),""))</f>
        <v/>
      </c>
      <c r="J54" s="10">
        <f>IFERROR(BDP($C54,$J$4),"")</f>
        <v/>
      </c>
      <c r="K54" s="10">
        <f>IFERROR(AVERAGEIFS($J$7:$J$74,$I$7:$I$74,I54),"")</f>
        <v/>
      </c>
      <c r="L54" s="10">
        <f>IFERROR(J54-K54,"")</f>
        <v/>
      </c>
      <c r="M54" s="6">
        <f>IF(OR(I54="",J54="",K54=""),"",IF(L54&gt;0,"Cheap","Expensive"))</f>
        <v/>
      </c>
      <c r="N54" s="11">
        <f>IFERROR(L54/STDEV.P(IF($I$7:$I$74=I54,$J$7:$J$74)),"")</f>
        <v/>
      </c>
      <c r="O54" s="12" t="inlineStr">
        <is>
          <t>Africa</t>
        </is>
      </c>
    </row>
    <row r="55">
      <c r="A55" t="inlineStr">
        <is>
          <t>Cote D'Ivoire</t>
        </is>
      </c>
      <c r="B55" s="6" t="inlineStr">
        <is>
          <t>CIV</t>
        </is>
      </c>
      <c r="C55" s="7" t="inlineStr">
        <is>
          <t>JPSYCDZW Index</t>
        </is>
      </c>
      <c r="D55" s="8" t="n"/>
      <c r="E55" s="6">
        <f>IFERROR(BDP($D55&amp;$D$4,$E$4),"")</f>
        <v/>
      </c>
      <c r="F55" s="6">
        <f>IFERROR(BDP($D55&amp;$D$4,$F$4),"")</f>
        <v/>
      </c>
      <c r="G55" s="6">
        <f>IFERROR(BDP($D55&amp;$D$4,$G$4),"")</f>
        <v/>
      </c>
      <c r="H55" s="6">
        <f>IFERROR(BDP($D55&amp;$D$4,$H$4),"")</f>
        <v/>
      </c>
      <c r="I55" s="9">
        <f>IFERROR(VLOOKUP(H55,'Rating Lookup'!$A$4:$C$27,3,FALSE),IFERROR(VLOOKUP(H55,'Rating Lookup'!$B$4:$C$27,2,FALSE),""))</f>
        <v/>
      </c>
      <c r="J55" s="10">
        <f>IFERROR(BDP($C55,$J$4),"")</f>
        <v/>
      </c>
      <c r="K55" s="10">
        <f>IFERROR(AVERAGEIFS($J$7:$J$74,$I$7:$I$74,I55),"")</f>
        <v/>
      </c>
      <c r="L55" s="10">
        <f>IFERROR(J55-K55,"")</f>
        <v/>
      </c>
      <c r="M55" s="6">
        <f>IF(OR(I55="",J55="",K55=""),"",IF(L55&gt;0,"Cheap","Expensive"))</f>
        <v/>
      </c>
      <c r="N55" s="11">
        <f>IFERROR(L55/STDEV.P(IF($I$7:$I$74=I55,$J$7:$J$74)),"")</f>
        <v/>
      </c>
      <c r="O55" s="12" t="inlineStr">
        <is>
          <t>Africa</t>
        </is>
      </c>
    </row>
    <row r="56">
      <c r="A56" t="inlineStr">
        <is>
          <t>Ethiopia</t>
        </is>
      </c>
      <c r="B56" s="6" t="inlineStr">
        <is>
          <t>ETH</t>
        </is>
      </c>
      <c r="C56" s="7" t="inlineStr">
        <is>
          <t>JPEGETZW Index</t>
        </is>
      </c>
      <c r="D56" s="8" t="n"/>
      <c r="E56" s="6">
        <f>IFERROR(BDP($D56&amp;$D$4,$E$4),"")</f>
        <v/>
      </c>
      <c r="F56" s="6">
        <f>IFERROR(BDP($D56&amp;$D$4,$F$4),"")</f>
        <v/>
      </c>
      <c r="G56" s="6">
        <f>IFERROR(BDP($D56&amp;$D$4,$G$4),"")</f>
        <v/>
      </c>
      <c r="H56" s="6">
        <f>IFERROR(BDP($D56&amp;$D$4,$H$4),"")</f>
        <v/>
      </c>
      <c r="I56" s="9">
        <f>IFERROR(VLOOKUP(H56,'Rating Lookup'!$A$4:$C$27,3,FALSE),IFERROR(VLOOKUP(H56,'Rating Lookup'!$B$4:$C$27,2,FALSE),""))</f>
        <v/>
      </c>
      <c r="J56" s="10">
        <f>IFERROR(BDP($C56,$J$4),"")</f>
        <v/>
      </c>
      <c r="K56" s="10">
        <f>IFERROR(AVERAGEIFS($J$7:$J$74,$I$7:$I$74,I56),"")</f>
        <v/>
      </c>
      <c r="L56" s="10">
        <f>IFERROR(J56-K56,"")</f>
        <v/>
      </c>
      <c r="M56" s="6">
        <f>IF(OR(I56="",J56="",K56=""),"",IF(L56&gt;0,"Cheap","Expensive"))</f>
        <v/>
      </c>
      <c r="N56" s="11">
        <f>IFERROR(L56/STDEV.P(IF($I$7:$I$74=I56,$J$7:$J$74)),"")</f>
        <v/>
      </c>
      <c r="O56" s="12" t="inlineStr">
        <is>
          <t>Africa</t>
        </is>
      </c>
    </row>
    <row r="57">
      <c r="A57" t="inlineStr">
        <is>
          <t>Gabon</t>
        </is>
      </c>
      <c r="B57" s="6" t="inlineStr">
        <is>
          <t>GAB</t>
        </is>
      </c>
      <c r="C57" s="7" t="inlineStr">
        <is>
          <t>JPSYGAZW Index</t>
        </is>
      </c>
      <c r="D57" s="8" t="n"/>
      <c r="E57" s="6">
        <f>IFERROR(BDP($D57&amp;$D$4,$E$4),"")</f>
        <v/>
      </c>
      <c r="F57" s="6">
        <f>IFERROR(BDP($D57&amp;$D$4,$F$4),"")</f>
        <v/>
      </c>
      <c r="G57" s="6">
        <f>IFERROR(BDP($D57&amp;$D$4,$G$4),"")</f>
        <v/>
      </c>
      <c r="H57" s="6">
        <f>IFERROR(BDP($D57&amp;$D$4,$H$4),"")</f>
        <v/>
      </c>
      <c r="I57" s="9">
        <f>IFERROR(VLOOKUP(H57,'Rating Lookup'!$A$4:$C$27,3,FALSE),IFERROR(VLOOKUP(H57,'Rating Lookup'!$B$4:$C$27,2,FALSE),""))</f>
        <v/>
      </c>
      <c r="J57" s="10">
        <f>IFERROR(BDP($C57,$J$4),"")</f>
        <v/>
      </c>
      <c r="K57" s="10">
        <f>IFERROR(AVERAGEIFS($J$7:$J$74,$I$7:$I$74,I57),"")</f>
        <v/>
      </c>
      <c r="L57" s="10">
        <f>IFERROR(J57-K57,"")</f>
        <v/>
      </c>
      <c r="M57" s="6">
        <f>IF(OR(I57="",J57="",K57=""),"",IF(L57&gt;0,"Cheap","Expensive"))</f>
        <v/>
      </c>
      <c r="N57" s="11">
        <f>IFERROR(L57/STDEV.P(IF($I$7:$I$74=I57,$J$7:$J$74)),"")</f>
        <v/>
      </c>
      <c r="O57" s="12" t="inlineStr">
        <is>
          <t>Africa</t>
        </is>
      </c>
    </row>
    <row r="58">
      <c r="A58" t="inlineStr">
        <is>
          <t>Ghana</t>
        </is>
      </c>
      <c r="B58" s="6" t="inlineStr">
        <is>
          <t>GHA</t>
        </is>
      </c>
      <c r="C58" s="7" t="inlineStr">
        <is>
          <t>JPSYGHZW Index</t>
        </is>
      </c>
      <c r="D58" s="8" t="n"/>
      <c r="E58" s="6">
        <f>IFERROR(BDP($D58&amp;$D$4,$E$4),"")</f>
        <v/>
      </c>
      <c r="F58" s="6">
        <f>IFERROR(BDP($D58&amp;$D$4,$F$4),"")</f>
        <v/>
      </c>
      <c r="G58" s="6">
        <f>IFERROR(BDP($D58&amp;$D$4,$G$4),"")</f>
        <v/>
      </c>
      <c r="H58" s="6">
        <f>IFERROR(BDP($D58&amp;$D$4,$H$4),"")</f>
        <v/>
      </c>
      <c r="I58" s="9">
        <f>IFERROR(VLOOKUP(H58,'Rating Lookup'!$A$4:$C$27,3,FALSE),IFERROR(VLOOKUP(H58,'Rating Lookup'!$B$4:$C$27,2,FALSE),""))</f>
        <v/>
      </c>
      <c r="J58" s="10">
        <f>IFERROR(BDP($C58,$J$4),"")</f>
        <v/>
      </c>
      <c r="K58" s="10">
        <f>IFERROR(AVERAGEIFS($J$7:$J$74,$I$7:$I$74,I58),"")</f>
        <v/>
      </c>
      <c r="L58" s="10">
        <f>IFERROR(J58-K58,"")</f>
        <v/>
      </c>
      <c r="M58" s="6">
        <f>IF(OR(I58="",J58="",K58=""),"",IF(L58&gt;0,"Cheap","Expensive"))</f>
        <v/>
      </c>
      <c r="N58" s="11">
        <f>IFERROR(L58/STDEV.P(IF($I$7:$I$74=I58,$J$7:$J$74)),"")</f>
        <v/>
      </c>
      <c r="O58" s="12" t="inlineStr">
        <is>
          <t>Africa</t>
        </is>
      </c>
    </row>
    <row r="59">
      <c r="A59" t="inlineStr">
        <is>
          <t>Kenya</t>
        </is>
      </c>
      <c r="B59" s="6" t="inlineStr">
        <is>
          <t>KEN</t>
        </is>
      </c>
      <c r="C59" s="7" t="inlineStr">
        <is>
          <t>JPEGKEZW Index</t>
        </is>
      </c>
      <c r="D59" s="8" t="n"/>
      <c r="E59" s="6">
        <f>IFERROR(BDP($D59&amp;$D$4,$E$4),"")</f>
        <v/>
      </c>
      <c r="F59" s="6">
        <f>IFERROR(BDP($D59&amp;$D$4,$F$4),"")</f>
        <v/>
      </c>
      <c r="G59" s="6">
        <f>IFERROR(BDP($D59&amp;$D$4,$G$4),"")</f>
        <v/>
      </c>
      <c r="H59" s="6">
        <f>IFERROR(BDP($D59&amp;$D$4,$H$4),"")</f>
        <v/>
      </c>
      <c r="I59" s="9">
        <f>IFERROR(VLOOKUP(H59,'Rating Lookup'!$A$4:$C$27,3,FALSE),IFERROR(VLOOKUP(H59,'Rating Lookup'!$B$4:$C$27,2,FALSE),""))</f>
        <v/>
      </c>
      <c r="J59" s="10">
        <f>IFERROR(BDP($C59,$J$4),"")</f>
        <v/>
      </c>
      <c r="K59" s="10">
        <f>IFERROR(AVERAGEIFS($J$7:$J$74,$I$7:$I$74,I59),"")</f>
        <v/>
      </c>
      <c r="L59" s="10">
        <f>IFERROR(J59-K59,"")</f>
        <v/>
      </c>
      <c r="M59" s="6">
        <f>IF(OR(I59="",J59="",K59=""),"",IF(L59&gt;0,"Cheap","Expensive"))</f>
        <v/>
      </c>
      <c r="N59" s="11">
        <f>IFERROR(L59/STDEV.P(IF($I$7:$I$74=I59,$J$7:$J$74)),"")</f>
        <v/>
      </c>
      <c r="O59" s="12" t="inlineStr">
        <is>
          <t>Africa</t>
        </is>
      </c>
    </row>
    <row r="60">
      <c r="A60" t="inlineStr">
        <is>
          <t>Mozambique</t>
        </is>
      </c>
      <c r="B60" s="6" t="inlineStr">
        <is>
          <t>MOZ</t>
        </is>
      </c>
      <c r="C60" s="7" t="inlineStr">
        <is>
          <t>JPSYMZZW Index</t>
        </is>
      </c>
      <c r="D60" s="8" t="n"/>
      <c r="E60" s="6">
        <f>IFERROR(BDP($D60&amp;$D$4,$E$4),"")</f>
        <v/>
      </c>
      <c r="F60" s="6">
        <f>IFERROR(BDP($D60&amp;$D$4,$F$4),"")</f>
        <v/>
      </c>
      <c r="G60" s="6">
        <f>IFERROR(BDP($D60&amp;$D$4,$G$4),"")</f>
        <v/>
      </c>
      <c r="H60" s="6">
        <f>IFERROR(BDP($D60&amp;$D$4,$H$4),"")</f>
        <v/>
      </c>
      <c r="I60" s="9">
        <f>IFERROR(VLOOKUP(H60,'Rating Lookup'!$A$4:$C$27,3,FALSE),IFERROR(VLOOKUP(H60,'Rating Lookup'!$B$4:$C$27,2,FALSE),""))</f>
        <v/>
      </c>
      <c r="J60" s="10">
        <f>IFERROR(BDP($C60,$J$4),"")</f>
        <v/>
      </c>
      <c r="K60" s="10">
        <f>IFERROR(AVERAGEIFS($J$7:$J$74,$I$7:$I$74,I60),"")</f>
        <v/>
      </c>
      <c r="L60" s="10">
        <f>IFERROR(J60-K60,"")</f>
        <v/>
      </c>
      <c r="M60" s="6">
        <f>IF(OR(I60="",J60="",K60=""),"",IF(L60&gt;0,"Cheap","Expensive"))</f>
        <v/>
      </c>
      <c r="N60" s="11">
        <f>IFERROR(L60/STDEV.P(IF($I$7:$I$74=I60,$J$7:$J$74)),"")</f>
        <v/>
      </c>
      <c r="O60" s="12" t="inlineStr">
        <is>
          <t>Africa</t>
        </is>
      </c>
    </row>
    <row r="61">
      <c r="A61" t="inlineStr">
        <is>
          <t>Namibia</t>
        </is>
      </c>
      <c r="B61" s="6" t="inlineStr">
        <is>
          <t>NAM</t>
        </is>
      </c>
      <c r="C61" s="7" t="inlineStr">
        <is>
          <t>JPSYNBZW Index</t>
        </is>
      </c>
      <c r="D61" s="8" t="n"/>
      <c r="E61" s="6">
        <f>IFERROR(BDP($D61&amp;$D$4,$E$4),"")</f>
        <v/>
      </c>
      <c r="F61" s="6">
        <f>IFERROR(BDP($D61&amp;$D$4,$F$4),"")</f>
        <v/>
      </c>
      <c r="G61" s="6">
        <f>IFERROR(BDP($D61&amp;$D$4,$G$4),"")</f>
        <v/>
      </c>
      <c r="H61" s="6">
        <f>IFERROR(BDP($D61&amp;$D$4,$H$4),"")</f>
        <v/>
      </c>
      <c r="I61" s="9">
        <f>IFERROR(VLOOKUP(H61,'Rating Lookup'!$A$4:$C$27,3,FALSE),IFERROR(VLOOKUP(H61,'Rating Lookup'!$B$4:$C$27,2,FALSE),""))</f>
        <v/>
      </c>
      <c r="J61" s="10">
        <f>IFERROR(BDP($C61,$J$4),"")</f>
        <v/>
      </c>
      <c r="K61" s="10">
        <f>IFERROR(AVERAGEIFS($J$7:$J$74,$I$7:$I$74,I61),"")</f>
        <v/>
      </c>
      <c r="L61" s="10">
        <f>IFERROR(J61-K61,"")</f>
        <v/>
      </c>
      <c r="M61" s="6">
        <f>IF(OR(I61="",J61="",K61=""),"",IF(L61&gt;0,"Cheap","Expensive"))</f>
        <v/>
      </c>
      <c r="N61" s="11">
        <f>IFERROR(L61/STDEV.P(IF($I$7:$I$74=I61,$J$7:$J$74)),"")</f>
        <v/>
      </c>
      <c r="O61" s="12" t="inlineStr">
        <is>
          <t>Africa</t>
        </is>
      </c>
    </row>
    <row r="62">
      <c r="A62" t="inlineStr">
        <is>
          <t>Nigeria</t>
        </is>
      </c>
      <c r="B62" s="6" t="inlineStr">
        <is>
          <t>NGA</t>
        </is>
      </c>
      <c r="C62" s="7" t="inlineStr">
        <is>
          <t>JPSYNIZW Index</t>
        </is>
      </c>
      <c r="D62" s="8" t="n"/>
      <c r="E62" s="6">
        <f>IFERROR(BDP($D62&amp;$D$4,$E$4),"")</f>
        <v/>
      </c>
      <c r="F62" s="6">
        <f>IFERROR(BDP($D62&amp;$D$4,$F$4),"")</f>
        <v/>
      </c>
      <c r="G62" s="6">
        <f>IFERROR(BDP($D62&amp;$D$4,$G$4),"")</f>
        <v/>
      </c>
      <c r="H62" s="6">
        <f>IFERROR(BDP($D62&amp;$D$4,$H$4),"")</f>
        <v/>
      </c>
      <c r="I62" s="9">
        <f>IFERROR(VLOOKUP(H62,'Rating Lookup'!$A$4:$C$27,3,FALSE),IFERROR(VLOOKUP(H62,'Rating Lookup'!$B$4:$C$27,2,FALSE),""))</f>
        <v/>
      </c>
      <c r="J62" s="10">
        <f>IFERROR(BDP($C62,$J$4),"")</f>
        <v/>
      </c>
      <c r="K62" s="10">
        <f>IFERROR(AVERAGEIFS($J$7:$J$74,$I$7:$I$74,I62),"")</f>
        <v/>
      </c>
      <c r="L62" s="10">
        <f>IFERROR(J62-K62,"")</f>
        <v/>
      </c>
      <c r="M62" s="6">
        <f>IF(OR(I62="",J62="",K62=""),"",IF(L62&gt;0,"Cheap","Expensive"))</f>
        <v/>
      </c>
      <c r="N62" s="11">
        <f>IFERROR(L62/STDEV.P(IF($I$7:$I$74=I62,$J$7:$J$74)),"")</f>
        <v/>
      </c>
      <c r="O62" s="12" t="inlineStr">
        <is>
          <t>Africa</t>
        </is>
      </c>
    </row>
    <row r="63">
      <c r="A63" t="inlineStr">
        <is>
          <t>Rwanda</t>
        </is>
      </c>
      <c r="B63" s="6" t="inlineStr">
        <is>
          <t>RWA</t>
        </is>
      </c>
      <c r="C63" s="7" t="inlineStr">
        <is>
          <t>JPSYRWZW Index</t>
        </is>
      </c>
      <c r="D63" s="8" t="n"/>
      <c r="E63" s="6">
        <f>IFERROR(BDP($D63&amp;$D$4,$E$4),"")</f>
        <v/>
      </c>
      <c r="F63" s="6">
        <f>IFERROR(BDP($D63&amp;$D$4,$F$4),"")</f>
        <v/>
      </c>
      <c r="G63" s="6">
        <f>IFERROR(BDP($D63&amp;$D$4,$G$4),"")</f>
        <v/>
      </c>
      <c r="H63" s="6">
        <f>IFERROR(BDP($D63&amp;$D$4,$H$4),"")</f>
        <v/>
      </c>
      <c r="I63" s="9">
        <f>IFERROR(VLOOKUP(H63,'Rating Lookup'!$A$4:$C$27,3,FALSE),IFERROR(VLOOKUP(H63,'Rating Lookup'!$B$4:$C$27,2,FALSE),""))</f>
        <v/>
      </c>
      <c r="J63" s="10">
        <f>IFERROR(BDP($C63,$J$4),"")</f>
        <v/>
      </c>
      <c r="K63" s="10">
        <f>IFERROR(AVERAGEIFS($J$7:$J$74,$I$7:$I$74,I63),"")</f>
        <v/>
      </c>
      <c r="L63" s="10">
        <f>IFERROR(J63-K63,"")</f>
        <v/>
      </c>
      <c r="M63" s="6">
        <f>IF(OR(I63="",J63="",K63=""),"",IF(L63&gt;0,"Cheap","Expensive"))</f>
        <v/>
      </c>
      <c r="N63" s="11">
        <f>IFERROR(L63/STDEV.P(IF($I$7:$I$74=I63,$J$7:$J$74)),"")</f>
        <v/>
      </c>
      <c r="O63" s="12" t="inlineStr">
        <is>
          <t>Africa</t>
        </is>
      </c>
    </row>
    <row r="64">
      <c r="A64" t="inlineStr">
        <is>
          <t>Senegal</t>
        </is>
      </c>
      <c r="B64" s="6" t="inlineStr">
        <is>
          <t>SEN</t>
        </is>
      </c>
      <c r="C64" s="7" t="inlineStr">
        <is>
          <t>JPSYSNZW Index</t>
        </is>
      </c>
      <c r="D64" s="8" t="n"/>
      <c r="E64" s="6">
        <f>IFERROR(BDP($D64&amp;$D$4,$E$4),"")</f>
        <v/>
      </c>
      <c r="F64" s="6">
        <f>IFERROR(BDP($D64&amp;$D$4,$F$4),"")</f>
        <v/>
      </c>
      <c r="G64" s="6">
        <f>IFERROR(BDP($D64&amp;$D$4,$G$4),"")</f>
        <v/>
      </c>
      <c r="H64" s="6">
        <f>IFERROR(BDP($D64&amp;$D$4,$H$4),"")</f>
        <v/>
      </c>
      <c r="I64" s="9">
        <f>IFERROR(VLOOKUP(H64,'Rating Lookup'!$A$4:$C$27,3,FALSE),IFERROR(VLOOKUP(H64,'Rating Lookup'!$B$4:$C$27,2,FALSE),""))</f>
        <v/>
      </c>
      <c r="J64" s="10">
        <f>IFERROR(BDP($C64,$J$4),"")</f>
        <v/>
      </c>
      <c r="K64" s="10">
        <f>IFERROR(AVERAGEIFS($J$7:$J$74,$I$7:$I$74,I64),"")</f>
        <v/>
      </c>
      <c r="L64" s="10">
        <f>IFERROR(J64-K64,"")</f>
        <v/>
      </c>
      <c r="M64" s="6">
        <f>IF(OR(I64="",J64="",K64=""),"",IF(L64&gt;0,"Cheap","Expensive"))</f>
        <v/>
      </c>
      <c r="N64" s="11">
        <f>IFERROR(L64/STDEV.P(IF($I$7:$I$74=I64,$J$7:$J$74)),"")</f>
        <v/>
      </c>
      <c r="O64" s="12" t="inlineStr">
        <is>
          <t>Africa</t>
        </is>
      </c>
    </row>
    <row r="65">
      <c r="A65" t="inlineStr">
        <is>
          <t>South Africa</t>
        </is>
      </c>
      <c r="B65" s="6" t="inlineStr">
        <is>
          <t>ZAF</t>
        </is>
      </c>
      <c r="C65" s="7" t="inlineStr">
        <is>
          <t>JPSYSAZW Index</t>
        </is>
      </c>
      <c r="D65" s="8" t="n"/>
      <c r="E65" s="6">
        <f>IFERROR(BDP($D65&amp;$D$4,$E$4),"")</f>
        <v/>
      </c>
      <c r="F65" s="6">
        <f>IFERROR(BDP($D65&amp;$D$4,$F$4),"")</f>
        <v/>
      </c>
      <c r="G65" s="6">
        <f>IFERROR(BDP($D65&amp;$D$4,$G$4),"")</f>
        <v/>
      </c>
      <c r="H65" s="6">
        <f>IFERROR(BDP($D65&amp;$D$4,$H$4),"")</f>
        <v/>
      </c>
      <c r="I65" s="9">
        <f>IFERROR(VLOOKUP(H65,'Rating Lookup'!$A$4:$C$27,3,FALSE),IFERROR(VLOOKUP(H65,'Rating Lookup'!$B$4:$C$27,2,FALSE),""))</f>
        <v/>
      </c>
      <c r="J65" s="10">
        <f>IFERROR(BDP($C65,$J$4),"")</f>
        <v/>
      </c>
      <c r="K65" s="10">
        <f>IFERROR(AVERAGEIFS($J$7:$J$74,$I$7:$I$74,I65),"")</f>
        <v/>
      </c>
      <c r="L65" s="10">
        <f>IFERROR(J65-K65,"")</f>
        <v/>
      </c>
      <c r="M65" s="6">
        <f>IF(OR(I65="",J65="",K65=""),"",IF(L65&gt;0,"Cheap","Expensive"))</f>
        <v/>
      </c>
      <c r="N65" s="11">
        <f>IFERROR(L65/STDEV.P(IF($I$7:$I$74=I65,$J$7:$J$74)),"")</f>
        <v/>
      </c>
      <c r="O65" s="12" t="inlineStr">
        <is>
          <t>Africa</t>
        </is>
      </c>
    </row>
    <row r="66">
      <c r="A66" t="inlineStr">
        <is>
          <t>Zambia</t>
        </is>
      </c>
      <c r="B66" s="6" t="inlineStr">
        <is>
          <t>ZMB</t>
        </is>
      </c>
      <c r="C66" s="7" t="inlineStr">
        <is>
          <t>JPSYZMZW Index</t>
        </is>
      </c>
      <c r="D66" s="8" t="n"/>
      <c r="E66" s="6">
        <f>IFERROR(BDP($D66&amp;$D$4,$E$4),"")</f>
        <v/>
      </c>
      <c r="F66" s="6">
        <f>IFERROR(BDP($D66&amp;$D$4,$F$4),"")</f>
        <v/>
      </c>
      <c r="G66" s="6">
        <f>IFERROR(BDP($D66&amp;$D$4,$G$4),"")</f>
        <v/>
      </c>
      <c r="H66" s="6">
        <f>IFERROR(BDP($D66&amp;$D$4,$H$4),"")</f>
        <v/>
      </c>
      <c r="I66" s="9">
        <f>IFERROR(VLOOKUP(H66,'Rating Lookup'!$A$4:$C$27,3,FALSE),IFERROR(VLOOKUP(H66,'Rating Lookup'!$B$4:$C$27,2,FALSE),""))</f>
        <v/>
      </c>
      <c r="J66" s="10">
        <f>IFERROR(BDP($C66,$J$4),"")</f>
        <v/>
      </c>
      <c r="K66" s="10">
        <f>IFERROR(AVERAGEIFS($J$7:$J$74,$I$7:$I$74,I66),"")</f>
        <v/>
      </c>
      <c r="L66" s="10">
        <f>IFERROR(J66-K66,"")</f>
        <v/>
      </c>
      <c r="M66" s="6">
        <f>IF(OR(I66="",J66="",K66=""),"",IF(L66&gt;0,"Cheap","Expensive"))</f>
        <v/>
      </c>
      <c r="N66" s="11">
        <f>IFERROR(L66/STDEV.P(IF($I$7:$I$74=I66,$J$7:$J$74)),"")</f>
        <v/>
      </c>
      <c r="O66" s="12" t="inlineStr">
        <is>
          <t>Africa</t>
        </is>
      </c>
    </row>
    <row r="67">
      <c r="A67" t="inlineStr">
        <is>
          <t>China</t>
        </is>
      </c>
      <c r="B67" s="6" t="inlineStr">
        <is>
          <t>CHN</t>
        </is>
      </c>
      <c r="C67" s="7" t="inlineStr">
        <is>
          <t>JPSYCNZW Index</t>
        </is>
      </c>
      <c r="D67" s="8" t="n"/>
      <c r="E67" s="6">
        <f>IFERROR(BDP($D67&amp;$D$4,$E$4),"")</f>
        <v/>
      </c>
      <c r="F67" s="6">
        <f>IFERROR(BDP($D67&amp;$D$4,$F$4),"")</f>
        <v/>
      </c>
      <c r="G67" s="6">
        <f>IFERROR(BDP($D67&amp;$D$4,$G$4),"")</f>
        <v/>
      </c>
      <c r="H67" s="6">
        <f>IFERROR(BDP($D67&amp;$D$4,$H$4),"")</f>
        <v/>
      </c>
      <c r="I67" s="9">
        <f>IFERROR(VLOOKUP(H67,'Rating Lookup'!$A$4:$C$27,3,FALSE),IFERROR(VLOOKUP(H67,'Rating Lookup'!$B$4:$C$27,2,FALSE),""))</f>
        <v/>
      </c>
      <c r="J67" s="10">
        <f>IFERROR(BDP($C67,$J$4),"")</f>
        <v/>
      </c>
      <c r="K67" s="10">
        <f>IFERROR(AVERAGEIFS($J$7:$J$74,$I$7:$I$74,I67),"")</f>
        <v/>
      </c>
      <c r="L67" s="10">
        <f>IFERROR(J67-K67,"")</f>
        <v/>
      </c>
      <c r="M67" s="6">
        <f>IF(OR(I67="",J67="",K67=""),"",IF(L67&gt;0,"Cheap","Expensive"))</f>
        <v/>
      </c>
      <c r="N67" s="11">
        <f>IFERROR(L67/STDEV.P(IF($I$7:$I$74=I67,$J$7:$J$74)),"")</f>
        <v/>
      </c>
      <c r="O67" s="12" t="inlineStr">
        <is>
          <t>EM Asia</t>
        </is>
      </c>
    </row>
    <row r="68">
      <c r="A68" t="inlineStr">
        <is>
          <t>Indonesia</t>
        </is>
      </c>
      <c r="B68" s="6" t="inlineStr">
        <is>
          <t>IDN</t>
        </is>
      </c>
      <c r="C68" s="7" t="inlineStr">
        <is>
          <t>JPSYIDZW Index</t>
        </is>
      </c>
      <c r="D68" s="8" t="n"/>
      <c r="E68" s="6">
        <f>IFERROR(BDP($D68&amp;$D$4,$E$4),"")</f>
        <v/>
      </c>
      <c r="F68" s="6">
        <f>IFERROR(BDP($D68&amp;$D$4,$F$4),"")</f>
        <v/>
      </c>
      <c r="G68" s="6">
        <f>IFERROR(BDP($D68&amp;$D$4,$G$4),"")</f>
        <v/>
      </c>
      <c r="H68" s="6">
        <f>IFERROR(BDP($D68&amp;$D$4,$H$4),"")</f>
        <v/>
      </c>
      <c r="I68" s="9">
        <f>IFERROR(VLOOKUP(H68,'Rating Lookup'!$A$4:$C$27,3,FALSE),IFERROR(VLOOKUP(H68,'Rating Lookup'!$B$4:$C$27,2,FALSE),""))</f>
        <v/>
      </c>
      <c r="J68" s="10">
        <f>IFERROR(BDP($C68,$J$4),"")</f>
        <v/>
      </c>
      <c r="K68" s="10">
        <f>IFERROR(AVERAGEIFS($J$7:$J$74,$I$7:$I$74,I68),"")</f>
        <v/>
      </c>
      <c r="L68" s="10">
        <f>IFERROR(J68-K68,"")</f>
        <v/>
      </c>
      <c r="M68" s="6">
        <f>IF(OR(I68="",J68="",K68=""),"",IF(L68&gt;0,"Cheap","Expensive"))</f>
        <v/>
      </c>
      <c r="N68" s="11">
        <f>IFERROR(L68/STDEV.P(IF($I$7:$I$74=I68,$J$7:$J$74)),"")</f>
        <v/>
      </c>
      <c r="O68" s="12" t="inlineStr">
        <is>
          <t>EM Asia</t>
        </is>
      </c>
    </row>
    <row r="69">
      <c r="A69" t="inlineStr">
        <is>
          <t>Korea</t>
        </is>
      </c>
      <c r="B69" s="6" t="inlineStr">
        <is>
          <t>KOR</t>
        </is>
      </c>
      <c r="C69" s="7" t="inlineStr">
        <is>
          <t>JPSYKOZW Index</t>
        </is>
      </c>
      <c r="D69" s="8" t="n"/>
      <c r="E69" s="6">
        <f>IFERROR(BDP($D69&amp;$D$4,$E$4),"")</f>
        <v/>
      </c>
      <c r="F69" s="6">
        <f>IFERROR(BDP($D69&amp;$D$4,$F$4),"")</f>
        <v/>
      </c>
      <c r="G69" s="6">
        <f>IFERROR(BDP($D69&amp;$D$4,$G$4),"")</f>
        <v/>
      </c>
      <c r="H69" s="6">
        <f>IFERROR(BDP($D69&amp;$D$4,$H$4),"")</f>
        <v/>
      </c>
      <c r="I69" s="9">
        <f>IFERROR(VLOOKUP(H69,'Rating Lookup'!$A$4:$C$27,3,FALSE),IFERROR(VLOOKUP(H69,'Rating Lookup'!$B$4:$C$27,2,FALSE),""))</f>
        <v/>
      </c>
      <c r="J69" s="10">
        <f>IFERROR(BDP($C69,$J$4),"")</f>
        <v/>
      </c>
      <c r="K69" s="10">
        <f>IFERROR(AVERAGEIFS($J$7:$J$74,$I$7:$I$74,I69),"")</f>
        <v/>
      </c>
      <c r="L69" s="10">
        <f>IFERROR(J69-K69,"")</f>
        <v/>
      </c>
      <c r="M69" s="6">
        <f>IF(OR(I69="",J69="",K69=""),"",IF(L69&gt;0,"Cheap","Expensive"))</f>
        <v/>
      </c>
      <c r="N69" s="11">
        <f>IFERROR(L69/STDEV.P(IF($I$7:$I$74=I69,$J$7:$J$74)),"")</f>
        <v/>
      </c>
      <c r="O69" s="12" t="inlineStr">
        <is>
          <t>EM Asia</t>
        </is>
      </c>
    </row>
    <row r="70">
      <c r="A70" t="inlineStr">
        <is>
          <t>Mongolia</t>
        </is>
      </c>
      <c r="B70" s="6" t="inlineStr">
        <is>
          <t>MNG</t>
        </is>
      </c>
      <c r="C70" s="7" t="inlineStr">
        <is>
          <t>JPSYMNZW Index</t>
        </is>
      </c>
      <c r="D70" s="8" t="n"/>
      <c r="E70" s="6">
        <f>IFERROR(BDP($D70&amp;$D$4,$E$4),"")</f>
        <v/>
      </c>
      <c r="F70" s="6">
        <f>IFERROR(BDP($D70&amp;$D$4,$F$4),"")</f>
        <v/>
      </c>
      <c r="G70" s="6">
        <f>IFERROR(BDP($D70&amp;$D$4,$G$4),"")</f>
        <v/>
      </c>
      <c r="H70" s="6">
        <f>IFERROR(BDP($D70&amp;$D$4,$H$4),"")</f>
        <v/>
      </c>
      <c r="I70" s="9">
        <f>IFERROR(VLOOKUP(H70,'Rating Lookup'!$A$4:$C$27,3,FALSE),IFERROR(VLOOKUP(H70,'Rating Lookup'!$B$4:$C$27,2,FALSE),""))</f>
        <v/>
      </c>
      <c r="J70" s="10">
        <f>IFERROR(BDP($C70,$J$4),"")</f>
        <v/>
      </c>
      <c r="K70" s="10">
        <f>IFERROR(AVERAGEIFS($J$7:$J$74,$I$7:$I$74,I70),"")</f>
        <v/>
      </c>
      <c r="L70" s="10">
        <f>IFERROR(J70-K70,"")</f>
        <v/>
      </c>
      <c r="M70" s="6">
        <f>IF(OR(I70="",J70="",K70=""),"",IF(L70&gt;0,"Cheap","Expensive"))</f>
        <v/>
      </c>
      <c r="N70" s="11">
        <f>IFERROR(L70/STDEV.P(IF($I$7:$I$74=I70,$J$7:$J$74)),"")</f>
        <v/>
      </c>
      <c r="O70" s="12" t="inlineStr">
        <is>
          <t>EM Asia</t>
        </is>
      </c>
    </row>
    <row r="71">
      <c r="A71" t="inlineStr">
        <is>
          <t>Pakistan</t>
        </is>
      </c>
      <c r="B71" s="6" t="inlineStr">
        <is>
          <t>PAK</t>
        </is>
      </c>
      <c r="C71" s="7" t="inlineStr">
        <is>
          <t>JPSYPKZW Index</t>
        </is>
      </c>
      <c r="D71" s="8" t="n"/>
      <c r="E71" s="6">
        <f>IFERROR(BDP($D71&amp;$D$4,$E$4),"")</f>
        <v/>
      </c>
      <c r="F71" s="6">
        <f>IFERROR(BDP($D71&amp;$D$4,$F$4),"")</f>
        <v/>
      </c>
      <c r="G71" s="6">
        <f>IFERROR(BDP($D71&amp;$D$4,$G$4),"")</f>
        <v/>
      </c>
      <c r="H71" s="6">
        <f>IFERROR(BDP($D71&amp;$D$4,$H$4),"")</f>
        <v/>
      </c>
      <c r="I71" s="9">
        <f>IFERROR(VLOOKUP(H71,'Rating Lookup'!$A$4:$C$27,3,FALSE),IFERROR(VLOOKUP(H71,'Rating Lookup'!$B$4:$C$27,2,FALSE),""))</f>
        <v/>
      </c>
      <c r="J71" s="10">
        <f>IFERROR(BDP($C71,$J$4),"")</f>
        <v/>
      </c>
      <c r="K71" s="10">
        <f>IFERROR(AVERAGEIFS($J$7:$J$74,$I$7:$I$74,I71),"")</f>
        <v/>
      </c>
      <c r="L71" s="10">
        <f>IFERROR(J71-K71,"")</f>
        <v/>
      </c>
      <c r="M71" s="6">
        <f>IF(OR(I71="",J71="",K71=""),"",IF(L71&gt;0,"Cheap","Expensive"))</f>
        <v/>
      </c>
      <c r="N71" s="11">
        <f>IFERROR(L71/STDEV.P(IF($I$7:$I$74=I71,$J$7:$J$74)),"")</f>
        <v/>
      </c>
      <c r="O71" s="12" t="inlineStr">
        <is>
          <t>EM Asia</t>
        </is>
      </c>
    </row>
    <row r="72">
      <c r="A72" t="inlineStr">
        <is>
          <t>Philippines</t>
        </is>
      </c>
      <c r="B72" s="6" t="inlineStr">
        <is>
          <t>PHL</t>
        </is>
      </c>
      <c r="C72" s="7" t="inlineStr">
        <is>
          <t>JPSYPHZW Index</t>
        </is>
      </c>
      <c r="D72" s="8" t="n"/>
      <c r="E72" s="6">
        <f>IFERROR(BDP($D72&amp;$D$4,$E$4),"")</f>
        <v/>
      </c>
      <c r="F72" s="6">
        <f>IFERROR(BDP($D72&amp;$D$4,$F$4),"")</f>
        <v/>
      </c>
      <c r="G72" s="6">
        <f>IFERROR(BDP($D72&amp;$D$4,$G$4),"")</f>
        <v/>
      </c>
      <c r="H72" s="6">
        <f>IFERROR(BDP($D72&amp;$D$4,$H$4),"")</f>
        <v/>
      </c>
      <c r="I72" s="9">
        <f>IFERROR(VLOOKUP(H72,'Rating Lookup'!$A$4:$C$27,3,FALSE),IFERROR(VLOOKUP(H72,'Rating Lookup'!$B$4:$C$27,2,FALSE),""))</f>
        <v/>
      </c>
      <c r="J72" s="10">
        <f>IFERROR(BDP($C72,$J$4),"")</f>
        <v/>
      </c>
      <c r="K72" s="10">
        <f>IFERROR(AVERAGEIFS($J$7:$J$74,$I$7:$I$74,I72),"")</f>
        <v/>
      </c>
      <c r="L72" s="10">
        <f>IFERROR(J72-K72,"")</f>
        <v/>
      </c>
      <c r="M72" s="6">
        <f>IF(OR(I72="",J72="",K72=""),"",IF(L72&gt;0,"Cheap","Expensive"))</f>
        <v/>
      </c>
      <c r="N72" s="11">
        <f>IFERROR(L72/STDEV.P(IF($I$7:$I$74=I72,$J$7:$J$74)),"")</f>
        <v/>
      </c>
      <c r="O72" s="12" t="inlineStr">
        <is>
          <t>EM Asia</t>
        </is>
      </c>
    </row>
    <row r="73">
      <c r="A73" t="inlineStr">
        <is>
          <t>Sri Lanka</t>
        </is>
      </c>
      <c r="B73" s="6" t="inlineStr">
        <is>
          <t>LKA</t>
        </is>
      </c>
      <c r="C73" s="7" t="inlineStr">
        <is>
          <t>JPSYLKZW Index</t>
        </is>
      </c>
      <c r="D73" s="8" t="n"/>
      <c r="E73" s="6">
        <f>IFERROR(BDP($D73&amp;$D$4,$E$4),"")</f>
        <v/>
      </c>
      <c r="F73" s="6">
        <f>IFERROR(BDP($D73&amp;$D$4,$F$4),"")</f>
        <v/>
      </c>
      <c r="G73" s="6">
        <f>IFERROR(BDP($D73&amp;$D$4,$G$4),"")</f>
        <v/>
      </c>
      <c r="H73" s="6">
        <f>IFERROR(BDP($D73&amp;$D$4,$H$4),"")</f>
        <v/>
      </c>
      <c r="I73" s="9">
        <f>IFERROR(VLOOKUP(H73,'Rating Lookup'!$A$4:$C$27,3,FALSE),IFERROR(VLOOKUP(H73,'Rating Lookup'!$B$4:$C$27,2,FALSE),""))</f>
        <v/>
      </c>
      <c r="J73" s="10">
        <f>IFERROR(BDP($C73,$J$4),"")</f>
        <v/>
      </c>
      <c r="K73" s="10">
        <f>IFERROR(AVERAGEIFS($J$7:$J$74,$I$7:$I$74,I73),"")</f>
        <v/>
      </c>
      <c r="L73" s="10">
        <f>IFERROR(J73-K73,"")</f>
        <v/>
      </c>
      <c r="M73" s="6">
        <f>IF(OR(I73="",J73="",K73=""),"",IF(L73&gt;0,"Cheap","Expensive"))</f>
        <v/>
      </c>
      <c r="N73" s="11">
        <f>IFERROR(L73/STDEV.P(IF($I$7:$I$74=I73,$J$7:$J$74)),"")</f>
        <v/>
      </c>
      <c r="O73" s="12" t="inlineStr">
        <is>
          <t>EM Asia</t>
        </is>
      </c>
    </row>
    <row r="74">
      <c r="A74" t="inlineStr">
        <is>
          <t>Vietnam</t>
        </is>
      </c>
      <c r="B74" s="6" t="inlineStr">
        <is>
          <t>VNM</t>
        </is>
      </c>
      <c r="C74" s="7" t="inlineStr">
        <is>
          <t>JPSYVNZW Index</t>
        </is>
      </c>
      <c r="D74" s="8" t="n"/>
      <c r="E74" s="6">
        <f>IFERROR(BDP($D74&amp;$D$4,$E$4),"")</f>
        <v/>
      </c>
      <c r="F74" s="6">
        <f>IFERROR(BDP($D74&amp;$D$4,$F$4),"")</f>
        <v/>
      </c>
      <c r="G74" s="6">
        <f>IFERROR(BDP($D74&amp;$D$4,$G$4),"")</f>
        <v/>
      </c>
      <c r="H74" s="6">
        <f>IFERROR(BDP($D74&amp;$D$4,$H$4),"")</f>
        <v/>
      </c>
      <c r="I74" s="9">
        <f>IFERROR(VLOOKUP(H74,'Rating Lookup'!$A$4:$C$27,3,FALSE),IFERROR(VLOOKUP(H74,'Rating Lookup'!$B$4:$C$27,2,FALSE),""))</f>
        <v/>
      </c>
      <c r="J74" s="10">
        <f>IFERROR(BDP($C74,$J$4),"")</f>
        <v/>
      </c>
      <c r="K74" s="10">
        <f>IFERROR(AVERAGEIFS($J$7:$J$74,$I$7:$I$74,I74),"")</f>
        <v/>
      </c>
      <c r="L74" s="10">
        <f>IFERROR(J74-K74,"")</f>
        <v/>
      </c>
      <c r="M74" s="6">
        <f>IF(OR(I74="",J74="",K74=""),"",IF(L74&gt;0,"Cheap","Expensive"))</f>
        <v/>
      </c>
      <c r="N74" s="11">
        <f>IFERROR(L74/STDEV.P(IF($I$7:$I$74=I74,$J$7:$J$74)),"")</f>
        <v/>
      </c>
      <c r="O74" s="12" t="inlineStr">
        <is>
          <t>EM Asia</t>
        </is>
      </c>
    </row>
    <row r="76">
      <c r="A76" s="13" t="inlineStr">
        <is>
          <t>Notes:</t>
        </is>
      </c>
    </row>
    <row r="77">
      <c r="A77" s="2" t="inlineStr">
        <is>
          <t>• Row 4 (yellow) holds every editable Bloomberg input. Change one cell, all 68 rows refresh.</t>
        </is>
      </c>
    </row>
    <row r="78">
      <c r="A78" s="2" t="inlineStr">
        <is>
          <t xml:space="preserve">   D4=' ISIN' (suffix appended to the raw ISIN you paste). Swap to ' Govt' or ' Corp' if your firm prefers.</t>
        </is>
      </c>
    </row>
    <row r="79">
      <c r="A79" s="2" t="inlineStr">
        <is>
          <t xml:space="preserve">   E4-H4 = rating fields (RTG_SP / RTG_MDY / RTG_FITCH / BB_COMPOSITE). J4=PX_LAST (spread field).</t>
        </is>
      </c>
    </row>
    <row r="80">
      <c r="A80" s="2" t="inlineStr">
        <is>
          <t>• Column C = EMBI sub-index ticker (drives spread via PX_LAST).</t>
        </is>
      </c>
    </row>
    <row r="81">
      <c r="A81" s="2" t="inlineStr">
        <is>
          <t>• Column D = Sovereign ISIN — paste the raw ISIN of each country's benchmark USD bond (e.g., 'US105756BV93'). Formula appends the suffix to form the Bloomberg ID.</t>
        </is>
      </c>
    </row>
    <row r="82">
      <c r="A82" s="2" t="inlineStr">
        <is>
          <t>• Numeric Rating uses BBG Composite via the Rating Lookup tab. Edit column I if you'd rather drive peer buckets off S&amp;P/Moody's.</t>
        </is>
      </c>
    </row>
    <row r="83">
      <c r="A83" s="2" t="inlineStr">
        <is>
          <t>• 'Cheap' = trading WIDER than rating peers. 'Expensive' = TIGHTER than peers.</t>
        </is>
      </c>
    </row>
    <row r="84">
      <c r="A84" s="2" t="inlineStr">
        <is>
          <t>• Z-Score uses IF inside STDEV.P (array formula) — Excel 365 auto-spills, legacy needs Ctrl+Shift+Enter.</t>
        </is>
      </c>
    </row>
  </sheetData>
  <autoFilter ref="A6:O74"/>
  <mergeCells count="11">
    <mergeCell ref="A83:O83"/>
    <mergeCell ref="A81:O81"/>
    <mergeCell ref="A2:O2"/>
    <mergeCell ref="D3:J3"/>
    <mergeCell ref="A82:O82"/>
    <mergeCell ref="A1:O1"/>
    <mergeCell ref="A80:O80"/>
    <mergeCell ref="A84:O84"/>
    <mergeCell ref="A79:O79"/>
    <mergeCell ref="A78:O78"/>
    <mergeCell ref="A77:O77"/>
  </mergeCells>
  <conditionalFormatting sqref="L7:L74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M7:M74">
    <cfRule type="cellIs" priority="2" operator="equal" dxfId="0">
      <formula>"Cheap"</formula>
    </cfRule>
    <cfRule type="cellIs" priority="3" operator="equal" dxfId="1">
      <formula>"Expensive"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Rating → Numeric Scale</t>
        </is>
      </c>
    </row>
    <row r="3">
      <c r="A3" s="14" t="inlineStr">
        <is>
          <t>S&amp;P / Fitch</t>
        </is>
      </c>
      <c r="B3" s="14" t="inlineStr">
        <is>
          <t>Moody's</t>
        </is>
      </c>
      <c r="C3" s="14" t="inlineStr">
        <is>
          <t>Numeric</t>
        </is>
      </c>
    </row>
    <row r="4">
      <c r="A4" s="6" t="inlineStr">
        <is>
          <t>AAA</t>
        </is>
      </c>
      <c r="B4" s="6" t="inlineStr">
        <is>
          <t>Aaa</t>
        </is>
      </c>
      <c r="C4" s="6" t="n">
        <v>1</v>
      </c>
    </row>
    <row r="5">
      <c r="A5" s="6" t="inlineStr">
        <is>
          <t>AA+</t>
        </is>
      </c>
      <c r="B5" s="6" t="inlineStr">
        <is>
          <t>Aa1</t>
        </is>
      </c>
      <c r="C5" s="6" t="n">
        <v>2</v>
      </c>
    </row>
    <row r="6">
      <c r="A6" s="6" t="inlineStr">
        <is>
          <t>AA</t>
        </is>
      </c>
      <c r="B6" s="6" t="inlineStr">
        <is>
          <t>Aa2</t>
        </is>
      </c>
      <c r="C6" s="6" t="n">
        <v>3</v>
      </c>
    </row>
    <row r="7">
      <c r="A7" s="6" t="inlineStr">
        <is>
          <t>AA-</t>
        </is>
      </c>
      <c r="B7" s="6" t="inlineStr">
        <is>
          <t>Aa3</t>
        </is>
      </c>
      <c r="C7" s="6" t="n">
        <v>4</v>
      </c>
    </row>
    <row r="8">
      <c r="A8" s="6" t="inlineStr">
        <is>
          <t>A+</t>
        </is>
      </c>
      <c r="B8" s="6" t="inlineStr">
        <is>
          <t>A1</t>
        </is>
      </c>
      <c r="C8" s="6" t="n">
        <v>5</v>
      </c>
    </row>
    <row r="9">
      <c r="A9" s="6" t="inlineStr">
        <is>
          <t>A</t>
        </is>
      </c>
      <c r="B9" s="6" t="inlineStr">
        <is>
          <t>A2</t>
        </is>
      </c>
      <c r="C9" s="6" t="n">
        <v>6</v>
      </c>
    </row>
    <row r="10">
      <c r="A10" s="6" t="inlineStr">
        <is>
          <t>A-</t>
        </is>
      </c>
      <c r="B10" s="6" t="inlineStr">
        <is>
          <t>A3</t>
        </is>
      </c>
      <c r="C10" s="6" t="n">
        <v>7</v>
      </c>
    </row>
    <row r="11">
      <c r="A11" s="6" t="inlineStr">
        <is>
          <t>BBB+</t>
        </is>
      </c>
      <c r="B11" s="6" t="inlineStr">
        <is>
          <t>Baa1</t>
        </is>
      </c>
      <c r="C11" s="6" t="n">
        <v>8</v>
      </c>
    </row>
    <row r="12">
      <c r="A12" s="6" t="inlineStr">
        <is>
          <t>BBB</t>
        </is>
      </c>
      <c r="B12" s="6" t="inlineStr">
        <is>
          <t>Baa2</t>
        </is>
      </c>
      <c r="C12" s="6" t="n">
        <v>9</v>
      </c>
    </row>
    <row r="13">
      <c r="A13" s="6" t="inlineStr">
        <is>
          <t>BBB-</t>
        </is>
      </c>
      <c r="B13" s="6" t="inlineStr">
        <is>
          <t>Baa3</t>
        </is>
      </c>
      <c r="C13" s="6" t="n">
        <v>10</v>
      </c>
    </row>
    <row r="14">
      <c r="A14" s="6" t="inlineStr">
        <is>
          <t>BB+</t>
        </is>
      </c>
      <c r="B14" s="6" t="inlineStr">
        <is>
          <t>Ba1</t>
        </is>
      </c>
      <c r="C14" s="6" t="n">
        <v>11</v>
      </c>
    </row>
    <row r="15">
      <c r="A15" s="6" t="inlineStr">
        <is>
          <t>BB</t>
        </is>
      </c>
      <c r="B15" s="6" t="inlineStr">
        <is>
          <t>Ba2</t>
        </is>
      </c>
      <c r="C15" s="6" t="n">
        <v>12</v>
      </c>
    </row>
    <row r="16">
      <c r="A16" s="6" t="inlineStr">
        <is>
          <t>BB-</t>
        </is>
      </c>
      <c r="B16" s="6" t="inlineStr">
        <is>
          <t>Ba3</t>
        </is>
      </c>
      <c r="C16" s="6" t="n">
        <v>13</v>
      </c>
    </row>
    <row r="17">
      <c r="A17" s="6" t="inlineStr">
        <is>
          <t>B+</t>
        </is>
      </c>
      <c r="B17" s="6" t="inlineStr">
        <is>
          <t>B1</t>
        </is>
      </c>
      <c r="C17" s="6" t="n">
        <v>14</v>
      </c>
    </row>
    <row r="18">
      <c r="A18" s="6" t="inlineStr">
        <is>
          <t>B</t>
        </is>
      </c>
      <c r="B18" s="6" t="inlineStr">
        <is>
          <t>B2</t>
        </is>
      </c>
      <c r="C18" s="6" t="n">
        <v>15</v>
      </c>
    </row>
    <row r="19">
      <c r="A19" s="6" t="inlineStr">
        <is>
          <t>B-</t>
        </is>
      </c>
      <c r="B19" s="6" t="inlineStr">
        <is>
          <t>B3</t>
        </is>
      </c>
      <c r="C19" s="6" t="n">
        <v>16</v>
      </c>
    </row>
    <row r="20">
      <c r="A20" s="6" t="inlineStr">
        <is>
          <t>CCC+</t>
        </is>
      </c>
      <c r="B20" s="6" t="inlineStr">
        <is>
          <t>Caa1</t>
        </is>
      </c>
      <c r="C20" s="6" t="n">
        <v>17</v>
      </c>
    </row>
    <row r="21">
      <c r="A21" s="6" t="inlineStr">
        <is>
          <t>CCC</t>
        </is>
      </c>
      <c r="B21" s="6" t="inlineStr">
        <is>
          <t>Caa2</t>
        </is>
      </c>
      <c r="C21" s="6" t="n">
        <v>18</v>
      </c>
    </row>
    <row r="22">
      <c r="A22" s="6" t="inlineStr">
        <is>
          <t>CCC-</t>
        </is>
      </c>
      <c r="B22" s="6" t="inlineStr">
        <is>
          <t>Caa3</t>
        </is>
      </c>
      <c r="C22" s="6" t="n">
        <v>19</v>
      </c>
    </row>
    <row r="23">
      <c r="A23" s="6" t="inlineStr">
        <is>
          <t>CC</t>
        </is>
      </c>
      <c r="B23" s="6" t="inlineStr">
        <is>
          <t>Ca</t>
        </is>
      </c>
      <c r="C23" s="6" t="n">
        <v>20</v>
      </c>
    </row>
    <row r="24">
      <c r="A24" s="6" t="inlineStr">
        <is>
          <t>C</t>
        </is>
      </c>
      <c r="B24" s="6" t="inlineStr">
        <is>
          <t>C</t>
        </is>
      </c>
      <c r="C24" s="6" t="n">
        <v>21</v>
      </c>
    </row>
    <row r="25">
      <c r="A25" s="6" t="inlineStr">
        <is>
          <t>SD</t>
        </is>
      </c>
      <c r="B25" s="6" t="inlineStr"/>
      <c r="C25" s="6" t="n">
        <v>22</v>
      </c>
    </row>
    <row r="26">
      <c r="A26" s="6" t="inlineStr">
        <is>
          <t>D</t>
        </is>
      </c>
      <c r="B26" s="6" t="inlineStr"/>
      <c r="C26" s="6" t="n">
        <v>22</v>
      </c>
    </row>
    <row r="27">
      <c r="A27" s="6" t="inlineStr">
        <is>
          <t>NR</t>
        </is>
      </c>
      <c r="B27" s="6" t="inlineStr">
        <is>
          <t>NR</t>
        </is>
      </c>
      <c r="C27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Sovereign Spread (bps) by Numeric Rating</t>
        </is>
      </c>
    </row>
    <row r="3">
      <c r="A3" s="2" t="inlineStr">
        <is>
          <t>Higher dots within a rating bucket = cheaper. Lower dots = expensive.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Spread − Peer Average (bps)   |   Cheap &gt; 0   |   Expensive &lt; 0</t>
        </is>
      </c>
    </row>
    <row r="3">
      <c r="A3" s="2" t="inlineStr">
        <is>
          <t>Sort Data tab by column L descending to rank cheap → rich.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2026-05-12T01:17:20Z</dcterms:created>
  <dcterms:modified xmlns:dcterms="http://purl.org/dc/terms/" xmlns:xsi="http://www.w3.org/2001/XMLSchema-instance" xsi:type="dcterms:W3CDTF">2026-05-12T01:17:20Z</dcterms:modified>
</cp:coreProperties>
</file>