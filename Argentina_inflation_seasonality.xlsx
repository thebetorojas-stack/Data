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" sheetId="2" state="visible" r:id="rId4"/>
    <sheet name="Seasonality Headline" sheetId="3" state="visible" r:id="rId5"/>
    <sheet name="Seasonality Core" sheetId="4" state="visible" r:id="rId6"/>
    <sheet name="Heatmap" sheetId="5" state="visible" r:id="rId7"/>
    <sheet name="Momentum" sheetId="6" state="visible" r:id="rId8"/>
    <sheet name="Components" sheetId="7" state="visible" r:id="rId9"/>
    <sheet name="Seasonal Factors" sheetId="8" state="visible" r:id="rId10"/>
    <sheet name="Forecas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Index levels are INDEC published values (base dic-2016 = 100) pulled from apis.datos.gob.ar. Everything to the right of column G is calculated in-sheet.</t>
        </r>
      </text>
    </comment>
  </commentList>
</comments>
</file>

<file path=xl/sharedStrings.xml><?xml version="1.0" encoding="utf-8"?>
<sst xmlns="http://schemas.openxmlformats.org/spreadsheetml/2006/main" count="347" uniqueCount="242">
  <si>
    <t xml:space="preserve">Argentina inflation — INDEC IPC seasonality pack</t>
  </si>
  <si>
    <t xml:space="preserve">Data through 2026-06. Built automatically from INDEC national CPI.</t>
  </si>
  <si>
    <t xml:space="preserve">What's in here</t>
  </si>
  <si>
    <t xml:space="preserve">Data</t>
  </si>
  <si>
    <t xml:space="preserve">Every INDEC national CPI series used here, as index levels (blue = hardcoded from source) with month-on-month, year-on-year, 3m annualised and year-to-date calculated by formula.</t>
  </si>
  <si>
    <t xml:space="preserve">Seasonality Headline</t>
  </si>
  <si>
    <t xml:space="preserve">The chart you asked for: x-axis Jan-Dec, one line per year 2019 onwards, values = monthly headline m/m.</t>
  </si>
  <si>
    <t xml:space="preserve">Seasonality Core</t>
  </si>
  <si>
    <t xml:space="preserve">Same, for IPC Núcleo (core).</t>
  </si>
  <si>
    <t xml:space="preserve">Heatmap</t>
  </si>
  <si>
    <t xml:space="preserve">Year x month grid, colour-scaled — the fastest way to see which months run hot in a given regime.</t>
  </si>
  <si>
    <t xml:space="preserve">Momentum</t>
  </si>
  <si>
    <t xml:space="preserve">3-month annualised vs year-on-year, headline and core. Shows turning points ~9 months before the y/y does.</t>
  </si>
  <si>
    <t xml:space="preserve">Components</t>
  </si>
  <si>
    <t xml:space="preserve">Núcleo vs Regulados vs Estacionales — where the 2026 pressure actually sits.</t>
  </si>
  <si>
    <t xml:space="preserve">Seasonal Factors</t>
  </si>
  <si>
    <t xml:space="preserve">Each month's m/m divided by that year's average month. Scale-free, so 2023 (211%) and 2025 (31%) are comparable. 1.20x = that month runs 20% hotter than a typical month of the same year.</t>
  </si>
  <si>
    <t xml:space="preserve">Forecast</t>
  </si>
  <si>
    <t xml:space="preserve">Bull / base / bear monthly paths to Dec-2027 with the FX and tariff assumptions behind each, benchmarked to the BCRA REM.</t>
  </si>
  <si>
    <t xml:space="preserve">Source</t>
  </si>
  <si>
    <t xml:space="preserve">INDEC, Índice de precios al consumidor nacional (base dic-2016 = 100), retrieved from the official series API at apis.datos.gob.ar (series 148.3_INIVELNAL_DICI_M_26, 148.3_INUCLEONAL_DICI_M_19, 148.3_IREGULANAL_DICI_M_22, 148.3_IESTACINAL_DICI_M_25).</t>
  </si>
  <si>
    <t xml:space="preserve">Validation</t>
  </si>
  <si>
    <t xml:space="preserve">Compounded monthly rates reproduce INDEC's published Dec/Dec prints exactly: 2019 53.8%, 2020 36.1%, 2021 50.9%, 2022 94.8%, 2023 211.4%, 2024 117.8%, 2025 31.5%. June-2026 y/y 33.5% and YTD 16.8% also match the official release.</t>
  </si>
  <si>
    <t xml:space="preserve">How to update</t>
  </si>
  <si>
    <t xml:space="preserve">Option 1 — automatic</t>
  </si>
  <si>
    <t xml:space="preserve">A scheduled task re-runs this build every month on the 16th (INDEC publishes around the 13th-15th) and sends you the refreshed workbook. Nothing to do.</t>
  </si>
  <si>
    <t xml:space="preserve">Option 2 — by hand</t>
  </si>
  <si>
    <t xml:space="preserve">On the Data tab, find the first empty yellow row and paste the new index levels into columns E-H. Every m/m, y/y, matrix and heatmap cell updates by formula. Chart series ranges cover the full calendar year, so a part-year line will read zero for months you have not filled — the automatic rebuild handles that for you.</t>
  </si>
  <si>
    <t xml:space="preserve">Caution</t>
  </si>
  <si>
    <t xml:space="preserve">INDEC occasionally revises the seasonal and regulated sub-indices. The automatic rebuild re-pulls the whole history each month, so revisions flow through; a manual paste-in does not restate history.</t>
  </si>
  <si>
    <t xml:space="preserve">INDEC IPC nacional — index levels and derived rates</t>
  </si>
  <si>
    <t xml:space="preserve">Blue = hardcoded index level from INDEC. Black = formula. Paste new prints into the yellow rows.</t>
  </si>
  <si>
    <t xml:space="preserve">Month</t>
  </si>
  <si>
    <t xml:space="preserve">Year</t>
  </si>
  <si>
    <t xml:space="preserve">M#</t>
  </si>
  <si>
    <t xml:space="preserve">Nivel General
(index)</t>
  </si>
  <si>
    <t xml:space="preserve">Núcleo
(index)</t>
  </si>
  <si>
    <t xml:space="preserve">Regulados
(index)</t>
  </si>
  <si>
    <t xml:space="preserve">Estacionales
(index)</t>
  </si>
  <si>
    <t xml:space="preserve">m/m
Nivel Gen.</t>
  </si>
  <si>
    <t xml:space="preserve">m/m
Núcleo</t>
  </si>
  <si>
    <t xml:space="preserve">m/m
Regulados</t>
  </si>
  <si>
    <t xml:space="preserve">m/m
Estacion.</t>
  </si>
  <si>
    <t xml:space="preserve">y/y
Nivel Gen.</t>
  </si>
  <si>
    <t xml:space="preserve">y/y
Núcleo</t>
  </si>
  <si>
    <t xml:space="preserve">3m ann.
Nivel Gen.</t>
  </si>
  <si>
    <t xml:space="preserve">3m ann.
Núcleo</t>
  </si>
  <si>
    <t xml:space="preserve">YTD
Nivel Gen.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</si>
  <si>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</si>
  <si>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</si>
  <si>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</si>
  <si>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</si>
  <si>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</si>
  <si>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</si>
  <si>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</si>
  <si>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</si>
  <si>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</si>
  <si>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</si>
  <si>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</si>
  <si>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</si>
  <si>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</si>
  <si>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</si>
  <si>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</si>
  <si>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</si>
  <si>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</si>
  <si>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</si>
  <si>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</si>
  <si>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</si>
  <si>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</si>
  <si>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</si>
  <si>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</si>
  <si>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</si>
  <si>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</si>
  <si>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</si>
  <si>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</si>
  <si>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</si>
  <si>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</si>
  <si>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</si>
  <si>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</si>
  <si>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</si>
  <si>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</si>
  <si>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</si>
  <si>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</si>
  <si>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</si>
  <si>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</si>
  <si>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</si>
  <si>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</si>
  <si>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</si>
  <si>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</si>
  <si>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</si>
  <si>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</si>
  <si>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</si>
  <si>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</si>
  <si>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</si>
  <si>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</si>
  <si>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</si>
  <si>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</si>
  <si>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</si>
  <si>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</si>
  <si>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</si>
  <si>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</si>
  <si>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</si>
  <si>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</si>
  <si>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</si>
  <si>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</si>
  <si>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</si>
  <si>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</si>
  <si>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</si>
  <si>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</si>
  <si>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</si>
  <si>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</si>
  <si>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</si>
  <si>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</si>
  <si>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</si>
  <si>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</si>
  <si>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</si>
  <si>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</si>
  <si>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</si>
  <si>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</si>
  <si>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</si>
  <si>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</si>
  <si>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</si>
  <si>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</si>
  <si>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</si>
  <si>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</si>
  <si>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</si>
  <si>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</si>
  <si>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</si>
  <si>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</si>
  <si>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</si>
  <si>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</si>
  <si>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</si>
  <si>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</si>
  <si>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</si>
  <si>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</si>
  <si>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</si>
  <si>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</si>
  <si>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</si>
  <si>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</si>
  <si>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</si>
  <si>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</si>
  <si>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</si>
  <si>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</si>
  <si>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</si>
  <si>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</si>
  <si>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</si>
  <si>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</si>
  <si>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</si>
  <si>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</si>
  <si>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</si>
  <si>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</si>
  <si>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</si>
  <si>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</si>
  <si>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</si>
  <si>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</si>
  <si>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</si>
  <si>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</si>
  <si>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Seasonality — IPC Nivel General (headline): month-on-month % by calendar year</t>
  </si>
  <si>
    <t xml:space="preserve">One line per calendar year, Jan-Dec on the x-axis. Recent years are drawn darker; 2026 in red.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</si>
  <si>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</si>
  <si>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</si>
  <si>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</si>
  <si>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</si>
  <si>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</si>
  <si>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</si>
  <si>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</si>
  <si>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</si>
  <si>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</si>
  <si>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</si>
  <si>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</si>
  <si>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</si>
  <si>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Dec/Dec*</t>
  </si>
  <si>
    <t xml:space="preserve">Avg month</t>
  </si>
  <si>
    <t xml:space="preserve">* 2026 column is year-to-date through 2026-06, not a full year.</t>
  </si>
  <si>
    <t xml:space="preserve">Seasonality — IPC Núcleo (core): month-on-month % by calendar year</t>
  </si>
  <si>
    <t xml:space="preserve">Core strips out regulated tariffs and seasonal items — the cleanest read on underlying momentum.</t>
  </si>
  <si>
    <t xml:space="preserve">Monthly inflation heatmap — year x month</t>
  </si>
  <si>
    <t xml:space="preserve">Green = cool, red = hot, scaled within each block. Headline on top, core below.</t>
  </si>
  <si>
    <t xml:space="preserve">Headline (IPC Nivel General)</t>
  </si>
  <si>
    <t xml:space="preserve">Dec/Dec</t>
  </si>
  <si>
    <t xml:space="preserve">Core (IPC Núcleo)</t>
  </si>
  <si>
    <t xml:space="preserve">Colour scale is relative to the whole block, so 2023-24 dominates the red end. For a like-for-like read across regimes use the Seasonal Factors tab.</t>
  </si>
  <si>
    <t xml:space="preserve">Momentum — 3-month annualised vs year-on-year</t>
  </si>
  <si>
    <t xml:space="preserve">3m annualised turns first. Where it sits below y/y, the y/y is still falling mechanically.</t>
  </si>
  <si>
    <t xml:space="preserve">Where the pressure sits — núcleo vs regulados vs estacionales</t>
  </si>
  <si>
    <t xml:space="preserve">Regulated prices (tariffs, transport, fuel, health plans) are the 2026 story.</t>
  </si>
  <si>
    <t xml:space="preserve">1. Full calendar year — cumulative from December of the prior year</t>
  </si>
  <si>
    <t xml:space="preserve">Component</t>
  </si>
  <si>
    <t xml:space="preserve">2026 YTD</t>
  </si>
  <si>
    <t xml:space="preserve">Nivel General</t>
  </si>
  <si>
    <t xml:space="preserve">Núcleo</t>
  </si>
  <si>
    <t xml:space="preserve">Regulados</t>
  </si>
  <si>
    <t xml:space="preserve">Estacionales</t>
  </si>
  <si>
    <t xml:space="preserve">Each bar compounds that year's monthly rates off a Dec = 100 base. The 2026 bar covers only Jan-Jun (6 of 12 months), so it is NOT comparable with the full years beside it. Use block 2 for that.</t>
  </si>
  <si>
    <t xml:space="preserve">2. Like-for-like — January to Jun of each year</t>
  </si>
  <si>
    <t xml:space="preserve">The same 6-month window in every year, so these bars ARE directly comparable. Read this one to judge whether 2026 is running hotter or cooler than 2025.</t>
  </si>
  <si>
    <t xml:space="preserve">Seasonal factors — each month vs its own year's average month</t>
  </si>
  <si>
    <t xml:space="preserve">Scale-free ratio, so 2023 (211% inflation) and 2025 (31%) are directly comparable. 1.20x = 20% hotter than a typical month that year.</t>
  </si>
  <si>
    <t xml:space="preserve">Average</t>
  </si>
  <si>
    <t xml:space="preserve">Median</t>
  </si>
  <si>
    <t xml:space="preserve">ex-2020</t>
  </si>
  <si>
    <t xml:space="preserve">Read: a factor above 1.00x means the month is systematically hotter than the year's average month. Denominator is that year's own average monthly rate (Seasonality tab, row 20).</t>
  </si>
  <si>
    <t xml:space="preserve">Forecast — Argentina CPI, bull / base / bear to Dec-2027</t>
  </si>
  <si>
    <t xml:space="preserve">Monthly paths are judgement inputs (blue). Dec/Dec figures are formulas. Benchmarked to the BCRA REM of June-2026.</t>
  </si>
  <si>
    <t xml:space="preserve">Actual</t>
  </si>
  <si>
    <t xml:space="preserve">Bull</t>
  </si>
  <si>
    <t xml:space="preserve">Base</t>
  </si>
  <si>
    <t xml:space="preserve">Bear</t>
  </si>
  <si>
    <t xml:space="preserve">Bull index</t>
  </si>
  <si>
    <t xml:space="preserve">Base index</t>
  </si>
  <si>
    <t xml:space="preserve">Bear index</t>
  </si>
  <si>
    <t xml:space="preserve">Dec/Dec outcome</t>
  </si>
  <si>
    <t xml:space="preserve">BCRA REM (Jun-26 survey)</t>
  </si>
  <si>
    <t xml:space="preserve">2026 (Dec/Dec)</t>
  </si>
  <si>
    <t xml:space="preserve">2027 (Dec/Dec)</t>
  </si>
  <si>
    <t xml:space="preserve">REM = BCRA Relevamiento de Expectativas de Mercado, June-2026 round (44 participants, published 6-Jul-2026): 30% for 2026; the 2027 median is the last published reading. 2026 formula splices realised months with the scenario path.</t>
  </si>
  <si>
    <t xml:space="preserve">Scenario assumptions</t>
  </si>
  <si>
    <t xml:space="preserve">Driver</t>
  </si>
  <si>
    <t xml:space="preserve">FX — official, Dec-26</t>
  </si>
  <si>
    <t xml:space="preserve">ARS 1,600 — spot drifts up less than the band crawl; real appreciation resumes</t>
  </si>
  <si>
    <t xml:space="preserve">ARS 1,690 — spot tracks the band's CPI-indexed crawl, roughly 2.2%/m from ARS 1,470</t>
  </si>
  <si>
    <t xml:space="preserve">ARS 1,950 — band ceiling tested; a step devaluation of 12-15% in Q4</t>
  </si>
  <si>
    <t xml:space="preserve">FX pass-through</t>
  </si>
  <si>
    <t xml:space="preserve">0.10 within a quarter — import competition holds, margins absorb</t>
  </si>
  <si>
    <t xml:space="preserve">0.15 within two quarters — the 2024-25 realised range</t>
  </si>
  <si>
    <t xml:space="preserve">0.30 — a discrete jump reprices tradables fast</t>
  </si>
  <si>
    <t xml:space="preserve">Regulated tariffs</t>
  </si>
  <si>
    <t xml:space="preserve">Catch-up essentially complete; regulated converges toward core by Q4-26</t>
  </si>
  <si>
    <t xml:space="preserve">Regulated keeps running ~50-80bp/m above core through mid-27, then converges</t>
  </si>
  <si>
    <t xml:space="preserve">Energy and transport subsidy removal re-accelerates; regulated stays 150bp/m above core</t>
  </si>
  <si>
    <t xml:space="preserve">Wages / indexation</t>
  </si>
  <si>
    <t xml:space="preserve">Paritarias settle at or below expected inflation; backward-looking indexation breaks</t>
  </si>
  <si>
    <t xml:space="preserve">Paritarias track trailing CPI — inertia keeps a floor near 1.2-1.4%/m</t>
  </si>
  <si>
    <t xml:space="preserve">Real wage recovery demands re-open; formal wages index to trailing 12m</t>
  </si>
  <si>
    <t xml:space="preserve">Fiscal / monetary</t>
  </si>
  <si>
    <t xml:space="preserve">Primary surplus above 1.5% GDP, no monetary financing, remonetisation orderly</t>
  </si>
  <si>
    <t xml:space="preserve">Primary surplus around 1.0-1.5% GDP maintained; peso demand grows with activity</t>
  </si>
  <si>
    <t xml:space="preserve">Surplus slips ahead of the 2027 electoral cycle; peso demand stalls</t>
  </si>
  <si>
    <t xml:space="preserve">Key risk to this view</t>
  </si>
  <si>
    <t xml:space="preserve">Disinflation faster than any Argentine episode since convertibility — historically rare</t>
  </si>
  <si>
    <t xml:space="preserve">The band's CPI indexation removes the nominal anchor that drove 2024-25; inflation converges to the crawl, not below it</t>
  </si>
  <si>
    <t xml:space="preserve">A band break is the single event that resets the whole path — watch reserve accumulation, not the CPI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</si>
</sst>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.00"/>
    <numFmt numFmtId="167" formatCode="0.00%"/>
    <numFmt numFmtId="168" formatCode="0.0%"/>
    <numFmt numFmtId="169" formatCode="0%"/>
    <numFmt numFmtId="170" formatCode="0.00\x"/>
    <numFmt numFmtId="171" formatCode="0.00"/>
    <numFmt numFmtId="172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1F3B63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6B6B6B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  <font>
      <b val="true"/>
      <sz val="9"/>
      <color rgb="FF1F3B63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08000"/>
      <name val="Arial"/>
      <family val="0"/>
      <charset val="1"/>
    </font>
    <font>
      <sz val="8"/>
      <color rgb="FF6B6B6B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63"/>
        <bgColor rgb="FF2F5C8F"/>
      </patternFill>
    </fill>
    <fill>
      <patternFill patternType="solid">
        <fgColor rgb="FFF2F4F7"/>
        <bgColor rgb="FFFFFFFF"/>
      </patternFill>
    </fill>
    <fill>
      <patternFill patternType="solid">
        <fgColor rgb="FFFFF6CC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B6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B6B"/>
      <rgbColor rgb="FF800080"/>
      <rgbColor rgb="FF4F719B"/>
      <rgbColor rgb="FFBFC9D4"/>
      <rgbColor rgb="FF878787"/>
      <rgbColor rgb="FF8AA0B8"/>
      <rgbColor rgb="FFC0504D"/>
      <rgbColor rgb="FFFFF6CC"/>
      <rgbColor rgb="FFF2F4F7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6B87A9"/>
      <rgbColor rgb="FF0000FF"/>
      <rgbColor rgb="FF00CCFF"/>
      <rgbColor rgb="FFCCFFFF"/>
      <rgbColor rgb="FFD9D9D9"/>
      <rgbColor rgb="FFFFFF99"/>
      <rgbColor rgb="FF9AB3C9"/>
      <rgbColor rgb="FFFF99CC"/>
      <rgbColor rgb="FFA3B3C6"/>
      <rgbColor rgb="FFFFCC99"/>
      <rgbColor rgb="FF4F81BD"/>
      <rgbColor rgb="FF33CCCC"/>
      <rgbColor rgb="FF9BBB59"/>
      <rgbColor rgb="FFFFCC00"/>
      <rgbColor rgb="FFE8A33D"/>
      <rgbColor rgb="FFFF6600"/>
      <rgbColor rgb="FF8064A2"/>
      <rgbColor rgb="FF879DB8"/>
      <rgbColor rgb="FF1F3B63"/>
      <rgbColor rgb="FF4F9D69"/>
      <rgbColor rgb="FF003300"/>
      <rgbColor rgb="FF333300"/>
      <rgbColor rgb="FF993300"/>
      <rgbColor rgb="FFD1495B"/>
      <rgbColor rgb="FF2F5C8F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IPC Nivel General (headline) — monthly inflation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'Seasonality Headline'!C5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d6d6d6"/>
            </a:solidFill>
            <a:ln w="16920">
              <a:solidFill>
                <a:srgbClr val="d6d6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Headline'!$C$6:$C$17</c:f>
              <c:numCache>
                <c:formatCode>0.0%</c:formatCode>
                <c:ptCount val="12"/>
                <c:pt idx="0">
                  <c:v>0.0290624090934746</c:v>
                </c:pt>
                <c:pt idx="1">
                  <c:v>0.037656221899572</c:v>
                </c:pt>
                <c:pt idx="2">
                  <c:v>0.046795401882896</c:v>
                </c:pt>
                <c:pt idx="3">
                  <c:v>0.034</c:v>
                </c:pt>
                <c:pt idx="4">
                  <c:v>0.0310362027121631</c:v>
                </c:pt>
                <c:pt idx="5">
                  <c:v>0.0271800540239953</c:v>
                </c:pt>
                <c:pt idx="6">
                  <c:v>0.021978655386921</c:v>
                </c:pt>
                <c:pt idx="7">
                  <c:v>0.0395398578704869</c:v>
                </c:pt>
                <c:pt idx="8">
                  <c:v>0.0588566227212231</c:v>
                </c:pt>
                <c:pt idx="9">
                  <c:v>0.0329348209098412</c:v>
                </c:pt>
                <c:pt idx="10">
                  <c:v>0.0425453730948031</c:v>
                </c:pt>
                <c:pt idx="11">
                  <c:v>0.0374370735513834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'Seasonality Headline'!D5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bfc9d4"/>
            </a:solidFill>
            <a:ln w="16920">
              <a:solidFill>
                <a:srgbClr val="bfc9d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Headline'!$D$6:$D$17</c:f>
              <c:numCache>
                <c:formatCode>0.0%</c:formatCode>
                <c:ptCount val="12"/>
                <c:pt idx="0">
                  <c:v>0.0225289492605598</c:v>
                </c:pt>
                <c:pt idx="1">
                  <c:v>0.0201362937364296</c:v>
                </c:pt>
                <c:pt idx="2">
                  <c:v>0.0334346864367225</c:v>
                </c:pt>
                <c:pt idx="3">
                  <c:v>0.0149657259087257</c:v>
                </c:pt>
                <c:pt idx="4">
                  <c:v>0.0154273625123862</c:v>
                </c:pt>
                <c:pt idx="5">
                  <c:v>0.0224353915912769</c:v>
                </c:pt>
                <c:pt idx="6">
                  <c:v>0.019341946456513</c:v>
                </c:pt>
                <c:pt idx="7">
                  <c:v>0.0270011035906612</c:v>
                </c:pt>
                <c:pt idx="8">
                  <c:v>0.0283552164697896</c:v>
                </c:pt>
                <c:pt idx="9">
                  <c:v>0.037609698439822</c:v>
                </c:pt>
                <c:pt idx="10">
                  <c:v>0.0315970494109665</c:v>
                </c:pt>
                <c:pt idx="11">
                  <c:v>0.0400556733835353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'Seasonality Headline'!E5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a3b3c6"/>
            </a:solidFill>
            <a:ln w="16920">
              <a:solidFill>
                <a:srgbClr val="a3b3c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Headline'!$E$6:$E$17</c:f>
              <c:numCache>
                <c:formatCode>0.0%</c:formatCode>
                <c:ptCount val="12"/>
                <c:pt idx="0">
                  <c:v>0.0404902941982872</c:v>
                </c:pt>
                <c:pt idx="1">
                  <c:v>0.0357463168148211</c:v>
                </c:pt>
                <c:pt idx="2">
                  <c:v>0.048108074962818</c:v>
                </c:pt>
                <c:pt idx="3">
                  <c:v>0.0408029353995967</c:v>
                </c:pt>
                <c:pt idx="4">
                  <c:v>0.0332297807363955</c:v>
                </c:pt>
                <c:pt idx="5">
                  <c:v>0.0317454797589205</c:v>
                </c:pt>
                <c:pt idx="6">
                  <c:v>0.0299703332203625</c:v>
                </c:pt>
                <c:pt idx="7">
                  <c:v>0.0246848666740147</c:v>
                </c:pt>
                <c:pt idx="8">
                  <c:v>0.0354678795331138</c:v>
                </c:pt>
                <c:pt idx="9">
                  <c:v>0.0351627483837178</c:v>
                </c:pt>
                <c:pt idx="10">
                  <c:v>0.0252946460135095</c:v>
                </c:pt>
                <c:pt idx="11">
                  <c:v>0.0383997030584127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'Seasonality Headline'!F5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879db8"/>
            </a:solidFill>
            <a:ln w="16920">
              <a:solidFill>
                <a:srgbClr val="879db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Headline'!$F$6:$F$17</c:f>
              <c:numCache>
                <c:formatCode>0.0%</c:formatCode>
                <c:ptCount val="12"/>
                <c:pt idx="0">
                  <c:v>0.0387568191670638</c:v>
                </c:pt>
                <c:pt idx="1">
                  <c:v>0.04694365601009</c:v>
                </c:pt>
                <c:pt idx="2">
                  <c:v>0.0672879783390254</c:v>
                </c:pt>
                <c:pt idx="3">
                  <c:v>0.0604731911499716</c:v>
                </c:pt>
                <c:pt idx="4">
                  <c:v>0.0505022805956261</c:v>
                </c:pt>
                <c:pt idx="5">
                  <c:v>0.0529522125162816</c:v>
                </c:pt>
                <c:pt idx="6">
                  <c:v>0.0740619685715935</c:v>
                </c:pt>
                <c:pt idx="7">
                  <c:v>0.0697033557535507</c:v>
                </c:pt>
                <c:pt idx="8">
                  <c:v>0.0616551988757716</c:v>
                </c:pt>
                <c:pt idx="9">
                  <c:v>0.0634735010869345</c:v>
                </c:pt>
                <c:pt idx="10">
                  <c:v>0.0491614708186792</c:v>
                </c:pt>
                <c:pt idx="11">
                  <c:v>0.0512460775886709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'Seasonality Headline'!G5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6b87a9"/>
            </a:solidFill>
            <a:ln w="16920">
              <a:solidFill>
                <a:srgbClr val="6b87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Headline'!$G$6:$G$17</c:f>
              <c:numCache>
                <c:formatCode>0.0%</c:formatCode>
                <c:ptCount val="12"/>
                <c:pt idx="0">
                  <c:v>0.0602787356638426</c:v>
                </c:pt>
                <c:pt idx="1">
                  <c:v>0.0662772168092709</c:v>
                </c:pt>
                <c:pt idx="2">
                  <c:v>0.0767523984978356</c:v>
                </c:pt>
                <c:pt idx="3">
                  <c:v>0.0840268988367097</c:v>
                </c:pt>
                <c:pt idx="4">
                  <c:v>0.077727529658906</c:v>
                </c:pt>
                <c:pt idx="5">
                  <c:v>0.0595083198050062</c:v>
                </c:pt>
                <c:pt idx="6">
                  <c:v>0.063448508623158</c:v>
                </c:pt>
                <c:pt idx="7">
                  <c:v>0.1244163772869</c:v>
                </c:pt>
                <c:pt idx="8">
                  <c:v>0.12749750132467</c:v>
                </c:pt>
                <c:pt idx="9">
                  <c:v>0.0830173938041001</c:v>
                </c:pt>
                <c:pt idx="10">
                  <c:v>0.128106901769157</c:v>
                </c:pt>
                <c:pt idx="11">
                  <c:v>0.254656749842368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'Seasonality Headline'!H5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f719b"/>
            </a:solidFill>
            <a:ln w="16920">
              <a:solidFill>
                <a:srgbClr val="4f719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Headline'!$H$6:$H$17</c:f>
              <c:numCache>
                <c:formatCode>0.0%</c:formatCode>
                <c:ptCount val="12"/>
                <c:pt idx="0">
                  <c:v>0.206142252889611</c:v>
                </c:pt>
                <c:pt idx="1">
                  <c:v>0.132406760535248</c:v>
                </c:pt>
                <c:pt idx="2">
                  <c:v>0.110097001565402</c:v>
                </c:pt>
                <c:pt idx="3">
                  <c:v>0.0883192076060508</c:v>
                </c:pt>
                <c:pt idx="4">
                  <c:v>0.0417604487482142</c:v>
                </c:pt>
                <c:pt idx="5">
                  <c:v>0.0457734988557224</c:v>
                </c:pt>
                <c:pt idx="6">
                  <c:v>0.040309336951464</c:v>
                </c:pt>
                <c:pt idx="7">
                  <c:v>0.0417227327937253</c:v>
                </c:pt>
                <c:pt idx="8">
                  <c:v>0.0346920810480664</c:v>
                </c:pt>
                <c:pt idx="9">
                  <c:v>0.0269173804131146</c:v>
                </c:pt>
                <c:pt idx="10">
                  <c:v>0.0242655607550837</c:v>
                </c:pt>
                <c:pt idx="11">
                  <c:v>0.0270410405146337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'Seasonality Headline'!I5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f5c8f"/>
            </a:solidFill>
            <a:ln w="32040">
              <a:solidFill>
                <a:srgbClr val="2f5c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Headline'!$I$6:$I$17</c:f>
              <c:numCache>
                <c:formatCode>0.0%</c:formatCode>
                <c:ptCount val="12"/>
                <c:pt idx="0">
                  <c:v>0.0221104801366518</c:v>
                </c:pt>
                <c:pt idx="1">
                  <c:v>0.0240162743075179</c:v>
                </c:pt>
                <c:pt idx="2">
                  <c:v>0.0372933530661217</c:v>
                </c:pt>
                <c:pt idx="3">
                  <c:v>0.0278083584485096</c:v>
                </c:pt>
                <c:pt idx="4">
                  <c:v>0.0150110863438231</c:v>
                </c:pt>
                <c:pt idx="5">
                  <c:v>0.0161892488199333</c:v>
                </c:pt>
                <c:pt idx="6">
                  <c:v>0.0190168375533129</c:v>
                </c:pt>
                <c:pt idx="7">
                  <c:v>0.0187579351135028</c:v>
                </c:pt>
                <c:pt idx="8">
                  <c:v>0.0207596032395136</c:v>
                </c:pt>
                <c:pt idx="9">
                  <c:v>0.0234194310239195</c:v>
                </c:pt>
                <c:pt idx="10">
                  <c:v>0.0247291967107857</c:v>
                </c:pt>
                <c:pt idx="11">
                  <c:v>0.0284527193457171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'Seasonality Headline'!J5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1495b"/>
            </a:solidFill>
            <a:ln w="3204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Headline'!$J$6:$J$11</c:f>
              <c:numCache>
                <c:formatCode>0.0%</c:formatCode>
                <c:ptCount val="6"/>
                <c:pt idx="0">
                  <c:v>0.0288161935366171</c:v>
                </c:pt>
                <c:pt idx="1">
                  <c:v>0.0289631907267269</c:v>
                </c:pt>
                <c:pt idx="2">
                  <c:v>0.0338262219244152</c:v>
                </c:pt>
                <c:pt idx="3">
                  <c:v>0.0258217956156745</c:v>
                </c:pt>
                <c:pt idx="4">
                  <c:v>0.0214997233499086</c:v>
                </c:pt>
                <c:pt idx="5">
                  <c:v>0.0188687146882938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043764"/>
        <c:axId val="51751815"/>
      </c:lineChart>
      <c:catAx>
        <c:axId val="76043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51815"/>
        <c:crosses val="autoZero"/>
        <c:auto val="1"/>
        <c:lblAlgn val="ctr"/>
        <c:lblOffset val="100"/>
        <c:noMultiLvlLbl val="0"/>
      </c:catAx>
      <c:valAx>
        <c:axId val="517518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month-on-month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437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IPC Nivel General (headline) — same lines, y-axis capped at 8% (2023-24 spikes clipped)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'Seasonality Headline'!C5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d6d6d6"/>
            </a:solidFill>
            <a:ln w="16920">
              <a:solidFill>
                <a:srgbClr val="d6d6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Headline'!$C$6:$C$17</c:f>
              <c:numCache>
                <c:formatCode>0.0%</c:formatCode>
                <c:ptCount val="12"/>
                <c:pt idx="0">
                  <c:v>0.0290624090934746</c:v>
                </c:pt>
                <c:pt idx="1">
                  <c:v>0.037656221899572</c:v>
                </c:pt>
                <c:pt idx="2">
                  <c:v>0.046795401882896</c:v>
                </c:pt>
                <c:pt idx="3">
                  <c:v>0.034</c:v>
                </c:pt>
                <c:pt idx="4">
                  <c:v>0.0310362027121631</c:v>
                </c:pt>
                <c:pt idx="5">
                  <c:v>0.0271800540239953</c:v>
                </c:pt>
                <c:pt idx="6">
                  <c:v>0.021978655386921</c:v>
                </c:pt>
                <c:pt idx="7">
                  <c:v>0.0395398578704869</c:v>
                </c:pt>
                <c:pt idx="8">
                  <c:v>0.0588566227212231</c:v>
                </c:pt>
                <c:pt idx="9">
                  <c:v>0.0329348209098412</c:v>
                </c:pt>
                <c:pt idx="10">
                  <c:v>0.0425453730948031</c:v>
                </c:pt>
                <c:pt idx="11">
                  <c:v>0.0374370735513834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'Seasonality Headline'!D5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bfc9d4"/>
            </a:solidFill>
            <a:ln w="16920">
              <a:solidFill>
                <a:srgbClr val="bfc9d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Headline'!$D$6:$D$17</c:f>
              <c:numCache>
                <c:formatCode>0.0%</c:formatCode>
                <c:ptCount val="12"/>
                <c:pt idx="0">
                  <c:v>0.0225289492605598</c:v>
                </c:pt>
                <c:pt idx="1">
                  <c:v>0.0201362937364296</c:v>
                </c:pt>
                <c:pt idx="2">
                  <c:v>0.0334346864367225</c:v>
                </c:pt>
                <c:pt idx="3">
                  <c:v>0.0149657259087257</c:v>
                </c:pt>
                <c:pt idx="4">
                  <c:v>0.0154273625123862</c:v>
                </c:pt>
                <c:pt idx="5">
                  <c:v>0.0224353915912769</c:v>
                </c:pt>
                <c:pt idx="6">
                  <c:v>0.019341946456513</c:v>
                </c:pt>
                <c:pt idx="7">
                  <c:v>0.0270011035906612</c:v>
                </c:pt>
                <c:pt idx="8">
                  <c:v>0.0283552164697896</c:v>
                </c:pt>
                <c:pt idx="9">
                  <c:v>0.037609698439822</c:v>
                </c:pt>
                <c:pt idx="10">
                  <c:v>0.0315970494109665</c:v>
                </c:pt>
                <c:pt idx="11">
                  <c:v>0.0400556733835353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'Seasonality Headline'!E5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a3b3c6"/>
            </a:solidFill>
            <a:ln w="16920">
              <a:solidFill>
                <a:srgbClr val="a3b3c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Headline'!$E$6:$E$17</c:f>
              <c:numCache>
                <c:formatCode>0.0%</c:formatCode>
                <c:ptCount val="12"/>
                <c:pt idx="0">
                  <c:v>0.0404902941982872</c:v>
                </c:pt>
                <c:pt idx="1">
                  <c:v>0.0357463168148211</c:v>
                </c:pt>
                <c:pt idx="2">
                  <c:v>0.048108074962818</c:v>
                </c:pt>
                <c:pt idx="3">
                  <c:v>0.0408029353995967</c:v>
                </c:pt>
                <c:pt idx="4">
                  <c:v>0.0332297807363955</c:v>
                </c:pt>
                <c:pt idx="5">
                  <c:v>0.0317454797589205</c:v>
                </c:pt>
                <c:pt idx="6">
                  <c:v>0.0299703332203625</c:v>
                </c:pt>
                <c:pt idx="7">
                  <c:v>0.0246848666740147</c:v>
                </c:pt>
                <c:pt idx="8">
                  <c:v>0.0354678795331138</c:v>
                </c:pt>
                <c:pt idx="9">
                  <c:v>0.0351627483837178</c:v>
                </c:pt>
                <c:pt idx="10">
                  <c:v>0.0252946460135095</c:v>
                </c:pt>
                <c:pt idx="11">
                  <c:v>0.0383997030584127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'Seasonality Headline'!F5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879db8"/>
            </a:solidFill>
            <a:ln w="16920">
              <a:solidFill>
                <a:srgbClr val="879db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Headline'!$F$6:$F$17</c:f>
              <c:numCache>
                <c:formatCode>0.0%</c:formatCode>
                <c:ptCount val="12"/>
                <c:pt idx="0">
                  <c:v>0.0387568191670638</c:v>
                </c:pt>
                <c:pt idx="1">
                  <c:v>0.04694365601009</c:v>
                </c:pt>
                <c:pt idx="2">
                  <c:v>0.0672879783390254</c:v>
                </c:pt>
                <c:pt idx="3">
                  <c:v>0.0604731911499716</c:v>
                </c:pt>
                <c:pt idx="4">
                  <c:v>0.0505022805956261</c:v>
                </c:pt>
                <c:pt idx="5">
                  <c:v>0.0529522125162816</c:v>
                </c:pt>
                <c:pt idx="6">
                  <c:v>0.0740619685715935</c:v>
                </c:pt>
                <c:pt idx="7">
                  <c:v>0.0697033557535507</c:v>
                </c:pt>
                <c:pt idx="8">
                  <c:v>0.0616551988757716</c:v>
                </c:pt>
                <c:pt idx="9">
                  <c:v>0.0634735010869345</c:v>
                </c:pt>
                <c:pt idx="10">
                  <c:v>0.0491614708186792</c:v>
                </c:pt>
                <c:pt idx="11">
                  <c:v>0.0512460775886709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'Seasonality Headline'!G5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6b87a9"/>
            </a:solidFill>
            <a:ln w="16920">
              <a:solidFill>
                <a:srgbClr val="6b87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Headline'!$G$6:$G$17</c:f>
              <c:numCache>
                <c:formatCode>0.0%</c:formatCode>
                <c:ptCount val="12"/>
                <c:pt idx="0">
                  <c:v>0.0602787356638426</c:v>
                </c:pt>
                <c:pt idx="1">
                  <c:v>0.0662772168092709</c:v>
                </c:pt>
                <c:pt idx="2">
                  <c:v>0.0767523984978356</c:v>
                </c:pt>
                <c:pt idx="3">
                  <c:v>0.0840268988367097</c:v>
                </c:pt>
                <c:pt idx="4">
                  <c:v>0.077727529658906</c:v>
                </c:pt>
                <c:pt idx="5">
                  <c:v>0.0595083198050062</c:v>
                </c:pt>
                <c:pt idx="6">
                  <c:v>0.063448508623158</c:v>
                </c:pt>
                <c:pt idx="7">
                  <c:v>0.1244163772869</c:v>
                </c:pt>
                <c:pt idx="8">
                  <c:v>0.12749750132467</c:v>
                </c:pt>
                <c:pt idx="9">
                  <c:v>0.0830173938041001</c:v>
                </c:pt>
                <c:pt idx="10">
                  <c:v>0.128106901769157</c:v>
                </c:pt>
                <c:pt idx="11">
                  <c:v>0.254656749842368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'Seasonality Headline'!H5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f719b"/>
            </a:solidFill>
            <a:ln w="16920">
              <a:solidFill>
                <a:srgbClr val="4f719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Headline'!$H$6:$H$17</c:f>
              <c:numCache>
                <c:formatCode>0.0%</c:formatCode>
                <c:ptCount val="12"/>
                <c:pt idx="0">
                  <c:v>0.206142252889611</c:v>
                </c:pt>
                <c:pt idx="1">
                  <c:v>0.132406760535248</c:v>
                </c:pt>
                <c:pt idx="2">
                  <c:v>0.110097001565402</c:v>
                </c:pt>
                <c:pt idx="3">
                  <c:v>0.0883192076060508</c:v>
                </c:pt>
                <c:pt idx="4">
                  <c:v>0.0417604487482142</c:v>
                </c:pt>
                <c:pt idx="5">
                  <c:v>0.0457734988557224</c:v>
                </c:pt>
                <c:pt idx="6">
                  <c:v>0.040309336951464</c:v>
                </c:pt>
                <c:pt idx="7">
                  <c:v>0.0417227327937253</c:v>
                </c:pt>
                <c:pt idx="8">
                  <c:v>0.0346920810480664</c:v>
                </c:pt>
                <c:pt idx="9">
                  <c:v>0.0269173804131146</c:v>
                </c:pt>
                <c:pt idx="10">
                  <c:v>0.0242655607550837</c:v>
                </c:pt>
                <c:pt idx="11">
                  <c:v>0.0270410405146337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'Seasonality Headline'!I5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f5c8f"/>
            </a:solidFill>
            <a:ln w="32040">
              <a:solidFill>
                <a:srgbClr val="2f5c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Headline'!$I$6:$I$17</c:f>
              <c:numCache>
                <c:formatCode>0.0%</c:formatCode>
                <c:ptCount val="12"/>
                <c:pt idx="0">
                  <c:v>0.0221104801366518</c:v>
                </c:pt>
                <c:pt idx="1">
                  <c:v>0.0240162743075179</c:v>
                </c:pt>
                <c:pt idx="2">
                  <c:v>0.0372933530661217</c:v>
                </c:pt>
                <c:pt idx="3">
                  <c:v>0.0278083584485096</c:v>
                </c:pt>
                <c:pt idx="4">
                  <c:v>0.0150110863438231</c:v>
                </c:pt>
                <c:pt idx="5">
                  <c:v>0.0161892488199333</c:v>
                </c:pt>
                <c:pt idx="6">
                  <c:v>0.0190168375533129</c:v>
                </c:pt>
                <c:pt idx="7">
                  <c:v>0.0187579351135028</c:v>
                </c:pt>
                <c:pt idx="8">
                  <c:v>0.0207596032395136</c:v>
                </c:pt>
                <c:pt idx="9">
                  <c:v>0.0234194310239195</c:v>
                </c:pt>
                <c:pt idx="10">
                  <c:v>0.0247291967107857</c:v>
                </c:pt>
                <c:pt idx="11">
                  <c:v>0.0284527193457171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'Seasonality Headline'!J5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1495b"/>
            </a:solidFill>
            <a:ln w="3204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Headline'!$B$6:$B$17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Headline'!$J$6:$J$11</c:f>
              <c:numCache>
                <c:formatCode>0.0%</c:formatCode>
                <c:ptCount val="6"/>
                <c:pt idx="0">
                  <c:v>0.0288161935366171</c:v>
                </c:pt>
                <c:pt idx="1">
                  <c:v>0.0289631907267269</c:v>
                </c:pt>
                <c:pt idx="2">
                  <c:v>0.0338262219244152</c:v>
                </c:pt>
                <c:pt idx="3">
                  <c:v>0.0258217956156745</c:v>
                </c:pt>
                <c:pt idx="4">
                  <c:v>0.0214997233499086</c:v>
                </c:pt>
                <c:pt idx="5">
                  <c:v>0.0188687146882938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269143"/>
        <c:axId val="98911880"/>
      </c:lineChart>
      <c:catAx>
        <c:axId val="87269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11880"/>
        <c:crosses val="autoZero"/>
        <c:auto val="1"/>
        <c:lblAlgn val="ctr"/>
        <c:lblOffset val="100"/>
        <c:noMultiLvlLbl val="0"/>
      </c:catAx>
      <c:valAx>
        <c:axId val="98911880"/>
        <c:scaling>
          <c:orientation val="minMax"/>
          <c:max val="0.0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69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IPC Núcleo (core) — monthly inflation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'Seasonality Core'!C5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d6d6d6"/>
            </a:solidFill>
            <a:ln w="16920">
              <a:solidFill>
                <a:srgbClr val="d6d6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Core'!$C$6:$C$17</c:f>
              <c:numCache>
                <c:formatCode>0.0%</c:formatCode>
                <c:ptCount val="12"/>
                <c:pt idx="0">
                  <c:v>0.0300280664339534</c:v>
                </c:pt>
                <c:pt idx="1">
                  <c:v>0.038554986934743</c:v>
                </c:pt>
                <c:pt idx="2">
                  <c:v>0.0457945316765189</c:v>
                </c:pt>
                <c:pt idx="3">
                  <c:v>0.037670642645937</c:v>
                </c:pt>
                <c:pt idx="4">
                  <c:v>0.0317753067983069</c:v>
                </c:pt>
                <c:pt idx="5">
                  <c:v>0.0273159255723501</c:v>
                </c:pt>
                <c:pt idx="6">
                  <c:v>0.0214767966026639</c:v>
                </c:pt>
                <c:pt idx="7">
                  <c:v>0.0463786081971143</c:v>
                </c:pt>
                <c:pt idx="8">
                  <c:v>0.0643776422810867</c:v>
                </c:pt>
                <c:pt idx="9">
                  <c:v>0.0380466764451548</c:v>
                </c:pt>
                <c:pt idx="10">
                  <c:v>0.0397812714653718</c:v>
                </c:pt>
                <c:pt idx="11">
                  <c:v>0.0368230114878416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'Seasonality Core'!D5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bfc9d4"/>
            </a:solidFill>
            <a:ln w="16920">
              <a:solidFill>
                <a:srgbClr val="bfc9d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Core'!$D$6:$D$17</c:f>
              <c:numCache>
                <c:formatCode>0.0%</c:formatCode>
                <c:ptCount val="12"/>
                <c:pt idx="0">
                  <c:v>0.0244093429184116</c:v>
                </c:pt>
                <c:pt idx="1">
                  <c:v>0.0238176246870572</c:v>
                </c:pt>
                <c:pt idx="2">
                  <c:v>0.0312059299532435</c:v>
                </c:pt>
                <c:pt idx="3">
                  <c:v>0.0171575685308241</c:v>
                </c:pt>
                <c:pt idx="4">
                  <c:v>0.0160567840836974</c:v>
                </c:pt>
                <c:pt idx="5">
                  <c:v>0.0231514476436991</c:v>
                </c:pt>
                <c:pt idx="6">
                  <c:v>0.0253327398133281</c:v>
                </c:pt>
                <c:pt idx="7">
                  <c:v>0.0303327438291445</c:v>
                </c:pt>
                <c:pt idx="8">
                  <c:v>0.0231689474391323</c:v>
                </c:pt>
                <c:pt idx="9">
                  <c:v>0.0345960157109009</c:v>
                </c:pt>
                <c:pt idx="10">
                  <c:v>0.0393766898587415</c:v>
                </c:pt>
                <c:pt idx="11">
                  <c:v>0.0487100103753091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'Seasonality Core'!E5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a3b3c6"/>
            </a:solidFill>
            <a:ln w="16920">
              <a:solidFill>
                <a:srgbClr val="a3b3c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Core'!$E$6:$E$17</c:f>
              <c:numCache>
                <c:formatCode>0.0%</c:formatCode>
                <c:ptCount val="12"/>
                <c:pt idx="0">
                  <c:v>0.0391587793702362</c:v>
                </c:pt>
                <c:pt idx="1">
                  <c:v>0.040697184753073</c:v>
                </c:pt>
                <c:pt idx="2">
                  <c:v>0.0452605484423319</c:v>
                </c:pt>
                <c:pt idx="3">
                  <c:v>0.045589513719098</c:v>
                </c:pt>
                <c:pt idx="4">
                  <c:v>0.0347975069382829</c:v>
                </c:pt>
                <c:pt idx="5">
                  <c:v>0.0360965523561749</c:v>
                </c:pt>
                <c:pt idx="6">
                  <c:v>0.0313350131234869</c:v>
                </c:pt>
                <c:pt idx="7">
                  <c:v>0.0313218747540127</c:v>
                </c:pt>
                <c:pt idx="8">
                  <c:v>0.0326212555539904</c:v>
                </c:pt>
                <c:pt idx="9">
                  <c:v>0.0320101243889219</c:v>
                </c:pt>
                <c:pt idx="10">
                  <c:v>0.0325273662562804</c:v>
                </c:pt>
                <c:pt idx="11">
                  <c:v>0.0442323878846274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'Seasonality Core'!F5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879db8"/>
            </a:solidFill>
            <a:ln w="16920">
              <a:solidFill>
                <a:srgbClr val="879db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Core'!$F$6:$F$17</c:f>
              <c:numCache>
                <c:formatCode>0.0%</c:formatCode>
                <c:ptCount val="12"/>
                <c:pt idx="0">
                  <c:v>0.0330209778677573</c:v>
                </c:pt>
                <c:pt idx="1">
                  <c:v>0.0445076887590588</c:v>
                </c:pt>
                <c:pt idx="2">
                  <c:v>0.0639643740013152</c:v>
                </c:pt>
                <c:pt idx="3">
                  <c:v>0.0670897435989704</c:v>
                </c:pt>
                <c:pt idx="4">
                  <c:v>0.0520184330951861</c:v>
                </c:pt>
                <c:pt idx="5">
                  <c:v>0.0508338796453565</c:v>
                </c:pt>
                <c:pt idx="6">
                  <c:v>0.073288005686861</c:v>
                </c:pt>
                <c:pt idx="7">
                  <c:v>0.06801591063054</c:v>
                </c:pt>
                <c:pt idx="8">
                  <c:v>0.0551278133351472</c:v>
                </c:pt>
                <c:pt idx="9">
                  <c:v>0.0554915796434534</c:v>
                </c:pt>
                <c:pt idx="10">
                  <c:v>0.0475586968884554</c:v>
                </c:pt>
                <c:pt idx="11">
                  <c:v>0.0525108026831531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'Seasonality Core'!G5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6b87a9"/>
            </a:solidFill>
            <a:ln w="16920">
              <a:solidFill>
                <a:srgbClr val="6b87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Core'!$G$6:$G$17</c:f>
              <c:numCache>
                <c:formatCode>0.0%</c:formatCode>
                <c:ptCount val="12"/>
                <c:pt idx="0">
                  <c:v>0.0535214334611878</c:v>
                </c:pt>
                <c:pt idx="1">
                  <c:v>0.0769021643878947</c:v>
                </c:pt>
                <c:pt idx="2">
                  <c:v>0.0721012595864174</c:v>
                </c:pt>
                <c:pt idx="3">
                  <c:v>0.0840063104027715</c:v>
                </c:pt>
                <c:pt idx="4">
                  <c:v>0.0784178972966956</c:v>
                </c:pt>
                <c:pt idx="5">
                  <c:v>0.0649221308996844</c:v>
                </c:pt>
                <c:pt idx="6">
                  <c:v>0.0649752940034201</c:v>
                </c:pt>
                <c:pt idx="7">
                  <c:v>0.137866819088158</c:v>
                </c:pt>
                <c:pt idx="8">
                  <c:v>0.134282114429142</c:v>
                </c:pt>
                <c:pt idx="9">
                  <c:v>0.0881103433546322</c:v>
                </c:pt>
                <c:pt idx="10">
                  <c:v>0.134036155012214</c:v>
                </c:pt>
                <c:pt idx="11">
                  <c:v>0.282587598709105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'Seasonality Core'!H5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f719b"/>
            </a:solidFill>
            <a:ln w="16920">
              <a:solidFill>
                <a:srgbClr val="4f719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Core'!$H$6:$H$17</c:f>
              <c:numCache>
                <c:formatCode>0.0%</c:formatCode>
                <c:ptCount val="12"/>
                <c:pt idx="0">
                  <c:v>0.202164887120713</c:v>
                </c:pt>
                <c:pt idx="1">
                  <c:v>0.122901408397057</c:v>
                </c:pt>
                <c:pt idx="2">
                  <c:v>0.0941204797536992</c:v>
                </c:pt>
                <c:pt idx="3">
                  <c:v>0.0629843839865203</c:v>
                </c:pt>
                <c:pt idx="4">
                  <c:v>0.0373468674243314</c:v>
                </c:pt>
                <c:pt idx="5">
                  <c:v>0.0365113028584356</c:v>
                </c:pt>
                <c:pt idx="6">
                  <c:v>0.0378558792889565</c:v>
                </c:pt>
                <c:pt idx="7">
                  <c:v>0.0412028557309136</c:v>
                </c:pt>
                <c:pt idx="8">
                  <c:v>0.032622057516509</c:v>
                </c:pt>
                <c:pt idx="9">
                  <c:v>0.0291781680760621</c:v>
                </c:pt>
                <c:pt idx="10">
                  <c:v>0.0271483385629572</c:v>
                </c:pt>
                <c:pt idx="11">
                  <c:v>0.0319728150615013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'Seasonality Core'!I5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f5c8f"/>
            </a:solidFill>
            <a:ln w="32040">
              <a:solidFill>
                <a:srgbClr val="2f5c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Core'!$I$6:$I$17</c:f>
              <c:numCache>
                <c:formatCode>0.0%</c:formatCode>
                <c:ptCount val="12"/>
                <c:pt idx="0">
                  <c:v>0.0239768943123944</c:v>
                </c:pt>
                <c:pt idx="1">
                  <c:v>0.0292035280913883</c:v>
                </c:pt>
                <c:pt idx="2">
                  <c:v>0.0319279024268895</c:v>
                </c:pt>
                <c:pt idx="3">
                  <c:v>0.0321471596642027</c:v>
                </c:pt>
                <c:pt idx="4">
                  <c:v>0.0219726503339355</c:v>
                </c:pt>
                <c:pt idx="5">
                  <c:v>0.0171373496627161</c:v>
                </c:pt>
                <c:pt idx="6">
                  <c:v>0.0147914831949412</c:v>
                </c:pt>
                <c:pt idx="7">
                  <c:v>0.020449004208132</c:v>
                </c:pt>
                <c:pt idx="8">
                  <c:v>0.0189587619236489</c:v>
                </c:pt>
                <c:pt idx="9">
                  <c:v>0.0221671871181035</c:v>
                </c:pt>
                <c:pt idx="10">
                  <c:v>0.0263899736538846</c:v>
                </c:pt>
                <c:pt idx="11">
                  <c:v>0.0303389211337597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'Seasonality Core'!J5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1495b"/>
            </a:solidFill>
            <a:ln w="3204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Core'!$J$6:$J$11</c:f>
              <c:numCache>
                <c:formatCode>0.0%</c:formatCode>
                <c:ptCount val="6"/>
                <c:pt idx="0">
                  <c:v>0.0263036906585312</c:v>
                </c:pt>
                <c:pt idx="1">
                  <c:v>0.0307537518963203</c:v>
                </c:pt>
                <c:pt idx="2">
                  <c:v>0.0318894584518437</c:v>
                </c:pt>
                <c:pt idx="3">
                  <c:v>0.0228647443545247</c:v>
                </c:pt>
                <c:pt idx="4">
                  <c:v>0.0190347773268631</c:v>
                </c:pt>
                <c:pt idx="5">
                  <c:v>0.0156958117905071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867818"/>
        <c:axId val="48742587"/>
      </c:lineChart>
      <c:catAx>
        <c:axId val="658678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42587"/>
        <c:crosses val="autoZero"/>
        <c:auto val="1"/>
        <c:lblAlgn val="ctr"/>
        <c:lblOffset val="100"/>
        <c:noMultiLvlLbl val="0"/>
      </c:catAx>
      <c:valAx>
        <c:axId val="48742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month-on-month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67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IPC Núcleo (core) — same lines, y-axis capped at 8% (2023-24 spikes clipped)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'Seasonality Core'!C5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d6d6d6"/>
            </a:solidFill>
            <a:ln w="16920">
              <a:solidFill>
                <a:srgbClr val="d6d6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Core'!$C$6:$C$17</c:f>
              <c:numCache>
                <c:formatCode>0.0%</c:formatCode>
                <c:ptCount val="12"/>
                <c:pt idx="0">
                  <c:v>0.0300280664339534</c:v>
                </c:pt>
                <c:pt idx="1">
                  <c:v>0.038554986934743</c:v>
                </c:pt>
                <c:pt idx="2">
                  <c:v>0.0457945316765189</c:v>
                </c:pt>
                <c:pt idx="3">
                  <c:v>0.037670642645937</c:v>
                </c:pt>
                <c:pt idx="4">
                  <c:v>0.0317753067983069</c:v>
                </c:pt>
                <c:pt idx="5">
                  <c:v>0.0273159255723501</c:v>
                </c:pt>
                <c:pt idx="6">
                  <c:v>0.0214767966026639</c:v>
                </c:pt>
                <c:pt idx="7">
                  <c:v>0.0463786081971143</c:v>
                </c:pt>
                <c:pt idx="8">
                  <c:v>0.0643776422810867</c:v>
                </c:pt>
                <c:pt idx="9">
                  <c:v>0.0380466764451548</c:v>
                </c:pt>
                <c:pt idx="10">
                  <c:v>0.0397812714653718</c:v>
                </c:pt>
                <c:pt idx="11">
                  <c:v>0.0368230114878416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'Seasonality Core'!D5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bfc9d4"/>
            </a:solidFill>
            <a:ln w="16920">
              <a:solidFill>
                <a:srgbClr val="bfc9d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Core'!$D$6:$D$17</c:f>
              <c:numCache>
                <c:formatCode>0.0%</c:formatCode>
                <c:ptCount val="12"/>
                <c:pt idx="0">
                  <c:v>0.0244093429184116</c:v>
                </c:pt>
                <c:pt idx="1">
                  <c:v>0.0238176246870572</c:v>
                </c:pt>
                <c:pt idx="2">
                  <c:v>0.0312059299532435</c:v>
                </c:pt>
                <c:pt idx="3">
                  <c:v>0.0171575685308241</c:v>
                </c:pt>
                <c:pt idx="4">
                  <c:v>0.0160567840836974</c:v>
                </c:pt>
                <c:pt idx="5">
                  <c:v>0.0231514476436991</c:v>
                </c:pt>
                <c:pt idx="6">
                  <c:v>0.0253327398133281</c:v>
                </c:pt>
                <c:pt idx="7">
                  <c:v>0.0303327438291445</c:v>
                </c:pt>
                <c:pt idx="8">
                  <c:v>0.0231689474391323</c:v>
                </c:pt>
                <c:pt idx="9">
                  <c:v>0.0345960157109009</c:v>
                </c:pt>
                <c:pt idx="10">
                  <c:v>0.0393766898587415</c:v>
                </c:pt>
                <c:pt idx="11">
                  <c:v>0.0487100103753091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'Seasonality Core'!E5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a3b3c6"/>
            </a:solidFill>
            <a:ln w="16920">
              <a:solidFill>
                <a:srgbClr val="a3b3c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Core'!$E$6:$E$17</c:f>
              <c:numCache>
                <c:formatCode>0.0%</c:formatCode>
                <c:ptCount val="12"/>
                <c:pt idx="0">
                  <c:v>0.0391587793702362</c:v>
                </c:pt>
                <c:pt idx="1">
                  <c:v>0.040697184753073</c:v>
                </c:pt>
                <c:pt idx="2">
                  <c:v>0.0452605484423319</c:v>
                </c:pt>
                <c:pt idx="3">
                  <c:v>0.045589513719098</c:v>
                </c:pt>
                <c:pt idx="4">
                  <c:v>0.0347975069382829</c:v>
                </c:pt>
                <c:pt idx="5">
                  <c:v>0.0360965523561749</c:v>
                </c:pt>
                <c:pt idx="6">
                  <c:v>0.0313350131234869</c:v>
                </c:pt>
                <c:pt idx="7">
                  <c:v>0.0313218747540127</c:v>
                </c:pt>
                <c:pt idx="8">
                  <c:v>0.0326212555539904</c:v>
                </c:pt>
                <c:pt idx="9">
                  <c:v>0.0320101243889219</c:v>
                </c:pt>
                <c:pt idx="10">
                  <c:v>0.0325273662562804</c:v>
                </c:pt>
                <c:pt idx="11">
                  <c:v>0.0442323878846274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'Seasonality Core'!F5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879db8"/>
            </a:solidFill>
            <a:ln w="16920">
              <a:solidFill>
                <a:srgbClr val="879db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Core'!$F$6:$F$17</c:f>
              <c:numCache>
                <c:formatCode>0.0%</c:formatCode>
                <c:ptCount val="12"/>
                <c:pt idx="0">
                  <c:v>0.0330209778677573</c:v>
                </c:pt>
                <c:pt idx="1">
                  <c:v>0.0445076887590588</c:v>
                </c:pt>
                <c:pt idx="2">
                  <c:v>0.0639643740013152</c:v>
                </c:pt>
                <c:pt idx="3">
                  <c:v>0.0670897435989704</c:v>
                </c:pt>
                <c:pt idx="4">
                  <c:v>0.0520184330951861</c:v>
                </c:pt>
                <c:pt idx="5">
                  <c:v>0.0508338796453565</c:v>
                </c:pt>
                <c:pt idx="6">
                  <c:v>0.073288005686861</c:v>
                </c:pt>
                <c:pt idx="7">
                  <c:v>0.06801591063054</c:v>
                </c:pt>
                <c:pt idx="8">
                  <c:v>0.0551278133351472</c:v>
                </c:pt>
                <c:pt idx="9">
                  <c:v>0.0554915796434534</c:v>
                </c:pt>
                <c:pt idx="10">
                  <c:v>0.0475586968884554</c:v>
                </c:pt>
                <c:pt idx="11">
                  <c:v>0.0525108026831531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'Seasonality Core'!G5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6b87a9"/>
            </a:solidFill>
            <a:ln w="16920">
              <a:solidFill>
                <a:srgbClr val="6b87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Core'!$G$6:$G$17</c:f>
              <c:numCache>
                <c:formatCode>0.0%</c:formatCode>
                <c:ptCount val="12"/>
                <c:pt idx="0">
                  <c:v>0.0535214334611878</c:v>
                </c:pt>
                <c:pt idx="1">
                  <c:v>0.0769021643878947</c:v>
                </c:pt>
                <c:pt idx="2">
                  <c:v>0.0721012595864174</c:v>
                </c:pt>
                <c:pt idx="3">
                  <c:v>0.0840063104027715</c:v>
                </c:pt>
                <c:pt idx="4">
                  <c:v>0.0784178972966956</c:v>
                </c:pt>
                <c:pt idx="5">
                  <c:v>0.0649221308996844</c:v>
                </c:pt>
                <c:pt idx="6">
                  <c:v>0.0649752940034201</c:v>
                </c:pt>
                <c:pt idx="7">
                  <c:v>0.137866819088158</c:v>
                </c:pt>
                <c:pt idx="8">
                  <c:v>0.134282114429142</c:v>
                </c:pt>
                <c:pt idx="9">
                  <c:v>0.0881103433546322</c:v>
                </c:pt>
                <c:pt idx="10">
                  <c:v>0.134036155012214</c:v>
                </c:pt>
                <c:pt idx="11">
                  <c:v>0.282587598709105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'Seasonality Core'!H5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f719b"/>
            </a:solidFill>
            <a:ln w="16920">
              <a:solidFill>
                <a:srgbClr val="4f719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Core'!$H$6:$H$17</c:f>
              <c:numCache>
                <c:formatCode>0.0%</c:formatCode>
                <c:ptCount val="12"/>
                <c:pt idx="0">
                  <c:v>0.202164887120713</c:v>
                </c:pt>
                <c:pt idx="1">
                  <c:v>0.122901408397057</c:v>
                </c:pt>
                <c:pt idx="2">
                  <c:v>0.0941204797536992</c:v>
                </c:pt>
                <c:pt idx="3">
                  <c:v>0.0629843839865203</c:v>
                </c:pt>
                <c:pt idx="4">
                  <c:v>0.0373468674243314</c:v>
                </c:pt>
                <c:pt idx="5">
                  <c:v>0.0365113028584356</c:v>
                </c:pt>
                <c:pt idx="6">
                  <c:v>0.0378558792889565</c:v>
                </c:pt>
                <c:pt idx="7">
                  <c:v>0.0412028557309136</c:v>
                </c:pt>
                <c:pt idx="8">
                  <c:v>0.032622057516509</c:v>
                </c:pt>
                <c:pt idx="9">
                  <c:v>0.0291781680760621</c:v>
                </c:pt>
                <c:pt idx="10">
                  <c:v>0.0271483385629572</c:v>
                </c:pt>
                <c:pt idx="11">
                  <c:v>0.0319728150615013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'Seasonality Core'!I5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f5c8f"/>
            </a:solidFill>
            <a:ln w="32040">
              <a:solidFill>
                <a:srgbClr val="2f5c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Core'!$I$6:$I$17</c:f>
              <c:numCache>
                <c:formatCode>0.0%</c:formatCode>
                <c:ptCount val="12"/>
                <c:pt idx="0">
                  <c:v>0.0239768943123944</c:v>
                </c:pt>
                <c:pt idx="1">
                  <c:v>0.0292035280913883</c:v>
                </c:pt>
                <c:pt idx="2">
                  <c:v>0.0319279024268895</c:v>
                </c:pt>
                <c:pt idx="3">
                  <c:v>0.0321471596642027</c:v>
                </c:pt>
                <c:pt idx="4">
                  <c:v>0.0219726503339355</c:v>
                </c:pt>
                <c:pt idx="5">
                  <c:v>0.0171373496627161</c:v>
                </c:pt>
                <c:pt idx="6">
                  <c:v>0.0147914831949412</c:v>
                </c:pt>
                <c:pt idx="7">
                  <c:v>0.020449004208132</c:v>
                </c:pt>
                <c:pt idx="8">
                  <c:v>0.0189587619236489</c:v>
                </c:pt>
                <c:pt idx="9">
                  <c:v>0.0221671871181035</c:v>
                </c:pt>
                <c:pt idx="10">
                  <c:v>0.0263899736538846</c:v>
                </c:pt>
                <c:pt idx="11">
                  <c:v>0.0303389211337597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'Seasonality Core'!J5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1495b"/>
            </a:solidFill>
            <a:ln w="3204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'Seasonality Core'!$B$6:$B$17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Core'!$J$6:$J$11</c:f>
              <c:numCache>
                <c:formatCode>0.0%</c:formatCode>
                <c:ptCount val="6"/>
                <c:pt idx="0">
                  <c:v>0.0263036906585312</c:v>
                </c:pt>
                <c:pt idx="1">
                  <c:v>0.0307537518963203</c:v>
                </c:pt>
                <c:pt idx="2">
                  <c:v>0.0318894584518437</c:v>
                </c:pt>
                <c:pt idx="3">
                  <c:v>0.0228647443545247</c:v>
                </c:pt>
                <c:pt idx="4">
                  <c:v>0.0190347773268631</c:v>
                </c:pt>
                <c:pt idx="5">
                  <c:v>0.0156958117905071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917552"/>
        <c:axId val="47415039"/>
      </c:lineChart>
      <c:catAx>
        <c:axId val="4691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15039"/>
        <c:crosses val="autoZero"/>
        <c:auto val="1"/>
        <c:lblAlgn val="ctr"/>
        <c:lblOffset val="100"/>
        <c:noMultiLvlLbl val="0"/>
      </c:catAx>
      <c:valAx>
        <c:axId val="47415039"/>
        <c:scaling>
          <c:orientation val="minMax"/>
          <c:max val="0.0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17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Headline and core: 3m annualised vs y/y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"3m ann. headline"</c:f>
              <c:strCache>
                <c:ptCount val="1"/>
                <c:pt idx="0">
                  <c:v>3m ann. headline</c:v>
                </c:pt>
              </c:strCache>
            </c:strRef>
          </c:tx>
          <c:spPr>
            <a:solidFill>
              <a:srgbClr val="d1495b"/>
            </a:solidFill>
            <a:ln w="2988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Data!$B$7:$B$96</c:f>
              <c:strCache>
                <c:ptCount val="90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</c:strCache>
            </c:strRef>
          </c:cat>
          <c:val>
            <c:numRef>
              <c:f>Data!$O$6:$O$96</c:f>
              <c:numCache>
                <c:formatCode>0.0%</c:formatCode>
                <c:ptCount val="91"/>
                <c:pt idx="3">
                  <c:v>0.56109042258587</c:v>
                </c:pt>
                <c:pt idx="4">
                  <c:v>0.59126810594636</c:v>
                </c:pt>
                <c:pt idx="5">
                  <c:v>0.551047292243571</c:v>
                </c:pt>
                <c:pt idx="6">
                  <c:v>0.438017347021692</c:v>
                </c:pt>
                <c:pt idx="7">
                  <c:v>0.372300658126117</c:v>
                </c:pt>
                <c:pt idx="8">
                  <c:v>0.418137020813152</c:v>
                </c:pt>
                <c:pt idx="9">
                  <c:v>0.601328795612029</c:v>
                </c:pt>
                <c:pt idx="10">
                  <c:v>0.671109406526046</c:v>
                </c:pt>
                <c:pt idx="11">
                  <c:v>0.69051941180167</c:v>
                </c:pt>
                <c:pt idx="12">
                  <c:v>0.557824708516954</c:v>
                </c:pt>
                <c:pt idx="13">
                  <c:v>0.495992324114954</c:v>
                </c:pt>
                <c:pt idx="14">
                  <c:v>0.371457329924556</c:v>
                </c:pt>
                <c:pt idx="15">
                  <c:v>0.350415399486727</c:v>
                </c:pt>
                <c:pt idx="16">
                  <c:v>0.310902646091102</c:v>
                </c:pt>
                <c:pt idx="17">
                  <c:v>0.286865307274534</c:v>
                </c:pt>
                <c:pt idx="18">
                  <c:v>0.232947126245549</c:v>
                </c:pt>
                <c:pt idx="19">
                  <c:v>0.254349407706465</c:v>
                </c:pt>
                <c:pt idx="20">
                  <c:v>0.312522393787076</c:v>
                </c:pt>
                <c:pt idx="21">
                  <c:v>0.343185042488358</c:v>
                </c:pt>
                <c:pt idx="22">
                  <c:v>0.442089957285774</c:v>
                </c:pt>
                <c:pt idx="23">
                  <c:v>0.46807781719589</c:v>
                </c:pt>
                <c:pt idx="24">
                  <c:v>0.53604098669425</c:v>
                </c:pt>
                <c:pt idx="25">
                  <c:v>0.553169481203872</c:v>
                </c:pt>
                <c:pt idx="26">
                  <c:v>0.578309147337281</c:v>
                </c:pt>
                <c:pt idx="27">
                  <c:v>0.627758574791806</c:v>
                </c:pt>
                <c:pt idx="28">
                  <c:v>0.629715859024205</c:v>
                </c:pt>
                <c:pt idx="29">
                  <c:v>0.613934713326129</c:v>
                </c:pt>
                <c:pt idx="30">
                  <c:v>0.515486228867292</c:v>
                </c:pt>
                <c:pt idx="31">
                  <c:v>0.453372114985472</c:v>
                </c:pt>
                <c:pt idx="32">
                  <c:v>0.405887116530358</c:v>
                </c:pt>
                <c:pt idx="33">
                  <c:v>0.426286192072446</c:v>
                </c:pt>
                <c:pt idx="34">
                  <c:v>0.455265906784133</c:v>
                </c:pt>
                <c:pt idx="35">
                  <c:v>0.458733054753089</c:v>
                </c:pt>
                <c:pt idx="36">
                  <c:v>0.475324379531734</c:v>
                </c:pt>
                <c:pt idx="37">
                  <c:v>0.495920557770185</c:v>
                </c:pt>
                <c:pt idx="38">
                  <c:v>0.626323774779677</c:v>
                </c:pt>
                <c:pt idx="39">
                  <c:v>0.814994279236313</c:v>
                </c:pt>
                <c:pt idx="40">
                  <c:v>0.971598527557248</c:v>
                </c:pt>
                <c:pt idx="41">
                  <c:v>0.998541840911166</c:v>
                </c:pt>
                <c:pt idx="42">
                  <c:v>0.893308655045554</c:v>
                </c:pt>
                <c:pt idx="43">
                  <c:v>0.992232405428942</c:v>
                </c:pt>
                <c:pt idx="44">
                  <c:v>1.14193079387891</c:v>
                </c:pt>
                <c:pt idx="45">
                  <c:v>1.21362857279673</c:v>
                </c:pt>
                <c:pt idx="46">
                  <c:v>1.1276201161908</c:v>
                </c:pt>
                <c:pt idx="47">
                  <c:v>0.968838022866729</c:v>
                </c:pt>
                <c:pt idx="48">
                  <c:v>0.892751409372143</c:v>
                </c:pt>
                <c:pt idx="49">
                  <c:v>0.870109742467263</c:v>
                </c:pt>
                <c:pt idx="50">
                  <c:v>0.995162523168258</c:v>
                </c:pt>
                <c:pt idx="51">
                  <c:v>1.19595843916051</c:v>
                </c:pt>
                <c:pt idx="52">
                  <c:v>1.39940823784281</c:v>
                </c:pt>
                <c:pt idx="53">
                  <c:v>1.50414535069737</c:v>
                </c:pt>
                <c:pt idx="54">
                  <c:v>1.34754338691392</c:v>
                </c:pt>
                <c:pt idx="55">
                  <c:v>1.17429896120862</c:v>
                </c:pt>
                <c:pt idx="56">
                  <c:v>1.57627371036531</c:v>
                </c:pt>
                <c:pt idx="57">
                  <c:v>2.30397588407028</c:v>
                </c:pt>
                <c:pt idx="58">
                  <c:v>2.55396158559925</c:v>
                </c:pt>
                <c:pt idx="59">
                  <c:v>2.60085061076937</c:v>
                </c:pt>
                <c:pt idx="60">
                  <c:v>4.52131418818238</c:v>
                </c:pt>
                <c:pt idx="61">
                  <c:v>7.49365978504837</c:v>
                </c:pt>
                <c:pt idx="62">
                  <c:v>7.62389877261196</c:v>
                </c:pt>
                <c:pt idx="63">
                  <c:v>4.28503245967673</c:v>
                </c:pt>
                <c:pt idx="64">
                  <c:v>2.50331112687154</c:v>
                </c:pt>
                <c:pt idx="65">
                  <c:v>1.50922932777058</c:v>
                </c:pt>
                <c:pt idx="66">
                  <c:v>0.976274035547957</c:v>
                </c:pt>
                <c:pt idx="67">
                  <c:v>0.649954523292777</c:v>
                </c:pt>
                <c:pt idx="68">
                  <c:v>0.649715596079064</c:v>
                </c:pt>
                <c:pt idx="69">
                  <c:v>0.580895097933829</c:v>
                </c:pt>
                <c:pt idx="70">
                  <c:v>0.501049742864685</c:v>
                </c:pt>
                <c:pt idx="71">
                  <c:v>0.402932578019879</c:v>
                </c:pt>
                <c:pt idx="72">
                  <c:v>0.361894583346784</c:v>
                </c:pt>
                <c:pt idx="73">
                  <c:v>0.336573483087424</c:v>
                </c:pt>
                <c:pt idx="74">
                  <c:v>0.335272773388223</c:v>
                </c:pt>
                <c:pt idx="75">
                  <c:v>0.389393235865859</c:v>
                </c:pt>
                <c:pt idx="76">
                  <c:v>0.42063462557092</c:v>
                </c:pt>
                <c:pt idx="77">
                  <c:v>0.371317770038141</c:v>
                </c:pt>
                <c:pt idx="78">
                  <c:v>0.263077815038155</c:v>
                </c:pt>
                <c:pt idx="79">
                  <c:v>0.220413397713345</c:v>
                </c:pt>
                <c:pt idx="80">
                  <c:v>0.238533738027658</c:v>
                </c:pt>
                <c:pt idx="81">
                  <c:v>0.2609659396929</c:v>
                </c:pt>
                <c:pt idx="82">
                  <c:v>0.282899244023449</c:v>
                </c:pt>
                <c:pt idx="83">
                  <c:v>0.313242631528274</c:v>
                </c:pt>
                <c:pt idx="84">
                  <c:v>0.353282289910735</c:v>
                </c:pt>
                <c:pt idx="85">
                  <c:v>0.382053739679398</c:v>
                </c:pt>
                <c:pt idx="86">
                  <c:v>0.40503727110834</c:v>
                </c:pt>
                <c:pt idx="87">
                  <c:v>0.434632599077282</c:v>
                </c:pt>
                <c:pt idx="88">
                  <c:v>0.418003224730566</c:v>
                </c:pt>
                <c:pt idx="89">
                  <c:v>0.377307384833439</c:v>
                </c:pt>
                <c:pt idx="90">
                  <c:v>0.299312482123483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"3m ann. core"</c:f>
              <c:strCache>
                <c:ptCount val="1"/>
                <c:pt idx="0">
                  <c:v>3m ann. core</c:v>
                </c:pt>
              </c:strCache>
            </c:strRef>
          </c:tx>
          <c:spPr>
            <a:solidFill>
              <a:srgbClr val="e8a33d"/>
            </a:solidFill>
            <a:ln w="25920">
              <a:solidFill>
                <a:srgbClr val="e8a3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Data!$B$7:$B$96</c:f>
              <c:strCache>
                <c:ptCount val="90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</c:strCache>
            </c:strRef>
          </c:cat>
          <c:val>
            <c:numRef>
              <c:f>Data!$P$6:$P$96</c:f>
              <c:numCache>
                <c:formatCode>0.0%</c:formatCode>
                <c:ptCount val="91"/>
                <c:pt idx="3">
                  <c:v>0.566389210081022</c:v>
                </c:pt>
                <c:pt idx="4">
                  <c:v>0.613398201550976</c:v>
                </c:pt>
                <c:pt idx="5">
                  <c:v>0.571679924561188</c:v>
                </c:pt>
                <c:pt idx="6">
                  <c:v>0.463506723399512</c:v>
                </c:pt>
                <c:pt idx="7">
                  <c:v>0.374265440689605</c:v>
                </c:pt>
                <c:pt idx="8">
                  <c:v>0.45373590179612</c:v>
                </c:pt>
                <c:pt idx="9">
                  <c:v>0.675145006690071</c:v>
                </c:pt>
                <c:pt idx="10">
                  <c:v>0.786511897877556</c:v>
                </c:pt>
                <c:pt idx="11">
                  <c:v>0.741880933752731</c:v>
                </c:pt>
                <c:pt idx="12">
                  <c:v>0.568389772647417</c:v>
                </c:pt>
                <c:pt idx="13">
                  <c:v>0.487580906135768</c:v>
                </c:pt>
                <c:pt idx="14">
                  <c:v>0.398308632415782</c:v>
                </c:pt>
                <c:pt idx="15">
                  <c:v>0.36825213966564</c:v>
                </c:pt>
                <c:pt idx="16">
                  <c:v>0.329918272284933</c:v>
                </c:pt>
                <c:pt idx="17">
                  <c:v>0.290049772861388</c:v>
                </c:pt>
                <c:pt idx="18">
                  <c:v>0.250214558382203</c:v>
                </c:pt>
                <c:pt idx="19">
                  <c:v>0.290894980227457</c:v>
                </c:pt>
                <c:pt idx="20">
                  <c:v>0.364988522951617</c:v>
                </c:pt>
                <c:pt idx="21">
                  <c:v>0.365081911404798</c:v>
                </c:pt>
                <c:pt idx="22">
                  <c:v>0.415085295609617</c:v>
                </c:pt>
                <c:pt idx="23">
                  <c:v>0.465428053895791</c:v>
                </c:pt>
                <c:pt idx="24">
                  <c:v>0.617322956944684</c:v>
                </c:pt>
                <c:pt idx="25">
                  <c:v>0.646043049503495</c:v>
                </c:pt>
                <c:pt idx="26">
                  <c:v>0.654423984697563</c:v>
                </c:pt>
                <c:pt idx="27">
                  <c:v>0.632763936609046</c:v>
                </c:pt>
                <c:pt idx="28">
                  <c:v>0.673557471674868</c:v>
                </c:pt>
                <c:pt idx="29">
                  <c:v>0.635929587228761</c:v>
                </c:pt>
                <c:pt idx="30">
                  <c:v>0.579309636598979</c:v>
                </c:pt>
                <c:pt idx="31">
                  <c:v>0.494932065049585</c:v>
                </c:pt>
                <c:pt idx="32">
                  <c:v>0.474948579494711</c:v>
                </c:pt>
                <c:pt idx="33">
                  <c:v>0.45525870920192</c:v>
                </c:pt>
                <c:pt idx="34">
                  <c:v>0.459072898133096</c:v>
                </c:pt>
                <c:pt idx="35">
                  <c:v>0.465906792929119</c:v>
                </c:pt>
                <c:pt idx="36">
                  <c:v>0.532959751877436</c:v>
                </c:pt>
                <c:pt idx="37">
                  <c:v>0.538974715854765</c:v>
                </c:pt>
                <c:pt idx="38">
                  <c:v>0.611653832746951</c:v>
                </c:pt>
                <c:pt idx="39">
                  <c:v>0.736966624080022</c:v>
                </c:pt>
                <c:pt idx="40">
                  <c:v>0.977692162291522</c:v>
                </c:pt>
                <c:pt idx="41">
                  <c:v>1.03519264866728</c:v>
                </c:pt>
                <c:pt idx="42">
                  <c:v>0.936571096560802</c:v>
                </c:pt>
                <c:pt idx="43">
                  <c:v>0.981959460442701</c:v>
                </c:pt>
                <c:pt idx="44">
                  <c:v>1.10529160968689</c:v>
                </c:pt>
                <c:pt idx="45">
                  <c:v>1.13991379999664</c:v>
                </c:pt>
                <c:pt idx="46">
                  <c:v>1.00147544978253</c:v>
                </c:pt>
                <c:pt idx="47">
                  <c:v>0.852477082925321</c:v>
                </c:pt>
                <c:pt idx="48">
                  <c:v>0.834166711058757</c:v>
                </c:pt>
                <c:pt idx="49">
                  <c:v>0.82051062238608</c:v>
                </c:pt>
                <c:pt idx="50">
                  <c:v>1.0332217630599</c:v>
                </c:pt>
                <c:pt idx="51">
                  <c:v>1.18887885851525</c:v>
                </c:pt>
                <c:pt idx="52">
                  <c:v>1.45344013737093</c:v>
                </c:pt>
                <c:pt idx="53">
                  <c:v>1.46728213210398</c:v>
                </c:pt>
                <c:pt idx="54">
                  <c:v>1.40185617878209</c:v>
                </c:pt>
                <c:pt idx="55">
                  <c:v>1.23757648030978</c:v>
                </c:pt>
                <c:pt idx="56">
                  <c:v>1.77328992958192</c:v>
                </c:pt>
                <c:pt idx="57">
                  <c:v>2.56950669613478</c:v>
                </c:pt>
                <c:pt idx="58">
                  <c:v>2.88993034016889</c:v>
                </c:pt>
                <c:pt idx="59">
                  <c:v>2.83781198044971</c:v>
                </c:pt>
                <c:pt idx="60">
                  <c:v>5.27404318321209</c:v>
                </c:pt>
                <c:pt idx="61">
                  <c:v>8.3478536556778</c:v>
                </c:pt>
                <c:pt idx="62">
                  <c:v>7.98609090322231</c:v>
                </c:pt>
                <c:pt idx="63">
                  <c:v>3.75864438278358</c:v>
                </c:pt>
                <c:pt idx="64">
                  <c:v>1.90893912561699</c:v>
                </c:pt>
                <c:pt idx="65">
                  <c:v>1.11867394630466</c:v>
                </c:pt>
                <c:pt idx="66">
                  <c:v>0.706474120315526</c:v>
                </c:pt>
                <c:pt idx="67">
                  <c:v>0.550744922868871</c:v>
                </c:pt>
                <c:pt idx="68">
                  <c:v>0.573931296529642</c:v>
                </c:pt>
                <c:pt idx="69">
                  <c:v>0.55044081446427</c:v>
                </c:pt>
                <c:pt idx="70">
                  <c:v>0.499233413342554</c:v>
                </c:pt>
                <c:pt idx="71">
                  <c:v>0.419909034254723</c:v>
                </c:pt>
                <c:pt idx="72">
                  <c:v>0.416341432049083</c:v>
                </c:pt>
                <c:pt idx="73">
                  <c:v>0.387926052911012</c:v>
                </c:pt>
                <c:pt idx="74">
                  <c:v>0.399067670847678</c:v>
                </c:pt>
                <c:pt idx="75">
                  <c:v>0.398824130660299</c:v>
                </c:pt>
                <c:pt idx="76">
                  <c:v>0.444005922679969</c:v>
                </c:pt>
                <c:pt idx="77">
                  <c:v>0.403850960358223</c:v>
                </c:pt>
                <c:pt idx="78">
                  <c:v>0.325079665645149</c:v>
                </c:pt>
                <c:pt idx="79">
                  <c:v>0.238177070142871</c:v>
                </c:pt>
                <c:pt idx="80">
                  <c:v>0.230809636382951</c:v>
                </c:pt>
                <c:pt idx="81">
                  <c:v>0.2396495070436</c:v>
                </c:pt>
                <c:pt idx="82">
                  <c:v>0.276084398706696</c:v>
                </c:pt>
                <c:pt idx="83">
                  <c:v>0.306061952567989</c:v>
                </c:pt>
                <c:pt idx="84">
                  <c:v>0.365393302204477</c:v>
                </c:pt>
                <c:pt idx="85">
                  <c:v>0.387629707668822</c:v>
                </c:pt>
                <c:pt idx="86">
                  <c:v>0.411379101131993</c:v>
                </c:pt>
                <c:pt idx="87">
                  <c:v>0.41989412775838</c:v>
                </c:pt>
                <c:pt idx="88">
                  <c:v>0.400958400259575</c:v>
                </c:pt>
                <c:pt idx="89">
                  <c:v>0.338324922169747</c:v>
                </c:pt>
                <c:pt idx="90">
                  <c:v>0.25627150384262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"y/y headline"</c:f>
              <c:strCache>
                <c:ptCount val="1"/>
                <c:pt idx="0">
                  <c:v>y/y headline</c:v>
                </c:pt>
              </c:strCache>
            </c:strRef>
          </c:tx>
          <c:spPr>
            <a:solidFill>
              <a:srgbClr val="2f5c8f"/>
            </a:solidFill>
            <a:ln w="21960">
              <a:solidFill>
                <a:srgbClr val="2f5c8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Data!$B$7:$B$96</c:f>
              <c:strCache>
                <c:ptCount val="90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</c:strCache>
            </c:strRef>
          </c:cat>
          <c:val>
            <c:numRef>
              <c:f>Data!$M$6:$M$96</c:f>
              <c:numCache>
                <c:formatCode>0.0%</c:formatCode>
                <c:ptCount val="91"/>
                <c:pt idx="12">
                  <c:v>0.538324020163339</c:v>
                </c:pt>
                <c:pt idx="13">
                  <c:v>0.528557286769007</c:v>
                </c:pt>
                <c:pt idx="14">
                  <c:v>0.502748918552011</c:v>
                </c:pt>
                <c:pt idx="15">
                  <c:v>0.483568665513352</c:v>
                </c:pt>
                <c:pt idx="16">
                  <c:v>0.456258556603674</c:v>
                </c:pt>
                <c:pt idx="17">
                  <c:v>0.434212282147169</c:v>
                </c:pt>
                <c:pt idx="18">
                  <c:v>0.427587491187699</c:v>
                </c:pt>
                <c:pt idx="19">
                  <c:v>0.423904309873576</c:v>
                </c:pt>
                <c:pt idx="20">
                  <c:v>0.406729416458653</c:v>
                </c:pt>
                <c:pt idx="21">
                  <c:v>0.366207192300507</c:v>
                </c:pt>
                <c:pt idx="22">
                  <c:v>0.372390400742408</c:v>
                </c:pt>
                <c:pt idx="23">
                  <c:v>0.357978198918218</c:v>
                </c:pt>
                <c:pt idx="24">
                  <c:v>0.361405878123454</c:v>
                </c:pt>
                <c:pt idx="25">
                  <c:v>0.3853198030983</c:v>
                </c:pt>
                <c:pt idx="26">
                  <c:v>0.406517827548653</c:v>
                </c:pt>
                <c:pt idx="27">
                  <c:v>0.426488497029143</c:v>
                </c:pt>
                <c:pt idx="28">
                  <c:v>0.462801528290431</c:v>
                </c:pt>
                <c:pt idx="29">
                  <c:v>0.488447286467475</c:v>
                </c:pt>
                <c:pt idx="30">
                  <c:v>0.502000783914716</c:v>
                </c:pt>
                <c:pt idx="31">
                  <c:v>0.517661716251058</c:v>
                </c:pt>
                <c:pt idx="32">
                  <c:v>0.514238872709925</c:v>
                </c:pt>
                <c:pt idx="33">
                  <c:v>0.524712170969593</c:v>
                </c:pt>
                <c:pt idx="34">
                  <c:v>0.521116508228674</c:v>
                </c:pt>
                <c:pt idx="35">
                  <c:v>0.51182345155033</c:v>
                </c:pt>
                <c:pt idx="36">
                  <c:v>0.509416335434663</c:v>
                </c:pt>
                <c:pt idx="37">
                  <c:v>0.50690162141591</c:v>
                </c:pt>
                <c:pt idx="38">
                  <c:v>0.523192568643977</c:v>
                </c:pt>
                <c:pt idx="39">
                  <c:v>0.551066303221382</c:v>
                </c:pt>
                <c:pt idx="40">
                  <c:v>0.580380085718008</c:v>
                </c:pt>
                <c:pt idx="41">
                  <c:v>0.606799295962451</c:v>
                </c:pt>
                <c:pt idx="42">
                  <c:v>0.639825816487798</c:v>
                </c:pt>
                <c:pt idx="43">
                  <c:v>0.710024539313192</c:v>
                </c:pt>
                <c:pt idx="44">
                  <c:v>0.785152730967554</c:v>
                </c:pt>
                <c:pt idx="45">
                  <c:v>0.830299823953522</c:v>
                </c:pt>
                <c:pt idx="46">
                  <c:v>0.880356847131371</c:v>
                </c:pt>
                <c:pt idx="47">
                  <c:v>0.92412782322705</c:v>
                </c:pt>
                <c:pt idx="48">
                  <c:v>0.947931823351919</c:v>
                </c:pt>
                <c:pt idx="49">
                  <c:v>0.988290861454036</c:v>
                </c:pt>
                <c:pt idx="50">
                  <c:v>1.02500796846902</c:v>
                </c:pt>
                <c:pt idx="51">
                  <c:v>1.04296518960099</c:v>
                </c:pt>
                <c:pt idx="52">
                  <c:v>1.0883405987029</c:v>
                </c:pt>
                <c:pt idx="53">
                  <c:v>1.14246289237028</c:v>
                </c:pt>
                <c:pt idx="54">
                  <c:v>1.15580273478433</c:v>
                </c:pt>
                <c:pt idx="55">
                  <c:v>1.13449993601492</c:v>
                </c:pt>
                <c:pt idx="56">
                  <c:v>1.24367500808884</c:v>
                </c:pt>
                <c:pt idx="57">
                  <c:v>1.38282445005084</c:v>
                </c:pt>
                <c:pt idx="58">
                  <c:v>1.42661460125634</c:v>
                </c:pt>
                <c:pt idx="59">
                  <c:v>1.60920816838135</c:v>
                </c:pt>
                <c:pt idx="60">
                  <c:v>2.11407643747177</c:v>
                </c:pt>
                <c:pt idx="61">
                  <c:v>2.54248278648256</c:v>
                </c:pt>
                <c:pt idx="62">
                  <c:v>2.76218434873503</c:v>
                </c:pt>
                <c:pt idx="63">
                  <c:v>2.87869074700319</c:v>
                </c:pt>
                <c:pt idx="64">
                  <c:v>2.89404879607447</c:v>
                </c:pt>
                <c:pt idx="65">
                  <c:v>2.76409241631778</c:v>
                </c:pt>
                <c:pt idx="66">
                  <c:v>2.71529701338579</c:v>
                </c:pt>
                <c:pt idx="67">
                  <c:v>2.63445727859189</c:v>
                </c:pt>
                <c:pt idx="68">
                  <c:v>2.36716615388709</c:v>
                </c:pt>
                <c:pt idx="69">
                  <c:v>2.09001141989832</c:v>
                </c:pt>
                <c:pt idx="70">
                  <c:v>1.92994964893663</c:v>
                </c:pt>
                <c:pt idx="71">
                  <c:v>1.66025011942205</c:v>
                </c:pt>
                <c:pt idx="72">
                  <c:v>1.17763627464139</c:v>
                </c:pt>
                <c:pt idx="73">
                  <c:v>0.845375081508239</c:v>
                </c:pt>
                <c:pt idx="74">
                  <c:v>0.668741464218041</c:v>
                </c:pt>
                <c:pt idx="75">
                  <c:v>0.559300156993731</c:v>
                </c:pt>
                <c:pt idx="76">
                  <c:v>0.472602636696605</c:v>
                </c:pt>
                <c:pt idx="77">
                  <c:v>0.434790506610468</c:v>
                </c:pt>
                <c:pt idx="78">
                  <c:v>0.394201219214119</c:v>
                </c:pt>
                <c:pt idx="79">
                  <c:v>0.365665448586499</c:v>
                </c:pt>
                <c:pt idx="80">
                  <c:v>0.335559327506132</c:v>
                </c:pt>
                <c:pt idx="81">
                  <c:v>0.317575570760224</c:v>
                </c:pt>
                <c:pt idx="82">
                  <c:v>0.313087563496091</c:v>
                </c:pt>
                <c:pt idx="83">
                  <c:v>0.313681935337484</c:v>
                </c:pt>
                <c:pt idx="84">
                  <c:v>0.315487605126457</c:v>
                </c:pt>
                <c:pt idx="85">
                  <c:v>0.324118064389535</c:v>
                </c:pt>
                <c:pt idx="86">
                  <c:v>0.33051474143271</c:v>
                </c:pt>
                <c:pt idx="87">
                  <c:v>0.326067523988498</c:v>
                </c:pt>
                <c:pt idx="88">
                  <c:v>0.323504481534784</c:v>
                </c:pt>
                <c:pt idx="89">
                  <c:v>0.331965216862849</c:v>
                </c:pt>
                <c:pt idx="90">
                  <c:v>0.335477313985085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"y/y core"</c:f>
              <c:strCache>
                <c:ptCount val="1"/>
                <c:pt idx="0">
                  <c:v>y/y core</c:v>
                </c:pt>
              </c:strCache>
            </c:strRef>
          </c:tx>
          <c:spPr>
            <a:solidFill>
              <a:srgbClr val="8aa0b8"/>
            </a:solidFill>
            <a:ln w="20160">
              <a:solidFill>
                <a:srgbClr val="8aa0b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Data!$B$7:$B$96</c:f>
              <c:strCache>
                <c:ptCount val="90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</c:strCache>
            </c:strRef>
          </c:cat>
          <c:val>
            <c:numRef>
              <c:f>Data!$N$6:$N$96</c:f>
              <c:numCache>
                <c:formatCode>0.0%</c:formatCode>
                <c:ptCount val="91"/>
                <c:pt idx="12">
                  <c:v>0.566571435277864</c:v>
                </c:pt>
                <c:pt idx="13">
                  <c:v>0.558025909142207</c:v>
                </c:pt>
                <c:pt idx="14">
                  <c:v>0.535917120967131</c:v>
                </c:pt>
                <c:pt idx="15">
                  <c:v>0.514491417849494</c:v>
                </c:pt>
                <c:pt idx="16">
                  <c:v>0.484552366454697</c:v>
                </c:pt>
                <c:pt idx="17">
                  <c:v>0.461936037163433</c:v>
                </c:pt>
                <c:pt idx="18">
                  <c:v>0.456009719651637</c:v>
                </c:pt>
                <c:pt idx="19">
                  <c:v>0.461505968623541</c:v>
                </c:pt>
                <c:pt idx="20">
                  <c:v>0.439094265668416</c:v>
                </c:pt>
                <c:pt idx="21">
                  <c:v>0.383377954007038</c:v>
                </c:pt>
                <c:pt idx="22">
                  <c:v>0.378779347706527</c:v>
                </c:pt>
                <c:pt idx="23">
                  <c:v>0.378242861063622</c:v>
                </c:pt>
                <c:pt idx="24">
                  <c:v>0.394044180261403</c:v>
                </c:pt>
                <c:pt idx="25">
                  <c:v>0.41411561575732</c:v>
                </c:pt>
                <c:pt idx="26">
                  <c:v>0.437429972631927</c:v>
                </c:pt>
                <c:pt idx="27">
                  <c:v>0.457021141847797</c:v>
                </c:pt>
                <c:pt idx="28">
                  <c:v>0.497748307947547</c:v>
                </c:pt>
                <c:pt idx="29">
                  <c:v>0.525373620218339</c:v>
                </c:pt>
                <c:pt idx="30">
                  <c:v>0.544672934395971</c:v>
                </c:pt>
                <c:pt idx="31">
                  <c:v>0.553715412771076</c:v>
                </c:pt>
                <c:pt idx="32">
                  <c:v>0.555206996895157</c:v>
                </c:pt>
                <c:pt idx="33">
                  <c:v>0.569574414665047</c:v>
                </c:pt>
                <c:pt idx="34">
                  <c:v>0.565651386935915</c:v>
                </c:pt>
                <c:pt idx="35">
                  <c:v>0.555333998541123</c:v>
                </c:pt>
                <c:pt idx="36">
                  <c:v>0.548693270004645</c:v>
                </c:pt>
                <c:pt idx="37">
                  <c:v>0.539545898045497</c:v>
                </c:pt>
                <c:pt idx="38">
                  <c:v>0.545182932427687</c:v>
                </c:pt>
                <c:pt idx="39">
                  <c:v>0.572832337227203</c:v>
                </c:pt>
                <c:pt idx="40">
                  <c:v>0.605174146674583</c:v>
                </c:pt>
                <c:pt idx="41">
                  <c:v>0.631887184987403</c:v>
                </c:pt>
                <c:pt idx="42">
                  <c:v>0.655098974940269</c:v>
                </c:pt>
                <c:pt idx="43">
                  <c:v>0.722425647751486</c:v>
                </c:pt>
                <c:pt idx="44">
                  <c:v>0.783708890219623</c:v>
                </c:pt>
                <c:pt idx="45">
                  <c:v>0.822585823060748</c:v>
                </c:pt>
                <c:pt idx="46">
                  <c:v>0.864055345927189</c:v>
                </c:pt>
                <c:pt idx="47">
                  <c:v>0.891191897593511</c:v>
                </c:pt>
                <c:pt idx="48">
                  <c:v>0.906184796849974</c:v>
                </c:pt>
                <c:pt idx="49">
                  <c:v>0.944013318843162</c:v>
                </c:pt>
                <c:pt idx="50">
                  <c:v>1.00430516040367</c:v>
                </c:pt>
                <c:pt idx="51">
                  <c:v>1.01963349485392</c:v>
                </c:pt>
                <c:pt idx="52">
                  <c:v>1.05165073158572</c:v>
                </c:pt>
                <c:pt idx="53">
                  <c:v>1.1031350766681</c:v>
                </c:pt>
                <c:pt idx="54">
                  <c:v>1.13133125111186</c:v>
                </c:pt>
                <c:pt idx="55">
                  <c:v>1.1148238997779</c:v>
                </c:pt>
                <c:pt idx="56">
                  <c:v>1.25313866565077</c:v>
                </c:pt>
                <c:pt idx="57">
                  <c:v>1.42216616553603</c:v>
                </c:pt>
                <c:pt idx="58">
                  <c:v>1.49702044893024</c:v>
                </c:pt>
                <c:pt idx="59">
                  <c:v>1.70315303314526</c:v>
                </c:pt>
                <c:pt idx="60">
                  <c:v>2.29405698154029</c:v>
                </c:pt>
                <c:pt idx="61">
                  <c:v>2.75882209284778</c:v>
                </c:pt>
                <c:pt idx="62">
                  <c:v>2.91937797280946</c:v>
                </c:pt>
                <c:pt idx="63">
                  <c:v>2.99987563637473</c:v>
                </c:pt>
                <c:pt idx="64">
                  <c:v>2.92230681551539</c:v>
                </c:pt>
                <c:pt idx="65">
                  <c:v>2.77292763626361</c:v>
                </c:pt>
                <c:pt idx="66">
                  <c:v>2.67227051291563</c:v>
                </c:pt>
                <c:pt idx="67">
                  <c:v>2.57875676894033</c:v>
                </c:pt>
                <c:pt idx="68">
                  <c:v>2.27473453419887</c:v>
                </c:pt>
                <c:pt idx="69">
                  <c:v>1.98123638688129</c:v>
                </c:pt>
                <c:pt idx="70">
                  <c:v>1.81977229790215</c:v>
                </c:pt>
                <c:pt idx="71">
                  <c:v>1.55399655303305</c:v>
                </c:pt>
                <c:pt idx="72">
                  <c:v>1.05495126815791</c:v>
                </c:pt>
                <c:pt idx="73">
                  <c:v>0.750361069496419</c:v>
                </c:pt>
                <c:pt idx="74">
                  <c:v>0.604306286097852</c:v>
                </c:pt>
                <c:pt idx="75">
                  <c:v>0.513113456240131</c:v>
                </c:pt>
                <c:pt idx="76">
                  <c:v>0.469217967484027</c:v>
                </c:pt>
                <c:pt idx="77">
                  <c:v>0.447443114062727</c:v>
                </c:pt>
                <c:pt idx="78">
                  <c:v>0.420388228054265</c:v>
                </c:pt>
                <c:pt idx="79">
                  <c:v>0.388822769542275</c:v>
                </c:pt>
                <c:pt idx="80">
                  <c:v>0.361139958847038</c:v>
                </c:pt>
                <c:pt idx="81">
                  <c:v>0.343129828746091</c:v>
                </c:pt>
                <c:pt idx="82">
                  <c:v>0.333980142185008</c:v>
                </c:pt>
                <c:pt idx="83">
                  <c:v>0.332995236995317</c:v>
                </c:pt>
                <c:pt idx="84">
                  <c:v>0.330884742618287</c:v>
                </c:pt>
                <c:pt idx="85">
                  <c:v>0.333908929759085</c:v>
                </c:pt>
                <c:pt idx="86">
                  <c:v>0.335918111927707</c:v>
                </c:pt>
                <c:pt idx="87">
                  <c:v>0.335868342944392</c:v>
                </c:pt>
                <c:pt idx="88">
                  <c:v>0.323854470075434</c:v>
                </c:pt>
                <c:pt idx="89">
                  <c:v>0.32004877497033</c:v>
                </c:pt>
                <c:pt idx="90">
                  <c:v>0.318177935891504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736726"/>
        <c:axId val="67561467"/>
      </c:lineChart>
      <c:catAx>
        <c:axId val="677367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61467"/>
        <c:crosses val="autoZero"/>
        <c:auto val="1"/>
        <c:lblAlgn val="ctr"/>
        <c:lblOffset val="100"/>
        <c:noMultiLvlLbl val="0"/>
      </c:catAx>
      <c:valAx>
        <c:axId val="67561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367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Zoom: since Jan-2025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"3m ann. headline"</c:f>
              <c:strCache>
                <c:ptCount val="1"/>
                <c:pt idx="0">
                  <c:v>3m ann. headline</c:v>
                </c:pt>
              </c:strCache>
            </c:strRef>
          </c:tx>
          <c:spPr>
            <a:solidFill>
              <a:srgbClr val="d1495b"/>
            </a:solidFill>
            <a:ln w="2988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Data!$B$79:$B$96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Data!$O$79:$O$96</c:f>
              <c:numCache>
                <c:formatCode>0.0%</c:formatCode>
                <c:ptCount val="18"/>
                <c:pt idx="0">
                  <c:v>0.336573483087424</c:v>
                </c:pt>
                <c:pt idx="1">
                  <c:v>0.335272773388223</c:v>
                </c:pt>
                <c:pt idx="2">
                  <c:v>0.389393235865859</c:v>
                </c:pt>
                <c:pt idx="3">
                  <c:v>0.42063462557092</c:v>
                </c:pt>
                <c:pt idx="4">
                  <c:v>0.371317770038141</c:v>
                </c:pt>
                <c:pt idx="5">
                  <c:v>0.263077815038155</c:v>
                </c:pt>
                <c:pt idx="6">
                  <c:v>0.220413397713345</c:v>
                </c:pt>
                <c:pt idx="7">
                  <c:v>0.238533738027658</c:v>
                </c:pt>
                <c:pt idx="8">
                  <c:v>0.2609659396929</c:v>
                </c:pt>
                <c:pt idx="9">
                  <c:v>0.282899244023449</c:v>
                </c:pt>
                <c:pt idx="10">
                  <c:v>0.313242631528274</c:v>
                </c:pt>
                <c:pt idx="11">
                  <c:v>0.353282289910735</c:v>
                </c:pt>
                <c:pt idx="12">
                  <c:v>0.382053739679398</c:v>
                </c:pt>
                <c:pt idx="13">
                  <c:v>0.40503727110834</c:v>
                </c:pt>
                <c:pt idx="14">
                  <c:v>0.434632599077282</c:v>
                </c:pt>
                <c:pt idx="15">
                  <c:v>0.418003224730566</c:v>
                </c:pt>
                <c:pt idx="16">
                  <c:v>0.377307384833439</c:v>
                </c:pt>
                <c:pt idx="17">
                  <c:v>0.299312482123483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"3m ann. core"</c:f>
              <c:strCache>
                <c:ptCount val="1"/>
                <c:pt idx="0">
                  <c:v>3m ann. core</c:v>
                </c:pt>
              </c:strCache>
            </c:strRef>
          </c:tx>
          <c:spPr>
            <a:solidFill>
              <a:srgbClr val="e8a33d"/>
            </a:solidFill>
            <a:ln w="25920">
              <a:solidFill>
                <a:srgbClr val="e8a3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Data!$B$79:$B$96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Data!$P$79:$P$96</c:f>
              <c:numCache>
                <c:formatCode>0.0%</c:formatCode>
                <c:ptCount val="18"/>
                <c:pt idx="0">
                  <c:v>0.387926052911012</c:v>
                </c:pt>
                <c:pt idx="1">
                  <c:v>0.399067670847678</c:v>
                </c:pt>
                <c:pt idx="2">
                  <c:v>0.398824130660299</c:v>
                </c:pt>
                <c:pt idx="3">
                  <c:v>0.444005922679969</c:v>
                </c:pt>
                <c:pt idx="4">
                  <c:v>0.403850960358223</c:v>
                </c:pt>
                <c:pt idx="5">
                  <c:v>0.325079665645149</c:v>
                </c:pt>
                <c:pt idx="6">
                  <c:v>0.238177070142871</c:v>
                </c:pt>
                <c:pt idx="7">
                  <c:v>0.230809636382951</c:v>
                </c:pt>
                <c:pt idx="8">
                  <c:v>0.2396495070436</c:v>
                </c:pt>
                <c:pt idx="9">
                  <c:v>0.276084398706696</c:v>
                </c:pt>
                <c:pt idx="10">
                  <c:v>0.306061952567989</c:v>
                </c:pt>
                <c:pt idx="11">
                  <c:v>0.365393302204477</c:v>
                </c:pt>
                <c:pt idx="12">
                  <c:v>0.387629707668822</c:v>
                </c:pt>
                <c:pt idx="13">
                  <c:v>0.411379101131993</c:v>
                </c:pt>
                <c:pt idx="14">
                  <c:v>0.41989412775838</c:v>
                </c:pt>
                <c:pt idx="15">
                  <c:v>0.400958400259575</c:v>
                </c:pt>
                <c:pt idx="16">
                  <c:v>0.338324922169747</c:v>
                </c:pt>
                <c:pt idx="17">
                  <c:v>0.25627150384262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"y/y headline"</c:f>
              <c:strCache>
                <c:ptCount val="1"/>
                <c:pt idx="0">
                  <c:v>y/y headline</c:v>
                </c:pt>
              </c:strCache>
            </c:strRef>
          </c:tx>
          <c:spPr>
            <a:solidFill>
              <a:srgbClr val="2f5c8f"/>
            </a:solidFill>
            <a:ln w="21960">
              <a:solidFill>
                <a:srgbClr val="2f5c8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Data!$B$79:$B$96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Data!$M$79:$M$96</c:f>
              <c:numCache>
                <c:formatCode>0.0%</c:formatCode>
                <c:ptCount val="18"/>
                <c:pt idx="0">
                  <c:v>0.845375081508239</c:v>
                </c:pt>
                <c:pt idx="1">
                  <c:v>0.668741464218041</c:v>
                </c:pt>
                <c:pt idx="2">
                  <c:v>0.559300156993731</c:v>
                </c:pt>
                <c:pt idx="3">
                  <c:v>0.472602636696605</c:v>
                </c:pt>
                <c:pt idx="4">
                  <c:v>0.434790506610468</c:v>
                </c:pt>
                <c:pt idx="5">
                  <c:v>0.394201219214119</c:v>
                </c:pt>
                <c:pt idx="6">
                  <c:v>0.365665448586499</c:v>
                </c:pt>
                <c:pt idx="7">
                  <c:v>0.335559327506132</c:v>
                </c:pt>
                <c:pt idx="8">
                  <c:v>0.317575570760224</c:v>
                </c:pt>
                <c:pt idx="9">
                  <c:v>0.313087563496091</c:v>
                </c:pt>
                <c:pt idx="10">
                  <c:v>0.313681935337484</c:v>
                </c:pt>
                <c:pt idx="11">
                  <c:v>0.315487605126457</c:v>
                </c:pt>
                <c:pt idx="12">
                  <c:v>0.324118064389535</c:v>
                </c:pt>
                <c:pt idx="13">
                  <c:v>0.33051474143271</c:v>
                </c:pt>
                <c:pt idx="14">
                  <c:v>0.326067523988498</c:v>
                </c:pt>
                <c:pt idx="15">
                  <c:v>0.323504481534784</c:v>
                </c:pt>
                <c:pt idx="16">
                  <c:v>0.331965216862849</c:v>
                </c:pt>
                <c:pt idx="17">
                  <c:v>0.335477313985085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"y/y core"</c:f>
              <c:strCache>
                <c:ptCount val="1"/>
                <c:pt idx="0">
                  <c:v>y/y core</c:v>
                </c:pt>
              </c:strCache>
            </c:strRef>
          </c:tx>
          <c:spPr>
            <a:solidFill>
              <a:srgbClr val="8aa0b8"/>
            </a:solidFill>
            <a:ln w="20160">
              <a:solidFill>
                <a:srgbClr val="8aa0b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Data!$B$79:$B$96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Data!$N$79:$N$96</c:f>
              <c:numCache>
                <c:formatCode>0.0%</c:formatCode>
                <c:ptCount val="18"/>
                <c:pt idx="0">
                  <c:v>0.750361069496419</c:v>
                </c:pt>
                <c:pt idx="1">
                  <c:v>0.604306286097852</c:v>
                </c:pt>
                <c:pt idx="2">
                  <c:v>0.513113456240131</c:v>
                </c:pt>
                <c:pt idx="3">
                  <c:v>0.469217967484027</c:v>
                </c:pt>
                <c:pt idx="4">
                  <c:v>0.447443114062727</c:v>
                </c:pt>
                <c:pt idx="5">
                  <c:v>0.420388228054265</c:v>
                </c:pt>
                <c:pt idx="6">
                  <c:v>0.388822769542275</c:v>
                </c:pt>
                <c:pt idx="7">
                  <c:v>0.361139958847038</c:v>
                </c:pt>
                <c:pt idx="8">
                  <c:v>0.343129828746091</c:v>
                </c:pt>
                <c:pt idx="9">
                  <c:v>0.333980142185008</c:v>
                </c:pt>
                <c:pt idx="10">
                  <c:v>0.332995236995317</c:v>
                </c:pt>
                <c:pt idx="11">
                  <c:v>0.330884742618287</c:v>
                </c:pt>
                <c:pt idx="12">
                  <c:v>0.333908929759085</c:v>
                </c:pt>
                <c:pt idx="13">
                  <c:v>0.335918111927707</c:v>
                </c:pt>
                <c:pt idx="14">
                  <c:v>0.335868342944392</c:v>
                </c:pt>
                <c:pt idx="15">
                  <c:v>0.323854470075434</c:v>
                </c:pt>
                <c:pt idx="16">
                  <c:v>0.32004877497033</c:v>
                </c:pt>
                <c:pt idx="17">
                  <c:v>0.318177935891504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1919"/>
        <c:axId val="24585351"/>
      </c:lineChart>
      <c:catAx>
        <c:axId val="17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85351"/>
        <c:crosses val="autoZero"/>
        <c:auto val="1"/>
        <c:lblAlgn val="ctr"/>
        <c:lblOffset val="100"/>
        <c:noMultiLvlLbl val="0"/>
      </c:catAx>
      <c:valAx>
        <c:axId val="24585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9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% change by component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"Nivel General"</c:f>
              <c:strCache>
                <c:ptCount val="1"/>
                <c:pt idx="0">
                  <c:v>Nivel General</c:v>
                </c:pt>
              </c:strCache>
            </c:strRef>
          </c:tx>
          <c:spPr>
            <a:solidFill>
              <a:srgbClr val="1a1a1a"/>
            </a:solidFill>
            <a:ln w="29880">
              <a:solidFill>
                <a:srgbClr val="1a1a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Data!$B$43:$B$96</c:f>
              <c:strCache>
                <c:ptCount val="54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</c:strCache>
            </c:strRef>
          </c:cat>
          <c:val>
            <c:numRef>
              <c:f>Data!$I$42:$I$96</c:f>
              <c:numCache>
                <c:formatCode>0.00%</c:formatCode>
                <c:ptCount val="55"/>
                <c:pt idx="0">
                  <c:v>0.0383997030584127</c:v>
                </c:pt>
                <c:pt idx="1">
                  <c:v>0.0387568191670638</c:v>
                </c:pt>
                <c:pt idx="2">
                  <c:v>0.04694365601009</c:v>
                </c:pt>
                <c:pt idx="3">
                  <c:v>0.0672879783390254</c:v>
                </c:pt>
                <c:pt idx="4">
                  <c:v>0.0604731911499716</c:v>
                </c:pt>
                <c:pt idx="5">
                  <c:v>0.0505022805956261</c:v>
                </c:pt>
                <c:pt idx="6">
                  <c:v>0.0529522125162816</c:v>
                </c:pt>
                <c:pt idx="7">
                  <c:v>0.0740619685715935</c:v>
                </c:pt>
                <c:pt idx="8">
                  <c:v>0.0697033557535507</c:v>
                </c:pt>
                <c:pt idx="9">
                  <c:v>0.0616551988757716</c:v>
                </c:pt>
                <c:pt idx="10">
                  <c:v>0.0634735010869345</c:v>
                </c:pt>
                <c:pt idx="11">
                  <c:v>0.0491614708186792</c:v>
                </c:pt>
                <c:pt idx="12">
                  <c:v>0.0512460775886709</c:v>
                </c:pt>
                <c:pt idx="13">
                  <c:v>0.0602787356638426</c:v>
                </c:pt>
                <c:pt idx="14">
                  <c:v>0.0662772168092709</c:v>
                </c:pt>
                <c:pt idx="15">
                  <c:v>0.0767523984978356</c:v>
                </c:pt>
                <c:pt idx="16">
                  <c:v>0.0840268988367097</c:v>
                </c:pt>
                <c:pt idx="17">
                  <c:v>0.077727529658906</c:v>
                </c:pt>
                <c:pt idx="18">
                  <c:v>0.0595083198050062</c:v>
                </c:pt>
                <c:pt idx="19">
                  <c:v>0.063448508623158</c:v>
                </c:pt>
                <c:pt idx="20">
                  <c:v>0.1244163772869</c:v>
                </c:pt>
                <c:pt idx="21">
                  <c:v>0.12749750132467</c:v>
                </c:pt>
                <c:pt idx="22">
                  <c:v>0.0830173938041001</c:v>
                </c:pt>
                <c:pt idx="23">
                  <c:v>0.128106901769157</c:v>
                </c:pt>
                <c:pt idx="24">
                  <c:v>0.254656749842368</c:v>
                </c:pt>
                <c:pt idx="25">
                  <c:v>0.206142252889611</c:v>
                </c:pt>
                <c:pt idx="26">
                  <c:v>0.132406760535248</c:v>
                </c:pt>
                <c:pt idx="27">
                  <c:v>0.110097001565402</c:v>
                </c:pt>
                <c:pt idx="28">
                  <c:v>0.0883192076060508</c:v>
                </c:pt>
                <c:pt idx="29">
                  <c:v>0.0417604487482142</c:v>
                </c:pt>
                <c:pt idx="30">
                  <c:v>0.0457734988557224</c:v>
                </c:pt>
                <c:pt idx="31">
                  <c:v>0.040309336951464</c:v>
                </c:pt>
                <c:pt idx="32">
                  <c:v>0.0417227327937253</c:v>
                </c:pt>
                <c:pt idx="33">
                  <c:v>0.0346920810480664</c:v>
                </c:pt>
                <c:pt idx="34">
                  <c:v>0.0269173804131146</c:v>
                </c:pt>
                <c:pt idx="35">
                  <c:v>0.0242655607550837</c:v>
                </c:pt>
                <c:pt idx="36">
                  <c:v>0.0270410405146337</c:v>
                </c:pt>
                <c:pt idx="37">
                  <c:v>0.0221104801366518</c:v>
                </c:pt>
                <c:pt idx="38">
                  <c:v>0.0240162743075179</c:v>
                </c:pt>
                <c:pt idx="39">
                  <c:v>0.0372933530661217</c:v>
                </c:pt>
                <c:pt idx="40">
                  <c:v>0.0278083584485096</c:v>
                </c:pt>
                <c:pt idx="41">
                  <c:v>0.0150110863438231</c:v>
                </c:pt>
                <c:pt idx="42">
                  <c:v>0.0161892488199333</c:v>
                </c:pt>
                <c:pt idx="43">
                  <c:v>0.0190168375533129</c:v>
                </c:pt>
                <c:pt idx="44">
                  <c:v>0.0187579351135028</c:v>
                </c:pt>
                <c:pt idx="45">
                  <c:v>0.0207596032395136</c:v>
                </c:pt>
                <c:pt idx="46">
                  <c:v>0.0234194310239195</c:v>
                </c:pt>
                <c:pt idx="47">
                  <c:v>0.0247291967107857</c:v>
                </c:pt>
                <c:pt idx="48">
                  <c:v>0.0284527193457171</c:v>
                </c:pt>
                <c:pt idx="49">
                  <c:v>0.0288161935366171</c:v>
                </c:pt>
                <c:pt idx="50">
                  <c:v>0.0289631907267269</c:v>
                </c:pt>
                <c:pt idx="51">
                  <c:v>0.0338262219244152</c:v>
                </c:pt>
                <c:pt idx="52">
                  <c:v>0.0258217956156745</c:v>
                </c:pt>
                <c:pt idx="53">
                  <c:v>0.0214997233499086</c:v>
                </c:pt>
                <c:pt idx="54">
                  <c:v>0.0188687146882938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"Núcleo"</c:f>
              <c:strCache>
                <c:ptCount val="1"/>
                <c:pt idx="0">
                  <c:v>Núcleo</c:v>
                </c:pt>
              </c:strCache>
            </c:strRef>
          </c:tx>
          <c:spPr>
            <a:solidFill>
              <a:srgbClr val="2f5c8f"/>
            </a:solidFill>
            <a:ln w="24120">
              <a:solidFill>
                <a:srgbClr val="2f5c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Data!$B$43:$B$96</c:f>
              <c:strCache>
                <c:ptCount val="54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</c:strCache>
            </c:strRef>
          </c:cat>
          <c:val>
            <c:numRef>
              <c:f>Data!$J$42:$J$96</c:f>
              <c:numCache>
                <c:formatCode>0.00%</c:formatCode>
                <c:ptCount val="55"/>
                <c:pt idx="0">
                  <c:v>0.0442323878846274</c:v>
                </c:pt>
                <c:pt idx="1">
                  <c:v>0.0330209778677573</c:v>
                </c:pt>
                <c:pt idx="2">
                  <c:v>0.0445076887590588</c:v>
                </c:pt>
                <c:pt idx="3">
                  <c:v>0.0639643740013152</c:v>
                </c:pt>
                <c:pt idx="4">
                  <c:v>0.0670897435989704</c:v>
                </c:pt>
                <c:pt idx="5">
                  <c:v>0.0520184330951861</c:v>
                </c:pt>
                <c:pt idx="6">
                  <c:v>0.0508338796453565</c:v>
                </c:pt>
                <c:pt idx="7">
                  <c:v>0.073288005686861</c:v>
                </c:pt>
                <c:pt idx="8">
                  <c:v>0.06801591063054</c:v>
                </c:pt>
                <c:pt idx="9">
                  <c:v>0.0551278133351472</c:v>
                </c:pt>
                <c:pt idx="10">
                  <c:v>0.0554915796434534</c:v>
                </c:pt>
                <c:pt idx="11">
                  <c:v>0.0475586968884554</c:v>
                </c:pt>
                <c:pt idx="12">
                  <c:v>0.0525108026831531</c:v>
                </c:pt>
                <c:pt idx="13">
                  <c:v>0.0535214334611878</c:v>
                </c:pt>
                <c:pt idx="14">
                  <c:v>0.0769021643878947</c:v>
                </c:pt>
                <c:pt idx="15">
                  <c:v>0.0721012595864174</c:v>
                </c:pt>
                <c:pt idx="16">
                  <c:v>0.0840063104027715</c:v>
                </c:pt>
                <c:pt idx="17">
                  <c:v>0.0784178972966956</c:v>
                </c:pt>
                <c:pt idx="18">
                  <c:v>0.0649221308996844</c:v>
                </c:pt>
                <c:pt idx="19">
                  <c:v>0.0649752940034201</c:v>
                </c:pt>
                <c:pt idx="20">
                  <c:v>0.137866819088158</c:v>
                </c:pt>
                <c:pt idx="21">
                  <c:v>0.134282114429142</c:v>
                </c:pt>
                <c:pt idx="22">
                  <c:v>0.0881103433546322</c:v>
                </c:pt>
                <c:pt idx="23">
                  <c:v>0.134036155012214</c:v>
                </c:pt>
                <c:pt idx="24">
                  <c:v>0.282587598709105</c:v>
                </c:pt>
                <c:pt idx="25">
                  <c:v>0.202164887120713</c:v>
                </c:pt>
                <c:pt idx="26">
                  <c:v>0.122901408397057</c:v>
                </c:pt>
                <c:pt idx="27">
                  <c:v>0.0941204797536992</c:v>
                </c:pt>
                <c:pt idx="28">
                  <c:v>0.0629843839865203</c:v>
                </c:pt>
                <c:pt idx="29">
                  <c:v>0.0373468674243314</c:v>
                </c:pt>
                <c:pt idx="30">
                  <c:v>0.0365113028584356</c:v>
                </c:pt>
                <c:pt idx="31">
                  <c:v>0.0378558792889565</c:v>
                </c:pt>
                <c:pt idx="32">
                  <c:v>0.0412028557309136</c:v>
                </c:pt>
                <c:pt idx="33">
                  <c:v>0.032622057516509</c:v>
                </c:pt>
                <c:pt idx="34">
                  <c:v>0.0291781680760621</c:v>
                </c:pt>
                <c:pt idx="35">
                  <c:v>0.0271483385629572</c:v>
                </c:pt>
                <c:pt idx="36">
                  <c:v>0.0319728150615013</c:v>
                </c:pt>
                <c:pt idx="37">
                  <c:v>0.0239768943123944</c:v>
                </c:pt>
                <c:pt idx="38">
                  <c:v>0.0292035280913883</c:v>
                </c:pt>
                <c:pt idx="39">
                  <c:v>0.0319279024268895</c:v>
                </c:pt>
                <c:pt idx="40">
                  <c:v>0.0321471596642027</c:v>
                </c:pt>
                <c:pt idx="41">
                  <c:v>0.0219726503339355</c:v>
                </c:pt>
                <c:pt idx="42">
                  <c:v>0.0171373496627161</c:v>
                </c:pt>
                <c:pt idx="43">
                  <c:v>0.0147914831949412</c:v>
                </c:pt>
                <c:pt idx="44">
                  <c:v>0.020449004208132</c:v>
                </c:pt>
                <c:pt idx="45">
                  <c:v>0.0189587619236489</c:v>
                </c:pt>
                <c:pt idx="46">
                  <c:v>0.0221671871181035</c:v>
                </c:pt>
                <c:pt idx="47">
                  <c:v>0.0263899736538846</c:v>
                </c:pt>
                <c:pt idx="48">
                  <c:v>0.0303389211337597</c:v>
                </c:pt>
                <c:pt idx="49">
                  <c:v>0.0263036906585312</c:v>
                </c:pt>
                <c:pt idx="50">
                  <c:v>0.0307537518963203</c:v>
                </c:pt>
                <c:pt idx="51">
                  <c:v>0.0318894584518437</c:v>
                </c:pt>
                <c:pt idx="52">
                  <c:v>0.0228647443545247</c:v>
                </c:pt>
                <c:pt idx="53">
                  <c:v>0.0190347773268631</c:v>
                </c:pt>
                <c:pt idx="54">
                  <c:v>0.0156958117905071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"Regulados"</c:f>
              <c:strCache>
                <c:ptCount val="1"/>
                <c:pt idx="0">
                  <c:v>Regulados</c:v>
                </c:pt>
              </c:strCache>
            </c:strRef>
          </c:tx>
          <c:spPr>
            <a:solidFill>
              <a:srgbClr val="d1495b"/>
            </a:solidFill>
            <a:ln w="2412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Data!$B$43:$B$96</c:f>
              <c:strCache>
                <c:ptCount val="54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</c:strCache>
            </c:strRef>
          </c:cat>
          <c:val>
            <c:numRef>
              <c:f>Data!$K$42:$K$96</c:f>
              <c:numCache>
                <c:formatCode>0.00%</c:formatCode>
                <c:ptCount val="55"/>
                <c:pt idx="2">
                  <c:v>0.0310156630884391</c:v>
                </c:pt>
                <c:pt idx="3">
                  <c:v>0.0842959912605017</c:v>
                </c:pt>
                <c:pt idx="4">
                  <c:v>0.0391465281376091</c:v>
                </c:pt>
                <c:pt idx="5">
                  <c:v>0.0567529139953256</c:v>
                </c:pt>
                <c:pt idx="6">
                  <c:v>0.0526085014870361</c:v>
                </c:pt>
                <c:pt idx="7">
                  <c:v>0.0491134337763017</c:v>
                </c:pt>
                <c:pt idx="8">
                  <c:v>0.0629114260273549</c:v>
                </c:pt>
                <c:pt idx="9">
                  <c:v>0.0454803229806429</c:v>
                </c:pt>
                <c:pt idx="10">
                  <c:v>0.0741194557611968</c:v>
                </c:pt>
                <c:pt idx="11">
                  <c:v>0.0623162844676</c:v>
                </c:pt>
                <c:pt idx="12">
                  <c:v>0.0511118937617596</c:v>
                </c:pt>
                <c:pt idx="13">
                  <c:v>0.0710033957117271</c:v>
                </c:pt>
                <c:pt idx="14">
                  <c:v>0.0514119141616221</c:v>
                </c:pt>
                <c:pt idx="15">
                  <c:v>0.082873962668985</c:v>
                </c:pt>
                <c:pt idx="16">
                  <c:v>0.0489468954836023</c:v>
                </c:pt>
                <c:pt idx="17">
                  <c:v>0.0903249724590665</c:v>
                </c:pt>
                <c:pt idx="18">
                  <c:v>0.0718446105640558</c:v>
                </c:pt>
                <c:pt idx="19">
                  <c:v>0.0671972392650893</c:v>
                </c:pt>
                <c:pt idx="20">
                  <c:v>0.0827579440421784</c:v>
                </c:pt>
                <c:pt idx="21">
                  <c:v>0.0831706821817866</c:v>
                </c:pt>
                <c:pt idx="22">
                  <c:v>0.0662117589732072</c:v>
                </c:pt>
                <c:pt idx="23">
                  <c:v>0.100562358894507</c:v>
                </c:pt>
                <c:pt idx="24">
                  <c:v>0.206799330155198</c:v>
                </c:pt>
                <c:pt idx="25">
                  <c:v>0.265719359598015</c:v>
                </c:pt>
                <c:pt idx="26">
                  <c:v>0.211061218892983</c:v>
                </c:pt>
                <c:pt idx="27">
                  <c:v>0.181268179235828</c:v>
                </c:pt>
                <c:pt idx="28">
                  <c:v>0.183940889374791</c:v>
                </c:pt>
                <c:pt idx="29">
                  <c:v>0.0401745081726108</c:v>
                </c:pt>
                <c:pt idx="30">
                  <c:v>0.0805656824206966</c:v>
                </c:pt>
                <c:pt idx="31">
                  <c:v>0.0433227289847269</c:v>
                </c:pt>
                <c:pt idx="32">
                  <c:v>0.0588971680766657</c:v>
                </c:pt>
                <c:pt idx="33">
                  <c:v>0.0453164881338621</c:v>
                </c:pt>
                <c:pt idx="34">
                  <c:v>0.0269620735346008</c:v>
                </c:pt>
                <c:pt idx="35">
                  <c:v>0.0354365029861552</c:v>
                </c:pt>
                <c:pt idx="36">
                  <c:v>0.0337397900360572</c:v>
                </c:pt>
                <c:pt idx="37">
                  <c:v>0.0261337854328294</c:v>
                </c:pt>
                <c:pt idx="38">
                  <c:v>0.0232123681595904</c:v>
                </c:pt>
                <c:pt idx="39">
                  <c:v>0.0320774608600836</c:v>
                </c:pt>
                <c:pt idx="40">
                  <c:v>0.0177004558674951</c:v>
                </c:pt>
                <c:pt idx="41">
                  <c:v>0.0131252635849319</c:v>
                </c:pt>
                <c:pt idx="42">
                  <c:v>0.0222569514709088</c:v>
                </c:pt>
                <c:pt idx="43">
                  <c:v>0.0230555505796461</c:v>
                </c:pt>
                <c:pt idx="44">
                  <c:v>0.026684726820309</c:v>
                </c:pt>
                <c:pt idx="45">
                  <c:v>0.0263435710657292</c:v>
                </c:pt>
                <c:pt idx="46">
                  <c:v>0.025649365238821</c:v>
                </c:pt>
                <c:pt idx="47">
                  <c:v>0.0288874641456274</c:v>
                </c:pt>
                <c:pt idx="48">
                  <c:v>0.0329072047264813</c:v>
                </c:pt>
                <c:pt idx="49">
                  <c:v>0.0243023739980062</c:v>
                </c:pt>
                <c:pt idx="50">
                  <c:v>0.0425089037974125</c:v>
                </c:pt>
                <c:pt idx="51">
                  <c:v>0.0508242941231727</c:v>
                </c:pt>
                <c:pt idx="52">
                  <c:v>0.0468494064961165</c:v>
                </c:pt>
                <c:pt idx="53">
                  <c:v>0.0239609563107659</c:v>
                </c:pt>
                <c:pt idx="54">
                  <c:v>0.0229519194034296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"Estacionales"</c:f>
              <c:strCache>
                <c:ptCount val="1"/>
                <c:pt idx="0">
                  <c:v>Estacionales</c:v>
                </c:pt>
              </c:strCache>
            </c:strRef>
          </c:tx>
          <c:spPr>
            <a:solidFill>
              <a:srgbClr val="9ab3c9"/>
            </a:solidFill>
            <a:ln w="18000">
              <a:solidFill>
                <a:srgbClr val="9ab3c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Data!$B$43:$B$96</c:f>
              <c:strCache>
                <c:ptCount val="54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</c:strCache>
            </c:strRef>
          </c:cat>
          <c:val>
            <c:numRef>
              <c:f>Data!$L$42:$L$96</c:f>
              <c:numCache>
                <c:formatCode>0.00%</c:formatCode>
                <c:ptCount val="55"/>
                <c:pt idx="2">
                  <c:v>0.0842334034126324</c:v>
                </c:pt>
                <c:pt idx="3">
                  <c:v>0.0619236647039876</c:v>
                </c:pt>
                <c:pt idx="4">
                  <c:v>0.054274575558688</c:v>
                </c:pt>
                <c:pt idx="5">
                  <c:v>0.0335131011220093</c:v>
                </c:pt>
                <c:pt idx="6">
                  <c:v>0.0660077732278948</c:v>
                </c:pt>
                <c:pt idx="7">
                  <c:v>0.113001247502893</c:v>
                </c:pt>
                <c:pt idx="8">
                  <c:v>0.0866867450020448</c:v>
                </c:pt>
                <c:pt idx="9">
                  <c:v>0.117334707076248</c:v>
                </c:pt>
                <c:pt idx="10">
                  <c:v>0.0904694774788344</c:v>
                </c:pt>
                <c:pt idx="11">
                  <c:v>0.0410300280839526</c:v>
                </c:pt>
                <c:pt idx="12">
                  <c:v>0.0464186781251947</c:v>
                </c:pt>
                <c:pt idx="13">
                  <c:v>0.0791805355468727</c:v>
                </c:pt>
                <c:pt idx="14">
                  <c:v>0.0333473586036051</c:v>
                </c:pt>
                <c:pt idx="15">
                  <c:v>0.0932786789025755</c:v>
                </c:pt>
                <c:pt idx="16">
                  <c:v>0.126497374121442</c:v>
                </c:pt>
                <c:pt idx="17">
                  <c:v>0.0597388790833857</c:v>
                </c:pt>
                <c:pt idx="18">
                  <c:v>0.0184004775033617</c:v>
                </c:pt>
                <c:pt idx="19">
                  <c:v>0.0510206556279516</c:v>
                </c:pt>
                <c:pt idx="20">
                  <c:v>0.106517801257821</c:v>
                </c:pt>
                <c:pt idx="21">
                  <c:v>0.146927862926149</c:v>
                </c:pt>
                <c:pt idx="22">
                  <c:v>0.0761899986406704</c:v>
                </c:pt>
                <c:pt idx="23">
                  <c:v>0.128082305605748</c:v>
                </c:pt>
                <c:pt idx="24">
                  <c:v>0.162292881873716</c:v>
                </c:pt>
                <c:pt idx="25">
                  <c:v>0.162077626058954</c:v>
                </c:pt>
                <c:pt idx="26">
                  <c:v>0.0869350897535144</c:v>
                </c:pt>
                <c:pt idx="27">
                  <c:v>0.111426307264869</c:v>
                </c:pt>
                <c:pt idx="28">
                  <c:v>0.0994692332953862</c:v>
                </c:pt>
                <c:pt idx="29">
                  <c:v>0.07164153390206</c:v>
                </c:pt>
                <c:pt idx="30">
                  <c:v>0.0444586272465191</c:v>
                </c:pt>
                <c:pt idx="31">
                  <c:v>0.0507513914444306</c:v>
                </c:pt>
                <c:pt idx="32">
                  <c:v>0.0152751839733458</c:v>
                </c:pt>
                <c:pt idx="33">
                  <c:v>0.0293916601145674</c:v>
                </c:pt>
                <c:pt idx="34">
                  <c:v>0.0136247498105633</c:v>
                </c:pt>
                <c:pt idx="35">
                  <c:v>-0.0120199703199503</c:v>
                </c:pt>
                <c:pt idx="36">
                  <c:v>-0.0140496300053966</c:v>
                </c:pt>
                <c:pt idx="37">
                  <c:v>0.00355954073908471</c:v>
                </c:pt>
                <c:pt idx="38">
                  <c:v>-0.00818698169808951</c:v>
                </c:pt>
                <c:pt idx="39">
                  <c:v>0.0844043582818681</c:v>
                </c:pt>
                <c:pt idx="40">
                  <c:v>0.0188217573430036</c:v>
                </c:pt>
                <c:pt idx="41">
                  <c:v>-0.0273148111778346</c:v>
                </c:pt>
                <c:pt idx="42">
                  <c:v>-0.0021413445109183</c:v>
                </c:pt>
                <c:pt idx="43">
                  <c:v>0.0405148164605953</c:v>
                </c:pt>
                <c:pt idx="44">
                  <c:v>-0.00791375562106111</c:v>
                </c:pt>
                <c:pt idx="45">
                  <c:v>0.0220283285272291</c:v>
                </c:pt>
                <c:pt idx="46">
                  <c:v>0.0279357735173682</c:v>
                </c:pt>
                <c:pt idx="47">
                  <c:v>0.00425319805486746</c:v>
                </c:pt>
                <c:pt idx="48">
                  <c:v>0.00607664267437502</c:v>
                </c:pt>
                <c:pt idx="49">
                  <c:v>0.0570729163838513</c:v>
                </c:pt>
                <c:pt idx="50">
                  <c:v>-0.0127532594207067</c:v>
                </c:pt>
                <c:pt idx="51">
                  <c:v>0.0104591362282231</c:v>
                </c:pt>
                <c:pt idx="52">
                  <c:v>-0.000480616415201585</c:v>
                </c:pt>
                <c:pt idx="53">
                  <c:v>0.0348244373796234</c:v>
                </c:pt>
                <c:pt idx="54">
                  <c:v>0.0337588817415471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400645"/>
        <c:axId val="62003787"/>
      </c:lineChart>
      <c:catAx>
        <c:axId val="81400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03787"/>
        <c:crosses val="autoZero"/>
        <c:auto val="1"/>
        <c:lblAlgn val="ctr"/>
        <c:lblOffset val="100"/>
        <c:noMultiLvlLbl val="0"/>
      </c:catAx>
      <c:valAx>
        <c:axId val="620037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00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change by component — full year (current year is part-year)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Components!C33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Components!$B$34:$B$37</c:f>
              <c:strCache>
                <c:ptCount val="4"/>
                <c:pt idx="0">
                  <c:v>Nivel General</c:v>
                </c:pt>
                <c:pt idx="1">
                  <c:v>Núcleo</c:v>
                </c:pt>
                <c:pt idx="2">
                  <c:v>Regulados</c:v>
                </c:pt>
                <c:pt idx="3">
                  <c:v>Estacionales</c:v>
                </c:pt>
              </c:strCache>
            </c:strRef>
          </c:cat>
          <c:val>
            <c:numRef>
              <c:f>Components!$C$34:$C$37</c:f>
              <c:numCache>
                <c:formatCode>0.0%</c:formatCode>
                <c:ptCount val="4"/>
                <c:pt idx="0">
                  <c:v>2.11407643747177</c:v>
                </c:pt>
                <c:pt idx="1">
                  <c:v>2.29405698154029</c:v>
                </c:pt>
                <c:pt idx="2">
                  <c:v>1.64940953372234</c:v>
                </c:pt>
                <c:pt idx="3">
                  <c:v>1.78978052667343</c:v>
                </c:pt>
              </c:numCache>
            </c:numRef>
          </c:val>
        </c:ser>
        <c:ser>
          <c:idx val="1"/>
          <c:order val="1"/>
          <c:tx>
            <c:strRef>
              <c:f>Components!D33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Components!$B$34:$B$37</c:f>
              <c:strCache>
                <c:ptCount val="4"/>
                <c:pt idx="0">
                  <c:v>Nivel General</c:v>
                </c:pt>
                <c:pt idx="1">
                  <c:v>Núcleo</c:v>
                </c:pt>
                <c:pt idx="2">
                  <c:v>Regulados</c:v>
                </c:pt>
                <c:pt idx="3">
                  <c:v>Estacionales</c:v>
                </c:pt>
              </c:strCache>
            </c:strRef>
          </c:cat>
          <c:val>
            <c:numRef>
              <c:f>Components!$D$34:$D$37</c:f>
              <c:numCache>
                <c:formatCode>0.0%</c:formatCode>
                <c:ptCount val="4"/>
                <c:pt idx="0">
                  <c:v>1.17763627464139</c:v>
                </c:pt>
                <c:pt idx="1">
                  <c:v>1.05495126815791</c:v>
                </c:pt>
                <c:pt idx="2">
                  <c:v>2.05878384582029</c:v>
                </c:pt>
                <c:pt idx="3">
                  <c:v>0.873217031998935</c:v>
                </c:pt>
              </c:numCache>
            </c:numRef>
          </c:val>
        </c:ser>
        <c:ser>
          <c:idx val="2"/>
          <c:order val="2"/>
          <c:tx>
            <c:strRef>
              <c:f>Components!E33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Components!$B$34:$B$37</c:f>
              <c:strCache>
                <c:ptCount val="4"/>
                <c:pt idx="0">
                  <c:v>Nivel General</c:v>
                </c:pt>
                <c:pt idx="1">
                  <c:v>Núcleo</c:v>
                </c:pt>
                <c:pt idx="2">
                  <c:v>Regulados</c:v>
                </c:pt>
                <c:pt idx="3">
                  <c:v>Estacionales</c:v>
                </c:pt>
              </c:strCache>
            </c:strRef>
          </c:cat>
          <c:val>
            <c:numRef>
              <c:f>Components!$E$34:$E$37</c:f>
              <c:numCache>
                <c:formatCode>0.0%</c:formatCode>
                <c:ptCount val="4"/>
                <c:pt idx="0">
                  <c:v>0.315487605126457</c:v>
                </c:pt>
                <c:pt idx="1">
                  <c:v>0.330884742618287</c:v>
                </c:pt>
                <c:pt idx="2">
                  <c:v>0.342092441179866</c:v>
                </c:pt>
                <c:pt idx="3">
                  <c:v>0.169511902579941</c:v>
                </c:pt>
              </c:numCache>
            </c:numRef>
          </c:val>
        </c:ser>
        <c:ser>
          <c:idx val="3"/>
          <c:order val="3"/>
          <c:tx>
            <c:strRef>
              <c:f>Components!F33</c:f>
              <c:strCache>
                <c:ptCount val="1"/>
                <c:pt idx="0">
                  <c:v>2026 YTD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Components!$B$34:$B$37</c:f>
              <c:strCache>
                <c:ptCount val="4"/>
                <c:pt idx="0">
                  <c:v>Nivel General</c:v>
                </c:pt>
                <c:pt idx="1">
                  <c:v>Núcleo</c:v>
                </c:pt>
                <c:pt idx="2">
                  <c:v>Regulados</c:v>
                </c:pt>
                <c:pt idx="3">
                  <c:v>Estacionales</c:v>
                </c:pt>
              </c:strCache>
            </c:strRef>
          </c:cat>
          <c:val>
            <c:numRef>
              <c:f>Components!$F$34:$F$37</c:f>
              <c:numCache>
                <c:formatCode>0.0%</c:formatCode>
                <c:ptCount val="4"/>
                <c:pt idx="0">
                  <c:v>0.168459264636221</c:v>
                </c:pt>
                <c:pt idx="1">
                  <c:v>0.155672736516463</c:v>
                </c:pt>
                <c:pt idx="2">
                  <c:v>0.230441263133524</c:v>
                </c:pt>
                <c:pt idx="3">
                  <c:v>0.127525986570385</c:v>
                </c:pt>
              </c:numCache>
            </c:numRef>
          </c:val>
        </c:ser>
        <c:gapWidth val="150"/>
        <c:overlap val="0"/>
        <c:axId val="10015729"/>
        <c:axId val="24085814"/>
      </c:barChart>
      <c:catAx>
        <c:axId val="100157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85814"/>
        <c:crosses val="autoZero"/>
        <c:auto val="1"/>
        <c:lblAlgn val="ctr"/>
        <c:lblOffset val="100"/>
        <c:noMultiLvlLbl val="0"/>
      </c:catAx>
      <c:valAx>
        <c:axId val="24085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157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change by component — Jan to Jun, like-for-like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Components!C42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Components!$B$43:$B$46</c:f>
              <c:strCache>
                <c:ptCount val="4"/>
                <c:pt idx="0">
                  <c:v>Nivel General</c:v>
                </c:pt>
                <c:pt idx="1">
                  <c:v>Núcleo</c:v>
                </c:pt>
                <c:pt idx="2">
                  <c:v>Regulados</c:v>
                </c:pt>
                <c:pt idx="3">
                  <c:v>Estacionales</c:v>
                </c:pt>
              </c:strCache>
            </c:strRef>
          </c:cat>
          <c:val>
            <c:numRef>
              <c:f>Components!$C$43:$C$46</c:f>
              <c:numCache>
                <c:formatCode>0.0%</c:formatCode>
                <c:ptCount val="4"/>
                <c:pt idx="0">
                  <c:v>0.506813269139665</c:v>
                </c:pt>
                <c:pt idx="1">
                  <c:v>0.514231168423853</c:v>
                </c:pt>
                <c:pt idx="2">
                  <c:v>0.49479949616828</c:v>
                </c:pt>
                <c:pt idx="3">
                  <c:v>0.482241476631254</c:v>
                </c:pt>
              </c:numCache>
            </c:numRef>
          </c:val>
        </c:ser>
        <c:ser>
          <c:idx val="1"/>
          <c:order val="1"/>
          <c:tx>
            <c:strRef>
              <c:f>Components!D42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Components!$B$43:$B$46</c:f>
              <c:strCache>
                <c:ptCount val="4"/>
                <c:pt idx="0">
                  <c:v>Nivel General</c:v>
                </c:pt>
                <c:pt idx="1">
                  <c:v>Núcleo</c:v>
                </c:pt>
                <c:pt idx="2">
                  <c:v>Regulados</c:v>
                </c:pt>
                <c:pt idx="3">
                  <c:v>Estacionales</c:v>
                </c:pt>
              </c:strCache>
            </c:strRef>
          </c:cat>
          <c:val>
            <c:numRef>
              <c:f>Components!$D$43:$D$46</c:f>
              <c:numCache>
                <c:formatCode>0.0%</c:formatCode>
                <c:ptCount val="4"/>
                <c:pt idx="0">
                  <c:v>0.797726854485867</c:v>
                </c:pt>
                <c:pt idx="1">
                  <c:v>0.688090552380352</c:v>
                </c:pt>
                <c:pt idx="2">
                  <c:v>1.40956930417529</c:v>
                </c:pt>
                <c:pt idx="3">
                  <c:v>0.727600340725</c:v>
                </c:pt>
              </c:numCache>
            </c:numRef>
          </c:val>
        </c:ser>
        <c:ser>
          <c:idx val="2"/>
          <c:order val="2"/>
          <c:tx>
            <c:strRef>
              <c:f>Components!E42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Components!$B$43:$B$46</c:f>
              <c:strCache>
                <c:ptCount val="4"/>
                <c:pt idx="0">
                  <c:v>Nivel General</c:v>
                </c:pt>
                <c:pt idx="1">
                  <c:v>Núcleo</c:v>
                </c:pt>
                <c:pt idx="2">
                  <c:v>Regulados</c:v>
                </c:pt>
                <c:pt idx="3">
                  <c:v>Estacionales</c:v>
                </c:pt>
              </c:strCache>
            </c:strRef>
          </c:cat>
          <c:val>
            <c:numRef>
              <c:f>Components!$E$43:$E$46</c:f>
              <c:numCache>
                <c:formatCode>0.0%</c:formatCode>
                <c:ptCount val="4"/>
                <c:pt idx="0">
                  <c:v>0.150969517510868</c:v>
                </c:pt>
                <c:pt idx="1">
                  <c:v>0.166813045956096</c:v>
                </c:pt>
                <c:pt idx="2">
                  <c:v>0.142155534501641</c:v>
                </c:pt>
                <c:pt idx="3">
                  <c:v>0.0673423592497364</c:v>
                </c:pt>
              </c:numCache>
            </c:numRef>
          </c:val>
        </c:ser>
        <c:ser>
          <c:idx val="3"/>
          <c:order val="3"/>
          <c:tx>
            <c:strRef>
              <c:f>Components!F42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Components!$B$43:$B$46</c:f>
              <c:strCache>
                <c:ptCount val="4"/>
                <c:pt idx="0">
                  <c:v>Nivel General</c:v>
                </c:pt>
                <c:pt idx="1">
                  <c:v>Núcleo</c:v>
                </c:pt>
                <c:pt idx="2">
                  <c:v>Regulados</c:v>
                </c:pt>
                <c:pt idx="3">
                  <c:v>Estacionales</c:v>
                </c:pt>
              </c:strCache>
            </c:strRef>
          </c:cat>
          <c:val>
            <c:numRef>
              <c:f>Components!$F$43:$F$46</c:f>
              <c:numCache>
                <c:formatCode>0.0%</c:formatCode>
                <c:ptCount val="4"/>
                <c:pt idx="0">
                  <c:v>0.168459264636221</c:v>
                </c:pt>
                <c:pt idx="1">
                  <c:v>0.155672736516463</c:v>
                </c:pt>
                <c:pt idx="2">
                  <c:v>0.230441263133524</c:v>
                </c:pt>
                <c:pt idx="3">
                  <c:v>0.127525986570385</c:v>
                </c:pt>
              </c:numCache>
            </c:numRef>
          </c:val>
        </c:ser>
        <c:gapWidth val="150"/>
        <c:overlap val="0"/>
        <c:axId val="89338245"/>
        <c:axId val="47863968"/>
      </c:barChart>
      <c:catAx>
        <c:axId val="893382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63968"/>
        <c:crosses val="autoZero"/>
        <c:auto val="1"/>
        <c:lblAlgn val="ctr"/>
        <c:lblOffset val="100"/>
        <c:noMultiLvlLbl val="0"/>
      </c:catAx>
      <c:valAx>
        <c:axId val="47863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38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seasonal factor by month (2019 – 2025, headline)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'Seasonal Factors'!J5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2f5c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 Factors'!$B$6:$B$17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 Factors'!$J$6:$J$17</c:f>
              <c:numCache>
                <c:formatCode>0.00\x</c:formatCode>
                <c:ptCount val="12"/>
                <c:pt idx="0">
                  <c:v>1.15286960130811</c:v>
                </c:pt>
                <c:pt idx="1">
                  <c:v>1.0404092128875</c:v>
                </c:pt>
                <c:pt idx="2">
                  <c:v>1.300566816494</c:v>
                </c:pt>
                <c:pt idx="3">
                  <c:v>1.00871175133886</c:v>
                </c:pt>
                <c:pt idx="4">
                  <c:v>0.758386451680337</c:v>
                </c:pt>
                <c:pt idx="5">
                  <c:v>0.771542045706911</c:v>
                </c:pt>
                <c:pt idx="6">
                  <c:v>0.791392554189339</c:v>
                </c:pt>
                <c:pt idx="7">
                  <c:v>0.957462748689531</c:v>
                </c:pt>
                <c:pt idx="8">
                  <c:v>1.06634555203454</c:v>
                </c:pt>
                <c:pt idx="9">
                  <c:v>0.956046340400652</c:v>
                </c:pt>
                <c:pt idx="10">
                  <c:v>0.951162764654415</c:v>
                </c:pt>
                <c:pt idx="11">
                  <c:v>1.24510416061581</c:v>
                </c:pt>
              </c:numCache>
            </c:numRef>
          </c:val>
        </c:ser>
        <c:gapWidth val="150"/>
        <c:overlap val="0"/>
        <c:axId val="72623295"/>
        <c:axId val="37246656"/>
      </c:barChart>
      <c:catAx>
        <c:axId val="7262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46656"/>
        <c:crosses val="autoZero"/>
        <c:auto val="1"/>
        <c:lblAlgn val="ctr"/>
        <c:lblOffset val="100"/>
        <c:noMultiLvlLbl val="0"/>
      </c:catAx>
      <c:valAx>
        <c:axId val="37246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232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CPI: realised and scenario paths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"Actual"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a1a1a"/>
            </a:solidFill>
            <a:ln w="32040">
              <a:solidFill>
                <a:srgbClr val="1a1a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Forecast!$B$6:$B$41</c:f>
              <c:strCache>
                <c:ptCount val="3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  <c:pt idx="21">
                  <c:v>2026-10</c:v>
                </c:pt>
                <c:pt idx="22">
                  <c:v>2026-11</c:v>
                </c:pt>
                <c:pt idx="23">
                  <c:v>2026-12</c:v>
                </c:pt>
                <c:pt idx="24">
                  <c:v>2027-01</c:v>
                </c:pt>
                <c:pt idx="25">
                  <c:v>2027-02</c:v>
                </c:pt>
                <c:pt idx="26">
                  <c:v>2027-03</c:v>
                </c:pt>
                <c:pt idx="27">
                  <c:v>2027-04</c:v>
                </c:pt>
                <c:pt idx="28">
                  <c:v>2027-05</c:v>
                </c:pt>
                <c:pt idx="29">
                  <c:v>2027-06</c:v>
                </c:pt>
                <c:pt idx="30">
                  <c:v>2027-07</c:v>
                </c:pt>
                <c:pt idx="31">
                  <c:v>2027-08</c:v>
                </c:pt>
                <c:pt idx="32">
                  <c:v>2027-09</c:v>
                </c:pt>
                <c:pt idx="33">
                  <c:v>2027-10</c:v>
                </c:pt>
                <c:pt idx="34">
                  <c:v>2027-11</c:v>
                </c:pt>
                <c:pt idx="35">
                  <c:v>2027-12</c:v>
                </c:pt>
              </c:strCache>
            </c:strRef>
          </c:cat>
          <c:val>
            <c:numRef>
              <c:f>Forecast!$C$5:$C$41</c:f>
              <c:numCache>
                <c:formatCode>0.0%</c:formatCode>
                <c:ptCount val="37"/>
                <c:pt idx="1">
                  <c:v>0.0221104801366518</c:v>
                </c:pt>
                <c:pt idx="2">
                  <c:v>0.0240162743075179</c:v>
                </c:pt>
                <c:pt idx="3">
                  <c:v>0.0372933530661217</c:v>
                </c:pt>
                <c:pt idx="4">
                  <c:v>0.0278083584485096</c:v>
                </c:pt>
                <c:pt idx="5">
                  <c:v>0.0150110863438231</c:v>
                </c:pt>
                <c:pt idx="6">
                  <c:v>0.0161892488199333</c:v>
                </c:pt>
                <c:pt idx="7">
                  <c:v>0.0190168375533129</c:v>
                </c:pt>
                <c:pt idx="8">
                  <c:v>0.0187579351135028</c:v>
                </c:pt>
                <c:pt idx="9">
                  <c:v>0.0207596032395136</c:v>
                </c:pt>
                <c:pt idx="10">
                  <c:v>0.0234194310239195</c:v>
                </c:pt>
                <c:pt idx="11">
                  <c:v>0.0247291967107857</c:v>
                </c:pt>
                <c:pt idx="12">
                  <c:v>0.0284527193457171</c:v>
                </c:pt>
                <c:pt idx="13">
                  <c:v>0.0288161935366171</c:v>
                </c:pt>
                <c:pt idx="14">
                  <c:v>0.0289631907267269</c:v>
                </c:pt>
                <c:pt idx="15">
                  <c:v>0.0338262219244152</c:v>
                </c:pt>
                <c:pt idx="16">
                  <c:v>0.0258217956156745</c:v>
                </c:pt>
                <c:pt idx="17">
                  <c:v>0.0214997233499086</c:v>
                </c:pt>
                <c:pt idx="18">
                  <c:v>0.0188687146882938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"Bull"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4f9d69"/>
            </a:solidFill>
            <a:ln w="21960">
              <a:solidFill>
                <a:srgbClr val="4f9d69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Forecast!$B$6:$B$41</c:f>
              <c:strCache>
                <c:ptCount val="3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  <c:pt idx="21">
                  <c:v>2026-10</c:v>
                </c:pt>
                <c:pt idx="22">
                  <c:v>2026-11</c:v>
                </c:pt>
                <c:pt idx="23">
                  <c:v>2026-12</c:v>
                </c:pt>
                <c:pt idx="24">
                  <c:v>2027-01</c:v>
                </c:pt>
                <c:pt idx="25">
                  <c:v>2027-02</c:v>
                </c:pt>
                <c:pt idx="26">
                  <c:v>2027-03</c:v>
                </c:pt>
                <c:pt idx="27">
                  <c:v>2027-04</c:v>
                </c:pt>
                <c:pt idx="28">
                  <c:v>2027-05</c:v>
                </c:pt>
                <c:pt idx="29">
                  <c:v>2027-06</c:v>
                </c:pt>
                <c:pt idx="30">
                  <c:v>2027-07</c:v>
                </c:pt>
                <c:pt idx="31">
                  <c:v>2027-08</c:v>
                </c:pt>
                <c:pt idx="32">
                  <c:v>2027-09</c:v>
                </c:pt>
                <c:pt idx="33">
                  <c:v>2027-10</c:v>
                </c:pt>
                <c:pt idx="34">
                  <c:v>2027-11</c:v>
                </c:pt>
                <c:pt idx="35">
                  <c:v>2027-12</c:v>
                </c:pt>
              </c:strCache>
            </c:strRef>
          </c:cat>
          <c:val>
            <c:numRef>
              <c:f>Forecast!$D$5:$D$41</c:f>
              <c:numCache>
                <c:formatCode>0.0%</c:formatCode>
                <c:ptCount val="37"/>
                <c:pt idx="18">
                  <c:v>0.0188687146882938</c:v>
                </c:pt>
                <c:pt idx="19">
                  <c:v>0.017</c:v>
                </c:pt>
                <c:pt idx="20">
                  <c:v>0.016</c:v>
                </c:pt>
                <c:pt idx="21">
                  <c:v>0.015</c:v>
                </c:pt>
                <c:pt idx="22">
                  <c:v>0.015</c:v>
                </c:pt>
                <c:pt idx="23">
                  <c:v>0.014</c:v>
                </c:pt>
                <c:pt idx="24">
                  <c:v>0.016</c:v>
                </c:pt>
                <c:pt idx="25">
                  <c:v>0.015</c:v>
                </c:pt>
                <c:pt idx="26">
                  <c:v>0.013</c:v>
                </c:pt>
                <c:pt idx="27">
                  <c:v>0.013</c:v>
                </c:pt>
                <c:pt idx="28">
                  <c:v>0.011</c:v>
                </c:pt>
                <c:pt idx="29">
                  <c:v>0.01</c:v>
                </c:pt>
                <c:pt idx="30">
                  <c:v>0.009</c:v>
                </c:pt>
                <c:pt idx="31">
                  <c:v>0.009</c:v>
                </c:pt>
                <c:pt idx="32">
                  <c:v>0.008</c:v>
                </c:pt>
                <c:pt idx="33">
                  <c:v>0.008</c:v>
                </c:pt>
                <c:pt idx="34">
                  <c:v>0.008</c:v>
                </c:pt>
                <c:pt idx="35">
                  <c:v>0.008</c:v>
                </c:pt>
                <c:pt idx="36">
                  <c:v>0.01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2f5c8f"/>
            </a:solidFill>
            <a:ln w="25920">
              <a:solidFill>
                <a:srgbClr val="2f5c8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Forecast!$B$6:$B$41</c:f>
              <c:strCache>
                <c:ptCount val="3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  <c:pt idx="21">
                  <c:v>2026-10</c:v>
                </c:pt>
                <c:pt idx="22">
                  <c:v>2026-11</c:v>
                </c:pt>
                <c:pt idx="23">
                  <c:v>2026-12</c:v>
                </c:pt>
                <c:pt idx="24">
                  <c:v>2027-01</c:v>
                </c:pt>
                <c:pt idx="25">
                  <c:v>2027-02</c:v>
                </c:pt>
                <c:pt idx="26">
                  <c:v>2027-03</c:v>
                </c:pt>
                <c:pt idx="27">
                  <c:v>2027-04</c:v>
                </c:pt>
                <c:pt idx="28">
                  <c:v>2027-05</c:v>
                </c:pt>
                <c:pt idx="29">
                  <c:v>2027-06</c:v>
                </c:pt>
                <c:pt idx="30">
                  <c:v>2027-07</c:v>
                </c:pt>
                <c:pt idx="31">
                  <c:v>2027-08</c:v>
                </c:pt>
                <c:pt idx="32">
                  <c:v>2027-09</c:v>
                </c:pt>
                <c:pt idx="33">
                  <c:v>2027-10</c:v>
                </c:pt>
                <c:pt idx="34">
                  <c:v>2027-11</c:v>
                </c:pt>
                <c:pt idx="35">
                  <c:v>2027-12</c:v>
                </c:pt>
              </c:strCache>
            </c:strRef>
          </c:cat>
          <c:val>
            <c:numRef>
              <c:f>Forecast!$E$5:$E$41</c:f>
              <c:numCache>
                <c:formatCode>0.0%</c:formatCode>
                <c:ptCount val="37"/>
                <c:pt idx="18">
                  <c:v>0.0188687146882938</c:v>
                </c:pt>
                <c:pt idx="19">
                  <c:v>0.019</c:v>
                </c:pt>
                <c:pt idx="20">
                  <c:v>0.018</c:v>
                </c:pt>
                <c:pt idx="21">
                  <c:v>0.018</c:v>
                </c:pt>
                <c:pt idx="22">
                  <c:v>0.019</c:v>
                </c:pt>
                <c:pt idx="23">
                  <c:v>0.019</c:v>
                </c:pt>
                <c:pt idx="24">
                  <c:v>0.021</c:v>
                </c:pt>
                <c:pt idx="25">
                  <c:v>0.02</c:v>
                </c:pt>
                <c:pt idx="26">
                  <c:v>0.018</c:v>
                </c:pt>
                <c:pt idx="27">
                  <c:v>0.017</c:v>
                </c:pt>
                <c:pt idx="28">
                  <c:v>0.016</c:v>
                </c:pt>
                <c:pt idx="29">
                  <c:v>0.014</c:v>
                </c:pt>
                <c:pt idx="30">
                  <c:v>0.013</c:v>
                </c:pt>
                <c:pt idx="31">
                  <c:v>0.013</c:v>
                </c:pt>
                <c:pt idx="32">
                  <c:v>0.012</c:v>
                </c:pt>
                <c:pt idx="33">
                  <c:v>0.012</c:v>
                </c:pt>
                <c:pt idx="34">
                  <c:v>0.012</c:v>
                </c:pt>
                <c:pt idx="35">
                  <c:v>0.012</c:v>
                </c:pt>
                <c:pt idx="36">
                  <c:v>0.014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"Bear"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d1495b"/>
            </a:solidFill>
            <a:ln w="21960">
              <a:solidFill>
                <a:srgbClr val="d1495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Forecast!$B$6:$B$41</c:f>
              <c:strCache>
                <c:ptCount val="3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  <c:pt idx="21">
                  <c:v>2026-10</c:v>
                </c:pt>
                <c:pt idx="22">
                  <c:v>2026-11</c:v>
                </c:pt>
                <c:pt idx="23">
                  <c:v>2026-12</c:v>
                </c:pt>
                <c:pt idx="24">
                  <c:v>2027-01</c:v>
                </c:pt>
                <c:pt idx="25">
                  <c:v>2027-02</c:v>
                </c:pt>
                <c:pt idx="26">
                  <c:v>2027-03</c:v>
                </c:pt>
                <c:pt idx="27">
                  <c:v>2027-04</c:v>
                </c:pt>
                <c:pt idx="28">
                  <c:v>2027-05</c:v>
                </c:pt>
                <c:pt idx="29">
                  <c:v>2027-06</c:v>
                </c:pt>
                <c:pt idx="30">
                  <c:v>2027-07</c:v>
                </c:pt>
                <c:pt idx="31">
                  <c:v>2027-08</c:v>
                </c:pt>
                <c:pt idx="32">
                  <c:v>2027-09</c:v>
                </c:pt>
                <c:pt idx="33">
                  <c:v>2027-10</c:v>
                </c:pt>
                <c:pt idx="34">
                  <c:v>2027-11</c:v>
                </c:pt>
                <c:pt idx="35">
                  <c:v>2027-12</c:v>
                </c:pt>
              </c:strCache>
            </c:strRef>
          </c:cat>
          <c:val>
            <c:numRef>
              <c:f>Forecast!$F$5:$F$41</c:f>
              <c:numCache>
                <c:formatCode>0.0%</c:formatCode>
                <c:ptCount val="37"/>
                <c:pt idx="18">
                  <c:v>0.0188687146882938</c:v>
                </c:pt>
                <c:pt idx="19">
                  <c:v>0.022</c:v>
                </c:pt>
                <c:pt idx="20">
                  <c:v>0.024</c:v>
                </c:pt>
                <c:pt idx="21">
                  <c:v>0.025</c:v>
                </c:pt>
                <c:pt idx="22">
                  <c:v>0.027</c:v>
                </c:pt>
                <c:pt idx="23">
                  <c:v>0.026</c:v>
                </c:pt>
                <c:pt idx="24">
                  <c:v>0.028</c:v>
                </c:pt>
                <c:pt idx="25">
                  <c:v>0.028</c:v>
                </c:pt>
                <c:pt idx="26">
                  <c:v>0.026</c:v>
                </c:pt>
                <c:pt idx="27">
                  <c:v>0.025</c:v>
                </c:pt>
                <c:pt idx="28">
                  <c:v>0.023</c:v>
                </c:pt>
                <c:pt idx="29">
                  <c:v>0.021</c:v>
                </c:pt>
                <c:pt idx="30">
                  <c:v>0.02</c:v>
                </c:pt>
                <c:pt idx="31">
                  <c:v>0.019</c:v>
                </c:pt>
                <c:pt idx="32">
                  <c:v>0.019</c:v>
                </c:pt>
                <c:pt idx="33">
                  <c:v>0.018</c:v>
                </c:pt>
                <c:pt idx="34">
                  <c:v>0.018</c:v>
                </c:pt>
                <c:pt idx="35">
                  <c:v>0.018</c:v>
                </c:pt>
                <c:pt idx="36">
                  <c:v>0.02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880985"/>
        <c:axId val="14905094"/>
      </c:lineChart>
      <c:catAx>
        <c:axId val="32880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05094"/>
        <c:crosses val="autoZero"/>
        <c:auto val="1"/>
        <c:lblAlgn val="ctr"/>
        <c:lblOffset val="100"/>
        <c:noMultiLvlLbl val="0"/>
      </c:catAx>
      <c:valAx>
        <c:axId val="14905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80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14</xdr:col>
      <xdr:colOff>499680</xdr:colOff>
      <xdr:row>47</xdr:row>
      <xdr:rowOff>107640</xdr:rowOff>
    </xdr:to>
    <xdr:graphicFrame>
      <xdr:nvGraphicFramePr>
        <xdr:cNvPr id="0" name="Chart 1"/>
        <xdr:cNvGraphicFramePr/>
      </xdr:nvGraphicFramePr>
      <xdr:xfrm>
        <a:off x="141120" y="451476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14</xdr:col>
      <xdr:colOff>499680</xdr:colOff>
      <xdr:row>73</xdr:row>
      <xdr:rowOff>107640</xdr:rowOff>
    </xdr:to>
    <xdr:graphicFrame>
      <xdr:nvGraphicFramePr>
        <xdr:cNvPr id="1" name="Chart 2"/>
        <xdr:cNvGraphicFramePr/>
      </xdr:nvGraphicFramePr>
      <xdr:xfrm>
        <a:off x="141120" y="946800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14</xdr:col>
      <xdr:colOff>499680</xdr:colOff>
      <xdr:row>47</xdr:row>
      <xdr:rowOff>107640</xdr:rowOff>
    </xdr:to>
    <xdr:graphicFrame>
      <xdr:nvGraphicFramePr>
        <xdr:cNvPr id="2" name="Chart 1"/>
        <xdr:cNvGraphicFramePr/>
      </xdr:nvGraphicFramePr>
      <xdr:xfrm>
        <a:off x="141120" y="451476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14</xdr:col>
      <xdr:colOff>499680</xdr:colOff>
      <xdr:row>73</xdr:row>
      <xdr:rowOff>107640</xdr:rowOff>
    </xdr:to>
    <xdr:graphicFrame>
      <xdr:nvGraphicFramePr>
        <xdr:cNvPr id="3" name="Chart 2"/>
        <xdr:cNvGraphicFramePr/>
      </xdr:nvGraphicFramePr>
      <xdr:xfrm>
        <a:off x="141120" y="946800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18</xdr:col>
      <xdr:colOff>404280</xdr:colOff>
      <xdr:row>30</xdr:row>
      <xdr:rowOff>86760</xdr:rowOff>
    </xdr:to>
    <xdr:graphicFrame>
      <xdr:nvGraphicFramePr>
        <xdr:cNvPr id="4" name="Chart 1"/>
        <xdr:cNvGraphicFramePr/>
      </xdr:nvGraphicFramePr>
      <xdr:xfrm>
        <a:off x="611640" y="895320"/>
        <a:ext cx="107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18</xdr:col>
      <xdr:colOff>404280</xdr:colOff>
      <xdr:row>55</xdr:row>
      <xdr:rowOff>128520</xdr:rowOff>
    </xdr:to>
    <xdr:graphicFrame>
      <xdr:nvGraphicFramePr>
        <xdr:cNvPr id="5" name="Chart 2"/>
        <xdr:cNvGraphicFramePr/>
      </xdr:nvGraphicFramePr>
      <xdr:xfrm>
        <a:off x="611640" y="6419880"/>
        <a:ext cx="107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16</xdr:col>
      <xdr:colOff>455760</xdr:colOff>
      <xdr:row>28</xdr:row>
      <xdr:rowOff>107640</xdr:rowOff>
    </xdr:to>
    <xdr:graphicFrame>
      <xdr:nvGraphicFramePr>
        <xdr:cNvPr id="6" name="Chart 1"/>
        <xdr:cNvGraphicFramePr/>
      </xdr:nvGraphicFramePr>
      <xdr:xfrm>
        <a:off x="611640" y="89532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19</xdr:col>
      <xdr:colOff>581760</xdr:colOff>
      <xdr:row>51</xdr:row>
      <xdr:rowOff>149760</xdr:rowOff>
    </xdr:to>
    <xdr:graphicFrame>
      <xdr:nvGraphicFramePr>
        <xdr:cNvPr id="7" name="Chart 2"/>
        <xdr:cNvGraphicFramePr/>
      </xdr:nvGraphicFramePr>
      <xdr:xfrm>
        <a:off x="5452200" y="603900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57</xdr:row>
      <xdr:rowOff>0</xdr:rowOff>
    </xdr:from>
    <xdr:to>
      <xdr:col>19</xdr:col>
      <xdr:colOff>581760</xdr:colOff>
      <xdr:row>77</xdr:row>
      <xdr:rowOff>149760</xdr:rowOff>
    </xdr:to>
    <xdr:graphicFrame>
      <xdr:nvGraphicFramePr>
        <xdr:cNvPr id="8" name="Chart 3"/>
        <xdr:cNvGraphicFramePr/>
      </xdr:nvGraphicFramePr>
      <xdr:xfrm>
        <a:off x="5452200" y="109918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15</xdr:col>
      <xdr:colOff>194760</xdr:colOff>
      <xdr:row>39</xdr:row>
      <xdr:rowOff>149760</xdr:rowOff>
    </xdr:to>
    <xdr:graphicFrame>
      <xdr:nvGraphicFramePr>
        <xdr:cNvPr id="9" name="Chart 1"/>
        <xdr:cNvGraphicFramePr/>
      </xdr:nvGraphicFramePr>
      <xdr:xfrm>
        <a:off x="141120" y="375300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0</xdr:rowOff>
    </xdr:from>
    <xdr:to>
      <xdr:col>27</xdr:col>
      <xdr:colOff>403920</xdr:colOff>
      <xdr:row>30</xdr:row>
      <xdr:rowOff>86760</xdr:rowOff>
    </xdr:to>
    <xdr:graphicFrame>
      <xdr:nvGraphicFramePr>
        <xdr:cNvPr id="10" name="Chart 1"/>
        <xdr:cNvGraphicFramePr/>
      </xdr:nvGraphicFramePr>
      <xdr:xfrm>
        <a:off x="13651200" y="895320"/>
        <a:ext cx="107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5"/>
  </cols>
  <sheetData>
    <row r="2" customFormat="false" ht="25.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5" t="s">
        <v>4</v>
      </c>
    </row>
    <row r="7" customFormat="false" ht="15" hidden="false" customHeight="true" outlineLevel="0" collapsed="false">
      <c r="B7" s="4" t="s">
        <v>5</v>
      </c>
      <c r="C7" s="5" t="s">
        <v>6</v>
      </c>
    </row>
    <row r="8" customFormat="false" ht="15" hidden="false" customHeight="true" outlineLevel="0" collapsed="false">
      <c r="B8" s="4" t="s">
        <v>7</v>
      </c>
      <c r="C8" s="5" t="s">
        <v>8</v>
      </c>
    </row>
    <row r="9" customFormat="false" ht="15" hidden="false" customHeight="true" outlineLevel="0" collapsed="false">
      <c r="B9" s="4" t="s">
        <v>9</v>
      </c>
      <c r="C9" s="5" t="s">
        <v>10</v>
      </c>
    </row>
    <row r="10" customFormat="false" ht="30" hidden="false" customHeight="true" outlineLevel="0" collapsed="false">
      <c r="B10" s="4" t="s">
        <v>11</v>
      </c>
      <c r="C10" s="5" t="s">
        <v>12</v>
      </c>
    </row>
    <row r="11" customFormat="false" ht="15" hidden="false" customHeight="true" outlineLevel="0" collapsed="false">
      <c r="B11" s="4" t="s">
        <v>13</v>
      </c>
      <c r="C11" s="5" t="s">
        <v>14</v>
      </c>
    </row>
    <row r="12" customFormat="false" ht="30" hidden="false" customHeight="true" outlineLevel="0" collapsed="false">
      <c r="B12" s="4" t="s">
        <v>15</v>
      </c>
      <c r="C12" s="5" t="s">
        <v>16</v>
      </c>
    </row>
    <row r="13" customFormat="false" ht="30" hidden="false" customHeight="true" outlineLevel="0" collapsed="false">
      <c r="B13" s="4" t="s">
        <v>17</v>
      </c>
      <c r="C13" s="5" t="s">
        <v>18</v>
      </c>
    </row>
    <row r="14" customFormat="false" ht="15" hidden="false" customHeight="false" outlineLevel="0" collapsed="false">
      <c r="B14" s="3"/>
    </row>
    <row r="15" customFormat="false" ht="45" hidden="false" customHeight="true" outlineLevel="0" collapsed="false">
      <c r="B15" s="4" t="s">
        <v>19</v>
      </c>
      <c r="C15" s="5" t="s">
        <v>20</v>
      </c>
    </row>
    <row r="16" customFormat="false" ht="45" hidden="false" customHeight="true" outlineLevel="0" collapsed="false">
      <c r="B16" s="4" t="s">
        <v>21</v>
      </c>
      <c r="C16" s="5" t="s">
        <v>22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3" t="s">
        <v>23</v>
      </c>
    </row>
    <row r="19" customFormat="false" ht="30" hidden="false" customHeight="true" outlineLevel="0" collapsed="false">
      <c r="B19" s="4" t="s">
        <v>24</v>
      </c>
      <c r="C19" s="5" t="s">
        <v>25</v>
      </c>
    </row>
    <row r="20" customFormat="false" ht="60" hidden="false" customHeight="true" outlineLevel="0" collapsed="false">
      <c r="B20" s="4" t="s">
        <v>26</v>
      </c>
      <c r="C20" s="5" t="s">
        <v>27</v>
      </c>
    </row>
    <row r="21" customFormat="false" ht="30" hidden="false" customHeight="true" outlineLevel="0" collapsed="false">
      <c r="B21" s="4" t="s">
        <v>28</v>
      </c>
      <c r="C21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Q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3" min="11" style="0" width="11"/>
    <col collapsed="false" customWidth="true" hidden="false" outlineLevel="0" max="14" min="14" style="0" width="10"/>
    <col collapsed="false" customWidth="true" hidden="false" outlineLevel="0" max="17" min="15" style="0" width="11"/>
  </cols>
  <sheetData>
    <row r="2" customFormat="false" ht="25.5" hidden="false" customHeight="tru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30" hidden="false" customHeight="true" outlineLevel="0" collapsed="false">
      <c r="B5" s="6" t="s">
        <v>32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6" t="s">
        <v>38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6" t="s">
        <v>44</v>
      </c>
      <c r="O5" s="6" t="s">
        <v>45</v>
      </c>
      <c r="P5" s="6" t="s">
        <v>46</v>
      </c>
      <c r="Q5" s="6" t="s">
        <v>47</v>
      </c>
    </row>
    <row r="6" customFormat="false" ht="15" hidden="false" customHeight="false" outlineLevel="0" collapsed="false">
      <c r="B6" s="7" t="s">
        <v>48</v>
      </c>
      <c r="C6" s="8" t="n">
        <v>2018</v>
      </c>
      <c r="D6" s="9" t="n">
        <v>12</v>
      </c>
      <c r="E6" s="10" t="n">
        <v>184.2552</v>
      </c>
      <c r="F6" s="10" t="n">
        <v>178.9326</v>
      </c>
      <c r="G6" s="11"/>
      <c r="H6" s="11"/>
      <c r="I6" s="12"/>
      <c r="J6" s="12"/>
      <c r="K6" s="12"/>
      <c r="L6" s="12"/>
      <c r="M6" s="13"/>
      <c r="N6" s="13"/>
      <c r="O6" s="13"/>
      <c r="P6" s="13"/>
      <c r="Q6" s="13"/>
    </row>
    <row r="7" customFormat="false" ht="15" hidden="false" customHeight="false" outlineLevel="0" collapsed="false">
      <c r="B7" s="7" t="s">
        <v>49</v>
      </c>
      <c r="C7" s="8" t="n">
        <v>2019</v>
      </c>
      <c r="D7" s="9" t="n">
        <v>1</v>
      </c>
      <c r="E7" s="10" t="n">
        <v>189.6101</v>
      </c>
      <c r="F7" s="10" t="n">
        <v>184.3056</v>
      </c>
      <c r="G7" s="11"/>
      <c r="H7" s="11"/>
      <c r="I7" s="12" t="n">
        <f aca="false">IF(OR(E7="",E6=""),"",E7/E6-1)</f>
        <v>0.0290624090934746</v>
      </c>
      <c r="J7" s="12" t="n">
        <f aca="false">IF(OR(F7="",F6=""),"",F7/F6-1)</f>
        <v>0.0300280664339534</v>
      </c>
      <c r="K7" s="12" t="str">
        <f aca="false">IF(OR(G7="",G6=""),"",G7/G6-1)</f>
        <v/>
      </c>
      <c r="L7" s="12" t="str">
        <f aca="false">IF(OR(H7="",H6=""),"",H7/H6-1)</f>
        <v/>
      </c>
      <c r="M7" s="13"/>
      <c r="N7" s="13"/>
      <c r="O7" s="13"/>
      <c r="P7" s="13"/>
      <c r="Q7" s="13" t="n">
        <f aca="false">IF(E7="","",IFERROR(E7/INDEX($E:$E,MATCH(C7-1&amp;"-12",$B:$B,0))-1,""))</f>
        <v>0.0290624090934746</v>
      </c>
    </row>
    <row r="8" customFormat="false" ht="15" hidden="false" customHeight="false" outlineLevel="0" collapsed="false">
      <c r="B8" s="7" t="s">
        <v>50</v>
      </c>
      <c r="C8" s="8" t="n">
        <v>2019</v>
      </c>
      <c r="D8" s="9" t="n">
        <v>2</v>
      </c>
      <c r="E8" s="10" t="n">
        <v>196.7501</v>
      </c>
      <c r="F8" s="10" t="n">
        <v>191.4115</v>
      </c>
      <c r="G8" s="11"/>
      <c r="H8" s="11"/>
      <c r="I8" s="12" t="n">
        <f aca="false">IF(OR(E8="",E7=""),"",E8/E7-1)</f>
        <v>0.037656221899572</v>
      </c>
      <c r="J8" s="12" t="n">
        <f aca="false">IF(OR(F8="",F7=""),"",F8/F7-1)</f>
        <v>0.038554986934743</v>
      </c>
      <c r="K8" s="12" t="str">
        <f aca="false">IF(OR(G8="",G7=""),"",G8/G7-1)</f>
        <v/>
      </c>
      <c r="L8" s="12" t="str">
        <f aca="false">IF(OR(H8="",H7=""),"",H8/H7-1)</f>
        <v/>
      </c>
      <c r="M8" s="13"/>
      <c r="N8" s="13"/>
      <c r="O8" s="13"/>
      <c r="P8" s="13"/>
      <c r="Q8" s="13" t="n">
        <f aca="false">IF(E8="","",IFERROR(E8/INDEX($E:$E,MATCH(C8-1&amp;"-12",$B:$B,0))-1,""))</f>
        <v>0.0678130115188065</v>
      </c>
    </row>
    <row r="9" customFormat="false" ht="15" hidden="false" customHeight="false" outlineLevel="0" collapsed="false">
      <c r="B9" s="7" t="s">
        <v>51</v>
      </c>
      <c r="C9" s="8" t="n">
        <v>2019</v>
      </c>
      <c r="D9" s="9" t="n">
        <v>3</v>
      </c>
      <c r="E9" s="10" t="n">
        <v>205.9571</v>
      </c>
      <c r="F9" s="10" t="n">
        <v>200.1771</v>
      </c>
      <c r="G9" s="11"/>
      <c r="H9" s="11"/>
      <c r="I9" s="12" t="n">
        <f aca="false">IF(OR(E9="",E8=""),"",E9/E8-1)</f>
        <v>0.046795401882896</v>
      </c>
      <c r="J9" s="12" t="n">
        <f aca="false">IF(OR(F9="",F8=""),"",F9/F8-1)</f>
        <v>0.0457945316765189</v>
      </c>
      <c r="K9" s="12" t="str">
        <f aca="false">IF(OR(G9="",G8=""),"",G9/G8-1)</f>
        <v/>
      </c>
      <c r="L9" s="12" t="str">
        <f aca="false">IF(OR(H9="",H8=""),"",H9/H8-1)</f>
        <v/>
      </c>
      <c r="M9" s="13"/>
      <c r="N9" s="13"/>
      <c r="O9" s="13" t="n">
        <f aca="false">IF(OR(E9="",E6=""),"",(E9/E6)^4-1)</f>
        <v>0.56109042258587</v>
      </c>
      <c r="P9" s="13" t="n">
        <f aca="false">IF(OR(F9="",F6=""),"",(F9/F6)^4-1)</f>
        <v>0.566389210081022</v>
      </c>
      <c r="Q9" s="13" t="n">
        <f aca="false">IF(E9="","",IFERROR(E9/INDEX($E:$E,MATCH(C9-1&amp;"-12",$B:$B,0))-1,""))</f>
        <v>0.117781750528615</v>
      </c>
    </row>
    <row r="10" customFormat="false" ht="15" hidden="false" customHeight="false" outlineLevel="0" collapsed="false">
      <c r="B10" s="7" t="s">
        <v>52</v>
      </c>
      <c r="C10" s="8" t="n">
        <v>2019</v>
      </c>
      <c r="D10" s="9" t="n">
        <v>4</v>
      </c>
      <c r="E10" s="10" t="n">
        <v>212.9596414</v>
      </c>
      <c r="F10" s="10" t="n">
        <v>207.7179</v>
      </c>
      <c r="G10" s="11"/>
      <c r="H10" s="11"/>
      <c r="I10" s="12" t="n">
        <f aca="false">IF(OR(E10="",E9=""),"",E10/E9-1)</f>
        <v>0.034</v>
      </c>
      <c r="J10" s="12" t="n">
        <f aca="false">IF(OR(F10="",F9=""),"",F10/F9-1)</f>
        <v>0.037670642645937</v>
      </c>
      <c r="K10" s="12" t="str">
        <f aca="false">IF(OR(G10="",G9=""),"",G10/G9-1)</f>
        <v/>
      </c>
      <c r="L10" s="12" t="str">
        <f aca="false">IF(OR(H10="",H9=""),"",H10/H9-1)</f>
        <v/>
      </c>
      <c r="M10" s="13"/>
      <c r="N10" s="13"/>
      <c r="O10" s="13" t="n">
        <f aca="false">IF(OR(E10="",E7=""),"",(E10/E7)^4-1)</f>
        <v>0.59126810594636</v>
      </c>
      <c r="P10" s="13" t="n">
        <f aca="false">IF(OR(F10="",F7=""),"",(F10/F7)^4-1)</f>
        <v>0.613398201550976</v>
      </c>
      <c r="Q10" s="13" t="n">
        <f aca="false">IF(E10="","",IFERROR(E10/INDEX($E:$E,MATCH(C10-1&amp;"-12",$B:$B,0))-1,""))</f>
        <v>0.155786330046588</v>
      </c>
    </row>
    <row r="11" customFormat="false" ht="15" hidden="false" customHeight="false" outlineLevel="0" collapsed="false">
      <c r="B11" s="7" t="s">
        <v>53</v>
      </c>
      <c r="C11" s="8" t="n">
        <v>2019</v>
      </c>
      <c r="D11" s="9" t="n">
        <v>5</v>
      </c>
      <c r="E11" s="10" t="n">
        <v>219.5691</v>
      </c>
      <c r="F11" s="10" t="n">
        <v>214.3182</v>
      </c>
      <c r="G11" s="11"/>
      <c r="H11" s="11"/>
      <c r="I11" s="12" t="n">
        <f aca="false">IF(OR(E11="",E10=""),"",E11/E10-1)</f>
        <v>0.0310362027121631</v>
      </c>
      <c r="J11" s="12" t="n">
        <f aca="false">IF(OR(F11="",F10=""),"",F11/F10-1)</f>
        <v>0.0317753067983069</v>
      </c>
      <c r="K11" s="12" t="str">
        <f aca="false">IF(OR(G11="",G10=""),"",G11/G10-1)</f>
        <v/>
      </c>
      <c r="L11" s="12" t="str">
        <f aca="false">IF(OR(H11="",H10=""),"",H11/H10-1)</f>
        <v/>
      </c>
      <c r="M11" s="13"/>
      <c r="N11" s="13"/>
      <c r="O11" s="13" t="n">
        <f aca="false">IF(OR(E11="",E8=""),"",(E11/E8)^4-1)</f>
        <v>0.551047292243571</v>
      </c>
      <c r="P11" s="13" t="n">
        <f aca="false">IF(OR(F11="",F8=""),"",(F11/F8)^4-1)</f>
        <v>0.571679924561188</v>
      </c>
      <c r="Q11" s="13" t="n">
        <f aca="false">IF(E11="","",IFERROR(E11/INDEX($E:$E,MATCH(C11-1&amp;"-12",$B:$B,0))-1,""))</f>
        <v>0.191657548877861</v>
      </c>
    </row>
    <row r="12" customFormat="false" ht="15" hidden="false" customHeight="false" outlineLevel="0" collapsed="false">
      <c r="B12" s="7" t="s">
        <v>54</v>
      </c>
      <c r="C12" s="8" t="n">
        <v>2019</v>
      </c>
      <c r="D12" s="9" t="n">
        <v>6</v>
      </c>
      <c r="E12" s="10" t="n">
        <v>225.537</v>
      </c>
      <c r="F12" s="10" t="n">
        <v>220.1725</v>
      </c>
      <c r="G12" s="11"/>
      <c r="H12" s="11"/>
      <c r="I12" s="12" t="n">
        <f aca="false">IF(OR(E12="",E11=""),"",E12/E11-1)</f>
        <v>0.0271800540239953</v>
      </c>
      <c r="J12" s="12" t="n">
        <f aca="false">IF(OR(F12="",F11=""),"",F12/F11-1)</f>
        <v>0.0273159255723501</v>
      </c>
      <c r="K12" s="12" t="str">
        <f aca="false">IF(OR(G12="",G11=""),"",G12/G11-1)</f>
        <v/>
      </c>
      <c r="L12" s="12" t="str">
        <f aca="false">IF(OR(H12="",H11=""),"",H12/H11-1)</f>
        <v/>
      </c>
      <c r="M12" s="13"/>
      <c r="N12" s="13"/>
      <c r="O12" s="13" t="n">
        <f aca="false">IF(OR(E12="",E9=""),"",(E12/E9)^4-1)</f>
        <v>0.438017347021692</v>
      </c>
      <c r="P12" s="13" t="n">
        <f aca="false">IF(OR(F12="",F9=""),"",(F12/F9)^4-1)</f>
        <v>0.463506723399512</v>
      </c>
      <c r="Q12" s="13" t="n">
        <f aca="false">IF(E12="","",IFERROR(E12/INDEX($E:$E,MATCH(C12-1&amp;"-12",$B:$B,0))-1,""))</f>
        <v>0.224046865434463</v>
      </c>
    </row>
    <row r="13" customFormat="false" ht="15" hidden="false" customHeight="false" outlineLevel="0" collapsed="false">
      <c r="B13" s="7" t="s">
        <v>55</v>
      </c>
      <c r="C13" s="8" t="n">
        <v>2019</v>
      </c>
      <c r="D13" s="9" t="n">
        <v>7</v>
      </c>
      <c r="E13" s="10" t="n">
        <v>230.494</v>
      </c>
      <c r="F13" s="10" t="n">
        <v>224.9011</v>
      </c>
      <c r="G13" s="11"/>
      <c r="H13" s="11"/>
      <c r="I13" s="12" t="n">
        <f aca="false">IF(OR(E13="",E12=""),"",E13/E12-1)</f>
        <v>0.021978655386921</v>
      </c>
      <c r="J13" s="12" t="n">
        <f aca="false">IF(OR(F13="",F12=""),"",F13/F12-1)</f>
        <v>0.0214767966026639</v>
      </c>
      <c r="K13" s="12" t="str">
        <f aca="false">IF(OR(G13="",G12=""),"",G13/G12-1)</f>
        <v/>
      </c>
      <c r="L13" s="12" t="str">
        <f aca="false">IF(OR(H13="",H12=""),"",H13/H12-1)</f>
        <v/>
      </c>
      <c r="M13" s="13"/>
      <c r="N13" s="13"/>
      <c r="O13" s="13" t="n">
        <f aca="false">IF(OR(E13="",E10=""),"",(E13/E10)^4-1)</f>
        <v>0.372300658126117</v>
      </c>
      <c r="P13" s="13" t="n">
        <f aca="false">IF(OR(F13="",F10=""),"",(F13/F10)^4-1)</f>
        <v>0.374265440689605</v>
      </c>
      <c r="Q13" s="13" t="n">
        <f aca="false">IF(E13="","",IFERROR(E13/INDEX($E:$E,MATCH(C13-1&amp;"-12",$B:$B,0))-1,""))</f>
        <v>0.250949769667288</v>
      </c>
    </row>
    <row r="14" customFormat="false" ht="15" hidden="false" customHeight="false" outlineLevel="0" collapsed="false">
      <c r="B14" s="7" t="s">
        <v>56</v>
      </c>
      <c r="C14" s="8" t="n">
        <v>2019</v>
      </c>
      <c r="D14" s="9" t="n">
        <v>8</v>
      </c>
      <c r="E14" s="10" t="n">
        <v>239.6077</v>
      </c>
      <c r="F14" s="10" t="n">
        <v>235.3317</v>
      </c>
      <c r="G14" s="11"/>
      <c r="H14" s="11"/>
      <c r="I14" s="12" t="n">
        <f aca="false">IF(OR(E14="",E13=""),"",E14/E13-1)</f>
        <v>0.0395398578704869</v>
      </c>
      <c r="J14" s="12" t="n">
        <f aca="false">IF(OR(F14="",F13=""),"",F14/F13-1)</f>
        <v>0.0463786081971143</v>
      </c>
      <c r="K14" s="12" t="str">
        <f aca="false">IF(OR(G14="",G13=""),"",G14/G13-1)</f>
        <v/>
      </c>
      <c r="L14" s="12" t="str">
        <f aca="false">IF(OR(H14="",H13=""),"",H14/H13-1)</f>
        <v/>
      </c>
      <c r="M14" s="13"/>
      <c r="N14" s="13"/>
      <c r="O14" s="13" t="n">
        <f aca="false">IF(OR(E14="",E11=""),"",(E14/E11)^4-1)</f>
        <v>0.418137020813152</v>
      </c>
      <c r="P14" s="13" t="n">
        <f aca="false">IF(OR(F14="",F11=""),"",(F14/F11)^4-1)</f>
        <v>0.45373590179612</v>
      </c>
      <c r="Q14" s="13" t="n">
        <f aca="false">IF(E14="","",IFERROR(E14/INDEX($E:$E,MATCH(C14-1&amp;"-12",$B:$B,0))-1,""))</f>
        <v>0.30041214576305</v>
      </c>
    </row>
    <row r="15" customFormat="false" ht="15" hidden="false" customHeight="false" outlineLevel="0" collapsed="false">
      <c r="B15" s="7" t="s">
        <v>57</v>
      </c>
      <c r="C15" s="8" t="n">
        <v>2019</v>
      </c>
      <c r="D15" s="9" t="n">
        <v>9</v>
      </c>
      <c r="E15" s="10" t="n">
        <v>253.7102</v>
      </c>
      <c r="F15" s="10" t="n">
        <v>250.4818</v>
      </c>
      <c r="G15" s="11"/>
      <c r="H15" s="11"/>
      <c r="I15" s="12" t="n">
        <f aca="false">IF(OR(E15="",E14=""),"",E15/E14-1)</f>
        <v>0.0588566227212231</v>
      </c>
      <c r="J15" s="12" t="n">
        <f aca="false">IF(OR(F15="",F14=""),"",F15/F14-1)</f>
        <v>0.0643776422810867</v>
      </c>
      <c r="K15" s="12" t="str">
        <f aca="false">IF(OR(G15="",G14=""),"",G15/G14-1)</f>
        <v/>
      </c>
      <c r="L15" s="12" t="str">
        <f aca="false">IF(OR(H15="",H14=""),"",H15/H14-1)</f>
        <v/>
      </c>
      <c r="M15" s="13"/>
      <c r="N15" s="13"/>
      <c r="O15" s="13" t="n">
        <f aca="false">IF(OR(E15="",E12=""),"",(E15/E12)^4-1)</f>
        <v>0.601328795612029</v>
      </c>
      <c r="P15" s="13" t="n">
        <f aca="false">IF(OR(F15="",F12=""),"",(F15/F12)^4-1)</f>
        <v>0.675145006690071</v>
      </c>
      <c r="Q15" s="13" t="n">
        <f aca="false">IF(E15="","",IFERROR(E15/INDEX($E:$E,MATCH(C15-1&amp;"-12",$B:$B,0))-1,""))</f>
        <v>0.376950012808322</v>
      </c>
    </row>
    <row r="16" customFormat="false" ht="15" hidden="false" customHeight="false" outlineLevel="0" collapsed="false">
      <c r="B16" s="7" t="s">
        <v>58</v>
      </c>
      <c r="C16" s="8" t="n">
        <v>2019</v>
      </c>
      <c r="D16" s="9" t="n">
        <v>10</v>
      </c>
      <c r="E16" s="10" t="n">
        <v>262.0661</v>
      </c>
      <c r="F16" s="10" t="n">
        <v>260.0118</v>
      </c>
      <c r="G16" s="11"/>
      <c r="H16" s="11"/>
      <c r="I16" s="12" t="n">
        <f aca="false">IF(OR(E16="",E15=""),"",E16/E15-1)</f>
        <v>0.0329348209098412</v>
      </c>
      <c r="J16" s="12" t="n">
        <f aca="false">IF(OR(F16="",F15=""),"",F16/F15-1)</f>
        <v>0.0380466764451548</v>
      </c>
      <c r="K16" s="12" t="str">
        <f aca="false">IF(OR(G16="",G15=""),"",G16/G15-1)</f>
        <v/>
      </c>
      <c r="L16" s="12" t="str">
        <f aca="false">IF(OR(H16="",H15=""),"",H16/H15-1)</f>
        <v/>
      </c>
      <c r="M16" s="13"/>
      <c r="N16" s="13"/>
      <c r="O16" s="13" t="n">
        <f aca="false">IF(OR(E16="",E13=""),"",(E16/E13)^4-1)</f>
        <v>0.671109406526046</v>
      </c>
      <c r="P16" s="13" t="n">
        <f aca="false">IF(OR(F16="",F13=""),"",(F16/F13)^4-1)</f>
        <v>0.786511897877556</v>
      </c>
      <c r="Q16" s="13" t="n">
        <f aca="false">IF(E16="","",IFERROR(E16/INDEX($E:$E,MATCH(C16-1&amp;"-12",$B:$B,0))-1,""))</f>
        <v>0.422299614881968</v>
      </c>
    </row>
    <row r="17" customFormat="false" ht="15" hidden="false" customHeight="false" outlineLevel="0" collapsed="false">
      <c r="B17" s="7" t="s">
        <v>59</v>
      </c>
      <c r="C17" s="8" t="n">
        <v>2019</v>
      </c>
      <c r="D17" s="9" t="n">
        <v>11</v>
      </c>
      <c r="E17" s="10" t="n">
        <v>273.2158</v>
      </c>
      <c r="F17" s="10" t="n">
        <v>270.3554</v>
      </c>
      <c r="G17" s="11"/>
      <c r="H17" s="11"/>
      <c r="I17" s="12" t="n">
        <f aca="false">IF(OR(E17="",E16=""),"",E17/E16-1)</f>
        <v>0.0425453730948031</v>
      </c>
      <c r="J17" s="12" t="n">
        <f aca="false">IF(OR(F17="",F16=""),"",F17/F16-1)</f>
        <v>0.0397812714653718</v>
      </c>
      <c r="K17" s="12" t="str">
        <f aca="false">IF(OR(G17="",G16=""),"",G17/G16-1)</f>
        <v/>
      </c>
      <c r="L17" s="12" t="str">
        <f aca="false">IF(OR(H17="",H16=""),"",H17/H16-1)</f>
        <v/>
      </c>
      <c r="M17" s="13"/>
      <c r="N17" s="13"/>
      <c r="O17" s="13" t="n">
        <f aca="false">IF(OR(E17="",E14=""),"",(E17/E14)^4-1)</f>
        <v>0.69051941180167</v>
      </c>
      <c r="P17" s="13" t="n">
        <f aca="false">IF(OR(F17="",F14=""),"",(F17/F14)^4-1)</f>
        <v>0.741880933752731</v>
      </c>
      <c r="Q17" s="13" t="n">
        <f aca="false">IF(E17="","",IFERROR(E17/INDEX($E:$E,MATCH(C17-1&amp;"-12",$B:$B,0))-1,""))</f>
        <v>0.482811882649716</v>
      </c>
    </row>
    <row r="18" customFormat="false" ht="15" hidden="false" customHeight="false" outlineLevel="0" collapsed="false">
      <c r="B18" s="7" t="s">
        <v>60</v>
      </c>
      <c r="C18" s="8" t="n">
        <v>2019</v>
      </c>
      <c r="D18" s="9" t="n">
        <v>12</v>
      </c>
      <c r="E18" s="10" t="n">
        <v>283.4442</v>
      </c>
      <c r="F18" s="10" t="n">
        <v>280.3107</v>
      </c>
      <c r="G18" s="11"/>
      <c r="H18" s="11"/>
      <c r="I18" s="12" t="n">
        <f aca="false">IF(OR(E18="",E17=""),"",E18/E17-1)</f>
        <v>0.0374370735513834</v>
      </c>
      <c r="J18" s="12" t="n">
        <f aca="false">IF(OR(F18="",F17=""),"",F18/F17-1)</f>
        <v>0.0368230114878416</v>
      </c>
      <c r="K18" s="12" t="str">
        <f aca="false">IF(OR(G18="",G17=""),"",G18/G17-1)</f>
        <v/>
      </c>
      <c r="L18" s="12" t="str">
        <f aca="false">IF(OR(H18="",H17=""),"",H18/H17-1)</f>
        <v/>
      </c>
      <c r="M18" s="13" t="n">
        <f aca="false">IF(OR(E18="",E6=""),"",E18/E6-1)</f>
        <v>0.538324020163339</v>
      </c>
      <c r="N18" s="13" t="n">
        <f aca="false">IF(OR(F18="",F6=""),"",F18/F6-1)</f>
        <v>0.566571435277864</v>
      </c>
      <c r="O18" s="13" t="n">
        <f aca="false">IF(OR(E18="",E15=""),"",(E18/E15)^4-1)</f>
        <v>0.557824708516954</v>
      </c>
      <c r="P18" s="13" t="n">
        <f aca="false">IF(OR(F18="",F15=""),"",(F18/F15)^4-1)</f>
        <v>0.568389772647417</v>
      </c>
      <c r="Q18" s="13" t="n">
        <f aca="false">IF(E18="","",IFERROR(E18/INDEX($E:$E,MATCH(C18-1&amp;"-12",$B:$B,0))-1,""))</f>
        <v>0.538324020163339</v>
      </c>
    </row>
    <row r="19" customFormat="false" ht="15" hidden="false" customHeight="false" outlineLevel="0" collapsed="false">
      <c r="B19" s="7" t="s">
        <v>61</v>
      </c>
      <c r="C19" s="8" t="n">
        <v>2020</v>
      </c>
      <c r="D19" s="9" t="n">
        <v>1</v>
      </c>
      <c r="E19" s="10" t="n">
        <v>289.8299</v>
      </c>
      <c r="F19" s="10" t="n">
        <v>287.1529</v>
      </c>
      <c r="G19" s="11"/>
      <c r="H19" s="11"/>
      <c r="I19" s="12" t="n">
        <f aca="false">IF(OR(E19="",E18=""),"",E19/E18-1)</f>
        <v>0.0225289492605598</v>
      </c>
      <c r="J19" s="12" t="n">
        <f aca="false">IF(OR(F19="",F18=""),"",F19/F18-1)</f>
        <v>0.0244093429184116</v>
      </c>
      <c r="K19" s="12" t="str">
        <f aca="false">IF(OR(G19="",G18=""),"",G19/G18-1)</f>
        <v/>
      </c>
      <c r="L19" s="12" t="str">
        <f aca="false">IF(OR(H19="",H18=""),"",H19/H18-1)</f>
        <v/>
      </c>
      <c r="M19" s="13" t="n">
        <f aca="false">IF(OR(E19="",E7=""),"",E19/E7-1)</f>
        <v>0.528557286769007</v>
      </c>
      <c r="N19" s="13" t="n">
        <f aca="false">IF(OR(F19="",F7=""),"",F19/F7-1)</f>
        <v>0.558025909142207</v>
      </c>
      <c r="O19" s="13" t="n">
        <f aca="false">IF(OR(E19="",E16=""),"",(E19/E16)^4-1)</f>
        <v>0.495992324114954</v>
      </c>
      <c r="P19" s="13" t="n">
        <f aca="false">IF(OR(F19="",F16=""),"",(F19/F16)^4-1)</f>
        <v>0.487580906135768</v>
      </c>
      <c r="Q19" s="13" t="n">
        <f aca="false">IF(E19="","",IFERROR(E19/INDEX($E:$E,MATCH(C19-1&amp;"-12",$B:$B,0))-1,""))</f>
        <v>0.0225289492605598</v>
      </c>
    </row>
    <row r="20" customFormat="false" ht="15" hidden="false" customHeight="false" outlineLevel="0" collapsed="false">
      <c r="B20" s="7" t="s">
        <v>62</v>
      </c>
      <c r="C20" s="8" t="n">
        <v>2020</v>
      </c>
      <c r="D20" s="9" t="n">
        <v>2</v>
      </c>
      <c r="E20" s="10" t="n">
        <v>295.666</v>
      </c>
      <c r="F20" s="10" t="n">
        <v>293.9922</v>
      </c>
      <c r="G20" s="11"/>
      <c r="H20" s="11"/>
      <c r="I20" s="12" t="n">
        <f aca="false">IF(OR(E20="",E19=""),"",E20/E19-1)</f>
        <v>0.0201362937364296</v>
      </c>
      <c r="J20" s="12" t="n">
        <f aca="false">IF(OR(F20="",F19=""),"",F20/F19-1)</f>
        <v>0.0238176246870572</v>
      </c>
      <c r="K20" s="12" t="str">
        <f aca="false">IF(OR(G20="",G19=""),"",G20/G19-1)</f>
        <v/>
      </c>
      <c r="L20" s="12" t="str">
        <f aca="false">IF(OR(H20="",H19=""),"",H20/H19-1)</f>
        <v/>
      </c>
      <c r="M20" s="13" t="n">
        <f aca="false">IF(OR(E20="",E8=""),"",E20/E8-1)</f>
        <v>0.502748918552011</v>
      </c>
      <c r="N20" s="13" t="n">
        <f aca="false">IF(OR(F20="",F8=""),"",F20/F8-1)</f>
        <v>0.535917120967131</v>
      </c>
      <c r="O20" s="13" t="n">
        <f aca="false">IF(OR(E20="",E17=""),"",(E20/E17)^4-1)</f>
        <v>0.371457329924556</v>
      </c>
      <c r="P20" s="13" t="n">
        <f aca="false">IF(OR(F20="",F17=""),"",(F20/F17)^4-1)</f>
        <v>0.398308632415782</v>
      </c>
      <c r="Q20" s="13" t="n">
        <f aca="false">IF(E20="","",IFERROR(E20/INDEX($E:$E,MATCH(C20-1&amp;"-12",$B:$B,0))-1,""))</f>
        <v>0.0431188925368731</v>
      </c>
    </row>
    <row r="21" customFormat="false" ht="15" hidden="false" customHeight="false" outlineLevel="0" collapsed="false">
      <c r="B21" s="7" t="s">
        <v>63</v>
      </c>
      <c r="C21" s="8" t="n">
        <v>2020</v>
      </c>
      <c r="D21" s="9" t="n">
        <v>3</v>
      </c>
      <c r="E21" s="10" t="n">
        <v>305.5515</v>
      </c>
      <c r="F21" s="10" t="n">
        <v>303.1665</v>
      </c>
      <c r="G21" s="11"/>
      <c r="H21" s="11"/>
      <c r="I21" s="12" t="n">
        <f aca="false">IF(OR(E21="",E20=""),"",E21/E20-1)</f>
        <v>0.0334346864367225</v>
      </c>
      <c r="J21" s="12" t="n">
        <f aca="false">IF(OR(F21="",F20=""),"",F21/F20-1)</f>
        <v>0.0312059299532435</v>
      </c>
      <c r="K21" s="12" t="str">
        <f aca="false">IF(OR(G21="",G20=""),"",G21/G20-1)</f>
        <v/>
      </c>
      <c r="L21" s="12" t="str">
        <f aca="false">IF(OR(H21="",H20=""),"",H21/H20-1)</f>
        <v/>
      </c>
      <c r="M21" s="13" t="n">
        <f aca="false">IF(OR(E21="",E9=""),"",E21/E9-1)</f>
        <v>0.483568665513352</v>
      </c>
      <c r="N21" s="13" t="n">
        <f aca="false">IF(OR(F21="",F9=""),"",F21/F9-1)</f>
        <v>0.514491417849494</v>
      </c>
      <c r="O21" s="13" t="n">
        <f aca="false">IF(OR(E21="",E18=""),"",(E21/E18)^4-1)</f>
        <v>0.350415399486727</v>
      </c>
      <c r="P21" s="13" t="n">
        <f aca="false">IF(OR(F21="",F18=""),"",(F21/F18)^4-1)</f>
        <v>0.36825213966564</v>
      </c>
      <c r="Q21" s="13" t="n">
        <f aca="false">IF(E21="","",IFERROR(E21/INDEX($E:$E,MATCH(C21-1&amp;"-12",$B:$B,0))-1,""))</f>
        <v>0.0779952456250646</v>
      </c>
    </row>
    <row r="22" customFormat="false" ht="15" hidden="false" customHeight="false" outlineLevel="0" collapsed="false">
      <c r="B22" s="7" t="s">
        <v>64</v>
      </c>
      <c r="C22" s="8" t="n">
        <v>2020</v>
      </c>
      <c r="D22" s="9" t="n">
        <v>4</v>
      </c>
      <c r="E22" s="10" t="n">
        <v>310.1243</v>
      </c>
      <c r="F22" s="10" t="n">
        <v>308.3681</v>
      </c>
      <c r="G22" s="11"/>
      <c r="H22" s="11"/>
      <c r="I22" s="12" t="n">
        <f aca="false">IF(OR(E22="",E21=""),"",E22/E21-1)</f>
        <v>0.0149657259087257</v>
      </c>
      <c r="J22" s="12" t="n">
        <f aca="false">IF(OR(F22="",F21=""),"",F22/F21-1)</f>
        <v>0.0171575685308241</v>
      </c>
      <c r="K22" s="12" t="str">
        <f aca="false">IF(OR(G22="",G21=""),"",G22/G21-1)</f>
        <v/>
      </c>
      <c r="L22" s="12" t="str">
        <f aca="false">IF(OR(H22="",H21=""),"",H22/H21-1)</f>
        <v/>
      </c>
      <c r="M22" s="13" t="n">
        <f aca="false">IF(OR(E22="",E10=""),"",E22/E10-1)</f>
        <v>0.456258556603674</v>
      </c>
      <c r="N22" s="13" t="n">
        <f aca="false">IF(OR(F22="",F10=""),"",F22/F10-1)</f>
        <v>0.484552366454697</v>
      </c>
      <c r="O22" s="13" t="n">
        <f aca="false">IF(OR(E22="",E19=""),"",(E22/E19)^4-1)</f>
        <v>0.310902646091102</v>
      </c>
      <c r="P22" s="13" t="n">
        <f aca="false">IF(OR(F22="",F19=""),"",(F22/F19)^4-1)</f>
        <v>0.329918272284933</v>
      </c>
      <c r="Q22" s="13" t="n">
        <f aca="false">IF(E22="","",IFERROR(E22/INDEX($E:$E,MATCH(C22-1&amp;"-12",$B:$B,0))-1,""))</f>
        <v>0.094128227001999</v>
      </c>
    </row>
    <row r="23" customFormat="false" ht="15" hidden="false" customHeight="false" outlineLevel="0" collapsed="false">
      <c r="B23" s="7" t="s">
        <v>65</v>
      </c>
      <c r="C23" s="8" t="n">
        <v>2020</v>
      </c>
      <c r="D23" s="9" t="n">
        <v>5</v>
      </c>
      <c r="E23" s="10" t="n">
        <v>314.9087</v>
      </c>
      <c r="F23" s="10" t="n">
        <v>313.3195</v>
      </c>
      <c r="G23" s="11"/>
      <c r="H23" s="11"/>
      <c r="I23" s="12" t="n">
        <f aca="false">IF(OR(E23="",E22=""),"",E23/E22-1)</f>
        <v>0.0154273625123862</v>
      </c>
      <c r="J23" s="12" t="n">
        <f aca="false">IF(OR(F23="",F22=""),"",F23/F22-1)</f>
        <v>0.0160567840836974</v>
      </c>
      <c r="K23" s="12" t="str">
        <f aca="false">IF(OR(G23="",G22=""),"",G23/G22-1)</f>
        <v/>
      </c>
      <c r="L23" s="12" t="str">
        <f aca="false">IF(OR(H23="",H22=""),"",H23/H22-1)</f>
        <v/>
      </c>
      <c r="M23" s="13" t="n">
        <f aca="false">IF(OR(E23="",E11=""),"",E23/E11-1)</f>
        <v>0.434212282147169</v>
      </c>
      <c r="N23" s="13" t="n">
        <f aca="false">IF(OR(F23="",F11=""),"",F23/F11-1)</f>
        <v>0.461936037163433</v>
      </c>
      <c r="O23" s="13" t="n">
        <f aca="false">IF(OR(E23="",E20=""),"",(E23/E20)^4-1)</f>
        <v>0.286865307274534</v>
      </c>
      <c r="P23" s="13" t="n">
        <f aca="false">IF(OR(F23="",F20=""),"",(F23/F20)^4-1)</f>
        <v>0.290049772861388</v>
      </c>
      <c r="Q23" s="13" t="n">
        <f aca="false">IF(E23="","",IFERROR(E23/INDEX($E:$E,MATCH(C23-1&amp;"-12",$B:$B,0))-1,""))</f>
        <v>0.111007739794993</v>
      </c>
    </row>
    <row r="24" customFormat="false" ht="15" hidden="false" customHeight="false" outlineLevel="0" collapsed="false">
      <c r="B24" s="7" t="s">
        <v>66</v>
      </c>
      <c r="C24" s="8" t="n">
        <v>2020</v>
      </c>
      <c r="D24" s="9" t="n">
        <v>6</v>
      </c>
      <c r="E24" s="10" t="n">
        <v>321.9738</v>
      </c>
      <c r="F24" s="10" t="n">
        <v>320.5733</v>
      </c>
      <c r="G24" s="11"/>
      <c r="H24" s="11"/>
      <c r="I24" s="12" t="n">
        <f aca="false">IF(OR(E24="",E23=""),"",E24/E23-1)</f>
        <v>0.0224353915912769</v>
      </c>
      <c r="J24" s="12" t="n">
        <f aca="false">IF(OR(F24="",F23=""),"",F24/F23-1)</f>
        <v>0.0231514476436991</v>
      </c>
      <c r="K24" s="12" t="str">
        <f aca="false">IF(OR(G24="",G23=""),"",G24/G23-1)</f>
        <v/>
      </c>
      <c r="L24" s="12" t="str">
        <f aca="false">IF(OR(H24="",H23=""),"",H24/H23-1)</f>
        <v/>
      </c>
      <c r="M24" s="13" t="n">
        <f aca="false">IF(OR(E24="",E12=""),"",E24/E12-1)</f>
        <v>0.427587491187699</v>
      </c>
      <c r="N24" s="13" t="n">
        <f aca="false">IF(OR(F24="",F12=""),"",F24/F12-1)</f>
        <v>0.456009719651637</v>
      </c>
      <c r="O24" s="13" t="n">
        <f aca="false">IF(OR(E24="",E21=""),"",(E24/E21)^4-1)</f>
        <v>0.232947126245549</v>
      </c>
      <c r="P24" s="13" t="n">
        <f aca="false">IF(OR(F24="",F21=""),"",(F24/F21)^4-1)</f>
        <v>0.250214558382203</v>
      </c>
      <c r="Q24" s="13" t="n">
        <f aca="false">IF(E24="","",IFERROR(E24/INDEX($E:$E,MATCH(C24-1&amp;"-12",$B:$B,0))-1,""))</f>
        <v>0.135933633498233</v>
      </c>
    </row>
    <row r="25" customFormat="false" ht="15" hidden="false" customHeight="false" outlineLevel="0" collapsed="false">
      <c r="B25" s="7" t="s">
        <v>67</v>
      </c>
      <c r="C25" s="8" t="n">
        <v>2020</v>
      </c>
      <c r="D25" s="9" t="n">
        <v>7</v>
      </c>
      <c r="E25" s="10" t="n">
        <v>328.2014</v>
      </c>
      <c r="F25" s="10" t="n">
        <v>328.6943</v>
      </c>
      <c r="G25" s="11"/>
      <c r="H25" s="11"/>
      <c r="I25" s="12" t="n">
        <f aca="false">IF(OR(E25="",E24=""),"",E25/E24-1)</f>
        <v>0.019341946456513</v>
      </c>
      <c r="J25" s="12" t="n">
        <f aca="false">IF(OR(F25="",F24=""),"",F25/F24-1)</f>
        <v>0.0253327398133281</v>
      </c>
      <c r="K25" s="12" t="str">
        <f aca="false">IF(OR(G25="",G24=""),"",G25/G24-1)</f>
        <v/>
      </c>
      <c r="L25" s="12" t="str">
        <f aca="false">IF(OR(H25="",H24=""),"",H25/H24-1)</f>
        <v/>
      </c>
      <c r="M25" s="13" t="n">
        <f aca="false">IF(OR(E25="",E13=""),"",E25/E13-1)</f>
        <v>0.423904309873576</v>
      </c>
      <c r="N25" s="13" t="n">
        <f aca="false">IF(OR(F25="",F13=""),"",F25/F13-1)</f>
        <v>0.461505968623541</v>
      </c>
      <c r="O25" s="13" t="n">
        <f aca="false">IF(OR(E25="",E22=""),"",(E25/E22)^4-1)</f>
        <v>0.254349407706465</v>
      </c>
      <c r="P25" s="13" t="n">
        <f aca="false">IF(OR(F25="",F22=""),"",(F25/F22)^4-1)</f>
        <v>0.290894980227457</v>
      </c>
      <c r="Q25" s="13" t="n">
        <f aca="false">IF(E25="","",IFERROR(E25/INDEX($E:$E,MATCH(C25-1&amp;"-12",$B:$B,0))-1,""))</f>
        <v>0.157904801015508</v>
      </c>
    </row>
    <row r="26" customFormat="false" ht="15" hidden="false" customHeight="false" outlineLevel="0" collapsed="false">
      <c r="B26" s="7" t="s">
        <v>68</v>
      </c>
      <c r="C26" s="8" t="n">
        <v>2020</v>
      </c>
      <c r="D26" s="9" t="n">
        <v>8</v>
      </c>
      <c r="E26" s="10" t="n">
        <v>337.0632</v>
      </c>
      <c r="F26" s="10" t="n">
        <v>338.6645</v>
      </c>
      <c r="G26" s="11"/>
      <c r="H26" s="11"/>
      <c r="I26" s="12" t="n">
        <f aca="false">IF(OR(E26="",E25=""),"",E26/E25-1)</f>
        <v>0.0270011035906612</v>
      </c>
      <c r="J26" s="12" t="n">
        <f aca="false">IF(OR(F26="",F25=""),"",F26/F25-1)</f>
        <v>0.0303327438291445</v>
      </c>
      <c r="K26" s="12" t="str">
        <f aca="false">IF(OR(G26="",G25=""),"",G26/G25-1)</f>
        <v/>
      </c>
      <c r="L26" s="12" t="str">
        <f aca="false">IF(OR(H26="",H25=""),"",H26/H25-1)</f>
        <v/>
      </c>
      <c r="M26" s="13" t="n">
        <f aca="false">IF(OR(E26="",E14=""),"",E26/E14-1)</f>
        <v>0.406729416458653</v>
      </c>
      <c r="N26" s="13" t="n">
        <f aca="false">IF(OR(F26="",F14=""),"",F26/F14-1)</f>
        <v>0.439094265668416</v>
      </c>
      <c r="O26" s="13" t="n">
        <f aca="false">IF(OR(E26="",E23=""),"",(E26/E23)^4-1)</f>
        <v>0.312522393787076</v>
      </c>
      <c r="P26" s="13" t="n">
        <f aca="false">IF(OR(F26="",F23=""),"",(F26/F23)^4-1)</f>
        <v>0.364988522951617</v>
      </c>
      <c r="Q26" s="13" t="n">
        <f aca="false">IF(E26="","",IFERROR(E26/INDEX($E:$E,MATCH(C26-1&amp;"-12",$B:$B,0))-1,""))</f>
        <v>0.189169508495852</v>
      </c>
    </row>
    <row r="27" customFormat="false" ht="15" hidden="false" customHeight="false" outlineLevel="0" collapsed="false">
      <c r="B27" s="7" t="s">
        <v>69</v>
      </c>
      <c r="C27" s="8" t="n">
        <v>2020</v>
      </c>
      <c r="D27" s="9" t="n">
        <v>9</v>
      </c>
      <c r="E27" s="10" t="n">
        <v>346.6207</v>
      </c>
      <c r="F27" s="10" t="n">
        <v>346.511</v>
      </c>
      <c r="G27" s="11"/>
      <c r="H27" s="11"/>
      <c r="I27" s="12" t="n">
        <f aca="false">IF(OR(E27="",E26=""),"",E27/E26-1)</f>
        <v>0.0283552164697896</v>
      </c>
      <c r="J27" s="12" t="n">
        <f aca="false">IF(OR(F27="",F26=""),"",F27/F26-1)</f>
        <v>0.0231689474391323</v>
      </c>
      <c r="K27" s="12" t="str">
        <f aca="false">IF(OR(G27="",G26=""),"",G27/G26-1)</f>
        <v/>
      </c>
      <c r="L27" s="12" t="str">
        <f aca="false">IF(OR(H27="",H26=""),"",H27/H26-1)</f>
        <v/>
      </c>
      <c r="M27" s="13" t="n">
        <f aca="false">IF(OR(E27="",E15=""),"",E27/E15-1)</f>
        <v>0.366207192300507</v>
      </c>
      <c r="N27" s="13" t="n">
        <f aca="false">IF(OR(F27="",F15=""),"",F27/F15-1)</f>
        <v>0.383377954007038</v>
      </c>
      <c r="O27" s="13" t="n">
        <f aca="false">IF(OR(E27="",E24=""),"",(E27/E24)^4-1)</f>
        <v>0.343185042488358</v>
      </c>
      <c r="P27" s="13" t="n">
        <f aca="false">IF(OR(F27="",F24=""),"",(F27/F24)^4-1)</f>
        <v>0.365081911404798</v>
      </c>
      <c r="Q27" s="13" t="n">
        <f aca="false">IF(E27="","",IFERROR(E27/INDEX($E:$E,MATCH(C27-1&amp;"-12",$B:$B,0))-1,""))</f>
        <v>0.222888667328525</v>
      </c>
    </row>
    <row r="28" customFormat="false" ht="15" hidden="false" customHeight="false" outlineLevel="0" collapsed="false">
      <c r="B28" s="7" t="s">
        <v>70</v>
      </c>
      <c r="C28" s="8" t="n">
        <v>2020</v>
      </c>
      <c r="D28" s="9" t="n">
        <v>10</v>
      </c>
      <c r="E28" s="10" t="n">
        <v>359.657</v>
      </c>
      <c r="F28" s="10" t="n">
        <v>358.4989</v>
      </c>
      <c r="G28" s="11"/>
      <c r="H28" s="11"/>
      <c r="I28" s="12" t="n">
        <f aca="false">IF(OR(E28="",E27=""),"",E28/E27-1)</f>
        <v>0.037609698439822</v>
      </c>
      <c r="J28" s="12" t="n">
        <f aca="false">IF(OR(F28="",F27=""),"",F28/F27-1)</f>
        <v>0.0345960157109009</v>
      </c>
      <c r="K28" s="12" t="str">
        <f aca="false">IF(OR(G28="",G27=""),"",G28/G27-1)</f>
        <v/>
      </c>
      <c r="L28" s="12" t="str">
        <f aca="false">IF(OR(H28="",H27=""),"",H28/H27-1)</f>
        <v/>
      </c>
      <c r="M28" s="13" t="n">
        <f aca="false">IF(OR(E28="",E16=""),"",E28/E16-1)</f>
        <v>0.372390400742408</v>
      </c>
      <c r="N28" s="13" t="n">
        <f aca="false">IF(OR(F28="",F16=""),"",F28/F16-1)</f>
        <v>0.378779347706527</v>
      </c>
      <c r="O28" s="13" t="n">
        <f aca="false">IF(OR(E28="",E25=""),"",(E28/E25)^4-1)</f>
        <v>0.442089957285774</v>
      </c>
      <c r="P28" s="13" t="n">
        <f aca="false">IF(OR(F28="",F25=""),"",(F28/F25)^4-1)</f>
        <v>0.415085295609617</v>
      </c>
      <c r="Q28" s="13" t="n">
        <f aca="false">IF(E28="","",IFERROR(E28/INDEX($E:$E,MATCH(C28-1&amp;"-12",$B:$B,0))-1,""))</f>
        <v>0.268881141332227</v>
      </c>
    </row>
    <row r="29" customFormat="false" ht="15" hidden="false" customHeight="false" outlineLevel="0" collapsed="false">
      <c r="B29" s="7" t="s">
        <v>71</v>
      </c>
      <c r="C29" s="8" t="n">
        <v>2020</v>
      </c>
      <c r="D29" s="9" t="n">
        <v>11</v>
      </c>
      <c r="E29" s="10" t="n">
        <v>371.0211</v>
      </c>
      <c r="F29" s="10" t="n">
        <v>372.6154</v>
      </c>
      <c r="G29" s="11"/>
      <c r="H29" s="11"/>
      <c r="I29" s="12" t="n">
        <f aca="false">IF(OR(E29="",E28=""),"",E29/E28-1)</f>
        <v>0.0315970494109665</v>
      </c>
      <c r="J29" s="12" t="n">
        <f aca="false">IF(OR(F29="",F28=""),"",F29/F28-1)</f>
        <v>0.0393766898587415</v>
      </c>
      <c r="K29" s="12" t="str">
        <f aca="false">IF(OR(G29="",G28=""),"",G29/G28-1)</f>
        <v/>
      </c>
      <c r="L29" s="12" t="str">
        <f aca="false">IF(OR(H29="",H28=""),"",H29/H28-1)</f>
        <v/>
      </c>
      <c r="M29" s="13" t="n">
        <f aca="false">IF(OR(E29="",E17=""),"",E29/E17-1)</f>
        <v>0.357978198918218</v>
      </c>
      <c r="N29" s="13" t="n">
        <f aca="false">IF(OR(F29="",F17=""),"",F29/F17-1)</f>
        <v>0.378242861063622</v>
      </c>
      <c r="O29" s="13" t="n">
        <f aca="false">IF(OR(E29="",E26=""),"",(E29/E26)^4-1)</f>
        <v>0.46807781719589</v>
      </c>
      <c r="P29" s="13" t="n">
        <f aca="false">IF(OR(F29="",F26=""),"",(F29/F26)^4-1)</f>
        <v>0.465428053895791</v>
      </c>
      <c r="Q29" s="13" t="n">
        <f aca="false">IF(E29="","",IFERROR(E29/INDEX($E:$E,MATCH(C29-1&amp;"-12",$B:$B,0))-1,""))</f>
        <v>0.308974041451545</v>
      </c>
    </row>
    <row r="30" customFormat="false" ht="15" hidden="false" customHeight="false" outlineLevel="0" collapsed="false">
      <c r="B30" s="7" t="s">
        <v>72</v>
      </c>
      <c r="C30" s="8" t="n">
        <v>2020</v>
      </c>
      <c r="D30" s="9" t="n">
        <v>12</v>
      </c>
      <c r="E30" s="10" t="n">
        <v>385.8826</v>
      </c>
      <c r="F30" s="10" t="n">
        <v>390.7655</v>
      </c>
      <c r="G30" s="11"/>
      <c r="H30" s="11"/>
      <c r="I30" s="12" t="n">
        <f aca="false">IF(OR(E30="",E29=""),"",E30/E29-1)</f>
        <v>0.0400556733835353</v>
      </c>
      <c r="J30" s="12" t="n">
        <f aca="false">IF(OR(F30="",F29=""),"",F30/F29-1)</f>
        <v>0.0487100103753091</v>
      </c>
      <c r="K30" s="12" t="str">
        <f aca="false">IF(OR(G30="",G29=""),"",G30/G29-1)</f>
        <v/>
      </c>
      <c r="L30" s="12" t="str">
        <f aca="false">IF(OR(H30="",H29=""),"",H30/H29-1)</f>
        <v/>
      </c>
      <c r="M30" s="13" t="n">
        <f aca="false">IF(OR(E30="",E18=""),"",E30/E18-1)</f>
        <v>0.361405878123454</v>
      </c>
      <c r="N30" s="13" t="n">
        <f aca="false">IF(OR(F30="",F18=""),"",F30/F18-1)</f>
        <v>0.394044180261403</v>
      </c>
      <c r="O30" s="13" t="n">
        <f aca="false">IF(OR(E30="",E27=""),"",(E30/E27)^4-1)</f>
        <v>0.53604098669425</v>
      </c>
      <c r="P30" s="13" t="n">
        <f aca="false">IF(OR(F30="",F27=""),"",(F30/F27)^4-1)</f>
        <v>0.617322956944684</v>
      </c>
      <c r="Q30" s="13" t="n">
        <f aca="false">IF(E30="","",IFERROR(E30/INDEX($E:$E,MATCH(C30-1&amp;"-12",$B:$B,0))-1,""))</f>
        <v>0.361405878123454</v>
      </c>
    </row>
    <row r="31" customFormat="false" ht="15" hidden="false" customHeight="false" outlineLevel="0" collapsed="false">
      <c r="B31" s="7" t="s">
        <v>73</v>
      </c>
      <c r="C31" s="8" t="n">
        <v>2021</v>
      </c>
      <c r="D31" s="9" t="n">
        <v>1</v>
      </c>
      <c r="E31" s="10" t="n">
        <v>401.5071</v>
      </c>
      <c r="F31" s="10" t="n">
        <v>406.0674</v>
      </c>
      <c r="G31" s="11"/>
      <c r="H31" s="11"/>
      <c r="I31" s="12" t="n">
        <f aca="false">IF(OR(E31="",E30=""),"",E31/E30-1)</f>
        <v>0.0404902941982872</v>
      </c>
      <c r="J31" s="12" t="n">
        <f aca="false">IF(OR(F31="",F30=""),"",F31/F30-1)</f>
        <v>0.0391587793702362</v>
      </c>
      <c r="K31" s="12" t="str">
        <f aca="false">IF(OR(G31="",G30=""),"",G31/G30-1)</f>
        <v/>
      </c>
      <c r="L31" s="12" t="str">
        <f aca="false">IF(OR(H31="",H30=""),"",H31/H30-1)</f>
        <v/>
      </c>
      <c r="M31" s="13" t="n">
        <f aca="false">IF(OR(E31="",E19=""),"",E31/E19-1)</f>
        <v>0.3853198030983</v>
      </c>
      <c r="N31" s="13" t="n">
        <f aca="false">IF(OR(F31="",F19=""),"",F31/F19-1)</f>
        <v>0.41411561575732</v>
      </c>
      <c r="O31" s="13" t="n">
        <f aca="false">IF(OR(E31="",E28=""),"",(E31/E28)^4-1)</f>
        <v>0.553169481203872</v>
      </c>
      <c r="P31" s="13" t="n">
        <f aca="false">IF(OR(F31="",F28=""),"",(F31/F28)^4-1)</f>
        <v>0.646043049503495</v>
      </c>
      <c r="Q31" s="13" t="n">
        <f aca="false">IF(E31="","",IFERROR(E31/INDEX($E:$E,MATCH(C31-1&amp;"-12",$B:$B,0))-1,""))</f>
        <v>0.0404902941982872</v>
      </c>
    </row>
    <row r="32" customFormat="false" ht="15" hidden="false" customHeight="false" outlineLevel="0" collapsed="false">
      <c r="B32" s="7" t="s">
        <v>74</v>
      </c>
      <c r="C32" s="8" t="n">
        <v>2021</v>
      </c>
      <c r="D32" s="9" t="n">
        <v>2</v>
      </c>
      <c r="E32" s="10" t="n">
        <v>415.8595</v>
      </c>
      <c r="F32" s="10" t="n">
        <v>422.5932</v>
      </c>
      <c r="G32" s="11"/>
      <c r="H32" s="11"/>
      <c r="I32" s="12" t="n">
        <f aca="false">IF(OR(E32="",E31=""),"",E32/E31-1)</f>
        <v>0.0357463168148211</v>
      </c>
      <c r="J32" s="12" t="n">
        <f aca="false">IF(OR(F32="",F31=""),"",F32/F31-1)</f>
        <v>0.040697184753073</v>
      </c>
      <c r="K32" s="12" t="str">
        <f aca="false">IF(OR(G32="",G31=""),"",G32/G31-1)</f>
        <v/>
      </c>
      <c r="L32" s="12" t="str">
        <f aca="false">IF(OR(H32="",H31=""),"",H32/H31-1)</f>
        <v/>
      </c>
      <c r="M32" s="13" t="n">
        <f aca="false">IF(OR(E32="",E20=""),"",E32/E20-1)</f>
        <v>0.406517827548653</v>
      </c>
      <c r="N32" s="13" t="n">
        <f aca="false">IF(OR(F32="",F20=""),"",F32/F20-1)</f>
        <v>0.437429972631927</v>
      </c>
      <c r="O32" s="13" t="n">
        <f aca="false">IF(OR(E32="",E29=""),"",(E32/E29)^4-1)</f>
        <v>0.578309147337281</v>
      </c>
      <c r="P32" s="13" t="n">
        <f aca="false">IF(OR(F32="",F29=""),"",(F32/F29)^4-1)</f>
        <v>0.654423984697563</v>
      </c>
      <c r="Q32" s="13" t="n">
        <f aca="false">IF(E32="","",IFERROR(E32/INDEX($E:$E,MATCH(C32-1&amp;"-12",$B:$B,0))-1,""))</f>
        <v>0.0776839898974455</v>
      </c>
    </row>
    <row r="33" customFormat="false" ht="15" hidden="false" customHeight="false" outlineLevel="0" collapsed="false">
      <c r="B33" s="7" t="s">
        <v>75</v>
      </c>
      <c r="C33" s="8" t="n">
        <v>2021</v>
      </c>
      <c r="D33" s="9" t="n">
        <v>3</v>
      </c>
      <c r="E33" s="10" t="n">
        <v>435.8657</v>
      </c>
      <c r="F33" s="10" t="n">
        <v>441.72</v>
      </c>
      <c r="G33" s="11"/>
      <c r="H33" s="11"/>
      <c r="I33" s="12" t="n">
        <f aca="false">IF(OR(E33="",E32=""),"",E33/E32-1)</f>
        <v>0.048108074962818</v>
      </c>
      <c r="J33" s="12" t="n">
        <f aca="false">IF(OR(F33="",F32=""),"",F33/F32-1)</f>
        <v>0.0452605484423319</v>
      </c>
      <c r="K33" s="12" t="str">
        <f aca="false">IF(OR(G33="",G32=""),"",G33/G32-1)</f>
        <v/>
      </c>
      <c r="L33" s="12" t="str">
        <f aca="false">IF(OR(H33="",H32=""),"",H33/H32-1)</f>
        <v/>
      </c>
      <c r="M33" s="13" t="n">
        <f aca="false">IF(OR(E33="",E21=""),"",E33/E21-1)</f>
        <v>0.426488497029143</v>
      </c>
      <c r="N33" s="13" t="n">
        <f aca="false">IF(OR(F33="",F21=""),"",F33/F21-1)</f>
        <v>0.457021141847797</v>
      </c>
      <c r="O33" s="13" t="n">
        <f aca="false">IF(OR(E33="",E30=""),"",(E33/E30)^4-1)</f>
        <v>0.627758574791806</v>
      </c>
      <c r="P33" s="13" t="n">
        <f aca="false">IF(OR(F33="",F30=""),"",(F33/F30)^4-1)</f>
        <v>0.632763936609046</v>
      </c>
      <c r="Q33" s="13" t="n">
        <f aca="false">IF(E33="","",IFERROR(E33/INDEX($E:$E,MATCH(C33-1&amp;"-12",$B:$B,0))-1,""))</f>
        <v>0.12952929206966</v>
      </c>
    </row>
    <row r="34" customFormat="false" ht="15" hidden="false" customHeight="false" outlineLevel="0" collapsed="false">
      <c r="B34" s="7" t="s">
        <v>76</v>
      </c>
      <c r="C34" s="8" t="n">
        <v>2021</v>
      </c>
      <c r="D34" s="9" t="n">
        <v>4</v>
      </c>
      <c r="E34" s="10" t="n">
        <v>453.6503</v>
      </c>
      <c r="F34" s="10" t="n">
        <v>461.8578</v>
      </c>
      <c r="G34" s="11"/>
      <c r="H34" s="11"/>
      <c r="I34" s="12" t="n">
        <f aca="false">IF(OR(E34="",E33=""),"",E34/E33-1)</f>
        <v>0.0408029353995967</v>
      </c>
      <c r="J34" s="12" t="n">
        <f aca="false">IF(OR(F34="",F33=""),"",F34/F33-1)</f>
        <v>0.045589513719098</v>
      </c>
      <c r="K34" s="12" t="str">
        <f aca="false">IF(OR(G34="",G33=""),"",G34/G33-1)</f>
        <v/>
      </c>
      <c r="L34" s="12" t="str">
        <f aca="false">IF(OR(H34="",H33=""),"",H34/H33-1)</f>
        <v/>
      </c>
      <c r="M34" s="13" t="n">
        <f aca="false">IF(OR(E34="",E22=""),"",E34/E22-1)</f>
        <v>0.462801528290431</v>
      </c>
      <c r="N34" s="13" t="n">
        <f aca="false">IF(OR(F34="",F22=""),"",F34/F22-1)</f>
        <v>0.497748307947547</v>
      </c>
      <c r="O34" s="13" t="n">
        <f aca="false">IF(OR(E34="",E31=""),"",(E34/E31)^4-1)</f>
        <v>0.629715859024205</v>
      </c>
      <c r="P34" s="13" t="n">
        <f aca="false">IF(OR(F34="",F31=""),"",(F34/F31)^4-1)</f>
        <v>0.673557471674868</v>
      </c>
      <c r="Q34" s="13" t="n">
        <f aca="false">IF(E34="","",IFERROR(E34/INDEX($E:$E,MATCH(C34-1&amp;"-12",$B:$B,0))-1,""))</f>
        <v>0.175617402805931</v>
      </c>
    </row>
    <row r="35" customFormat="false" ht="15" hidden="false" customHeight="false" outlineLevel="0" collapsed="false">
      <c r="B35" s="7" t="s">
        <v>77</v>
      </c>
      <c r="C35" s="8" t="n">
        <v>2021</v>
      </c>
      <c r="D35" s="9" t="n">
        <v>5</v>
      </c>
      <c r="E35" s="10" t="n">
        <v>468.725</v>
      </c>
      <c r="F35" s="10" t="n">
        <v>477.9293</v>
      </c>
      <c r="G35" s="11"/>
      <c r="H35" s="11"/>
      <c r="I35" s="12" t="n">
        <f aca="false">IF(OR(E35="",E34=""),"",E35/E34-1)</f>
        <v>0.0332297807363955</v>
      </c>
      <c r="J35" s="12" t="n">
        <f aca="false">IF(OR(F35="",F34=""),"",F35/F34-1)</f>
        <v>0.0347975069382829</v>
      </c>
      <c r="K35" s="12" t="str">
        <f aca="false">IF(OR(G35="",G34=""),"",G35/G34-1)</f>
        <v/>
      </c>
      <c r="L35" s="12" t="str">
        <f aca="false">IF(OR(H35="",H34=""),"",H35/H34-1)</f>
        <v/>
      </c>
      <c r="M35" s="13" t="n">
        <f aca="false">IF(OR(E35="",E23=""),"",E35/E23-1)</f>
        <v>0.488447286467475</v>
      </c>
      <c r="N35" s="13" t="n">
        <f aca="false">IF(OR(F35="",F23=""),"",F35/F23-1)</f>
        <v>0.525373620218339</v>
      </c>
      <c r="O35" s="13" t="n">
        <f aca="false">IF(OR(E35="",E32=""),"",(E35/E32)^4-1)</f>
        <v>0.613934713326129</v>
      </c>
      <c r="P35" s="13" t="n">
        <f aca="false">IF(OR(F35="",F32=""),"",(F35/F32)^4-1)</f>
        <v>0.635929587228761</v>
      </c>
      <c r="Q35" s="13" t="n">
        <f aca="false">IF(E35="","",IFERROR(E35/INDEX($E:$E,MATCH(C35-1&amp;"-12",$B:$B,0))-1,""))</f>
        <v>0.214682911331063</v>
      </c>
    </row>
    <row r="36" customFormat="false" ht="15" hidden="false" customHeight="false" outlineLevel="0" collapsed="false">
      <c r="B36" s="7" t="s">
        <v>78</v>
      </c>
      <c r="C36" s="8" t="n">
        <v>2021</v>
      </c>
      <c r="D36" s="9" t="n">
        <v>6</v>
      </c>
      <c r="E36" s="10" t="n">
        <v>483.6049</v>
      </c>
      <c r="F36" s="10" t="n">
        <v>495.1809</v>
      </c>
      <c r="G36" s="11"/>
      <c r="H36" s="11"/>
      <c r="I36" s="12" t="n">
        <f aca="false">IF(OR(E36="",E35=""),"",E36/E35-1)</f>
        <v>0.0317454797589205</v>
      </c>
      <c r="J36" s="12" t="n">
        <f aca="false">IF(OR(F36="",F35=""),"",F36/F35-1)</f>
        <v>0.0360965523561749</v>
      </c>
      <c r="K36" s="12" t="str">
        <f aca="false">IF(OR(G36="",G35=""),"",G36/G35-1)</f>
        <v/>
      </c>
      <c r="L36" s="12" t="str">
        <f aca="false">IF(OR(H36="",H35=""),"",H36/H35-1)</f>
        <v/>
      </c>
      <c r="M36" s="13" t="n">
        <f aca="false">IF(OR(E36="",E24=""),"",E36/E24-1)</f>
        <v>0.502000783914716</v>
      </c>
      <c r="N36" s="13" t="n">
        <f aca="false">IF(OR(F36="",F24=""),"",F36/F24-1)</f>
        <v>0.544672934395971</v>
      </c>
      <c r="O36" s="13" t="n">
        <f aca="false">IF(OR(E36="",E33=""),"",(E36/E33)^4-1)</f>
        <v>0.515486228867292</v>
      </c>
      <c r="P36" s="13" t="n">
        <f aca="false">IF(OR(F36="",F33=""),"",(F36/F33)^4-1)</f>
        <v>0.579309636598979</v>
      </c>
      <c r="Q36" s="13" t="n">
        <f aca="false">IF(E36="","",IFERROR(E36/INDEX($E:$E,MATCH(C36-1&amp;"-12",$B:$B,0))-1,""))</f>
        <v>0.25324360310623</v>
      </c>
    </row>
    <row r="37" customFormat="false" ht="15" hidden="false" customHeight="false" outlineLevel="0" collapsed="false">
      <c r="B37" s="7" t="s">
        <v>79</v>
      </c>
      <c r="C37" s="8" t="n">
        <v>2021</v>
      </c>
      <c r="D37" s="9" t="n">
        <v>7</v>
      </c>
      <c r="E37" s="10" t="n">
        <v>498.0987</v>
      </c>
      <c r="F37" s="10" t="n">
        <v>510.6974</v>
      </c>
      <c r="G37" s="11"/>
      <c r="H37" s="11"/>
      <c r="I37" s="12" t="n">
        <f aca="false">IF(OR(E37="",E36=""),"",E37/E36-1)</f>
        <v>0.0299703332203625</v>
      </c>
      <c r="J37" s="12" t="n">
        <f aca="false">IF(OR(F37="",F36=""),"",F37/F36-1)</f>
        <v>0.0313350131234869</v>
      </c>
      <c r="K37" s="12" t="str">
        <f aca="false">IF(OR(G37="",G36=""),"",G37/G36-1)</f>
        <v/>
      </c>
      <c r="L37" s="12" t="str">
        <f aca="false">IF(OR(H37="",H36=""),"",H37/H36-1)</f>
        <v/>
      </c>
      <c r="M37" s="13" t="n">
        <f aca="false">IF(OR(E37="",E25=""),"",E37/E25-1)</f>
        <v>0.517661716251058</v>
      </c>
      <c r="N37" s="13" t="n">
        <f aca="false">IF(OR(F37="",F25=""),"",F37/F25-1)</f>
        <v>0.553715412771076</v>
      </c>
      <c r="O37" s="13" t="n">
        <f aca="false">IF(OR(E37="",E34=""),"",(E37/E34)^4-1)</f>
        <v>0.453372114985472</v>
      </c>
      <c r="P37" s="13" t="n">
        <f aca="false">IF(OR(F37="",F34=""),"",(F37/F34)^4-1)</f>
        <v>0.494932065049585</v>
      </c>
      <c r="Q37" s="13" t="n">
        <f aca="false">IF(E37="","",IFERROR(E37/INDEX($E:$E,MATCH(C37-1&amp;"-12",$B:$B,0))-1,""))</f>
        <v>0.290803731497611</v>
      </c>
    </row>
    <row r="38" customFormat="false" ht="15" hidden="false" customHeight="false" outlineLevel="0" collapsed="false">
      <c r="B38" s="7" t="s">
        <v>80</v>
      </c>
      <c r="C38" s="8" t="n">
        <v>2021</v>
      </c>
      <c r="D38" s="9" t="n">
        <v>8</v>
      </c>
      <c r="E38" s="10" t="n">
        <v>510.3942</v>
      </c>
      <c r="F38" s="10" t="n">
        <v>526.6934</v>
      </c>
      <c r="G38" s="11"/>
      <c r="H38" s="11"/>
      <c r="I38" s="12" t="n">
        <f aca="false">IF(OR(E38="",E37=""),"",E38/E37-1)</f>
        <v>0.0246848666740147</v>
      </c>
      <c r="J38" s="12" t="n">
        <f aca="false">IF(OR(F38="",F37=""),"",F38/F37-1)</f>
        <v>0.0313218747540127</v>
      </c>
      <c r="K38" s="12" t="str">
        <f aca="false">IF(OR(G38="",G37=""),"",G38/G37-1)</f>
        <v/>
      </c>
      <c r="L38" s="12" t="str">
        <f aca="false">IF(OR(H38="",H37=""),"",H38/H37-1)</f>
        <v/>
      </c>
      <c r="M38" s="13" t="n">
        <f aca="false">IF(OR(E38="",E26=""),"",E38/E26-1)</f>
        <v>0.514238872709925</v>
      </c>
      <c r="N38" s="13" t="n">
        <f aca="false">IF(OR(F38="",F26=""),"",F38/F26-1)</f>
        <v>0.555206996895157</v>
      </c>
      <c r="O38" s="13" t="n">
        <f aca="false">IF(OR(E38="",E35=""),"",(E38/E35)^4-1)</f>
        <v>0.405887116530358</v>
      </c>
      <c r="P38" s="13" t="n">
        <f aca="false">IF(OR(F38="",F35=""),"",(F38/F35)^4-1)</f>
        <v>0.474948579494711</v>
      </c>
      <c r="Q38" s="13" t="n">
        <f aca="false">IF(E38="","",IFERROR(E38/INDEX($E:$E,MATCH(C38-1&amp;"-12",$B:$B,0))-1,""))</f>
        <v>0.32266704951195</v>
      </c>
    </row>
    <row r="39" customFormat="false" ht="15" hidden="false" customHeight="false" outlineLevel="0" collapsed="false">
      <c r="B39" s="7" t="s">
        <v>81</v>
      </c>
      <c r="C39" s="8" t="n">
        <v>2021</v>
      </c>
      <c r="D39" s="9" t="n">
        <v>9</v>
      </c>
      <c r="E39" s="10" t="n">
        <v>528.4968</v>
      </c>
      <c r="F39" s="10" t="n">
        <v>543.8748</v>
      </c>
      <c r="G39" s="11"/>
      <c r="H39" s="11"/>
      <c r="I39" s="12" t="n">
        <f aca="false">IF(OR(E39="",E38=""),"",E39/E38-1)</f>
        <v>0.0354678795331138</v>
      </c>
      <c r="J39" s="12" t="n">
        <f aca="false">IF(OR(F39="",F38=""),"",F39/F38-1)</f>
        <v>0.0326212555539904</v>
      </c>
      <c r="K39" s="12" t="str">
        <f aca="false">IF(OR(G39="",G38=""),"",G39/G38-1)</f>
        <v/>
      </c>
      <c r="L39" s="12" t="str">
        <f aca="false">IF(OR(H39="",H38=""),"",H39/H38-1)</f>
        <v/>
      </c>
      <c r="M39" s="13" t="n">
        <f aca="false">IF(OR(E39="",E27=""),"",E39/E27-1)</f>
        <v>0.524712170969593</v>
      </c>
      <c r="N39" s="13" t="n">
        <f aca="false">IF(OR(F39="",F27=""),"",F39/F27-1)</f>
        <v>0.569574414665047</v>
      </c>
      <c r="O39" s="13" t="n">
        <f aca="false">IF(OR(E39="",E36=""),"",(E39/E36)^4-1)</f>
        <v>0.426286192072446</v>
      </c>
      <c r="P39" s="13" t="n">
        <f aca="false">IF(OR(F39="",F36=""),"",(F39/F36)^4-1)</f>
        <v>0.45525870920192</v>
      </c>
      <c r="Q39" s="13" t="n">
        <f aca="false">IF(E39="","",IFERROR(E39/INDEX($E:$E,MATCH(C39-1&amp;"-12",$B:$B,0))-1,""))</f>
        <v>0.369579245086459</v>
      </c>
    </row>
    <row r="40" customFormat="false" ht="15" hidden="false" customHeight="false" outlineLevel="0" collapsed="false">
      <c r="B40" s="7" t="s">
        <v>82</v>
      </c>
      <c r="C40" s="8" t="n">
        <v>2021</v>
      </c>
      <c r="D40" s="9" t="n">
        <v>10</v>
      </c>
      <c r="E40" s="10" t="n">
        <v>547.0802</v>
      </c>
      <c r="F40" s="10" t="n">
        <v>561.2843</v>
      </c>
      <c r="G40" s="11"/>
      <c r="H40" s="11"/>
      <c r="I40" s="12" t="n">
        <f aca="false">IF(OR(E40="",E39=""),"",E40/E39-1)</f>
        <v>0.0351627483837178</v>
      </c>
      <c r="J40" s="12" t="n">
        <f aca="false">IF(OR(F40="",F39=""),"",F40/F39-1)</f>
        <v>0.0320101243889219</v>
      </c>
      <c r="K40" s="12" t="str">
        <f aca="false">IF(OR(G40="",G39=""),"",G40/G39-1)</f>
        <v/>
      </c>
      <c r="L40" s="12" t="str">
        <f aca="false">IF(OR(H40="",H39=""),"",H40/H39-1)</f>
        <v/>
      </c>
      <c r="M40" s="13" t="n">
        <f aca="false">IF(OR(E40="",E28=""),"",E40/E28-1)</f>
        <v>0.521116508228674</v>
      </c>
      <c r="N40" s="13" t="n">
        <f aca="false">IF(OR(F40="",F28=""),"",F40/F28-1)</f>
        <v>0.565651386935915</v>
      </c>
      <c r="O40" s="13" t="n">
        <f aca="false">IF(OR(E40="",E37=""),"",(E40/E37)^4-1)</f>
        <v>0.455265906784133</v>
      </c>
      <c r="P40" s="13" t="n">
        <f aca="false">IF(OR(F40="",F37=""),"",(F40/F37)^4-1)</f>
        <v>0.459072898133096</v>
      </c>
      <c r="Q40" s="13" t="n">
        <f aca="false">IF(E40="","",IFERROR(E40/INDEX($E:$E,MATCH(C40-1&amp;"-12",$B:$B,0))-1,""))</f>
        <v>0.417737415472996</v>
      </c>
    </row>
    <row r="41" customFormat="false" ht="15" hidden="false" customHeight="false" outlineLevel="0" collapsed="false">
      <c r="B41" s="7" t="s">
        <v>83</v>
      </c>
      <c r="C41" s="8" t="n">
        <v>2021</v>
      </c>
      <c r="D41" s="9" t="n">
        <v>11</v>
      </c>
      <c r="E41" s="10" t="n">
        <v>560.9184</v>
      </c>
      <c r="F41" s="10" t="n">
        <v>579.5414</v>
      </c>
      <c r="G41" s="11"/>
      <c r="H41" s="11"/>
      <c r="I41" s="12" t="n">
        <f aca="false">IF(OR(E41="",E40=""),"",E41/E40-1)</f>
        <v>0.0252946460135095</v>
      </c>
      <c r="J41" s="12" t="n">
        <f aca="false">IF(OR(F41="",F40=""),"",F41/F40-1)</f>
        <v>0.0325273662562804</v>
      </c>
      <c r="K41" s="12" t="str">
        <f aca="false">IF(OR(G41="",G40=""),"",G41/G40-1)</f>
        <v/>
      </c>
      <c r="L41" s="12" t="str">
        <f aca="false">IF(OR(H41="",H40=""),"",H41/H40-1)</f>
        <v/>
      </c>
      <c r="M41" s="13" t="n">
        <f aca="false">IF(OR(E41="",E29=""),"",E41/E29-1)</f>
        <v>0.51182345155033</v>
      </c>
      <c r="N41" s="13" t="n">
        <f aca="false">IF(OR(F41="",F29=""),"",F41/F29-1)</f>
        <v>0.555333998541123</v>
      </c>
      <c r="O41" s="13" t="n">
        <f aca="false">IF(OR(E41="",E38=""),"",(E41/E38)^4-1)</f>
        <v>0.458733054753089</v>
      </c>
      <c r="P41" s="13" t="n">
        <f aca="false">IF(OR(F41="",F38=""),"",(F41/F38)^4-1)</f>
        <v>0.465906792929119</v>
      </c>
      <c r="Q41" s="13" t="n">
        <f aca="false">IF(E41="","",IFERROR(E41/INDEX($E:$E,MATCH(C41-1&amp;"-12",$B:$B,0))-1,""))</f>
        <v>0.453598581537493</v>
      </c>
    </row>
    <row r="42" customFormat="false" ht="15" hidden="false" customHeight="false" outlineLevel="0" collapsed="false">
      <c r="B42" s="7" t="s">
        <v>84</v>
      </c>
      <c r="C42" s="8" t="n">
        <v>2021</v>
      </c>
      <c r="D42" s="9" t="n">
        <v>12</v>
      </c>
      <c r="E42" s="10" t="n">
        <v>582.4575</v>
      </c>
      <c r="F42" s="10" t="n">
        <v>605.1759</v>
      </c>
      <c r="G42" s="11"/>
      <c r="H42" s="11"/>
      <c r="I42" s="12" t="n">
        <f aca="false">IF(OR(E42="",E41=""),"",E42/E41-1)</f>
        <v>0.0383997030584127</v>
      </c>
      <c r="J42" s="12" t="n">
        <f aca="false">IF(OR(F42="",F41=""),"",F42/F41-1)</f>
        <v>0.0442323878846274</v>
      </c>
      <c r="K42" s="12" t="str">
        <f aca="false">IF(OR(G42="",G41=""),"",G42/G41-1)</f>
        <v/>
      </c>
      <c r="L42" s="12" t="str">
        <f aca="false">IF(OR(H42="",H41=""),"",H42/H41-1)</f>
        <v/>
      </c>
      <c r="M42" s="13" t="n">
        <f aca="false">IF(OR(E42="",E30=""),"",E42/E30-1)</f>
        <v>0.509416335434663</v>
      </c>
      <c r="N42" s="13" t="n">
        <f aca="false">IF(OR(F42="",F30=""),"",F42/F30-1)</f>
        <v>0.548693270004645</v>
      </c>
      <c r="O42" s="13" t="n">
        <f aca="false">IF(OR(E42="",E39=""),"",(E42/E39)^4-1)</f>
        <v>0.475324379531734</v>
      </c>
      <c r="P42" s="13" t="n">
        <f aca="false">IF(OR(F42="",F39=""),"",(F42/F39)^4-1)</f>
        <v>0.532959751877436</v>
      </c>
      <c r="Q42" s="13" t="n">
        <f aca="false">IF(E42="","",IFERROR(E42/INDEX($E:$E,MATCH(C42-1&amp;"-12",$B:$B,0))-1,""))</f>
        <v>0.509416335434663</v>
      </c>
    </row>
    <row r="43" customFormat="false" ht="15" hidden="false" customHeight="false" outlineLevel="0" collapsed="false">
      <c r="B43" s="7" t="s">
        <v>85</v>
      </c>
      <c r="C43" s="8" t="n">
        <v>2022</v>
      </c>
      <c r="D43" s="9" t="n">
        <v>1</v>
      </c>
      <c r="E43" s="10" t="n">
        <v>605.0317</v>
      </c>
      <c r="F43" s="10" t="n">
        <v>625.1594</v>
      </c>
      <c r="G43" s="10" t="n">
        <v>512.3766</v>
      </c>
      <c r="H43" s="10" t="n">
        <v>658.2543</v>
      </c>
      <c r="I43" s="12" t="n">
        <f aca="false">IF(OR(E43="",E42=""),"",E43/E42-1)</f>
        <v>0.0387568191670638</v>
      </c>
      <c r="J43" s="12" t="n">
        <f aca="false">IF(OR(F43="",F42=""),"",F43/F42-1)</f>
        <v>0.0330209778677573</v>
      </c>
      <c r="K43" s="12" t="str">
        <f aca="false">IF(OR(G43="",G42=""),"",G43/G42-1)</f>
        <v/>
      </c>
      <c r="L43" s="12" t="str">
        <f aca="false">IF(OR(H43="",H42=""),"",H43/H42-1)</f>
        <v/>
      </c>
      <c r="M43" s="13" t="n">
        <f aca="false">IF(OR(E43="",E31=""),"",E43/E31-1)</f>
        <v>0.50690162141591</v>
      </c>
      <c r="N43" s="13" t="n">
        <f aca="false">IF(OR(F43="",F31=""),"",F43/F31-1)</f>
        <v>0.539545898045497</v>
      </c>
      <c r="O43" s="13" t="n">
        <f aca="false">IF(OR(E43="",E40=""),"",(E43/E40)^4-1)</f>
        <v>0.495920557770185</v>
      </c>
      <c r="P43" s="13" t="n">
        <f aca="false">IF(OR(F43="",F40=""),"",(F43/F40)^4-1)</f>
        <v>0.538974715854765</v>
      </c>
      <c r="Q43" s="13" t="n">
        <f aca="false">IF(E43="","",IFERROR(E43/INDEX($E:$E,MATCH(C43-1&amp;"-12",$B:$B,0))-1,""))</f>
        <v>0.0387568191670638</v>
      </c>
    </row>
    <row r="44" customFormat="false" ht="15" hidden="false" customHeight="false" outlineLevel="0" collapsed="false">
      <c r="B44" s="7" t="s">
        <v>86</v>
      </c>
      <c r="C44" s="8" t="n">
        <v>2022</v>
      </c>
      <c r="D44" s="9" t="n">
        <v>2</v>
      </c>
      <c r="E44" s="10" t="n">
        <v>633.4341</v>
      </c>
      <c r="F44" s="10" t="n">
        <v>652.9838</v>
      </c>
      <c r="G44" s="10" t="n">
        <v>528.2683</v>
      </c>
      <c r="H44" s="10" t="n">
        <v>713.7013</v>
      </c>
      <c r="I44" s="12" t="n">
        <f aca="false">IF(OR(E44="",E43=""),"",E44/E43-1)</f>
        <v>0.04694365601009</v>
      </c>
      <c r="J44" s="12" t="n">
        <f aca="false">IF(OR(F44="",F43=""),"",F44/F43-1)</f>
        <v>0.0445076887590588</v>
      </c>
      <c r="K44" s="12" t="n">
        <f aca="false">IF(OR(G44="",G43=""),"",G44/G43-1)</f>
        <v>0.0310156630884391</v>
      </c>
      <c r="L44" s="12" t="n">
        <f aca="false">IF(OR(H44="",H43=""),"",H44/H43-1)</f>
        <v>0.0842334034126324</v>
      </c>
      <c r="M44" s="13" t="n">
        <f aca="false">IF(OR(E44="",E32=""),"",E44/E32-1)</f>
        <v>0.523192568643977</v>
      </c>
      <c r="N44" s="13" t="n">
        <f aca="false">IF(OR(F44="",F32=""),"",F44/F32-1)</f>
        <v>0.545182932427687</v>
      </c>
      <c r="O44" s="13" t="n">
        <f aca="false">IF(OR(E44="",E41=""),"",(E44/E41)^4-1)</f>
        <v>0.626323774779677</v>
      </c>
      <c r="P44" s="13" t="n">
        <f aca="false">IF(OR(F44="",F41=""),"",(F44/F41)^4-1)</f>
        <v>0.611653832746951</v>
      </c>
      <c r="Q44" s="13" t="n">
        <f aca="false">IF(E44="","",IFERROR(E44/INDEX($E:$E,MATCH(C44-1&amp;"-12",$B:$B,0))-1,""))</f>
        <v>0.0875198619641775</v>
      </c>
    </row>
    <row r="45" customFormat="false" ht="15" hidden="false" customHeight="false" outlineLevel="0" collapsed="false">
      <c r="B45" s="7" t="s">
        <v>87</v>
      </c>
      <c r="C45" s="8" t="n">
        <v>2022</v>
      </c>
      <c r="D45" s="9" t="n">
        <v>3</v>
      </c>
      <c r="E45" s="10" t="n">
        <v>676.0566</v>
      </c>
      <c r="F45" s="10" t="n">
        <v>694.7515</v>
      </c>
      <c r="G45" s="10" t="n">
        <v>572.7992</v>
      </c>
      <c r="H45" s="10" t="n">
        <v>757.8963</v>
      </c>
      <c r="I45" s="12" t="n">
        <f aca="false">IF(OR(E45="",E44=""),"",E45/E44-1)</f>
        <v>0.0672879783390254</v>
      </c>
      <c r="J45" s="12" t="n">
        <f aca="false">IF(OR(F45="",F44=""),"",F45/F44-1)</f>
        <v>0.0639643740013152</v>
      </c>
      <c r="K45" s="12" t="n">
        <f aca="false">IF(OR(G45="",G44=""),"",G45/G44-1)</f>
        <v>0.0842959912605017</v>
      </c>
      <c r="L45" s="12" t="n">
        <f aca="false">IF(OR(H45="",H44=""),"",H45/H44-1)</f>
        <v>0.0619236647039876</v>
      </c>
      <c r="M45" s="13" t="n">
        <f aca="false">IF(OR(E45="",E33=""),"",E45/E33-1)</f>
        <v>0.551066303221382</v>
      </c>
      <c r="N45" s="13" t="n">
        <f aca="false">IF(OR(F45="",F33=""),"",F45/F33-1)</f>
        <v>0.572832337227203</v>
      </c>
      <c r="O45" s="13" t="n">
        <f aca="false">IF(OR(E45="",E42=""),"",(E45/E42)^4-1)</f>
        <v>0.814994279236313</v>
      </c>
      <c r="P45" s="13" t="n">
        <f aca="false">IF(OR(F45="",F42=""),"",(F45/F42)^4-1)</f>
        <v>0.736966624080022</v>
      </c>
      <c r="Q45" s="13" t="n">
        <f aca="false">IF(E45="","",IFERROR(E45/INDEX($E:$E,MATCH(C45-1&amp;"-12",$B:$B,0))-1,""))</f>
        <v>0.160696874879283</v>
      </c>
    </row>
    <row r="46" customFormat="false" ht="15" hidden="false" customHeight="false" outlineLevel="0" collapsed="false">
      <c r="B46" s="7" t="s">
        <v>88</v>
      </c>
      <c r="C46" s="8" t="n">
        <v>2022</v>
      </c>
      <c r="D46" s="9" t="n">
        <v>4</v>
      </c>
      <c r="E46" s="10" t="n">
        <v>716.9399</v>
      </c>
      <c r="F46" s="10" t="n">
        <v>741.3622</v>
      </c>
      <c r="G46" s="10" t="n">
        <v>595.2223</v>
      </c>
      <c r="H46" s="10" t="n">
        <v>799.0308</v>
      </c>
      <c r="I46" s="12" t="n">
        <f aca="false">IF(OR(E46="",E45=""),"",E46/E45-1)</f>
        <v>0.0604731911499716</v>
      </c>
      <c r="J46" s="12" t="n">
        <f aca="false">IF(OR(F46="",F45=""),"",F46/F45-1)</f>
        <v>0.0670897435989704</v>
      </c>
      <c r="K46" s="12" t="n">
        <f aca="false">IF(OR(G46="",G45=""),"",G46/G45-1)</f>
        <v>0.0391465281376091</v>
      </c>
      <c r="L46" s="12" t="n">
        <f aca="false">IF(OR(H46="",H45=""),"",H46/H45-1)</f>
        <v>0.054274575558688</v>
      </c>
      <c r="M46" s="13" t="n">
        <f aca="false">IF(OR(E46="",E34=""),"",E46/E34-1)</f>
        <v>0.580380085718008</v>
      </c>
      <c r="N46" s="13" t="n">
        <f aca="false">IF(OR(F46="",F34=""),"",F46/F34-1)</f>
        <v>0.605174146674583</v>
      </c>
      <c r="O46" s="13" t="n">
        <f aca="false">IF(OR(E46="",E43=""),"",(E46/E43)^4-1)</f>
        <v>0.971598527557248</v>
      </c>
      <c r="P46" s="13" t="n">
        <f aca="false">IF(OR(F46="",F43=""),"",(F46/F43)^4-1)</f>
        <v>0.977692162291522</v>
      </c>
      <c r="Q46" s="13" t="n">
        <f aca="false">IF(E46="","",IFERROR(E46/INDEX($E:$E,MATCH(C46-1&amp;"-12",$B:$B,0))-1,""))</f>
        <v>0.230887918861033</v>
      </c>
    </row>
    <row r="47" customFormat="false" ht="15" hidden="false" customHeight="false" outlineLevel="0" collapsed="false">
      <c r="B47" s="7" t="s">
        <v>89</v>
      </c>
      <c r="C47" s="8" t="n">
        <v>2022</v>
      </c>
      <c r="D47" s="9" t="n">
        <v>5</v>
      </c>
      <c r="E47" s="10" t="n">
        <v>753.147</v>
      </c>
      <c r="F47" s="10" t="n">
        <v>779.9267</v>
      </c>
      <c r="G47" s="10" t="n">
        <v>629.0029</v>
      </c>
      <c r="H47" s="10" t="n">
        <v>825.8088</v>
      </c>
      <c r="I47" s="12" t="n">
        <f aca="false">IF(OR(E47="",E46=""),"",E47/E46-1)</f>
        <v>0.0505022805956261</v>
      </c>
      <c r="J47" s="12" t="n">
        <f aca="false">IF(OR(F47="",F46=""),"",F47/F46-1)</f>
        <v>0.0520184330951861</v>
      </c>
      <c r="K47" s="12" t="n">
        <f aca="false">IF(OR(G47="",G46=""),"",G47/G46-1)</f>
        <v>0.0567529139953256</v>
      </c>
      <c r="L47" s="12" t="n">
        <f aca="false">IF(OR(H47="",H46=""),"",H47/H46-1)</f>
        <v>0.0335131011220093</v>
      </c>
      <c r="M47" s="13" t="n">
        <f aca="false">IF(OR(E47="",E35=""),"",E47/E35-1)</f>
        <v>0.606799295962451</v>
      </c>
      <c r="N47" s="13" t="n">
        <f aca="false">IF(OR(F47="",F35=""),"",F47/F35-1)</f>
        <v>0.631887184987403</v>
      </c>
      <c r="O47" s="13" t="n">
        <f aca="false">IF(OR(E47="",E44=""),"",(E47/E44)^4-1)</f>
        <v>0.998541840911166</v>
      </c>
      <c r="P47" s="13" t="n">
        <f aca="false">IF(OR(F47="",F44=""),"",(F47/F44)^4-1)</f>
        <v>1.03519264866728</v>
      </c>
      <c r="Q47" s="13" t="n">
        <f aca="false">IF(E47="","",IFERROR(E47/INDEX($E:$E,MATCH(C47-1&amp;"-12",$B:$B,0))-1,""))</f>
        <v>0.293050565921119</v>
      </c>
    </row>
    <row r="48" customFormat="false" ht="15" hidden="false" customHeight="false" outlineLevel="0" collapsed="false">
      <c r="B48" s="7" t="s">
        <v>90</v>
      </c>
      <c r="C48" s="8" t="n">
        <v>2022</v>
      </c>
      <c r="D48" s="9" t="n">
        <v>6</v>
      </c>
      <c r="E48" s="10" t="n">
        <v>793.0278</v>
      </c>
      <c r="F48" s="10" t="n">
        <v>819.5734</v>
      </c>
      <c r="G48" s="10" t="n">
        <v>662.0938</v>
      </c>
      <c r="H48" s="10" t="n">
        <v>880.3186</v>
      </c>
      <c r="I48" s="12" t="n">
        <f aca="false">IF(OR(E48="",E47=""),"",E48/E47-1)</f>
        <v>0.0529522125162816</v>
      </c>
      <c r="J48" s="12" t="n">
        <f aca="false">IF(OR(F48="",F47=""),"",F48/F47-1)</f>
        <v>0.0508338796453565</v>
      </c>
      <c r="K48" s="12" t="n">
        <f aca="false">IF(OR(G48="",G47=""),"",G48/G47-1)</f>
        <v>0.0526085014870361</v>
      </c>
      <c r="L48" s="12" t="n">
        <f aca="false">IF(OR(H48="",H47=""),"",H48/H47-1)</f>
        <v>0.0660077732278948</v>
      </c>
      <c r="M48" s="13" t="n">
        <f aca="false">IF(OR(E48="",E36=""),"",E48/E36-1)</f>
        <v>0.639825816487798</v>
      </c>
      <c r="N48" s="13" t="n">
        <f aca="false">IF(OR(F48="",F36=""),"",F48/F36-1)</f>
        <v>0.655098974940269</v>
      </c>
      <c r="O48" s="13" t="n">
        <f aca="false">IF(OR(E48="",E45=""),"",(E48/E45)^4-1)</f>
        <v>0.893308655045554</v>
      </c>
      <c r="P48" s="13" t="n">
        <f aca="false">IF(OR(F48="",F45=""),"",(F48/F45)^4-1)</f>
        <v>0.936571096560802</v>
      </c>
      <c r="Q48" s="13" t="n">
        <f aca="false">IF(E48="","",IFERROR(E48/INDEX($E:$E,MATCH(C48-1&amp;"-12",$B:$B,0))-1,""))</f>
        <v>0.361520454282072</v>
      </c>
    </row>
    <row r="49" customFormat="false" ht="15" hidden="false" customHeight="false" outlineLevel="0" collapsed="false">
      <c r="B49" s="7" t="s">
        <v>91</v>
      </c>
      <c r="C49" s="8" t="n">
        <v>2022</v>
      </c>
      <c r="D49" s="9" t="n">
        <v>7</v>
      </c>
      <c r="E49" s="10" t="n">
        <v>851.761</v>
      </c>
      <c r="F49" s="10" t="n">
        <v>879.6383</v>
      </c>
      <c r="G49" s="10" t="n">
        <v>694.6115</v>
      </c>
      <c r="H49" s="10" t="n">
        <v>979.7957</v>
      </c>
      <c r="I49" s="12" t="n">
        <f aca="false">IF(OR(E49="",E48=""),"",E49/E48-1)</f>
        <v>0.0740619685715935</v>
      </c>
      <c r="J49" s="12" t="n">
        <f aca="false">IF(OR(F49="",F48=""),"",F49/F48-1)</f>
        <v>0.073288005686861</v>
      </c>
      <c r="K49" s="12" t="n">
        <f aca="false">IF(OR(G49="",G48=""),"",G49/G48-1)</f>
        <v>0.0491134337763017</v>
      </c>
      <c r="L49" s="12" t="n">
        <f aca="false">IF(OR(H49="",H48=""),"",H49/H48-1)</f>
        <v>0.113001247502893</v>
      </c>
      <c r="M49" s="13" t="n">
        <f aca="false">IF(OR(E49="",E37=""),"",E49/E37-1)</f>
        <v>0.710024539313192</v>
      </c>
      <c r="N49" s="13" t="n">
        <f aca="false">IF(OR(F49="",F37=""),"",F49/F37-1)</f>
        <v>0.722425647751486</v>
      </c>
      <c r="O49" s="13" t="n">
        <f aca="false">IF(OR(E49="",E46=""),"",(E49/E46)^4-1)</f>
        <v>0.992232405428942</v>
      </c>
      <c r="P49" s="13" t="n">
        <f aca="false">IF(OR(F49="",F46=""),"",(F49/F46)^4-1)</f>
        <v>0.981959460442701</v>
      </c>
      <c r="Q49" s="13" t="n">
        <f aca="false">IF(E49="","",IFERROR(E49/INDEX($E:$E,MATCH(C49-1&amp;"-12",$B:$B,0))-1,""))</f>
        <v>0.462357339376693</v>
      </c>
    </row>
    <row r="50" customFormat="false" ht="15" hidden="false" customHeight="false" outlineLevel="0" collapsed="false">
      <c r="B50" s="7" t="s">
        <v>92</v>
      </c>
      <c r="C50" s="8" t="n">
        <v>2022</v>
      </c>
      <c r="D50" s="9" t="n">
        <v>8</v>
      </c>
      <c r="E50" s="10" t="n">
        <v>911.1316</v>
      </c>
      <c r="F50" s="10" t="n">
        <v>939.4677</v>
      </c>
      <c r="G50" s="10" t="n">
        <v>738.3105</v>
      </c>
      <c r="H50" s="10" t="n">
        <v>1064.731</v>
      </c>
      <c r="I50" s="12" t="n">
        <f aca="false">IF(OR(E50="",E49=""),"",E50/E49-1)</f>
        <v>0.0697033557535507</v>
      </c>
      <c r="J50" s="12" t="n">
        <f aca="false">IF(OR(F50="",F49=""),"",F50/F49-1)</f>
        <v>0.06801591063054</v>
      </c>
      <c r="K50" s="12" t="n">
        <f aca="false">IF(OR(G50="",G49=""),"",G50/G49-1)</f>
        <v>0.0629114260273549</v>
      </c>
      <c r="L50" s="12" t="n">
        <f aca="false">IF(OR(H50="",H49=""),"",H50/H49-1)</f>
        <v>0.0866867450020448</v>
      </c>
      <c r="M50" s="13" t="n">
        <f aca="false">IF(OR(E50="",E38=""),"",E50/E38-1)</f>
        <v>0.785152730967554</v>
      </c>
      <c r="N50" s="13" t="n">
        <f aca="false">IF(OR(F50="",F38=""),"",F50/F38-1)</f>
        <v>0.783708890219623</v>
      </c>
      <c r="O50" s="13" t="n">
        <f aca="false">IF(OR(E50="",E47=""),"",(E50/E47)^4-1)</f>
        <v>1.14193079387891</v>
      </c>
      <c r="P50" s="13" t="n">
        <f aca="false">IF(OR(F50="",F47=""),"",(F50/F47)^4-1)</f>
        <v>1.10529160968689</v>
      </c>
      <c r="Q50" s="13" t="n">
        <f aca="false">IF(E50="","",IFERROR(E50/INDEX($E:$E,MATCH(C50-1&amp;"-12",$B:$B,0))-1,""))</f>
        <v>0.564288553242082</v>
      </c>
    </row>
    <row r="51" customFormat="false" ht="15" hidden="false" customHeight="false" outlineLevel="0" collapsed="false">
      <c r="B51" s="7" t="s">
        <v>93</v>
      </c>
      <c r="C51" s="8" t="n">
        <v>2022</v>
      </c>
      <c r="D51" s="9" t="n">
        <v>9</v>
      </c>
      <c r="E51" s="10" t="n">
        <v>967.3076</v>
      </c>
      <c r="F51" s="10" t="n">
        <v>991.2585</v>
      </c>
      <c r="G51" s="10" t="n">
        <v>771.8891</v>
      </c>
      <c r="H51" s="10" t="n">
        <v>1189.6609</v>
      </c>
      <c r="I51" s="12" t="n">
        <f aca="false">IF(OR(E51="",E50=""),"",E51/E50-1)</f>
        <v>0.0616551988757716</v>
      </c>
      <c r="J51" s="12" t="n">
        <f aca="false">IF(OR(F51="",F50=""),"",F51/F50-1)</f>
        <v>0.0551278133351472</v>
      </c>
      <c r="K51" s="12" t="n">
        <f aca="false">IF(OR(G51="",G50=""),"",G51/G50-1)</f>
        <v>0.0454803229806429</v>
      </c>
      <c r="L51" s="12" t="n">
        <f aca="false">IF(OR(H51="",H50=""),"",H51/H50-1)</f>
        <v>0.117334707076248</v>
      </c>
      <c r="M51" s="13" t="n">
        <f aca="false">IF(OR(E51="",E39=""),"",E51/E39-1)</f>
        <v>0.830299823953522</v>
      </c>
      <c r="N51" s="13" t="n">
        <f aca="false">IF(OR(F51="",F39=""),"",F51/F39-1)</f>
        <v>0.822585823060748</v>
      </c>
      <c r="O51" s="13" t="n">
        <f aca="false">IF(OR(E51="",E48=""),"",(E51/E48)^4-1)</f>
        <v>1.21362857279673</v>
      </c>
      <c r="P51" s="13" t="n">
        <f aca="false">IF(OR(F51="",F48=""),"",(F51/F48)^4-1)</f>
        <v>1.13991379999664</v>
      </c>
      <c r="Q51" s="13" t="n">
        <f aca="false">IF(E51="","",IFERROR(E51/INDEX($E:$E,MATCH(C51-1&amp;"-12",$B:$B,0))-1,""))</f>
        <v>0.660735075091316</v>
      </c>
    </row>
    <row r="52" customFormat="false" ht="15" hidden="false" customHeight="false" outlineLevel="0" collapsed="false">
      <c r="B52" s="7" t="s">
        <v>94</v>
      </c>
      <c r="C52" s="8" t="n">
        <v>2022</v>
      </c>
      <c r="D52" s="9" t="n">
        <v>10</v>
      </c>
      <c r="E52" s="10" t="n">
        <v>1028.706</v>
      </c>
      <c r="F52" s="10" t="n">
        <v>1046.265</v>
      </c>
      <c r="G52" s="10" t="n">
        <v>829.1011</v>
      </c>
      <c r="H52" s="10" t="n">
        <v>1297.2889</v>
      </c>
      <c r="I52" s="12" t="n">
        <f aca="false">IF(OR(E52="",E51=""),"",E52/E51-1)</f>
        <v>0.0634735010869345</v>
      </c>
      <c r="J52" s="12" t="n">
        <f aca="false">IF(OR(F52="",F51=""),"",F52/F51-1)</f>
        <v>0.0554915796434534</v>
      </c>
      <c r="K52" s="12" t="n">
        <f aca="false">IF(OR(G52="",G51=""),"",G52/G51-1)</f>
        <v>0.0741194557611968</v>
      </c>
      <c r="L52" s="12" t="n">
        <f aca="false">IF(OR(H52="",H51=""),"",H52/H51-1)</f>
        <v>0.0904694774788344</v>
      </c>
      <c r="M52" s="13" t="n">
        <f aca="false">IF(OR(E52="",E40=""),"",E52/E40-1)</f>
        <v>0.880356847131371</v>
      </c>
      <c r="N52" s="13" t="n">
        <f aca="false">IF(OR(F52="",F40=""),"",F52/F40-1)</f>
        <v>0.864055345927189</v>
      </c>
      <c r="O52" s="13" t="n">
        <f aca="false">IF(OR(E52="",E49=""),"",(E52/E49)^4-1)</f>
        <v>1.1276201161908</v>
      </c>
      <c r="P52" s="13" t="n">
        <f aca="false">IF(OR(F52="",F49=""),"",(F52/F49)^4-1)</f>
        <v>1.00147544978253</v>
      </c>
      <c r="Q52" s="13" t="n">
        <f aca="false">IF(E52="","",IFERROR(E52/INDEX($E:$E,MATCH(C52-1&amp;"-12",$B:$B,0))-1,""))</f>
        <v>0.766147744685235</v>
      </c>
    </row>
    <row r="53" customFormat="false" ht="15" hidden="false" customHeight="false" outlineLevel="0" collapsed="false">
      <c r="B53" s="7" t="s">
        <v>95</v>
      </c>
      <c r="C53" s="8" t="n">
        <v>2022</v>
      </c>
      <c r="D53" s="9" t="n">
        <v>11</v>
      </c>
      <c r="E53" s="10" t="n">
        <v>1079.2787</v>
      </c>
      <c r="F53" s="10" t="n">
        <v>1096.024</v>
      </c>
      <c r="G53" s="10" t="n">
        <v>880.7676</v>
      </c>
      <c r="H53" s="10" t="n">
        <v>1350.5167</v>
      </c>
      <c r="I53" s="12" t="n">
        <f aca="false">IF(OR(E53="",E52=""),"",E53/E52-1)</f>
        <v>0.0491614708186792</v>
      </c>
      <c r="J53" s="12" t="n">
        <f aca="false">IF(OR(F53="",F52=""),"",F53/F52-1)</f>
        <v>0.0475586968884554</v>
      </c>
      <c r="K53" s="12" t="n">
        <f aca="false">IF(OR(G53="",G52=""),"",G53/G52-1)</f>
        <v>0.0623162844676</v>
      </c>
      <c r="L53" s="12" t="n">
        <f aca="false">IF(OR(H53="",H52=""),"",H53/H52-1)</f>
        <v>0.0410300280839526</v>
      </c>
      <c r="M53" s="13" t="n">
        <f aca="false">IF(OR(E53="",E41=""),"",E53/E41-1)</f>
        <v>0.92412782322705</v>
      </c>
      <c r="N53" s="13" t="n">
        <f aca="false">IF(OR(F53="",F41=""),"",F53/F41-1)</f>
        <v>0.891191897593511</v>
      </c>
      <c r="O53" s="13" t="n">
        <f aca="false">IF(OR(E53="",E50=""),"",(E53/E50)^4-1)</f>
        <v>0.968838022866729</v>
      </c>
      <c r="P53" s="13" t="n">
        <f aca="false">IF(OR(F53="",F50=""),"",(F53/F50)^4-1)</f>
        <v>0.852477082925321</v>
      </c>
      <c r="Q53" s="13" t="n">
        <f aca="false">IF(E53="","",IFERROR(E53/INDEX($E:$E,MATCH(C53-1&amp;"-12",$B:$B,0))-1,""))</f>
        <v>0.852974165497054</v>
      </c>
    </row>
    <row r="54" customFormat="false" ht="15" hidden="false" customHeight="false" outlineLevel="0" collapsed="false">
      <c r="B54" s="7" t="s">
        <v>96</v>
      </c>
      <c r="C54" s="8" t="n">
        <v>2022</v>
      </c>
      <c r="D54" s="9" t="n">
        <v>12</v>
      </c>
      <c r="E54" s="10" t="n">
        <v>1134.5875</v>
      </c>
      <c r="F54" s="10" t="n">
        <v>1153.5771</v>
      </c>
      <c r="G54" s="10" t="n">
        <v>925.7853</v>
      </c>
      <c r="H54" s="10" t="n">
        <v>1413.2059</v>
      </c>
      <c r="I54" s="12" t="n">
        <f aca="false">IF(OR(E54="",E53=""),"",E54/E53-1)</f>
        <v>0.0512460775886709</v>
      </c>
      <c r="J54" s="12" t="n">
        <f aca="false">IF(OR(F54="",F53=""),"",F54/F53-1)</f>
        <v>0.0525108026831531</v>
      </c>
      <c r="K54" s="12" t="n">
        <f aca="false">IF(OR(G54="",G53=""),"",G54/G53-1)</f>
        <v>0.0511118937617596</v>
      </c>
      <c r="L54" s="12" t="n">
        <f aca="false">IF(OR(H54="",H53=""),"",H54/H53-1)</f>
        <v>0.0464186781251947</v>
      </c>
      <c r="M54" s="13" t="n">
        <f aca="false">IF(OR(E54="",E42=""),"",E54/E42-1)</f>
        <v>0.947931823351919</v>
      </c>
      <c r="N54" s="13" t="n">
        <f aca="false">IF(OR(F54="",F42=""),"",F54/F42-1)</f>
        <v>0.906184796849974</v>
      </c>
      <c r="O54" s="13" t="n">
        <f aca="false">IF(OR(E54="",E51=""),"",(E54/E51)^4-1)</f>
        <v>0.892751409372143</v>
      </c>
      <c r="P54" s="13" t="n">
        <f aca="false">IF(OR(F54="",F51=""),"",(F54/F51)^4-1)</f>
        <v>0.834166711058757</v>
      </c>
      <c r="Q54" s="13" t="n">
        <f aca="false">IF(E54="","",IFERROR(E54/INDEX($E:$E,MATCH(C54-1&amp;"-12",$B:$B,0))-1,""))</f>
        <v>0.947931823351919</v>
      </c>
    </row>
    <row r="55" customFormat="false" ht="15" hidden="false" customHeight="false" outlineLevel="0" collapsed="false">
      <c r="B55" s="7" t="s">
        <v>97</v>
      </c>
      <c r="C55" s="8" t="n">
        <v>2023</v>
      </c>
      <c r="D55" s="9" t="n">
        <v>1</v>
      </c>
      <c r="E55" s="10" t="n">
        <v>1202.979</v>
      </c>
      <c r="F55" s="10" t="n">
        <v>1215.3182</v>
      </c>
      <c r="G55" s="10" t="n">
        <v>991.5192</v>
      </c>
      <c r="H55" s="10" t="n">
        <v>1525.1043</v>
      </c>
      <c r="I55" s="12" t="n">
        <f aca="false">IF(OR(E55="",E54=""),"",E55/E54-1)</f>
        <v>0.0602787356638426</v>
      </c>
      <c r="J55" s="12" t="n">
        <f aca="false">IF(OR(F55="",F54=""),"",F55/F54-1)</f>
        <v>0.0535214334611878</v>
      </c>
      <c r="K55" s="12" t="n">
        <f aca="false">IF(OR(G55="",G54=""),"",G55/G54-1)</f>
        <v>0.0710033957117271</v>
      </c>
      <c r="L55" s="12" t="n">
        <f aca="false">IF(OR(H55="",H54=""),"",H55/H54-1)</f>
        <v>0.0791805355468727</v>
      </c>
      <c r="M55" s="13" t="n">
        <f aca="false">IF(OR(E55="",E43=""),"",E55/E43-1)</f>
        <v>0.988290861454036</v>
      </c>
      <c r="N55" s="13" t="n">
        <f aca="false">IF(OR(F55="",F43=""),"",F55/F43-1)</f>
        <v>0.944013318843162</v>
      </c>
      <c r="O55" s="13" t="n">
        <f aca="false">IF(OR(E55="",E52=""),"",(E55/E52)^4-1)</f>
        <v>0.870109742467263</v>
      </c>
      <c r="P55" s="13" t="n">
        <f aca="false">IF(OR(F55="",F52=""),"",(F55/F52)^4-1)</f>
        <v>0.82051062238608</v>
      </c>
      <c r="Q55" s="13" t="n">
        <f aca="false">IF(E55="","",IFERROR(E55/INDEX($E:$E,MATCH(C55-1&amp;"-12",$B:$B,0))-1,""))</f>
        <v>0.0602787356638426</v>
      </c>
    </row>
    <row r="56" customFormat="false" ht="15" hidden="false" customHeight="false" outlineLevel="0" collapsed="false">
      <c r="B56" s="7" t="s">
        <v>98</v>
      </c>
      <c r="C56" s="8" t="n">
        <v>2023</v>
      </c>
      <c r="D56" s="9" t="n">
        <v>2</v>
      </c>
      <c r="E56" s="10" t="n">
        <v>1282.7091</v>
      </c>
      <c r="F56" s="10" t="n">
        <v>1308.7788</v>
      </c>
      <c r="G56" s="10" t="n">
        <v>1042.4951</v>
      </c>
      <c r="H56" s="10" t="n">
        <v>1575.9625</v>
      </c>
      <c r="I56" s="12" t="n">
        <f aca="false">IF(OR(E56="",E55=""),"",E56/E55-1)</f>
        <v>0.0662772168092709</v>
      </c>
      <c r="J56" s="12" t="n">
        <f aca="false">IF(OR(F56="",F55=""),"",F56/F55-1)</f>
        <v>0.0769021643878947</v>
      </c>
      <c r="K56" s="12" t="n">
        <f aca="false">IF(OR(G56="",G55=""),"",G56/G55-1)</f>
        <v>0.0514119141616221</v>
      </c>
      <c r="L56" s="12" t="n">
        <f aca="false">IF(OR(H56="",H55=""),"",H56/H55-1)</f>
        <v>0.0333473586036051</v>
      </c>
      <c r="M56" s="13" t="n">
        <f aca="false">IF(OR(E56="",E44=""),"",E56/E44-1)</f>
        <v>1.02500796846902</v>
      </c>
      <c r="N56" s="13" t="n">
        <f aca="false">IF(OR(F56="",F44=""),"",F56/F44-1)</f>
        <v>1.00430516040367</v>
      </c>
      <c r="O56" s="13" t="n">
        <f aca="false">IF(OR(E56="",E53=""),"",(E56/E53)^4-1)</f>
        <v>0.995162523168258</v>
      </c>
      <c r="P56" s="13" t="n">
        <f aca="false">IF(OR(F56="",F53=""),"",(F56/F53)^4-1)</f>
        <v>1.0332217630599</v>
      </c>
      <c r="Q56" s="13" t="n">
        <f aca="false">IF(E56="","",IFERROR(E56/INDEX($E:$E,MATCH(C56-1&amp;"-12",$B:$B,0))-1,""))</f>
        <v>0.130551059305695</v>
      </c>
    </row>
    <row r="57" customFormat="false" ht="15" hidden="false" customHeight="false" outlineLevel="0" collapsed="false">
      <c r="B57" s="7" t="s">
        <v>99</v>
      </c>
      <c r="C57" s="8" t="n">
        <v>2023</v>
      </c>
      <c r="D57" s="9" t="n">
        <v>3</v>
      </c>
      <c r="E57" s="10" t="n">
        <v>1381.1601</v>
      </c>
      <c r="F57" s="10" t="n">
        <v>1403.1434</v>
      </c>
      <c r="G57" s="10" t="n">
        <v>1128.8908</v>
      </c>
      <c r="H57" s="10" t="n">
        <v>1722.9662</v>
      </c>
      <c r="I57" s="12" t="n">
        <f aca="false">IF(OR(E57="",E56=""),"",E57/E56-1)</f>
        <v>0.0767523984978356</v>
      </c>
      <c r="J57" s="12" t="n">
        <f aca="false">IF(OR(F57="",F56=""),"",F57/F56-1)</f>
        <v>0.0721012595864174</v>
      </c>
      <c r="K57" s="12" t="n">
        <f aca="false">IF(OR(G57="",G56=""),"",G57/G56-1)</f>
        <v>0.082873962668985</v>
      </c>
      <c r="L57" s="12" t="n">
        <f aca="false">IF(OR(H57="",H56=""),"",H57/H56-1)</f>
        <v>0.0932786789025755</v>
      </c>
      <c r="M57" s="13" t="n">
        <f aca="false">IF(OR(E57="",E45=""),"",E57/E45-1)</f>
        <v>1.04296518960099</v>
      </c>
      <c r="N57" s="13" t="n">
        <f aca="false">IF(OR(F57="",F45=""),"",F57/F45-1)</f>
        <v>1.01963349485392</v>
      </c>
      <c r="O57" s="13" t="n">
        <f aca="false">IF(OR(E57="",E54=""),"",(E57/E54)^4-1)</f>
        <v>1.19595843916051</v>
      </c>
      <c r="P57" s="13" t="n">
        <f aca="false">IF(OR(F57="",F54=""),"",(F57/F54)^4-1)</f>
        <v>1.18887885851525</v>
      </c>
      <c r="Q57" s="13" t="n">
        <f aca="false">IF(E57="","",IFERROR(E57/INDEX($E:$E,MATCH(C57-1&amp;"-12",$B:$B,0))-1,""))</f>
        <v>0.217323564731676</v>
      </c>
    </row>
    <row r="58" customFormat="false" ht="15" hidden="false" customHeight="false" outlineLevel="0" collapsed="false">
      <c r="B58" s="7" t="s">
        <v>100</v>
      </c>
      <c r="C58" s="8" t="n">
        <v>2023</v>
      </c>
      <c r="D58" s="9" t="n">
        <v>4</v>
      </c>
      <c r="E58" s="10" t="n">
        <v>1497.2147</v>
      </c>
      <c r="F58" s="10" t="n">
        <v>1521.0163</v>
      </c>
      <c r="G58" s="10" t="n">
        <v>1184.1465</v>
      </c>
      <c r="H58" s="10" t="n">
        <v>1940.9169</v>
      </c>
      <c r="I58" s="12" t="n">
        <f aca="false">IF(OR(E58="",E57=""),"",E58/E57-1)</f>
        <v>0.0840268988367097</v>
      </c>
      <c r="J58" s="12" t="n">
        <f aca="false">IF(OR(F58="",F57=""),"",F58/F57-1)</f>
        <v>0.0840063104027715</v>
      </c>
      <c r="K58" s="12" t="n">
        <f aca="false">IF(OR(G58="",G57=""),"",G58/G57-1)</f>
        <v>0.0489468954836023</v>
      </c>
      <c r="L58" s="12" t="n">
        <f aca="false">IF(OR(H58="",H57=""),"",H58/H57-1)</f>
        <v>0.126497374121442</v>
      </c>
      <c r="M58" s="13" t="n">
        <f aca="false">IF(OR(E58="",E46=""),"",E58/E46-1)</f>
        <v>1.0883405987029</v>
      </c>
      <c r="N58" s="13" t="n">
        <f aca="false">IF(OR(F58="",F46=""),"",F58/F46-1)</f>
        <v>1.05165073158572</v>
      </c>
      <c r="O58" s="13" t="n">
        <f aca="false">IF(OR(E58="",E55=""),"",(E58/E55)^4-1)</f>
        <v>1.39940823784281</v>
      </c>
      <c r="P58" s="13" t="n">
        <f aca="false">IF(OR(F58="",F55=""),"",(F58/F55)^4-1)</f>
        <v>1.45344013737093</v>
      </c>
      <c r="Q58" s="13" t="n">
        <f aca="false">IF(E58="","",IFERROR(E58/INDEX($E:$E,MATCH(C58-1&amp;"-12",$B:$B,0))-1,""))</f>
        <v>0.319611488756927</v>
      </c>
    </row>
    <row r="59" customFormat="false" ht="15" hidden="false" customHeight="false" outlineLevel="0" collapsed="false">
      <c r="B59" s="7" t="s">
        <v>101</v>
      </c>
      <c r="C59" s="8" t="n">
        <v>2023</v>
      </c>
      <c r="D59" s="9" t="n">
        <v>5</v>
      </c>
      <c r="E59" s="10" t="n">
        <v>1613.5895</v>
      </c>
      <c r="F59" s="10" t="n">
        <v>1640.2912</v>
      </c>
      <c r="G59" s="10" t="n">
        <v>1291.1045</v>
      </c>
      <c r="H59" s="10" t="n">
        <v>2056.8651</v>
      </c>
      <c r="I59" s="12" t="n">
        <f aca="false">IF(OR(E59="",E58=""),"",E59/E58-1)</f>
        <v>0.077727529658906</v>
      </c>
      <c r="J59" s="12" t="n">
        <f aca="false">IF(OR(F59="",F58=""),"",F59/F58-1)</f>
        <v>0.0784178972966956</v>
      </c>
      <c r="K59" s="12" t="n">
        <f aca="false">IF(OR(G59="",G58=""),"",G59/G58-1)</f>
        <v>0.0903249724590665</v>
      </c>
      <c r="L59" s="12" t="n">
        <f aca="false">IF(OR(H59="",H58=""),"",H59/H58-1)</f>
        <v>0.0597388790833857</v>
      </c>
      <c r="M59" s="13" t="n">
        <f aca="false">IF(OR(E59="",E47=""),"",E59/E47-1)</f>
        <v>1.14246289237028</v>
      </c>
      <c r="N59" s="13" t="n">
        <f aca="false">IF(OR(F59="",F47=""),"",F59/F47-1)</f>
        <v>1.1031350766681</v>
      </c>
      <c r="O59" s="13" t="n">
        <f aca="false">IF(OR(E59="",E56=""),"",(E59/E56)^4-1)</f>
        <v>1.50414535069737</v>
      </c>
      <c r="P59" s="13" t="n">
        <f aca="false">IF(OR(F59="",F56=""),"",(F59/F56)^4-1)</f>
        <v>1.46728213210398</v>
      </c>
      <c r="Q59" s="13" t="n">
        <f aca="false">IF(E59="","",IFERROR(E59/INDEX($E:$E,MATCH(C59-1&amp;"-12",$B:$B,0))-1,""))</f>
        <v>0.422181629887514</v>
      </c>
    </row>
    <row r="60" customFormat="false" ht="15" hidden="false" customHeight="false" outlineLevel="0" collapsed="false">
      <c r="B60" s="7" t="s">
        <v>102</v>
      </c>
      <c r="C60" s="8" t="n">
        <v>2023</v>
      </c>
      <c r="D60" s="9" t="n">
        <v>6</v>
      </c>
      <c r="E60" s="10" t="n">
        <v>1709.6115</v>
      </c>
      <c r="F60" s="10" t="n">
        <v>1746.7824</v>
      </c>
      <c r="G60" s="10" t="n">
        <v>1383.8634</v>
      </c>
      <c r="H60" s="10" t="n">
        <v>2094.7124</v>
      </c>
      <c r="I60" s="12" t="n">
        <f aca="false">IF(OR(E60="",E59=""),"",E60/E59-1)</f>
        <v>0.0595083198050062</v>
      </c>
      <c r="J60" s="12" t="n">
        <f aca="false">IF(OR(F60="",F59=""),"",F60/F59-1)</f>
        <v>0.0649221308996844</v>
      </c>
      <c r="K60" s="12" t="n">
        <f aca="false">IF(OR(G60="",G59=""),"",G60/G59-1)</f>
        <v>0.0718446105640558</v>
      </c>
      <c r="L60" s="12" t="n">
        <f aca="false">IF(OR(H60="",H59=""),"",H60/H59-1)</f>
        <v>0.0184004775033617</v>
      </c>
      <c r="M60" s="13" t="n">
        <f aca="false">IF(OR(E60="",E48=""),"",E60/E48-1)</f>
        <v>1.15580273478433</v>
      </c>
      <c r="N60" s="13" t="n">
        <f aca="false">IF(OR(F60="",F48=""),"",F60/F48-1)</f>
        <v>1.13133125111186</v>
      </c>
      <c r="O60" s="13" t="n">
        <f aca="false">IF(OR(E60="",E57=""),"",(E60/E57)^4-1)</f>
        <v>1.34754338691392</v>
      </c>
      <c r="P60" s="13" t="n">
        <f aca="false">IF(OR(F60="",F57=""),"",(F60/F57)^4-1)</f>
        <v>1.40185617878209</v>
      </c>
      <c r="Q60" s="13" t="n">
        <f aca="false">IF(E60="","",IFERROR(E60/INDEX($E:$E,MATCH(C60-1&amp;"-12",$B:$B,0))-1,""))</f>
        <v>0.506813269139665</v>
      </c>
    </row>
    <row r="61" customFormat="false" ht="15" hidden="false" customHeight="false" outlineLevel="0" collapsed="false">
      <c r="B61" s="7" t="s">
        <v>103</v>
      </c>
      <c r="C61" s="8" t="n">
        <v>2023</v>
      </c>
      <c r="D61" s="9" t="n">
        <v>7</v>
      </c>
      <c r="E61" s="10" t="n">
        <v>1818.0838</v>
      </c>
      <c r="F61" s="10" t="n">
        <v>1860.2801</v>
      </c>
      <c r="G61" s="10" t="n">
        <v>1476.8552</v>
      </c>
      <c r="H61" s="10" t="n">
        <v>2201.586</v>
      </c>
      <c r="I61" s="12" t="n">
        <f aca="false">IF(OR(E61="",E60=""),"",E61/E60-1)</f>
        <v>0.063448508623158</v>
      </c>
      <c r="J61" s="12" t="n">
        <f aca="false">IF(OR(F61="",F60=""),"",F61/F60-1)</f>
        <v>0.0649752940034201</v>
      </c>
      <c r="K61" s="12" t="n">
        <f aca="false">IF(OR(G61="",G60=""),"",G61/G60-1)</f>
        <v>0.0671972392650893</v>
      </c>
      <c r="L61" s="12" t="n">
        <f aca="false">IF(OR(H61="",H60=""),"",H61/H60-1)</f>
        <v>0.0510206556279516</v>
      </c>
      <c r="M61" s="13" t="n">
        <f aca="false">IF(OR(E61="",E49=""),"",E61/E49-1)</f>
        <v>1.13449993601492</v>
      </c>
      <c r="N61" s="13" t="n">
        <f aca="false">IF(OR(F61="",F49=""),"",F61/F49-1)</f>
        <v>1.1148238997779</v>
      </c>
      <c r="O61" s="13" t="n">
        <f aca="false">IF(OR(E61="",E58=""),"",(E61/E58)^4-1)</f>
        <v>1.17429896120862</v>
      </c>
      <c r="P61" s="13" t="n">
        <f aca="false">IF(OR(F61="",F58=""),"",(F61/F58)^4-1)</f>
        <v>1.23757648030978</v>
      </c>
      <c r="Q61" s="13" t="n">
        <f aca="false">IF(E61="","",IFERROR(E61/INDEX($E:$E,MATCH(C61-1&amp;"-12",$B:$B,0))-1,""))</f>
        <v>0.602418323840162</v>
      </c>
    </row>
    <row r="62" customFormat="false" ht="15" hidden="false" customHeight="false" outlineLevel="0" collapsed="false">
      <c r="B62" s="7" t="s">
        <v>104</v>
      </c>
      <c r="C62" s="8" t="n">
        <v>2023</v>
      </c>
      <c r="D62" s="9" t="n">
        <v>8</v>
      </c>
      <c r="E62" s="10" t="n">
        <v>2044.2832</v>
      </c>
      <c r="F62" s="10" t="n">
        <v>2116.751</v>
      </c>
      <c r="G62" s="10" t="n">
        <v>1599.0767</v>
      </c>
      <c r="H62" s="10" t="n">
        <v>2436.0941</v>
      </c>
      <c r="I62" s="12" t="n">
        <f aca="false">IF(OR(E62="",E61=""),"",E62/E61-1)</f>
        <v>0.1244163772869</v>
      </c>
      <c r="J62" s="12" t="n">
        <f aca="false">IF(OR(F62="",F61=""),"",F62/F61-1)</f>
        <v>0.137866819088158</v>
      </c>
      <c r="K62" s="12" t="n">
        <f aca="false">IF(OR(G62="",G61=""),"",G62/G61-1)</f>
        <v>0.0827579440421784</v>
      </c>
      <c r="L62" s="12" t="n">
        <f aca="false">IF(OR(H62="",H61=""),"",H62/H61-1)</f>
        <v>0.106517801257821</v>
      </c>
      <c r="M62" s="13" t="n">
        <f aca="false">IF(OR(E62="",E50=""),"",E62/E50-1)</f>
        <v>1.24367500808884</v>
      </c>
      <c r="N62" s="13" t="n">
        <f aca="false">IF(OR(F62="",F50=""),"",F62/F50-1)</f>
        <v>1.25313866565077</v>
      </c>
      <c r="O62" s="13" t="n">
        <f aca="false">IF(OR(E62="",E59=""),"",(E62/E59)^4-1)</f>
        <v>1.57627371036531</v>
      </c>
      <c r="P62" s="13" t="n">
        <f aca="false">IF(OR(F62="",F59=""),"",(F62/F59)^4-1)</f>
        <v>1.77328992958192</v>
      </c>
      <c r="Q62" s="13" t="n">
        <f aca="false">IF(E62="","",IFERROR(E62/INDEX($E:$E,MATCH(C62-1&amp;"-12",$B:$B,0))-1,""))</f>
        <v>0.801785406590501</v>
      </c>
    </row>
    <row r="63" customFormat="false" ht="15" hidden="false" customHeight="false" outlineLevel="0" collapsed="false">
      <c r="B63" s="7" t="s">
        <v>105</v>
      </c>
      <c r="C63" s="8" t="n">
        <v>2023</v>
      </c>
      <c r="D63" s="9" t="n">
        <v>9</v>
      </c>
      <c r="E63" s="10" t="n">
        <v>2304.9242</v>
      </c>
      <c r="F63" s="10" t="n">
        <v>2400.9928</v>
      </c>
      <c r="G63" s="10" t="n">
        <v>1732.073</v>
      </c>
      <c r="H63" s="10" t="n">
        <v>2794.0242</v>
      </c>
      <c r="I63" s="12" t="n">
        <f aca="false">IF(OR(E63="",E62=""),"",E63/E62-1)</f>
        <v>0.12749750132467</v>
      </c>
      <c r="J63" s="12" t="n">
        <f aca="false">IF(OR(F63="",F62=""),"",F63/F62-1)</f>
        <v>0.134282114429142</v>
      </c>
      <c r="K63" s="12" t="n">
        <f aca="false">IF(OR(G63="",G62=""),"",G63/G62-1)</f>
        <v>0.0831706821817866</v>
      </c>
      <c r="L63" s="12" t="n">
        <f aca="false">IF(OR(H63="",H62=""),"",H63/H62-1)</f>
        <v>0.146927862926149</v>
      </c>
      <c r="M63" s="13" t="n">
        <f aca="false">IF(OR(E63="",E51=""),"",E63/E51-1)</f>
        <v>1.38282445005084</v>
      </c>
      <c r="N63" s="13" t="n">
        <f aca="false">IF(OR(F63="",F51=""),"",F63/F51-1)</f>
        <v>1.42216616553603</v>
      </c>
      <c r="O63" s="13" t="n">
        <f aca="false">IF(OR(E63="",E60=""),"",(E63/E60)^4-1)</f>
        <v>2.30397588407028</v>
      </c>
      <c r="P63" s="13" t="n">
        <f aca="false">IF(OR(F63="",F60=""),"",(F63/F60)^4-1)</f>
        <v>2.56950669613478</v>
      </c>
      <c r="Q63" s="13" t="n">
        <f aca="false">IF(E63="","",IFERROR(E63/INDEX($E:$E,MATCH(C63-1&amp;"-12",$B:$B,0))-1,""))</f>
        <v>1.03150854385404</v>
      </c>
    </row>
    <row r="64" customFormat="false" ht="15" hidden="false" customHeight="false" outlineLevel="0" collapsed="false">
      <c r="B64" s="7" t="s">
        <v>106</v>
      </c>
      <c r="C64" s="8" t="n">
        <v>2023</v>
      </c>
      <c r="D64" s="9" t="n">
        <v>10</v>
      </c>
      <c r="E64" s="10" t="n">
        <v>2496.273</v>
      </c>
      <c r="F64" s="10" t="n">
        <v>2612.5451</v>
      </c>
      <c r="G64" s="10" t="n">
        <v>1846.7566</v>
      </c>
      <c r="H64" s="10" t="n">
        <v>3006.9009</v>
      </c>
      <c r="I64" s="12" t="n">
        <f aca="false">IF(OR(E64="",E63=""),"",E64/E63-1)</f>
        <v>0.0830173938041001</v>
      </c>
      <c r="J64" s="12" t="n">
        <f aca="false">IF(OR(F64="",F63=""),"",F64/F63-1)</f>
        <v>0.0881103433546322</v>
      </c>
      <c r="K64" s="12" t="n">
        <f aca="false">IF(OR(G64="",G63=""),"",G64/G63-1)</f>
        <v>0.0662117589732072</v>
      </c>
      <c r="L64" s="12" t="n">
        <f aca="false">IF(OR(H64="",H63=""),"",H64/H63-1)</f>
        <v>0.0761899986406704</v>
      </c>
      <c r="M64" s="13" t="n">
        <f aca="false">IF(OR(E64="",E52=""),"",E64/E52-1)</f>
        <v>1.42661460125634</v>
      </c>
      <c r="N64" s="13" t="n">
        <f aca="false">IF(OR(F64="",F52=""),"",F64/F52-1)</f>
        <v>1.49702044893024</v>
      </c>
      <c r="O64" s="13" t="n">
        <f aca="false">IF(OR(E64="",E61=""),"",(E64/E61)^4-1)</f>
        <v>2.55396158559925</v>
      </c>
      <c r="P64" s="13" t="n">
        <f aca="false">IF(OR(F64="",F61=""),"",(F64/F61)^4-1)</f>
        <v>2.88993034016889</v>
      </c>
      <c r="Q64" s="13" t="n">
        <f aca="false">IF(E64="","",IFERROR(E64/INDEX($E:$E,MATCH(C64-1&amp;"-12",$B:$B,0))-1,""))</f>
        <v>1.20015908865557</v>
      </c>
    </row>
    <row r="65" customFormat="false" ht="15" hidden="false" customHeight="false" outlineLevel="0" collapsed="false">
      <c r="B65" s="7" t="s">
        <v>107</v>
      </c>
      <c r="C65" s="8" t="n">
        <v>2023</v>
      </c>
      <c r="D65" s="9" t="n">
        <v>11</v>
      </c>
      <c r="E65" s="10" t="n">
        <v>2816.0628</v>
      </c>
      <c r="F65" s="10" t="n">
        <v>2962.7206</v>
      </c>
      <c r="G65" s="10" t="n">
        <v>2032.4708</v>
      </c>
      <c r="H65" s="10" t="n">
        <v>3392.0317</v>
      </c>
      <c r="I65" s="12" t="n">
        <f aca="false">IF(OR(E65="",E64=""),"",E65/E64-1)</f>
        <v>0.128106901769157</v>
      </c>
      <c r="J65" s="12" t="n">
        <f aca="false">IF(OR(F65="",F64=""),"",F65/F64-1)</f>
        <v>0.134036155012214</v>
      </c>
      <c r="K65" s="12" t="n">
        <f aca="false">IF(OR(G65="",G64=""),"",G65/G64-1)</f>
        <v>0.100562358894507</v>
      </c>
      <c r="L65" s="12" t="n">
        <f aca="false">IF(OR(H65="",H64=""),"",H65/H64-1)</f>
        <v>0.128082305605748</v>
      </c>
      <c r="M65" s="13" t="n">
        <f aca="false">IF(OR(E65="",E53=""),"",E65/E53-1)</f>
        <v>1.60920816838135</v>
      </c>
      <c r="N65" s="13" t="n">
        <f aca="false">IF(OR(F65="",F53=""),"",F65/F53-1)</f>
        <v>1.70315303314526</v>
      </c>
      <c r="O65" s="13" t="n">
        <f aca="false">IF(OR(E65="",E62=""),"",(E65/E62)^4-1)</f>
        <v>2.60085061076937</v>
      </c>
      <c r="P65" s="13" t="n">
        <f aca="false">IF(OR(F65="",F62=""),"",(F65/F62)^4-1)</f>
        <v>2.83781198044971</v>
      </c>
      <c r="Q65" s="13" t="n">
        <f aca="false">IF(E65="","",IFERROR(E65/INDEX($E:$E,MATCH(C65-1&amp;"-12",$B:$B,0))-1,""))</f>
        <v>1.48201465290249</v>
      </c>
    </row>
    <row r="66" customFormat="false" ht="15" hidden="false" customHeight="false" outlineLevel="0" collapsed="false">
      <c r="B66" s="7" t="s">
        <v>108</v>
      </c>
      <c r="C66" s="8" t="n">
        <v>2023</v>
      </c>
      <c r="D66" s="9" t="n">
        <v>12</v>
      </c>
      <c r="E66" s="10" t="n">
        <v>3533.1922</v>
      </c>
      <c r="F66" s="10" t="n">
        <v>3799.9487</v>
      </c>
      <c r="G66" s="10" t="n">
        <v>2452.7844</v>
      </c>
      <c r="H66" s="10" t="n">
        <v>3942.5343</v>
      </c>
      <c r="I66" s="12" t="n">
        <f aca="false">IF(OR(E66="",E65=""),"",E66/E65-1)</f>
        <v>0.254656749842368</v>
      </c>
      <c r="J66" s="12" t="n">
        <f aca="false">IF(OR(F66="",F65=""),"",F66/F65-1)</f>
        <v>0.282587598709105</v>
      </c>
      <c r="K66" s="12" t="n">
        <f aca="false">IF(OR(G66="",G65=""),"",G66/G65-1)</f>
        <v>0.206799330155198</v>
      </c>
      <c r="L66" s="12" t="n">
        <f aca="false">IF(OR(H66="",H65=""),"",H66/H65-1)</f>
        <v>0.162292881873716</v>
      </c>
      <c r="M66" s="13" t="n">
        <f aca="false">IF(OR(E66="",E54=""),"",E66/E54-1)</f>
        <v>2.11407643747177</v>
      </c>
      <c r="N66" s="13" t="n">
        <f aca="false">IF(OR(F66="",F54=""),"",F66/F54-1)</f>
        <v>2.29405698154029</v>
      </c>
      <c r="O66" s="13" t="n">
        <f aca="false">IF(OR(E66="",E63=""),"",(E66/E63)^4-1)</f>
        <v>4.52131418818238</v>
      </c>
      <c r="P66" s="13" t="n">
        <f aca="false">IF(OR(F66="",F63=""),"",(F66/F63)^4-1)</f>
        <v>5.27404318321209</v>
      </c>
      <c r="Q66" s="13" t="n">
        <f aca="false">IF(E66="","",IFERROR(E66/INDEX($E:$E,MATCH(C66-1&amp;"-12",$B:$B,0))-1,""))</f>
        <v>2.11407643747177</v>
      </c>
    </row>
    <row r="67" customFormat="false" ht="15" hidden="false" customHeight="false" outlineLevel="0" collapsed="false">
      <c r="B67" s="7" t="s">
        <v>109</v>
      </c>
      <c r="C67" s="8" t="n">
        <v>2024</v>
      </c>
      <c r="D67" s="9" t="n">
        <v>1</v>
      </c>
      <c r="E67" s="10" t="n">
        <v>4261.5324</v>
      </c>
      <c r="F67" s="10" t="n">
        <v>4568.1649</v>
      </c>
      <c r="G67" s="10" t="n">
        <v>3104.5367</v>
      </c>
      <c r="H67" s="10" t="n">
        <v>4581.5309</v>
      </c>
      <c r="I67" s="12" t="n">
        <f aca="false">IF(OR(E67="",E66=""),"",E67/E66-1)</f>
        <v>0.206142252889611</v>
      </c>
      <c r="J67" s="12" t="n">
        <f aca="false">IF(OR(F67="",F66=""),"",F67/F66-1)</f>
        <v>0.202164887120713</v>
      </c>
      <c r="K67" s="12" t="n">
        <f aca="false">IF(OR(G67="",G66=""),"",G67/G66-1)</f>
        <v>0.265719359598015</v>
      </c>
      <c r="L67" s="12" t="n">
        <f aca="false">IF(OR(H67="",H66=""),"",H67/H66-1)</f>
        <v>0.162077626058954</v>
      </c>
      <c r="M67" s="13" t="n">
        <f aca="false">IF(OR(E67="",E55=""),"",E67/E55-1)</f>
        <v>2.54248278648256</v>
      </c>
      <c r="N67" s="13" t="n">
        <f aca="false">IF(OR(F67="",F55=""),"",F67/F55-1)</f>
        <v>2.75882209284778</v>
      </c>
      <c r="O67" s="13" t="n">
        <f aca="false">IF(OR(E67="",E64=""),"",(E67/E64)^4-1)</f>
        <v>7.49365978504837</v>
      </c>
      <c r="P67" s="13" t="n">
        <f aca="false">IF(OR(F67="",F64=""),"",(F67/F64)^4-1)</f>
        <v>8.3478536556778</v>
      </c>
      <c r="Q67" s="13" t="n">
        <f aca="false">IF(E67="","",IFERROR(E67/INDEX($E:$E,MATCH(C67-1&amp;"-12",$B:$B,0))-1,""))</f>
        <v>0.206142252889611</v>
      </c>
    </row>
    <row r="68" customFormat="false" ht="15" hidden="false" customHeight="false" outlineLevel="0" collapsed="false">
      <c r="B68" s="7" t="s">
        <v>110</v>
      </c>
      <c r="C68" s="8" t="n">
        <v>2024</v>
      </c>
      <c r="D68" s="9" t="n">
        <v>2</v>
      </c>
      <c r="E68" s="10" t="n">
        <v>4825.7881</v>
      </c>
      <c r="F68" s="10" t="n">
        <v>5129.5988</v>
      </c>
      <c r="G68" s="10" t="n">
        <v>3759.784</v>
      </c>
      <c r="H68" s="10" t="n">
        <v>4979.8267</v>
      </c>
      <c r="I68" s="12" t="n">
        <f aca="false">IF(OR(E68="",E67=""),"",E68/E67-1)</f>
        <v>0.132406760535248</v>
      </c>
      <c r="J68" s="12" t="n">
        <f aca="false">IF(OR(F68="",F67=""),"",F68/F67-1)</f>
        <v>0.122901408397057</v>
      </c>
      <c r="K68" s="12" t="n">
        <f aca="false">IF(OR(G68="",G67=""),"",G68/G67-1)</f>
        <v>0.211061218892983</v>
      </c>
      <c r="L68" s="12" t="n">
        <f aca="false">IF(OR(H68="",H67=""),"",H68/H67-1)</f>
        <v>0.0869350897535144</v>
      </c>
      <c r="M68" s="13" t="n">
        <f aca="false">IF(OR(E68="",E56=""),"",E68/E56-1)</f>
        <v>2.76218434873503</v>
      </c>
      <c r="N68" s="13" t="n">
        <f aca="false">IF(OR(F68="",F56=""),"",F68/F56-1)</f>
        <v>2.91937797280946</v>
      </c>
      <c r="O68" s="13" t="n">
        <f aca="false">IF(OR(E68="",E65=""),"",(E68/E65)^4-1)</f>
        <v>7.62389877261196</v>
      </c>
      <c r="P68" s="13" t="n">
        <f aca="false">IF(OR(F68="",F65=""),"",(F68/F65)^4-1)</f>
        <v>7.98609090322231</v>
      </c>
      <c r="Q68" s="13" t="n">
        <f aca="false">IF(E68="","",IFERROR(E68/INDEX($E:$E,MATCH(C68-1&amp;"-12",$B:$B,0))-1,""))</f>
        <v>0.36584364133941</v>
      </c>
    </row>
    <row r="69" customFormat="false" ht="15" hidden="false" customHeight="false" outlineLevel="0" collapsed="false">
      <c r="B69" s="7" t="s">
        <v>111</v>
      </c>
      <c r="C69" s="8" t="n">
        <v>2024</v>
      </c>
      <c r="D69" s="9" t="n">
        <v>3</v>
      </c>
      <c r="E69" s="10" t="n">
        <v>5357.0929</v>
      </c>
      <c r="F69" s="10" t="n">
        <v>5612.3991</v>
      </c>
      <c r="G69" s="10" t="n">
        <v>4441.3132</v>
      </c>
      <c r="H69" s="10" t="n">
        <v>5534.7104</v>
      </c>
      <c r="I69" s="12" t="n">
        <f aca="false">IF(OR(E69="",E68=""),"",E69/E68-1)</f>
        <v>0.110097001565402</v>
      </c>
      <c r="J69" s="12" t="n">
        <f aca="false">IF(OR(F69="",F68=""),"",F69/F68-1)</f>
        <v>0.0941204797536992</v>
      </c>
      <c r="K69" s="12" t="n">
        <f aca="false">IF(OR(G69="",G68=""),"",G69/G68-1)</f>
        <v>0.181268179235828</v>
      </c>
      <c r="L69" s="12" t="n">
        <f aca="false">IF(OR(H69="",H68=""),"",H69/H68-1)</f>
        <v>0.111426307264869</v>
      </c>
      <c r="M69" s="13" t="n">
        <f aca="false">IF(OR(E69="",E57=""),"",E69/E57-1)</f>
        <v>2.87869074700319</v>
      </c>
      <c r="N69" s="13" t="n">
        <f aca="false">IF(OR(F69="",F57=""),"",F69/F57-1)</f>
        <v>2.99987563637473</v>
      </c>
      <c r="O69" s="13" t="n">
        <f aca="false">IF(OR(E69="",E66=""),"",(E69/E66)^4-1)</f>
        <v>4.28503245967673</v>
      </c>
      <c r="P69" s="13" t="n">
        <f aca="false">IF(OR(F69="",F66=""),"",(F69/F66)^4-1)</f>
        <v>3.75864438278358</v>
      </c>
      <c r="Q69" s="13" t="n">
        <f aca="false">IF(E69="","",IFERROR(E69/INDEX($E:$E,MATCH(C69-1&amp;"-12",$B:$B,0))-1,""))</f>
        <v>0.516218930858049</v>
      </c>
    </row>
    <row r="70" customFormat="false" ht="15" hidden="false" customHeight="false" outlineLevel="0" collapsed="false">
      <c r="B70" s="7" t="s">
        <v>112</v>
      </c>
      <c r="C70" s="8" t="n">
        <v>2024</v>
      </c>
      <c r="D70" s="9" t="n">
        <v>4</v>
      </c>
      <c r="E70" s="10" t="n">
        <v>5830.2271</v>
      </c>
      <c r="F70" s="10" t="n">
        <v>5965.8926</v>
      </c>
      <c r="G70" s="10" t="n">
        <v>5258.2523</v>
      </c>
      <c r="H70" s="10" t="n">
        <v>6085.2438</v>
      </c>
      <c r="I70" s="12" t="n">
        <f aca="false">IF(OR(E70="",E69=""),"",E70/E69-1)</f>
        <v>0.0883192076060508</v>
      </c>
      <c r="J70" s="12" t="n">
        <f aca="false">IF(OR(F70="",F69=""),"",F70/F69-1)</f>
        <v>0.0629843839865203</v>
      </c>
      <c r="K70" s="12" t="n">
        <f aca="false">IF(OR(G70="",G69=""),"",G70/G69-1)</f>
        <v>0.183940889374791</v>
      </c>
      <c r="L70" s="12" t="n">
        <f aca="false">IF(OR(H70="",H69=""),"",H70/H69-1)</f>
        <v>0.0994692332953862</v>
      </c>
      <c r="M70" s="13" t="n">
        <f aca="false">IF(OR(E70="",E58=""),"",E70/E58-1)</f>
        <v>2.89404879607447</v>
      </c>
      <c r="N70" s="13" t="n">
        <f aca="false">IF(OR(F70="",F58=""),"",F70/F58-1)</f>
        <v>2.92230681551539</v>
      </c>
      <c r="O70" s="13" t="n">
        <f aca="false">IF(OR(E70="",E67=""),"",(E70/E67)^4-1)</f>
        <v>2.50331112687154</v>
      </c>
      <c r="P70" s="13" t="n">
        <f aca="false">IF(OR(F70="",F67=""),"",(F70/F67)^4-1)</f>
        <v>1.90893912561699</v>
      </c>
      <c r="Q70" s="13" t="n">
        <f aca="false">IF(E70="","",IFERROR(E70/INDEX($E:$E,MATCH(C70-1&amp;"-12",$B:$B,0))-1,""))</f>
        <v>0.650130185388726</v>
      </c>
    </row>
    <row r="71" customFormat="false" ht="15" hidden="false" customHeight="false" outlineLevel="0" collapsed="false">
      <c r="B71" s="7" t="s">
        <v>113</v>
      </c>
      <c r="C71" s="8" t="n">
        <v>2024</v>
      </c>
      <c r="D71" s="9" t="n">
        <v>5</v>
      </c>
      <c r="E71" s="10" t="n">
        <v>6073.7</v>
      </c>
      <c r="F71" s="10" t="n">
        <v>6188.7</v>
      </c>
      <c r="G71" s="10" t="n">
        <v>5469.5</v>
      </c>
      <c r="H71" s="10" t="n">
        <v>6521.2</v>
      </c>
      <c r="I71" s="12" t="n">
        <f aca="false">IF(OR(E71="",E70=""),"",E71/E70-1)</f>
        <v>0.0417604487482142</v>
      </c>
      <c r="J71" s="12" t="n">
        <f aca="false">IF(OR(F71="",F70=""),"",F71/F70-1)</f>
        <v>0.0373468674243314</v>
      </c>
      <c r="K71" s="12" t="n">
        <f aca="false">IF(OR(G71="",G70=""),"",G71/G70-1)</f>
        <v>0.0401745081726108</v>
      </c>
      <c r="L71" s="12" t="n">
        <f aca="false">IF(OR(H71="",H70=""),"",H71/H70-1)</f>
        <v>0.07164153390206</v>
      </c>
      <c r="M71" s="13" t="n">
        <f aca="false">IF(OR(E71="",E59=""),"",E71/E59-1)</f>
        <v>2.76409241631778</v>
      </c>
      <c r="N71" s="13" t="n">
        <f aca="false">IF(OR(F71="",F59=""),"",F71/F59-1)</f>
        <v>2.77292763626361</v>
      </c>
      <c r="O71" s="13" t="n">
        <f aca="false">IF(OR(E71="",E68=""),"",(E71/E68)^4-1)</f>
        <v>1.50922932777058</v>
      </c>
      <c r="P71" s="13" t="n">
        <f aca="false">IF(OR(F71="",F68=""),"",(F71/F68)^4-1)</f>
        <v>1.11867394630466</v>
      </c>
      <c r="Q71" s="13" t="n">
        <f aca="false">IF(E71="","",IFERROR(E71/INDEX($E:$E,MATCH(C71-1&amp;"-12",$B:$B,0))-1,""))</f>
        <v>0.719040362423533</v>
      </c>
    </row>
    <row r="72" customFormat="false" ht="15" hidden="false" customHeight="false" outlineLevel="0" collapsed="false">
      <c r="B72" s="7" t="s">
        <v>114</v>
      </c>
      <c r="C72" s="8" t="n">
        <v>2024</v>
      </c>
      <c r="D72" s="9" t="n">
        <v>6</v>
      </c>
      <c r="E72" s="10" t="n">
        <v>6351.7145</v>
      </c>
      <c r="F72" s="10" t="n">
        <v>6414.6575</v>
      </c>
      <c r="G72" s="10" t="n">
        <v>5910.154</v>
      </c>
      <c r="H72" s="10" t="n">
        <v>6811.1236</v>
      </c>
      <c r="I72" s="12" t="n">
        <f aca="false">IF(OR(E72="",E71=""),"",E72/E71-1)</f>
        <v>0.0457734988557224</v>
      </c>
      <c r="J72" s="12" t="n">
        <f aca="false">IF(OR(F72="",F71=""),"",F72/F71-1)</f>
        <v>0.0365113028584356</v>
      </c>
      <c r="K72" s="12" t="n">
        <f aca="false">IF(OR(G72="",G71=""),"",G72/G71-1)</f>
        <v>0.0805656824206966</v>
      </c>
      <c r="L72" s="12" t="n">
        <f aca="false">IF(OR(H72="",H71=""),"",H72/H71-1)</f>
        <v>0.0444586272465191</v>
      </c>
      <c r="M72" s="13" t="n">
        <f aca="false">IF(OR(E72="",E60=""),"",E72/E60-1)</f>
        <v>2.71529701338579</v>
      </c>
      <c r="N72" s="13" t="n">
        <f aca="false">IF(OR(F72="",F60=""),"",F72/F60-1)</f>
        <v>2.67227051291563</v>
      </c>
      <c r="O72" s="13" t="n">
        <f aca="false">IF(OR(E72="",E69=""),"",(E72/E69)^4-1)</f>
        <v>0.976274035547957</v>
      </c>
      <c r="P72" s="13" t="n">
        <f aca="false">IF(OR(F72="",F69=""),"",(F72/F69)^4-1)</f>
        <v>0.706474120315526</v>
      </c>
      <c r="Q72" s="13" t="n">
        <f aca="false">IF(E72="","",IFERROR(E72/INDEX($E:$E,MATCH(C72-1&amp;"-12",$B:$B,0))-1,""))</f>
        <v>0.797726854485867</v>
      </c>
    </row>
    <row r="73" customFormat="false" ht="15" hidden="false" customHeight="false" outlineLevel="0" collapsed="false">
      <c r="B73" s="7" t="s">
        <v>115</v>
      </c>
      <c r="C73" s="8" t="n">
        <v>2024</v>
      </c>
      <c r="D73" s="9" t="n">
        <v>7</v>
      </c>
      <c r="E73" s="10" t="n">
        <v>6607.7479</v>
      </c>
      <c r="F73" s="10" t="n">
        <v>6657.49</v>
      </c>
      <c r="G73" s="10" t="n">
        <v>6166.198</v>
      </c>
      <c r="H73" s="10" t="n">
        <v>7156.7976</v>
      </c>
      <c r="I73" s="12" t="n">
        <f aca="false">IF(OR(E73="",E72=""),"",E73/E72-1)</f>
        <v>0.040309336951464</v>
      </c>
      <c r="J73" s="12" t="n">
        <f aca="false">IF(OR(F73="",F72=""),"",F73/F72-1)</f>
        <v>0.0378558792889565</v>
      </c>
      <c r="K73" s="12" t="n">
        <f aca="false">IF(OR(G73="",G72=""),"",G73/G72-1)</f>
        <v>0.0433227289847269</v>
      </c>
      <c r="L73" s="12" t="n">
        <f aca="false">IF(OR(H73="",H72=""),"",H73/H72-1)</f>
        <v>0.0507513914444306</v>
      </c>
      <c r="M73" s="13" t="n">
        <f aca="false">IF(OR(E73="",E61=""),"",E73/E61-1)</f>
        <v>2.63445727859189</v>
      </c>
      <c r="N73" s="13" t="n">
        <f aca="false">IF(OR(F73="",F61=""),"",F73/F61-1)</f>
        <v>2.57875676894033</v>
      </c>
      <c r="O73" s="13" t="n">
        <f aca="false">IF(OR(E73="",E70=""),"",(E73/E70)^4-1)</f>
        <v>0.649954523292777</v>
      </c>
      <c r="P73" s="13" t="n">
        <f aca="false">IF(OR(F73="",F70=""),"",(F73/F70)^4-1)</f>
        <v>0.550744922868871</v>
      </c>
      <c r="Q73" s="13" t="n">
        <f aca="false">IF(E73="","",IFERROR(E73/INDEX($E:$E,MATCH(C73-1&amp;"-12",$B:$B,0))-1,""))</f>
        <v>0.870192032010033</v>
      </c>
    </row>
    <row r="74" customFormat="false" ht="15" hidden="false" customHeight="false" outlineLevel="0" collapsed="false">
      <c r="B74" s="7" t="s">
        <v>116</v>
      </c>
      <c r="C74" s="8" t="n">
        <v>2024</v>
      </c>
      <c r="D74" s="9" t="n">
        <v>8</v>
      </c>
      <c r="E74" s="10" t="n">
        <v>6883.4412</v>
      </c>
      <c r="F74" s="10" t="n">
        <v>6931.7976</v>
      </c>
      <c r="G74" s="10" t="n">
        <v>6529.3696</v>
      </c>
      <c r="H74" s="10" t="n">
        <v>7266.119</v>
      </c>
      <c r="I74" s="12" t="n">
        <f aca="false">IF(OR(E74="",E73=""),"",E74/E73-1)</f>
        <v>0.0417227327937253</v>
      </c>
      <c r="J74" s="12" t="n">
        <f aca="false">IF(OR(F74="",F73=""),"",F74/F73-1)</f>
        <v>0.0412028557309136</v>
      </c>
      <c r="K74" s="12" t="n">
        <f aca="false">IF(OR(G74="",G73=""),"",G74/G73-1)</f>
        <v>0.0588971680766657</v>
      </c>
      <c r="L74" s="12" t="n">
        <f aca="false">IF(OR(H74="",H73=""),"",H74/H73-1)</f>
        <v>0.0152751839733458</v>
      </c>
      <c r="M74" s="13" t="n">
        <f aca="false">IF(OR(E74="",E62=""),"",E74/E62-1)</f>
        <v>2.36716615388709</v>
      </c>
      <c r="N74" s="13" t="n">
        <f aca="false">IF(OR(F74="",F62=""),"",F74/F62-1)</f>
        <v>2.27473453419887</v>
      </c>
      <c r="O74" s="13" t="n">
        <f aca="false">IF(OR(E74="",E71=""),"",(E74/E71)^4-1)</f>
        <v>0.649715596079064</v>
      </c>
      <c r="P74" s="13" t="n">
        <f aca="false">IF(OR(F74="",F71=""),"",(F74/F71)^4-1)</f>
        <v>0.573931296529642</v>
      </c>
      <c r="Q74" s="13" t="n">
        <f aca="false">IF(E74="","",IFERROR(E74/INDEX($E:$E,MATCH(C74-1&amp;"-12",$B:$B,0))-1,""))</f>
        <v>0.948221554434542</v>
      </c>
    </row>
    <row r="75" customFormat="false" ht="15" hidden="false" customHeight="false" outlineLevel="0" collapsed="false">
      <c r="B75" s="7" t="s">
        <v>117</v>
      </c>
      <c r="C75" s="8" t="n">
        <v>2024</v>
      </c>
      <c r="D75" s="9" t="n">
        <v>9</v>
      </c>
      <c r="E75" s="10" t="n">
        <v>7122.2421</v>
      </c>
      <c r="F75" s="10" t="n">
        <v>7157.9271</v>
      </c>
      <c r="G75" s="10" t="n">
        <v>6825.2577</v>
      </c>
      <c r="H75" s="10" t="n">
        <v>7479.6823</v>
      </c>
      <c r="I75" s="12" t="n">
        <f aca="false">IF(OR(E75="",E74=""),"",E75/E74-1)</f>
        <v>0.0346920810480664</v>
      </c>
      <c r="J75" s="12" t="n">
        <f aca="false">IF(OR(F75="",F74=""),"",F75/F74-1)</f>
        <v>0.032622057516509</v>
      </c>
      <c r="K75" s="12" t="n">
        <f aca="false">IF(OR(G75="",G74=""),"",G75/G74-1)</f>
        <v>0.0453164881338621</v>
      </c>
      <c r="L75" s="12" t="n">
        <f aca="false">IF(OR(H75="",H74=""),"",H75/H74-1)</f>
        <v>0.0293916601145674</v>
      </c>
      <c r="M75" s="13" t="n">
        <f aca="false">IF(OR(E75="",E63=""),"",E75/E63-1)</f>
        <v>2.09001141989832</v>
      </c>
      <c r="N75" s="13" t="n">
        <f aca="false">IF(OR(F75="",F63=""),"",F75/F63-1)</f>
        <v>1.98123638688129</v>
      </c>
      <c r="O75" s="13" t="n">
        <f aca="false">IF(OR(E75="",E72=""),"",(E75/E72)^4-1)</f>
        <v>0.580895097933829</v>
      </c>
      <c r="P75" s="13" t="n">
        <f aca="false">IF(OR(F75="",F72=""),"",(F75/F72)^4-1)</f>
        <v>0.55044081446427</v>
      </c>
      <c r="Q75" s="13" t="n">
        <f aca="false">IF(E75="","",IFERROR(E75/INDEX($E:$E,MATCH(C75-1&amp;"-12",$B:$B,0))-1,""))</f>
        <v>1.01580941450058</v>
      </c>
    </row>
    <row r="76" customFormat="false" ht="15" hidden="false" customHeight="false" outlineLevel="0" collapsed="false">
      <c r="B76" s="7" t="s">
        <v>118</v>
      </c>
      <c r="C76" s="8" t="n">
        <v>2024</v>
      </c>
      <c r="D76" s="9" t="n">
        <v>10</v>
      </c>
      <c r="E76" s="10" t="n">
        <v>7313.9542</v>
      </c>
      <c r="F76" s="10" t="n">
        <v>7366.7823</v>
      </c>
      <c r="G76" s="10" t="n">
        <v>7009.2808</v>
      </c>
      <c r="H76" s="10" t="n">
        <v>7581.5911</v>
      </c>
      <c r="I76" s="12" t="n">
        <f aca="false">IF(OR(E76="",E75=""),"",E76/E75-1)</f>
        <v>0.0269173804131146</v>
      </c>
      <c r="J76" s="12" t="n">
        <f aca="false">IF(OR(F76="",F75=""),"",F76/F75-1)</f>
        <v>0.0291781680760621</v>
      </c>
      <c r="K76" s="12" t="n">
        <f aca="false">IF(OR(G76="",G75=""),"",G76/G75-1)</f>
        <v>0.0269620735346008</v>
      </c>
      <c r="L76" s="12" t="n">
        <f aca="false">IF(OR(H76="",H75=""),"",H76/H75-1)</f>
        <v>0.0136247498105633</v>
      </c>
      <c r="M76" s="13" t="n">
        <f aca="false">IF(OR(E76="",E64=""),"",E76/E64-1)</f>
        <v>1.92994964893663</v>
      </c>
      <c r="N76" s="13" t="n">
        <f aca="false">IF(OR(F76="",F64=""),"",F76/F64-1)</f>
        <v>1.81977229790215</v>
      </c>
      <c r="O76" s="13" t="n">
        <f aca="false">IF(OR(E76="",E73=""),"",(E76/E73)^4-1)</f>
        <v>0.501049742864685</v>
      </c>
      <c r="P76" s="13" t="n">
        <f aca="false">IF(OR(F76="",F73=""),"",(F76/F73)^4-1)</f>
        <v>0.499233413342554</v>
      </c>
      <c r="Q76" s="13" t="n">
        <f aca="false">IF(E76="","",IFERROR(E76/INDEX($E:$E,MATCH(C76-1&amp;"-12",$B:$B,0))-1,""))</f>
        <v>1.07006972335103</v>
      </c>
    </row>
    <row r="77" customFormat="false" ht="15" hidden="false" customHeight="false" outlineLevel="0" collapsed="false">
      <c r="B77" s="7" t="s">
        <v>119</v>
      </c>
      <c r="C77" s="8" t="n">
        <v>2024</v>
      </c>
      <c r="D77" s="9" t="n">
        <v>11</v>
      </c>
      <c r="E77" s="10" t="n">
        <v>7491.4314</v>
      </c>
      <c r="F77" s="10" t="n">
        <v>7566.7782</v>
      </c>
      <c r="G77" s="10" t="n">
        <v>7257.6652</v>
      </c>
      <c r="H77" s="10" t="n">
        <v>7490.4606</v>
      </c>
      <c r="I77" s="12" t="n">
        <f aca="false">IF(OR(E77="",E76=""),"",E77/E76-1)</f>
        <v>0.0242655607550837</v>
      </c>
      <c r="J77" s="12" t="n">
        <f aca="false">IF(OR(F77="",F76=""),"",F77/F76-1)</f>
        <v>0.0271483385629572</v>
      </c>
      <c r="K77" s="12" t="n">
        <f aca="false">IF(OR(G77="",G76=""),"",G77/G76-1)</f>
        <v>0.0354365029861552</v>
      </c>
      <c r="L77" s="12" t="n">
        <f aca="false">IF(OR(H77="",H76=""),"",H77/H76-1)</f>
        <v>-0.0120199703199503</v>
      </c>
      <c r="M77" s="13" t="n">
        <f aca="false">IF(OR(E77="",E65=""),"",E77/E65-1)</f>
        <v>1.66025011942205</v>
      </c>
      <c r="N77" s="13" t="n">
        <f aca="false">IF(OR(F77="",F65=""),"",F77/F65-1)</f>
        <v>1.55399655303305</v>
      </c>
      <c r="O77" s="13" t="n">
        <f aca="false">IF(OR(E77="",E74=""),"",(E77/E74)^4-1)</f>
        <v>0.402932578019879</v>
      </c>
      <c r="P77" s="13" t="n">
        <f aca="false">IF(OR(F77="",F74=""),"",(F77/F74)^4-1)</f>
        <v>0.419909034254723</v>
      </c>
      <c r="Q77" s="13" t="n">
        <f aca="false">IF(E77="","",IFERROR(E77/INDEX($E:$E,MATCH(C77-1&amp;"-12",$B:$B,0))-1,""))</f>
        <v>1.12030112599026</v>
      </c>
    </row>
    <row r="78" customFormat="false" ht="15" hidden="false" customHeight="false" outlineLevel="0" collapsed="false">
      <c r="B78" s="7" t="s">
        <v>120</v>
      </c>
      <c r="C78" s="8" t="n">
        <v>2024</v>
      </c>
      <c r="D78" s="9" t="n">
        <v>12</v>
      </c>
      <c r="E78" s="10" t="n">
        <v>7694.0075</v>
      </c>
      <c r="F78" s="10" t="n">
        <v>7808.7094</v>
      </c>
      <c r="G78" s="10" t="n">
        <v>7502.5373</v>
      </c>
      <c r="H78" s="10" t="n">
        <v>7385.2224</v>
      </c>
      <c r="I78" s="12" t="n">
        <f aca="false">IF(OR(E78="",E77=""),"",E78/E77-1)</f>
        <v>0.0270410405146337</v>
      </c>
      <c r="J78" s="12" t="n">
        <f aca="false">IF(OR(F78="",F77=""),"",F78/F77-1)</f>
        <v>0.0319728150615013</v>
      </c>
      <c r="K78" s="12" t="n">
        <f aca="false">IF(OR(G78="",G77=""),"",G78/G77-1)</f>
        <v>0.0337397900360572</v>
      </c>
      <c r="L78" s="12" t="n">
        <f aca="false">IF(OR(H78="",H77=""),"",H78/H77-1)</f>
        <v>-0.0140496300053966</v>
      </c>
      <c r="M78" s="13" t="n">
        <f aca="false">IF(OR(E78="",E66=""),"",E78/E66-1)</f>
        <v>1.17763627464139</v>
      </c>
      <c r="N78" s="13" t="n">
        <f aca="false">IF(OR(F78="",F66=""),"",F78/F66-1)</f>
        <v>1.05495126815791</v>
      </c>
      <c r="O78" s="13" t="n">
        <f aca="false">IF(OR(E78="",E75=""),"",(E78/E75)^4-1)</f>
        <v>0.361894583346784</v>
      </c>
      <c r="P78" s="13" t="n">
        <f aca="false">IF(OR(F78="",F75=""),"",(F78/F75)^4-1)</f>
        <v>0.416341432049083</v>
      </c>
      <c r="Q78" s="13" t="n">
        <f aca="false">IF(E78="","",IFERROR(E78/INDEX($E:$E,MATCH(C78-1&amp;"-12",$B:$B,0))-1,""))</f>
        <v>1.17763627464139</v>
      </c>
    </row>
    <row r="79" customFormat="false" ht="15" hidden="false" customHeight="false" outlineLevel="0" collapsed="false">
      <c r="B79" s="7" t="s">
        <v>121</v>
      </c>
      <c r="C79" s="8" t="n">
        <v>2025</v>
      </c>
      <c r="D79" s="9" t="n">
        <v>1</v>
      </c>
      <c r="E79" s="10" t="n">
        <v>7864.1257</v>
      </c>
      <c r="F79" s="10" t="n">
        <v>7995.938</v>
      </c>
      <c r="G79" s="10" t="n">
        <v>7698.607</v>
      </c>
      <c r="H79" s="10" t="n">
        <v>7411.5104</v>
      </c>
      <c r="I79" s="12" t="n">
        <f aca="false">IF(OR(E79="",E78=""),"",E79/E78-1)</f>
        <v>0.0221104801366518</v>
      </c>
      <c r="J79" s="12" t="n">
        <f aca="false">IF(OR(F79="",F78=""),"",F79/F78-1)</f>
        <v>0.0239768943123944</v>
      </c>
      <c r="K79" s="12" t="n">
        <f aca="false">IF(OR(G79="",G78=""),"",G79/G78-1)</f>
        <v>0.0261337854328294</v>
      </c>
      <c r="L79" s="12" t="n">
        <f aca="false">IF(OR(H79="",H78=""),"",H79/H78-1)</f>
        <v>0.00355954073908471</v>
      </c>
      <c r="M79" s="13" t="n">
        <f aca="false">IF(OR(E79="",E67=""),"",E79/E67-1)</f>
        <v>0.845375081508239</v>
      </c>
      <c r="N79" s="13" t="n">
        <f aca="false">IF(OR(F79="",F67=""),"",F79/F67-1)</f>
        <v>0.750361069496419</v>
      </c>
      <c r="O79" s="13" t="n">
        <f aca="false">IF(OR(E79="",E76=""),"",(E79/E76)^4-1)</f>
        <v>0.336573483087424</v>
      </c>
      <c r="P79" s="13" t="n">
        <f aca="false">IF(OR(F79="",F76=""),"",(F79/F76)^4-1)</f>
        <v>0.387926052911012</v>
      </c>
      <c r="Q79" s="13" t="n">
        <f aca="false">IF(E79="","",IFERROR(E79/INDEX($E:$E,MATCH(C79-1&amp;"-12",$B:$B,0))-1,""))</f>
        <v>0.0221104801366518</v>
      </c>
    </row>
    <row r="80" customFormat="false" ht="15" hidden="false" customHeight="false" outlineLevel="0" collapsed="false">
      <c r="B80" s="7" t="s">
        <v>122</v>
      </c>
      <c r="C80" s="8" t="n">
        <v>2025</v>
      </c>
      <c r="D80" s="9" t="n">
        <v>2</v>
      </c>
      <c r="E80" s="10" t="n">
        <v>8052.9927</v>
      </c>
      <c r="F80" s="10" t="n">
        <v>8229.4476</v>
      </c>
      <c r="G80" s="10" t="n">
        <v>7877.3099</v>
      </c>
      <c r="H80" s="10" t="n">
        <v>7350.8325</v>
      </c>
      <c r="I80" s="12" t="n">
        <f aca="false">IF(OR(E80="",E79=""),"",E80/E79-1)</f>
        <v>0.0240162743075179</v>
      </c>
      <c r="J80" s="12" t="n">
        <f aca="false">IF(OR(F80="",F79=""),"",F80/F79-1)</f>
        <v>0.0292035280913883</v>
      </c>
      <c r="K80" s="12" t="n">
        <f aca="false">IF(OR(G80="",G79=""),"",G80/G79-1)</f>
        <v>0.0232123681595904</v>
      </c>
      <c r="L80" s="12" t="n">
        <f aca="false">IF(OR(H80="",H79=""),"",H80/H79-1)</f>
        <v>-0.00818698169808951</v>
      </c>
      <c r="M80" s="13" t="n">
        <f aca="false">IF(OR(E80="",E68=""),"",E80/E68-1)</f>
        <v>0.668741464218041</v>
      </c>
      <c r="N80" s="13" t="n">
        <f aca="false">IF(OR(F80="",F68=""),"",F80/F68-1)</f>
        <v>0.604306286097852</v>
      </c>
      <c r="O80" s="13" t="n">
        <f aca="false">IF(OR(E80="",E77=""),"",(E80/E77)^4-1)</f>
        <v>0.335272773388223</v>
      </c>
      <c r="P80" s="13" t="n">
        <f aca="false">IF(OR(F80="",F77=""),"",(F80/F77)^4-1)</f>
        <v>0.399067670847678</v>
      </c>
      <c r="Q80" s="13" t="n">
        <f aca="false">IF(E80="","",IFERROR(E80/INDEX($E:$E,MATCH(C80-1&amp;"-12",$B:$B,0))-1,""))</f>
        <v>0.0466577658002023</v>
      </c>
    </row>
    <row r="81" customFormat="false" ht="15" hidden="false" customHeight="false" outlineLevel="0" collapsed="false">
      <c r="B81" s="7" t="s">
        <v>123</v>
      </c>
      <c r="C81" s="8" t="n">
        <v>2025</v>
      </c>
      <c r="D81" s="9" t="n">
        <v>3</v>
      </c>
      <c r="E81" s="10" t="n">
        <v>8353.3158</v>
      </c>
      <c r="F81" s="10" t="n">
        <v>8492.1966</v>
      </c>
      <c r="G81" s="10" t="n">
        <v>8129.994</v>
      </c>
      <c r="H81" s="10" t="n">
        <v>7971.2748</v>
      </c>
      <c r="I81" s="12" t="n">
        <f aca="false">IF(OR(E81="",E80=""),"",E81/E80-1)</f>
        <v>0.0372933530661217</v>
      </c>
      <c r="J81" s="12" t="n">
        <f aca="false">IF(OR(F81="",F80=""),"",F81/F80-1)</f>
        <v>0.0319279024268895</v>
      </c>
      <c r="K81" s="12" t="n">
        <f aca="false">IF(OR(G81="",G80=""),"",G81/G80-1)</f>
        <v>0.0320774608600836</v>
      </c>
      <c r="L81" s="12" t="n">
        <f aca="false">IF(OR(H81="",H80=""),"",H81/H80-1)</f>
        <v>0.0844043582818681</v>
      </c>
      <c r="M81" s="13" t="n">
        <f aca="false">IF(OR(E81="",E69=""),"",E81/E69-1)</f>
        <v>0.559300156993731</v>
      </c>
      <c r="N81" s="13" t="n">
        <f aca="false">IF(OR(F81="",F69=""),"",F81/F69-1)</f>
        <v>0.513113456240131</v>
      </c>
      <c r="O81" s="13" t="n">
        <f aca="false">IF(OR(E81="",E78=""),"",(E81/E78)^4-1)</f>
        <v>0.389393235865859</v>
      </c>
      <c r="P81" s="13" t="n">
        <f aca="false">IF(OR(F81="",F78=""),"",(F81/F78)^4-1)</f>
        <v>0.398824130660299</v>
      </c>
      <c r="Q81" s="13" t="n">
        <f aca="false">IF(E81="","",IFERROR(E81/INDEX($E:$E,MATCH(C81-1&amp;"-12",$B:$B,0))-1,""))</f>
        <v>0.0856911433995873</v>
      </c>
    </row>
    <row r="82" customFormat="false" ht="15" hidden="false" customHeight="false" outlineLevel="0" collapsed="false">
      <c r="B82" s="7" t="s">
        <v>124</v>
      </c>
      <c r="C82" s="8" t="n">
        <v>2025</v>
      </c>
      <c r="D82" s="9" t="n">
        <v>4</v>
      </c>
      <c r="E82" s="10" t="n">
        <v>8585.6078</v>
      </c>
      <c r="F82" s="10" t="n">
        <v>8765.1966</v>
      </c>
      <c r="G82" s="10" t="n">
        <v>8273.8986</v>
      </c>
      <c r="H82" s="10" t="n">
        <v>8121.3082</v>
      </c>
      <c r="I82" s="12" t="n">
        <f aca="false">IF(OR(E82="",E81=""),"",E82/E81-1)</f>
        <v>0.0278083584485096</v>
      </c>
      <c r="J82" s="12" t="n">
        <f aca="false">IF(OR(F82="",F81=""),"",F82/F81-1)</f>
        <v>0.0321471596642027</v>
      </c>
      <c r="K82" s="12" t="n">
        <f aca="false">IF(OR(G82="",G81=""),"",G82/G81-1)</f>
        <v>0.0177004558674951</v>
      </c>
      <c r="L82" s="12" t="n">
        <f aca="false">IF(OR(H82="",H81=""),"",H82/H81-1)</f>
        <v>0.0188217573430036</v>
      </c>
      <c r="M82" s="13" t="n">
        <f aca="false">IF(OR(E82="",E70=""),"",E82/E70-1)</f>
        <v>0.472602636696605</v>
      </c>
      <c r="N82" s="13" t="n">
        <f aca="false">IF(OR(F82="",F70=""),"",F82/F70-1)</f>
        <v>0.469217967484027</v>
      </c>
      <c r="O82" s="13" t="n">
        <f aca="false">IF(OR(E82="",E79=""),"",(E82/E79)^4-1)</f>
        <v>0.42063462557092</v>
      </c>
      <c r="P82" s="13" t="n">
        <f aca="false">IF(OR(F82="",F79=""),"",(F82/F79)^4-1)</f>
        <v>0.444005922679969</v>
      </c>
      <c r="Q82" s="13" t="n">
        <f aca="false">IF(E82="","",IFERROR(E82/INDEX($E:$E,MATCH(C82-1&amp;"-12",$B:$B,0))-1,""))</f>
        <v>0.115882431879615</v>
      </c>
    </row>
    <row r="83" customFormat="false" ht="15" hidden="false" customHeight="false" outlineLevel="0" collapsed="false">
      <c r="B83" s="7" t="s">
        <v>125</v>
      </c>
      <c r="C83" s="8" t="n">
        <v>2025</v>
      </c>
      <c r="D83" s="9" t="n">
        <v>5</v>
      </c>
      <c r="E83" s="10" t="n">
        <v>8714.4871</v>
      </c>
      <c r="F83" s="10" t="n">
        <v>8957.7912</v>
      </c>
      <c r="G83" s="10" t="n">
        <v>8382.4957</v>
      </c>
      <c r="H83" s="10" t="n">
        <v>7899.4762</v>
      </c>
      <c r="I83" s="12" t="n">
        <f aca="false">IF(OR(E83="",E82=""),"",E83/E82-1)</f>
        <v>0.0150110863438231</v>
      </c>
      <c r="J83" s="12" t="n">
        <f aca="false">IF(OR(F83="",F82=""),"",F83/F82-1)</f>
        <v>0.0219726503339355</v>
      </c>
      <c r="K83" s="12" t="n">
        <f aca="false">IF(OR(G83="",G82=""),"",G83/G82-1)</f>
        <v>0.0131252635849319</v>
      </c>
      <c r="L83" s="12" t="n">
        <f aca="false">IF(OR(H83="",H82=""),"",H83/H82-1)</f>
        <v>-0.0273148111778346</v>
      </c>
      <c r="M83" s="13" t="n">
        <f aca="false">IF(OR(E83="",E71=""),"",E83/E71-1)</f>
        <v>0.434790506610468</v>
      </c>
      <c r="N83" s="13" t="n">
        <f aca="false">IF(OR(F83="",F71=""),"",F83/F71-1)</f>
        <v>0.447443114062727</v>
      </c>
      <c r="O83" s="13" t="n">
        <f aca="false">IF(OR(E83="",E80=""),"",(E83/E80)^4-1)</f>
        <v>0.371317770038141</v>
      </c>
      <c r="P83" s="13" t="n">
        <f aca="false">IF(OR(F83="",F80=""),"",(F83/F80)^4-1)</f>
        <v>0.403850960358223</v>
      </c>
      <c r="Q83" s="13" t="n">
        <f aca="false">IF(E83="","",IFERROR(E83/INDEX($E:$E,MATCH(C83-1&amp;"-12",$B:$B,0))-1,""))</f>
        <v>0.132633039414116</v>
      </c>
    </row>
    <row r="84" customFormat="false" ht="15" hidden="false" customHeight="false" outlineLevel="0" collapsed="false">
      <c r="B84" s="7" t="s">
        <v>126</v>
      </c>
      <c r="C84" s="8" t="n">
        <v>2025</v>
      </c>
      <c r="D84" s="9" t="n">
        <v>6</v>
      </c>
      <c r="E84" s="10" t="n">
        <v>8855.5681</v>
      </c>
      <c r="F84" s="10" t="n">
        <v>9111.304</v>
      </c>
      <c r="G84" s="10" t="n">
        <v>8569.0645</v>
      </c>
      <c r="H84" s="10" t="n">
        <v>7882.5607</v>
      </c>
      <c r="I84" s="12" t="n">
        <f aca="false">IF(OR(E84="",E83=""),"",E84/E83-1)</f>
        <v>0.0161892488199333</v>
      </c>
      <c r="J84" s="12" t="n">
        <f aca="false">IF(OR(F84="",F83=""),"",F84/F83-1)</f>
        <v>0.0171373496627161</v>
      </c>
      <c r="K84" s="12" t="n">
        <f aca="false">IF(OR(G84="",G83=""),"",G84/G83-1)</f>
        <v>0.0222569514709088</v>
      </c>
      <c r="L84" s="12" t="n">
        <f aca="false">IF(OR(H84="",H83=""),"",H84/H83-1)</f>
        <v>-0.0021413445109183</v>
      </c>
      <c r="M84" s="13" t="n">
        <f aca="false">IF(OR(E84="",E72=""),"",E84/E72-1)</f>
        <v>0.394201219214119</v>
      </c>
      <c r="N84" s="13" t="n">
        <f aca="false">IF(OR(F84="",F72=""),"",F84/F72-1)</f>
        <v>0.420388228054265</v>
      </c>
      <c r="O84" s="13" t="n">
        <f aca="false">IF(OR(E84="",E81=""),"",(E84/E81)^4-1)</f>
        <v>0.263077815038155</v>
      </c>
      <c r="P84" s="13" t="n">
        <f aca="false">IF(OR(F84="",F81=""),"",(F84/F81)^4-1)</f>
        <v>0.325079665645149</v>
      </c>
      <c r="Q84" s="13" t="n">
        <f aca="false">IF(E84="","",IFERROR(E84/INDEX($E:$E,MATCH(C84-1&amp;"-12",$B:$B,0))-1,""))</f>
        <v>0.150969517510868</v>
      </c>
    </row>
    <row r="85" customFormat="false" ht="15" hidden="false" customHeight="false" outlineLevel="0" collapsed="false">
      <c r="B85" s="7" t="s">
        <v>127</v>
      </c>
      <c r="C85" s="8" t="n">
        <v>2025</v>
      </c>
      <c r="D85" s="9" t="n">
        <v>7</v>
      </c>
      <c r="E85" s="10" t="n">
        <v>9023.973</v>
      </c>
      <c r="F85" s="10" t="n">
        <v>9246.0737</v>
      </c>
      <c r="G85" s="10" t="n">
        <v>8766.629</v>
      </c>
      <c r="H85" s="10" t="n">
        <v>8201.9212</v>
      </c>
      <c r="I85" s="12" t="n">
        <f aca="false">IF(OR(E85="",E84=""),"",E85/E84-1)</f>
        <v>0.0190168375533129</v>
      </c>
      <c r="J85" s="12" t="n">
        <f aca="false">IF(OR(F85="",F84=""),"",F85/F84-1)</f>
        <v>0.0147914831949412</v>
      </c>
      <c r="K85" s="12" t="n">
        <f aca="false">IF(OR(G85="",G84=""),"",G85/G84-1)</f>
        <v>0.0230555505796461</v>
      </c>
      <c r="L85" s="12" t="n">
        <f aca="false">IF(OR(H85="",H84=""),"",H85/H84-1)</f>
        <v>0.0405148164605953</v>
      </c>
      <c r="M85" s="13" t="n">
        <f aca="false">IF(OR(E85="",E73=""),"",E85/E73-1)</f>
        <v>0.365665448586499</v>
      </c>
      <c r="N85" s="13" t="n">
        <f aca="false">IF(OR(F85="",F73=""),"",F85/F73-1)</f>
        <v>0.388822769542275</v>
      </c>
      <c r="O85" s="13" t="n">
        <f aca="false">IF(OR(E85="",E82=""),"",(E85/E82)^4-1)</f>
        <v>0.220413397713345</v>
      </c>
      <c r="P85" s="13" t="n">
        <f aca="false">IF(OR(F85="",F82=""),"",(F85/F82)^4-1)</f>
        <v>0.238177070142871</v>
      </c>
      <c r="Q85" s="13" t="n">
        <f aca="false">IF(E85="","",IFERROR(E85/INDEX($E:$E,MATCH(C85-1&amp;"-12",$B:$B,0))-1,""))</f>
        <v>0.172857317854187</v>
      </c>
    </row>
    <row r="86" customFormat="false" ht="15" hidden="false" customHeight="false" outlineLevel="0" collapsed="false">
      <c r="B86" s="7" t="s">
        <v>128</v>
      </c>
      <c r="C86" s="8" t="n">
        <v>2025</v>
      </c>
      <c r="D86" s="9" t="n">
        <v>8</v>
      </c>
      <c r="E86" s="10" t="n">
        <v>9193.2441</v>
      </c>
      <c r="F86" s="10" t="n">
        <v>9435.1467</v>
      </c>
      <c r="G86" s="10" t="n">
        <v>9000.5641</v>
      </c>
      <c r="H86" s="10" t="n">
        <v>8137.0132</v>
      </c>
      <c r="I86" s="12" t="n">
        <f aca="false">IF(OR(E86="",E85=""),"",E86/E85-1)</f>
        <v>0.0187579351135028</v>
      </c>
      <c r="J86" s="12" t="n">
        <f aca="false">IF(OR(F86="",F85=""),"",F86/F85-1)</f>
        <v>0.020449004208132</v>
      </c>
      <c r="K86" s="12" t="n">
        <f aca="false">IF(OR(G86="",G85=""),"",G86/G85-1)</f>
        <v>0.026684726820309</v>
      </c>
      <c r="L86" s="12" t="n">
        <f aca="false">IF(OR(H86="",H85=""),"",H86/H85-1)</f>
        <v>-0.00791375562106111</v>
      </c>
      <c r="M86" s="13" t="n">
        <f aca="false">IF(OR(E86="",E74=""),"",E86/E74-1)</f>
        <v>0.335559327506132</v>
      </c>
      <c r="N86" s="13" t="n">
        <f aca="false">IF(OR(F86="",F74=""),"",F86/F74-1)</f>
        <v>0.361139958847038</v>
      </c>
      <c r="O86" s="13" t="n">
        <f aca="false">IF(OR(E86="",E83=""),"",(E86/E83)^4-1)</f>
        <v>0.238533738027658</v>
      </c>
      <c r="P86" s="13" t="n">
        <f aca="false">IF(OR(F86="",F83=""),"",(F86/F83)^4-1)</f>
        <v>0.230809636382951</v>
      </c>
      <c r="Q86" s="13" t="n">
        <f aca="false">IF(E86="","",IFERROR(E86/INDEX($E:$E,MATCH(C86-1&amp;"-12",$B:$B,0))-1,""))</f>
        <v>0.194857699319893</v>
      </c>
    </row>
    <row r="87" customFormat="false" ht="15" hidden="false" customHeight="false" outlineLevel="0" collapsed="false">
      <c r="B87" s="7" t="s">
        <v>129</v>
      </c>
      <c r="C87" s="8" t="n">
        <v>2025</v>
      </c>
      <c r="D87" s="9" t="n">
        <v>9</v>
      </c>
      <c r="E87" s="10" t="n">
        <v>9384.0922</v>
      </c>
      <c r="F87" s="10" t="n">
        <v>9614.0254</v>
      </c>
      <c r="G87" s="10" t="n">
        <v>9237.6711</v>
      </c>
      <c r="H87" s="10" t="n">
        <v>8316.258</v>
      </c>
      <c r="I87" s="12" t="n">
        <f aca="false">IF(OR(E87="",E86=""),"",E87/E86-1)</f>
        <v>0.0207596032395136</v>
      </c>
      <c r="J87" s="12" t="n">
        <f aca="false">IF(OR(F87="",F86=""),"",F87/F86-1)</f>
        <v>0.0189587619236489</v>
      </c>
      <c r="K87" s="12" t="n">
        <f aca="false">IF(OR(G87="",G86=""),"",G87/G86-1)</f>
        <v>0.0263435710657292</v>
      </c>
      <c r="L87" s="12" t="n">
        <f aca="false">IF(OR(H87="",H86=""),"",H87/H86-1)</f>
        <v>0.0220283285272291</v>
      </c>
      <c r="M87" s="13" t="n">
        <f aca="false">IF(OR(E87="",E75=""),"",E87/E75-1)</f>
        <v>0.317575570760224</v>
      </c>
      <c r="N87" s="13" t="n">
        <f aca="false">IF(OR(F87="",F75=""),"",F87/F75-1)</f>
        <v>0.343129828746091</v>
      </c>
      <c r="O87" s="13" t="n">
        <f aca="false">IF(OR(E87="",E84=""),"",(E87/E84)^4-1)</f>
        <v>0.2609659396929</v>
      </c>
      <c r="P87" s="13" t="n">
        <f aca="false">IF(OR(F87="",F84=""),"",(F87/F84)^4-1)</f>
        <v>0.2396495070436</v>
      </c>
      <c r="Q87" s="13" t="n">
        <f aca="false">IF(E87="","",IFERROR(E87/INDEX($E:$E,MATCH(C87-1&amp;"-12",$B:$B,0))-1,""))</f>
        <v>0.219662471085452</v>
      </c>
    </row>
    <row r="88" customFormat="false" ht="15" hidden="false" customHeight="false" outlineLevel="0" collapsed="false">
      <c r="B88" s="7" t="s">
        <v>130</v>
      </c>
      <c r="C88" s="8" t="n">
        <v>2025</v>
      </c>
      <c r="D88" s="9" t="n">
        <v>10</v>
      </c>
      <c r="E88" s="10" t="n">
        <v>9603.8623</v>
      </c>
      <c r="F88" s="10" t="n">
        <v>9827.1413</v>
      </c>
      <c r="G88" s="10" t="n">
        <v>9474.6115</v>
      </c>
      <c r="H88" s="10" t="n">
        <v>8548.5791</v>
      </c>
      <c r="I88" s="12" t="n">
        <f aca="false">IF(OR(E88="",E87=""),"",E88/E87-1)</f>
        <v>0.0234194310239195</v>
      </c>
      <c r="J88" s="12" t="n">
        <f aca="false">IF(OR(F88="",F87=""),"",F88/F87-1)</f>
        <v>0.0221671871181035</v>
      </c>
      <c r="K88" s="12" t="n">
        <f aca="false">IF(OR(G88="",G87=""),"",G88/G87-1)</f>
        <v>0.025649365238821</v>
      </c>
      <c r="L88" s="12" t="n">
        <f aca="false">IF(OR(H88="",H87=""),"",H88/H87-1)</f>
        <v>0.0279357735173682</v>
      </c>
      <c r="M88" s="13" t="n">
        <f aca="false">IF(OR(E88="",E76=""),"",E88/E76-1)</f>
        <v>0.313087563496091</v>
      </c>
      <c r="N88" s="13" t="n">
        <f aca="false">IF(OR(F88="",F76=""),"",F88/F76-1)</f>
        <v>0.333980142185008</v>
      </c>
      <c r="O88" s="13" t="n">
        <f aca="false">IF(OR(E88="",E85=""),"",(E88/E85)^4-1)</f>
        <v>0.282899244023449</v>
      </c>
      <c r="P88" s="13" t="n">
        <f aca="false">IF(OR(F88="",F85=""),"",(F88/F85)^4-1)</f>
        <v>0.276084398706696</v>
      </c>
      <c r="Q88" s="13" t="n">
        <f aca="false">IF(E88="","",IFERROR(E88/INDEX($E:$E,MATCH(C88-1&amp;"-12",$B:$B,0))-1,""))</f>
        <v>0.248226272199501</v>
      </c>
    </row>
    <row r="89" customFormat="false" ht="15" hidden="false" customHeight="false" outlineLevel="0" collapsed="false">
      <c r="B89" s="7" t="s">
        <v>131</v>
      </c>
      <c r="C89" s="8" t="n">
        <v>2025</v>
      </c>
      <c r="D89" s="9" t="n">
        <v>11</v>
      </c>
      <c r="E89" s="10" t="n">
        <v>9841.3581</v>
      </c>
      <c r="F89" s="10" t="n">
        <v>10086.4793</v>
      </c>
      <c r="G89" s="10" t="n">
        <v>9748.309</v>
      </c>
      <c r="H89" s="10" t="n">
        <v>8584.9379</v>
      </c>
      <c r="I89" s="12" t="n">
        <f aca="false">IF(OR(E89="",E88=""),"",E89/E88-1)</f>
        <v>0.0247291967107857</v>
      </c>
      <c r="J89" s="12" t="n">
        <f aca="false">IF(OR(F89="",F88=""),"",F89/F88-1)</f>
        <v>0.0263899736538846</v>
      </c>
      <c r="K89" s="12" t="n">
        <f aca="false">IF(OR(G89="",G88=""),"",G89/G88-1)</f>
        <v>0.0288874641456274</v>
      </c>
      <c r="L89" s="12" t="n">
        <f aca="false">IF(OR(H89="",H88=""),"",H89/H88-1)</f>
        <v>0.00425319805486746</v>
      </c>
      <c r="M89" s="13" t="n">
        <f aca="false">IF(OR(E89="",E77=""),"",E89/E77-1)</f>
        <v>0.313681935337484</v>
      </c>
      <c r="N89" s="13" t="n">
        <f aca="false">IF(OR(F89="",F77=""),"",F89/F77-1)</f>
        <v>0.332995236995317</v>
      </c>
      <c r="O89" s="13" t="n">
        <f aca="false">IF(OR(E89="",E86=""),"",(E89/E86)^4-1)</f>
        <v>0.313242631528274</v>
      </c>
      <c r="P89" s="13" t="n">
        <f aca="false">IF(OR(F89="",F86=""),"",(F89/F86)^4-1)</f>
        <v>0.306061952567989</v>
      </c>
      <c r="Q89" s="13" t="n">
        <f aca="false">IF(E89="","",IFERROR(E89/INDEX($E:$E,MATCH(C89-1&amp;"-12",$B:$B,0))-1,""))</f>
        <v>0.279093905224293</v>
      </c>
    </row>
    <row r="90" customFormat="false" ht="15" hidden="false" customHeight="false" outlineLevel="0" collapsed="false">
      <c r="B90" s="7" t="s">
        <v>132</v>
      </c>
      <c r="C90" s="8" t="n">
        <v>2025</v>
      </c>
      <c r="D90" s="9" t="n">
        <v>12</v>
      </c>
      <c r="E90" s="10" t="n">
        <v>10121.3715</v>
      </c>
      <c r="F90" s="10" t="n">
        <v>10392.4922</v>
      </c>
      <c r="G90" s="10" t="n">
        <v>10069.0986</v>
      </c>
      <c r="H90" s="10" t="n">
        <v>8637.1055</v>
      </c>
      <c r="I90" s="12" t="n">
        <f aca="false">IF(OR(E90="",E89=""),"",E90/E89-1)</f>
        <v>0.0284527193457171</v>
      </c>
      <c r="J90" s="12" t="n">
        <f aca="false">IF(OR(F90="",F89=""),"",F90/F89-1)</f>
        <v>0.0303389211337597</v>
      </c>
      <c r="K90" s="12" t="n">
        <f aca="false">IF(OR(G90="",G89=""),"",G90/G89-1)</f>
        <v>0.0329072047264813</v>
      </c>
      <c r="L90" s="12" t="n">
        <f aca="false">IF(OR(H90="",H89=""),"",H90/H89-1)</f>
        <v>0.00607664267437502</v>
      </c>
      <c r="M90" s="13" t="n">
        <f aca="false">IF(OR(E90="",E78=""),"",E90/E78-1)</f>
        <v>0.315487605126457</v>
      </c>
      <c r="N90" s="13" t="n">
        <f aca="false">IF(OR(F90="",F78=""),"",F90/F78-1)</f>
        <v>0.330884742618287</v>
      </c>
      <c r="O90" s="13" t="n">
        <f aca="false">IF(OR(E90="",E87=""),"",(E90/E87)^4-1)</f>
        <v>0.353282289910735</v>
      </c>
      <c r="P90" s="13" t="n">
        <f aca="false">IF(OR(F90="",F87=""),"",(F90/F87)^4-1)</f>
        <v>0.365393302204477</v>
      </c>
      <c r="Q90" s="13" t="n">
        <f aca="false">IF(E90="","",IFERROR(E90/INDEX($E:$E,MATCH(C90-1&amp;"-12",$B:$B,0))-1,""))</f>
        <v>0.315487605126457</v>
      </c>
    </row>
    <row r="91" customFormat="false" ht="15" hidden="false" customHeight="false" outlineLevel="0" collapsed="false">
      <c r="B91" s="7" t="s">
        <v>133</v>
      </c>
      <c r="C91" s="8" t="n">
        <v>2026</v>
      </c>
      <c r="D91" s="9" t="n">
        <v>1</v>
      </c>
      <c r="E91" s="10" t="n">
        <v>10413.0309</v>
      </c>
      <c r="F91" s="10" t="n">
        <v>10665.8531</v>
      </c>
      <c r="G91" s="10" t="n">
        <v>10313.8016</v>
      </c>
      <c r="H91" s="10" t="n">
        <v>9130.0503</v>
      </c>
      <c r="I91" s="12" t="n">
        <f aca="false">IF(OR(E91="",E90=""),"",E91/E90-1)</f>
        <v>0.0288161935366171</v>
      </c>
      <c r="J91" s="12" t="n">
        <f aca="false">IF(OR(F91="",F90=""),"",F91/F90-1)</f>
        <v>0.0263036906585312</v>
      </c>
      <c r="K91" s="12" t="n">
        <f aca="false">IF(OR(G91="",G90=""),"",G91/G90-1)</f>
        <v>0.0243023739980062</v>
      </c>
      <c r="L91" s="12" t="n">
        <f aca="false">IF(OR(H91="",H90=""),"",H91/H90-1)</f>
        <v>0.0570729163838513</v>
      </c>
      <c r="M91" s="13" t="n">
        <f aca="false">IF(OR(E91="",E79=""),"",E91/E79-1)</f>
        <v>0.324118064389535</v>
      </c>
      <c r="N91" s="13" t="n">
        <f aca="false">IF(OR(F91="",F79=""),"",F91/F79-1)</f>
        <v>0.333908929759085</v>
      </c>
      <c r="O91" s="13" t="n">
        <f aca="false">IF(OR(E91="",E88=""),"",(E91/E88)^4-1)</f>
        <v>0.382053739679398</v>
      </c>
      <c r="P91" s="13" t="n">
        <f aca="false">IF(OR(F91="",F88=""),"",(F91/F88)^4-1)</f>
        <v>0.387629707668822</v>
      </c>
      <c r="Q91" s="13" t="n">
        <f aca="false">IF(E91="","",IFERROR(E91/INDEX($E:$E,MATCH(C91-1&amp;"-12",$B:$B,0))-1,""))</f>
        <v>0.0288161935366171</v>
      </c>
    </row>
    <row r="92" customFormat="false" ht="15" hidden="false" customHeight="false" outlineLevel="0" collapsed="false">
      <c r="B92" s="7" t="s">
        <v>134</v>
      </c>
      <c r="C92" s="8" t="n">
        <v>2026</v>
      </c>
      <c r="D92" s="9" t="n">
        <v>2</v>
      </c>
      <c r="E92" s="10" t="n">
        <v>10714.6255</v>
      </c>
      <c r="F92" s="10" t="n">
        <v>10993.8681</v>
      </c>
      <c r="G92" s="10" t="n">
        <v>10752.23</v>
      </c>
      <c r="H92" s="10" t="n">
        <v>9013.6124</v>
      </c>
      <c r="I92" s="12" t="n">
        <f aca="false">IF(OR(E92="",E91=""),"",E92/E91-1)</f>
        <v>0.0289631907267269</v>
      </c>
      <c r="J92" s="12" t="n">
        <f aca="false">IF(OR(F92="",F91=""),"",F92/F91-1)</f>
        <v>0.0307537518963203</v>
      </c>
      <c r="K92" s="12" t="n">
        <f aca="false">IF(OR(G92="",G91=""),"",G92/G91-1)</f>
        <v>0.0425089037974125</v>
      </c>
      <c r="L92" s="12" t="n">
        <f aca="false">IF(OR(H92="",H91=""),"",H92/H91-1)</f>
        <v>-0.0127532594207067</v>
      </c>
      <c r="M92" s="13" t="n">
        <f aca="false">IF(OR(E92="",E80=""),"",E92/E80-1)</f>
        <v>0.33051474143271</v>
      </c>
      <c r="N92" s="13" t="n">
        <f aca="false">IF(OR(F92="",F80=""),"",F92/F80-1)</f>
        <v>0.335918111927707</v>
      </c>
      <c r="O92" s="13" t="n">
        <f aca="false">IF(OR(E92="",E89=""),"",(E92/E89)^4-1)</f>
        <v>0.40503727110834</v>
      </c>
      <c r="P92" s="13" t="n">
        <f aca="false">IF(OR(F92="",F89=""),"",(F92/F89)^4-1)</f>
        <v>0.411379101131993</v>
      </c>
      <c r="Q92" s="13" t="n">
        <f aca="false">IF(E92="","",IFERROR(E92/INDEX($E:$E,MATCH(C92-1&amp;"-12",$B:$B,0))-1,""))</f>
        <v>0.0586139931727634</v>
      </c>
    </row>
    <row r="93" customFormat="false" ht="15" hidden="false" customHeight="false" outlineLevel="0" collapsed="false">
      <c r="B93" s="7" t="s">
        <v>135</v>
      </c>
      <c r="C93" s="8" t="n">
        <v>2026</v>
      </c>
      <c r="D93" s="9" t="n">
        <v>3</v>
      </c>
      <c r="E93" s="10" t="n">
        <v>11077.0608</v>
      </c>
      <c r="F93" s="10" t="n">
        <v>11344.4566</v>
      </c>
      <c r="G93" s="10" t="n">
        <v>11298.7045</v>
      </c>
      <c r="H93" s="10" t="n">
        <v>9107.887</v>
      </c>
      <c r="I93" s="12" t="n">
        <f aca="false">IF(OR(E93="",E92=""),"",E93/E92-1)</f>
        <v>0.0338262219244152</v>
      </c>
      <c r="J93" s="12" t="n">
        <f aca="false">IF(OR(F93="",F92=""),"",F93/F92-1)</f>
        <v>0.0318894584518437</v>
      </c>
      <c r="K93" s="12" t="n">
        <f aca="false">IF(OR(G93="",G92=""),"",G93/G92-1)</f>
        <v>0.0508242941231727</v>
      </c>
      <c r="L93" s="12" t="n">
        <f aca="false">IF(OR(H93="",H92=""),"",H93/H92-1)</f>
        <v>0.0104591362282231</v>
      </c>
      <c r="M93" s="13" t="n">
        <f aca="false">IF(OR(E93="",E81=""),"",E93/E81-1)</f>
        <v>0.326067523988498</v>
      </c>
      <c r="N93" s="13" t="n">
        <f aca="false">IF(OR(F93="",F81=""),"",F93/F81-1)</f>
        <v>0.335868342944392</v>
      </c>
      <c r="O93" s="13" t="n">
        <f aca="false">IF(OR(E93="",E90=""),"",(E93/E90)^4-1)</f>
        <v>0.434632599077282</v>
      </c>
      <c r="P93" s="13" t="n">
        <f aca="false">IF(OR(F93="",F90=""),"",(F93/F90)^4-1)</f>
        <v>0.41989412775838</v>
      </c>
      <c r="Q93" s="13" t="n">
        <f aca="false">IF(E93="","",IFERROR(E93/INDEX($E:$E,MATCH(C93-1&amp;"-12",$B:$B,0))-1,""))</f>
        <v>0.0944229050381167</v>
      </c>
    </row>
    <row r="94" customFormat="false" ht="15" hidden="false" customHeight="false" outlineLevel="0" collapsed="false">
      <c r="B94" s="7" t="s">
        <v>136</v>
      </c>
      <c r="C94" s="8" t="n">
        <v>2026</v>
      </c>
      <c r="D94" s="9" t="n">
        <v>4</v>
      </c>
      <c r="E94" s="10" t="n">
        <v>11363.0904</v>
      </c>
      <c r="F94" s="10" t="n">
        <v>11603.8447</v>
      </c>
      <c r="G94" s="10" t="n">
        <v>11828.0421</v>
      </c>
      <c r="H94" s="10" t="n">
        <v>9103.5096</v>
      </c>
      <c r="I94" s="12" t="n">
        <f aca="false">IF(OR(E94="",E93=""),"",E94/E93-1)</f>
        <v>0.0258217956156745</v>
      </c>
      <c r="J94" s="12" t="n">
        <f aca="false">IF(OR(F94="",F93=""),"",F94/F93-1)</f>
        <v>0.0228647443545247</v>
      </c>
      <c r="K94" s="12" t="n">
        <f aca="false">IF(OR(G94="",G93=""),"",G94/G93-1)</f>
        <v>0.0468494064961165</v>
      </c>
      <c r="L94" s="12" t="n">
        <f aca="false">IF(OR(H94="",H93=""),"",H94/H93-1)</f>
        <v>-0.000480616415201585</v>
      </c>
      <c r="M94" s="13" t="n">
        <f aca="false">IF(OR(E94="",E82=""),"",E94/E82-1)</f>
        <v>0.323504481534784</v>
      </c>
      <c r="N94" s="13" t="n">
        <f aca="false">IF(OR(F94="",F82=""),"",F94/F82-1)</f>
        <v>0.323854470075434</v>
      </c>
      <c r="O94" s="13" t="n">
        <f aca="false">IF(OR(E94="",E91=""),"",(E94/E91)^4-1)</f>
        <v>0.418003224730566</v>
      </c>
      <c r="P94" s="13" t="n">
        <f aca="false">IF(OR(F94="",F91=""),"",(F94/F91)^4-1)</f>
        <v>0.400958400259575</v>
      </c>
      <c r="Q94" s="13" t="n">
        <f aca="false">IF(E94="","",IFERROR(E94/INDEX($E:$E,MATCH(C94-1&amp;"-12",$B:$B,0))-1,""))</f>
        <v>0.122682869609124</v>
      </c>
    </row>
    <row r="95" customFormat="false" ht="15" hidden="false" customHeight="false" outlineLevel="0" collapsed="false">
      <c r="B95" s="7" t="s">
        <v>137</v>
      </c>
      <c r="C95" s="8" t="n">
        <v>2026</v>
      </c>
      <c r="D95" s="9" t="n">
        <v>5</v>
      </c>
      <c r="E95" s="10" t="n">
        <v>11607.3937</v>
      </c>
      <c r="F95" s="10" t="n">
        <v>11824.7213</v>
      </c>
      <c r="G95" s="10" t="n">
        <v>12111.4533</v>
      </c>
      <c r="H95" s="10" t="n">
        <v>9420.5342</v>
      </c>
      <c r="I95" s="12" t="n">
        <f aca="false">IF(OR(E95="",E94=""),"",E95/E94-1)</f>
        <v>0.0214997233499086</v>
      </c>
      <c r="J95" s="12" t="n">
        <f aca="false">IF(OR(F95="",F94=""),"",F95/F94-1)</f>
        <v>0.0190347773268631</v>
      </c>
      <c r="K95" s="12" t="n">
        <f aca="false">IF(OR(G95="",G94=""),"",G95/G94-1)</f>
        <v>0.0239609563107659</v>
      </c>
      <c r="L95" s="12" t="n">
        <f aca="false">IF(OR(H95="",H94=""),"",H95/H94-1)</f>
        <v>0.0348244373796234</v>
      </c>
      <c r="M95" s="13" t="n">
        <f aca="false">IF(OR(E95="",E83=""),"",E95/E83-1)</f>
        <v>0.331965216862849</v>
      </c>
      <c r="N95" s="13" t="n">
        <f aca="false">IF(OR(F95="",F83=""),"",F95/F83-1)</f>
        <v>0.32004877497033</v>
      </c>
      <c r="O95" s="13" t="n">
        <f aca="false">IF(OR(E95="",E92=""),"",(E95/E92)^4-1)</f>
        <v>0.377307384833439</v>
      </c>
      <c r="P95" s="13" t="n">
        <f aca="false">IF(OR(F95="",F92=""),"",(F95/F92)^4-1)</f>
        <v>0.338324922169747</v>
      </c>
      <c r="Q95" s="13" t="n">
        <f aca="false">IF(E95="","",IFERROR(E95/INDEX($E:$E,MATCH(C95-1&amp;"-12",$B:$B,0))-1,""))</f>
        <v>0.146820240715401</v>
      </c>
    </row>
    <row r="96" customFormat="false" ht="15" hidden="false" customHeight="false" outlineLevel="0" collapsed="false">
      <c r="B96" s="7" t="s">
        <v>138</v>
      </c>
      <c r="C96" s="8" t="n">
        <v>2026</v>
      </c>
      <c r="D96" s="9" t="n">
        <v>6</v>
      </c>
      <c r="E96" s="10" t="n">
        <v>11826.4103</v>
      </c>
      <c r="F96" s="10" t="n">
        <v>12010.3199</v>
      </c>
      <c r="G96" s="10" t="n">
        <v>12389.4344</v>
      </c>
      <c r="H96" s="10" t="n">
        <v>9738.5609</v>
      </c>
      <c r="I96" s="12" t="n">
        <f aca="false">IF(OR(E96="",E95=""),"",E96/E95-1)</f>
        <v>0.0188687146882938</v>
      </c>
      <c r="J96" s="12" t="n">
        <f aca="false">IF(OR(F96="",F95=""),"",F96/F95-1)</f>
        <v>0.0156958117905071</v>
      </c>
      <c r="K96" s="12" t="n">
        <f aca="false">IF(OR(G96="",G95=""),"",G96/G95-1)</f>
        <v>0.0229519194034296</v>
      </c>
      <c r="L96" s="12" t="n">
        <f aca="false">IF(OR(H96="",H95=""),"",H96/H95-1)</f>
        <v>0.0337588817415471</v>
      </c>
      <c r="M96" s="13" t="n">
        <f aca="false">IF(OR(E96="",E84=""),"",E96/E84-1)</f>
        <v>0.335477313985085</v>
      </c>
      <c r="N96" s="13" t="n">
        <f aca="false">IF(OR(F96="",F84=""),"",F96/F84-1)</f>
        <v>0.318177935891504</v>
      </c>
      <c r="O96" s="13" t="n">
        <f aca="false">IF(OR(E96="",E93=""),"",(E96/E93)^4-1)</f>
        <v>0.299312482123483</v>
      </c>
      <c r="P96" s="13" t="n">
        <f aca="false">IF(OR(F96="",F93=""),"",(F96/F93)^4-1)</f>
        <v>0.25627150384262</v>
      </c>
      <c r="Q96" s="13" t="n">
        <f aca="false">IF(E96="","",IFERROR(E96/INDEX($E:$E,MATCH(C96-1&amp;"-12",$B:$B,0))-1,""))</f>
        <v>0.168459264636221</v>
      </c>
    </row>
    <row r="97" customFormat="false" ht="15" hidden="false" customHeight="false" outlineLevel="0" collapsed="false">
      <c r="B97" s="7" t="s">
        <v>139</v>
      </c>
      <c r="C97" s="8" t="n">
        <v>2026</v>
      </c>
      <c r="D97" s="9" t="n">
        <v>7</v>
      </c>
      <c r="E97" s="11"/>
      <c r="F97" s="11"/>
      <c r="G97" s="11"/>
      <c r="H97" s="11"/>
      <c r="I97" s="12" t="str">
        <f aca="false">IF(OR(E97="",E96=""),"",E97/E96-1)</f>
        <v/>
      </c>
      <c r="J97" s="12" t="str">
        <f aca="false">IF(OR(F97="",F96=""),"",F97/F96-1)</f>
        <v/>
      </c>
      <c r="K97" s="12" t="str">
        <f aca="false">IF(OR(G97="",G96=""),"",G97/G96-1)</f>
        <v/>
      </c>
      <c r="L97" s="12" t="str">
        <f aca="false">IF(OR(H97="",H96=""),"",H97/H96-1)</f>
        <v/>
      </c>
      <c r="M97" s="13" t="str">
        <f aca="false">IF(OR(E97="",E85=""),"",E97/E85-1)</f>
        <v/>
      </c>
      <c r="N97" s="13" t="str">
        <f aca="false">IF(OR(F97="",F85=""),"",F97/F85-1)</f>
        <v/>
      </c>
      <c r="O97" s="13" t="str">
        <f aca="false">IF(OR(E97="",E94=""),"",(E97/E94)^4-1)</f>
        <v/>
      </c>
      <c r="P97" s="13" t="str">
        <f aca="false">IF(OR(F97="",F94=""),"",(F97/F94)^4-1)</f>
        <v/>
      </c>
      <c r="Q97" s="13" t="str">
        <f aca="false">IF(E97="","",IFERROR(E97/INDEX($E:$E,MATCH(C97-1&amp;"-12",$B:$B,0))-1,""))</f>
        <v/>
      </c>
    </row>
    <row r="98" customFormat="false" ht="15" hidden="false" customHeight="false" outlineLevel="0" collapsed="false">
      <c r="B98" s="7" t="s">
        <v>140</v>
      </c>
      <c r="C98" s="8" t="n">
        <v>2026</v>
      </c>
      <c r="D98" s="9" t="n">
        <v>8</v>
      </c>
      <c r="E98" s="11"/>
      <c r="F98" s="11"/>
      <c r="G98" s="11"/>
      <c r="H98" s="11"/>
      <c r="I98" s="12" t="str">
        <f aca="false">IF(OR(E98="",E97=""),"",E98/E97-1)</f>
        <v/>
      </c>
      <c r="J98" s="12" t="str">
        <f aca="false">IF(OR(F98="",F97=""),"",F98/F97-1)</f>
        <v/>
      </c>
      <c r="K98" s="12" t="str">
        <f aca="false">IF(OR(G98="",G97=""),"",G98/G97-1)</f>
        <v/>
      </c>
      <c r="L98" s="12" t="str">
        <f aca="false">IF(OR(H98="",H97=""),"",H98/H97-1)</f>
        <v/>
      </c>
      <c r="M98" s="13" t="str">
        <f aca="false">IF(OR(E98="",E86=""),"",E98/E86-1)</f>
        <v/>
      </c>
      <c r="N98" s="13" t="str">
        <f aca="false">IF(OR(F98="",F86=""),"",F98/F86-1)</f>
        <v/>
      </c>
      <c r="O98" s="13" t="str">
        <f aca="false">IF(OR(E98="",E95=""),"",(E98/E95)^4-1)</f>
        <v/>
      </c>
      <c r="P98" s="13" t="str">
        <f aca="false">IF(OR(F98="",F95=""),"",(F98/F95)^4-1)</f>
        <v/>
      </c>
      <c r="Q98" s="13" t="str">
        <f aca="false">IF(E98="","",IFERROR(E98/INDEX($E:$E,MATCH(C98-1&amp;"-12",$B:$B,0))-1,""))</f>
        <v/>
      </c>
    </row>
    <row r="99" customFormat="false" ht="15" hidden="false" customHeight="false" outlineLevel="0" collapsed="false">
      <c r="B99" s="7" t="s">
        <v>141</v>
      </c>
      <c r="C99" s="8" t="n">
        <v>2026</v>
      </c>
      <c r="D99" s="9" t="n">
        <v>9</v>
      </c>
      <c r="E99" s="11"/>
      <c r="F99" s="11"/>
      <c r="G99" s="11"/>
      <c r="H99" s="11"/>
      <c r="I99" s="12" t="str">
        <f aca="false">IF(OR(E99="",E98=""),"",E99/E98-1)</f>
        <v/>
      </c>
      <c r="J99" s="12" t="str">
        <f aca="false">IF(OR(F99="",F98=""),"",F99/F98-1)</f>
        <v/>
      </c>
      <c r="K99" s="12" t="str">
        <f aca="false">IF(OR(G99="",G98=""),"",G99/G98-1)</f>
        <v/>
      </c>
      <c r="L99" s="12" t="str">
        <f aca="false">IF(OR(H99="",H98=""),"",H99/H98-1)</f>
        <v/>
      </c>
      <c r="M99" s="13" t="str">
        <f aca="false">IF(OR(E99="",E87=""),"",E99/E87-1)</f>
        <v/>
      </c>
      <c r="N99" s="13" t="str">
        <f aca="false">IF(OR(F99="",F87=""),"",F99/F87-1)</f>
        <v/>
      </c>
      <c r="O99" s="13" t="str">
        <f aca="false">IF(OR(E99="",E96=""),"",(E99/E96)^4-1)</f>
        <v/>
      </c>
      <c r="P99" s="13" t="str">
        <f aca="false">IF(OR(F99="",F96=""),"",(F99/F96)^4-1)</f>
        <v/>
      </c>
      <c r="Q99" s="13" t="str">
        <f aca="false">IF(E99="","",IFERROR(E99/INDEX($E:$E,MATCH(C99-1&amp;"-12",$B:$B,0))-1,""))</f>
        <v/>
      </c>
    </row>
    <row r="100" customFormat="false" ht="15" hidden="false" customHeight="false" outlineLevel="0" collapsed="false">
      <c r="B100" s="7" t="s">
        <v>142</v>
      </c>
      <c r="C100" s="8" t="n">
        <v>2026</v>
      </c>
      <c r="D100" s="9" t="n">
        <v>10</v>
      </c>
      <c r="E100" s="11"/>
      <c r="F100" s="11"/>
      <c r="G100" s="11"/>
      <c r="H100" s="11"/>
      <c r="I100" s="12" t="str">
        <f aca="false">IF(OR(E100="",E99=""),"",E100/E99-1)</f>
        <v/>
      </c>
      <c r="J100" s="12" t="str">
        <f aca="false">IF(OR(F100="",F99=""),"",F100/F99-1)</f>
        <v/>
      </c>
      <c r="K100" s="12" t="str">
        <f aca="false">IF(OR(G100="",G99=""),"",G100/G99-1)</f>
        <v/>
      </c>
      <c r="L100" s="12" t="str">
        <f aca="false">IF(OR(H100="",H99=""),"",H100/H99-1)</f>
        <v/>
      </c>
      <c r="M100" s="13" t="str">
        <f aca="false">IF(OR(E100="",E88=""),"",E100/E88-1)</f>
        <v/>
      </c>
      <c r="N100" s="13" t="str">
        <f aca="false">IF(OR(F100="",F88=""),"",F100/F88-1)</f>
        <v/>
      </c>
      <c r="O100" s="13" t="str">
        <f aca="false">IF(OR(E100="",E97=""),"",(E100/E97)^4-1)</f>
        <v/>
      </c>
      <c r="P100" s="13" t="str">
        <f aca="false">IF(OR(F100="",F97=""),"",(F100/F97)^4-1)</f>
        <v/>
      </c>
      <c r="Q100" s="13" t="str">
        <f aca="false">IF(E100="","",IFERROR(E100/INDEX($E:$E,MATCH(C100-1&amp;"-12",$B:$B,0))-1,""))</f>
        <v/>
      </c>
    </row>
    <row r="101" customFormat="false" ht="15" hidden="false" customHeight="false" outlineLevel="0" collapsed="false">
      <c r="B101" s="7" t="s">
        <v>143</v>
      </c>
      <c r="C101" s="8" t="n">
        <v>2026</v>
      </c>
      <c r="D101" s="9" t="n">
        <v>11</v>
      </c>
      <c r="E101" s="11"/>
      <c r="F101" s="11"/>
      <c r="G101" s="11"/>
      <c r="H101" s="11"/>
      <c r="I101" s="12" t="str">
        <f aca="false">IF(OR(E101="",E100=""),"",E101/E100-1)</f>
        <v/>
      </c>
      <c r="J101" s="12" t="str">
        <f aca="false">IF(OR(F101="",F100=""),"",F101/F100-1)</f>
        <v/>
      </c>
      <c r="K101" s="12" t="str">
        <f aca="false">IF(OR(G101="",G100=""),"",G101/G100-1)</f>
        <v/>
      </c>
      <c r="L101" s="12" t="str">
        <f aca="false">IF(OR(H101="",H100=""),"",H101/H100-1)</f>
        <v/>
      </c>
      <c r="M101" s="13" t="str">
        <f aca="false">IF(OR(E101="",E89=""),"",E101/E89-1)</f>
        <v/>
      </c>
      <c r="N101" s="13" t="str">
        <f aca="false">IF(OR(F101="",F89=""),"",F101/F89-1)</f>
        <v/>
      </c>
      <c r="O101" s="13" t="str">
        <f aca="false">IF(OR(E101="",E98=""),"",(E101/E98)^4-1)</f>
        <v/>
      </c>
      <c r="P101" s="13" t="str">
        <f aca="false">IF(OR(F101="",F98=""),"",(F101/F98)^4-1)</f>
        <v/>
      </c>
      <c r="Q101" s="13" t="str">
        <f aca="false">IF(E101="","",IFERROR(E101/INDEX($E:$E,MATCH(C101-1&amp;"-12",$B:$B,0))-1,""))</f>
        <v/>
      </c>
    </row>
    <row r="102" customFormat="false" ht="15" hidden="false" customHeight="false" outlineLevel="0" collapsed="false">
      <c r="B102" s="7" t="s">
        <v>144</v>
      </c>
      <c r="C102" s="8" t="n">
        <v>2026</v>
      </c>
      <c r="D102" s="9" t="n">
        <v>12</v>
      </c>
      <c r="E102" s="11"/>
      <c r="F102" s="11"/>
      <c r="G102" s="11"/>
      <c r="H102" s="11"/>
      <c r="I102" s="12" t="str">
        <f aca="false">IF(OR(E102="",E101=""),"",E102/E101-1)</f>
        <v/>
      </c>
      <c r="J102" s="12" t="str">
        <f aca="false">IF(OR(F102="",F101=""),"",F102/F101-1)</f>
        <v/>
      </c>
      <c r="K102" s="12" t="str">
        <f aca="false">IF(OR(G102="",G101=""),"",G102/G101-1)</f>
        <v/>
      </c>
      <c r="L102" s="12" t="str">
        <f aca="false">IF(OR(H102="",H101=""),"",H102/H101-1)</f>
        <v/>
      </c>
      <c r="M102" s="13" t="str">
        <f aca="false">IF(OR(E102="",E90=""),"",E102/E90-1)</f>
        <v/>
      </c>
      <c r="N102" s="13" t="str">
        <f aca="false">IF(OR(F102="",F90=""),"",F102/F90-1)</f>
        <v/>
      </c>
      <c r="O102" s="13" t="str">
        <f aca="false">IF(OR(E102="",E99=""),"",(E102/E99)^4-1)</f>
        <v/>
      </c>
      <c r="P102" s="13" t="str">
        <f aca="false">IF(OR(F102="",F99=""),"",(F102/F99)^4-1)</f>
        <v/>
      </c>
      <c r="Q102" s="13" t="str">
        <f aca="false">IF(E102="","",IFERROR(E102/INDEX($E:$E,MATCH(C102-1&amp;"-12",$B:$B,0))-1,""))</f>
        <v/>
      </c>
    </row>
    <row r="103" customFormat="false" ht="15" hidden="false" customHeight="false" outlineLevel="0" collapsed="false">
      <c r="B103" s="7" t="s">
        <v>145</v>
      </c>
      <c r="C103" s="8" t="n">
        <v>2027</v>
      </c>
      <c r="D103" s="9" t="n">
        <v>1</v>
      </c>
      <c r="E103" s="11"/>
      <c r="F103" s="11"/>
      <c r="G103" s="11"/>
      <c r="H103" s="11"/>
      <c r="I103" s="12" t="str">
        <f aca="false">IF(OR(E103="",E102=""),"",E103/E102-1)</f>
        <v/>
      </c>
      <c r="J103" s="12" t="str">
        <f aca="false">IF(OR(F103="",F102=""),"",F103/F102-1)</f>
        <v/>
      </c>
      <c r="K103" s="12" t="str">
        <f aca="false">IF(OR(G103="",G102=""),"",G103/G102-1)</f>
        <v/>
      </c>
      <c r="L103" s="12" t="str">
        <f aca="false">IF(OR(H103="",H102=""),"",H103/H102-1)</f>
        <v/>
      </c>
      <c r="M103" s="13" t="str">
        <f aca="false">IF(OR(E103="",E91=""),"",E103/E91-1)</f>
        <v/>
      </c>
      <c r="N103" s="13" t="str">
        <f aca="false">IF(OR(F103="",F91=""),"",F103/F91-1)</f>
        <v/>
      </c>
      <c r="O103" s="13" t="str">
        <f aca="false">IF(OR(E103="",E100=""),"",(E103/E100)^4-1)</f>
        <v/>
      </c>
      <c r="P103" s="13" t="str">
        <f aca="false">IF(OR(F103="",F100=""),"",(F103/F100)^4-1)</f>
        <v/>
      </c>
      <c r="Q103" s="13" t="str">
        <f aca="false">IF(E103="","",IFERROR(E103/INDEX($E:$E,MATCH(C103-1&amp;"-12",$B:$B,0))-1,""))</f>
        <v/>
      </c>
    </row>
    <row r="104" customFormat="false" ht="15" hidden="false" customHeight="false" outlineLevel="0" collapsed="false">
      <c r="B104" s="7" t="s">
        <v>146</v>
      </c>
      <c r="C104" s="8" t="n">
        <v>2027</v>
      </c>
      <c r="D104" s="9" t="n">
        <v>2</v>
      </c>
      <c r="E104" s="11"/>
      <c r="F104" s="11"/>
      <c r="G104" s="11"/>
      <c r="H104" s="11"/>
      <c r="I104" s="12" t="str">
        <f aca="false">IF(OR(E104="",E103=""),"",E104/E103-1)</f>
        <v/>
      </c>
      <c r="J104" s="12" t="str">
        <f aca="false">IF(OR(F104="",F103=""),"",F104/F103-1)</f>
        <v/>
      </c>
      <c r="K104" s="12" t="str">
        <f aca="false">IF(OR(G104="",G103=""),"",G104/G103-1)</f>
        <v/>
      </c>
      <c r="L104" s="12" t="str">
        <f aca="false">IF(OR(H104="",H103=""),"",H104/H103-1)</f>
        <v/>
      </c>
      <c r="M104" s="13" t="str">
        <f aca="false">IF(OR(E104="",E92=""),"",E104/E92-1)</f>
        <v/>
      </c>
      <c r="N104" s="13" t="str">
        <f aca="false">IF(OR(F104="",F92=""),"",F104/F92-1)</f>
        <v/>
      </c>
      <c r="O104" s="13" t="str">
        <f aca="false">IF(OR(E104="",E101=""),"",(E104/E101)^4-1)</f>
        <v/>
      </c>
      <c r="P104" s="13" t="str">
        <f aca="false">IF(OR(F104="",F101=""),"",(F104/F101)^4-1)</f>
        <v/>
      </c>
      <c r="Q104" s="13" t="str">
        <f aca="false">IF(E104="","",IFERROR(E104/INDEX($E:$E,MATCH(C104-1&amp;"-12",$B:$B,0))-1,""))</f>
        <v/>
      </c>
    </row>
    <row r="105" customFormat="false" ht="15" hidden="false" customHeight="false" outlineLevel="0" collapsed="false">
      <c r="B105" s="7" t="s">
        <v>147</v>
      </c>
      <c r="C105" s="8" t="n">
        <v>2027</v>
      </c>
      <c r="D105" s="9" t="n">
        <v>3</v>
      </c>
      <c r="E105" s="11"/>
      <c r="F105" s="11"/>
      <c r="G105" s="11"/>
      <c r="H105" s="11"/>
      <c r="I105" s="12" t="str">
        <f aca="false">IF(OR(E105="",E104=""),"",E105/E104-1)</f>
        <v/>
      </c>
      <c r="J105" s="12" t="str">
        <f aca="false">IF(OR(F105="",F104=""),"",F105/F104-1)</f>
        <v/>
      </c>
      <c r="K105" s="12" t="str">
        <f aca="false">IF(OR(G105="",G104=""),"",G105/G104-1)</f>
        <v/>
      </c>
      <c r="L105" s="12" t="str">
        <f aca="false">IF(OR(H105="",H104=""),"",H105/H104-1)</f>
        <v/>
      </c>
      <c r="M105" s="13" t="str">
        <f aca="false">IF(OR(E105="",E93=""),"",E105/E93-1)</f>
        <v/>
      </c>
      <c r="N105" s="13" t="str">
        <f aca="false">IF(OR(F105="",F93=""),"",F105/F93-1)</f>
        <v/>
      </c>
      <c r="O105" s="13" t="str">
        <f aca="false">IF(OR(E105="",E102=""),"",(E105/E102)^4-1)</f>
        <v/>
      </c>
      <c r="P105" s="13" t="str">
        <f aca="false">IF(OR(F105="",F102=""),"",(F105/F102)^4-1)</f>
        <v/>
      </c>
      <c r="Q105" s="13" t="str">
        <f aca="false">IF(E105="","",IFERROR(E105/INDEX($E:$E,MATCH(C105-1&amp;"-12",$B:$B,0))-1,""))</f>
        <v/>
      </c>
    </row>
    <row r="106" customFormat="false" ht="15" hidden="false" customHeight="false" outlineLevel="0" collapsed="false">
      <c r="B106" s="7" t="s">
        <v>148</v>
      </c>
      <c r="C106" s="8" t="n">
        <v>2027</v>
      </c>
      <c r="D106" s="9" t="n">
        <v>4</v>
      </c>
      <c r="E106" s="11"/>
      <c r="F106" s="11"/>
      <c r="G106" s="11"/>
      <c r="H106" s="11"/>
      <c r="I106" s="12" t="str">
        <f aca="false">IF(OR(E106="",E105=""),"",E106/E105-1)</f>
        <v/>
      </c>
      <c r="J106" s="12" t="str">
        <f aca="false">IF(OR(F106="",F105=""),"",F106/F105-1)</f>
        <v/>
      </c>
      <c r="K106" s="12" t="str">
        <f aca="false">IF(OR(G106="",G105=""),"",G106/G105-1)</f>
        <v/>
      </c>
      <c r="L106" s="12" t="str">
        <f aca="false">IF(OR(H106="",H105=""),"",H106/H105-1)</f>
        <v/>
      </c>
      <c r="M106" s="13" t="str">
        <f aca="false">IF(OR(E106="",E94=""),"",E106/E94-1)</f>
        <v/>
      </c>
      <c r="N106" s="13" t="str">
        <f aca="false">IF(OR(F106="",F94=""),"",F106/F94-1)</f>
        <v/>
      </c>
      <c r="O106" s="13" t="str">
        <f aca="false">IF(OR(E106="",E103=""),"",(E106/E103)^4-1)</f>
        <v/>
      </c>
      <c r="P106" s="13" t="str">
        <f aca="false">IF(OR(F106="",F103=""),"",(F106/F103)^4-1)</f>
        <v/>
      </c>
      <c r="Q106" s="13" t="str">
        <f aca="false">IF(E106="","",IFERROR(E106/INDEX($E:$E,MATCH(C106-1&amp;"-12",$B:$B,0))-1,""))</f>
        <v/>
      </c>
    </row>
    <row r="107" customFormat="false" ht="15" hidden="false" customHeight="false" outlineLevel="0" collapsed="false">
      <c r="B107" s="7" t="s">
        <v>149</v>
      </c>
      <c r="C107" s="8" t="n">
        <v>2027</v>
      </c>
      <c r="D107" s="9" t="n">
        <v>5</v>
      </c>
      <c r="E107" s="11"/>
      <c r="F107" s="11"/>
      <c r="G107" s="11"/>
      <c r="H107" s="11"/>
      <c r="I107" s="12" t="str">
        <f aca="false">IF(OR(E107="",E106=""),"",E107/E106-1)</f>
        <v/>
      </c>
      <c r="J107" s="12" t="str">
        <f aca="false">IF(OR(F107="",F106=""),"",F107/F106-1)</f>
        <v/>
      </c>
      <c r="K107" s="12" t="str">
        <f aca="false">IF(OR(G107="",G106=""),"",G107/G106-1)</f>
        <v/>
      </c>
      <c r="L107" s="12" t="str">
        <f aca="false">IF(OR(H107="",H106=""),"",H107/H106-1)</f>
        <v/>
      </c>
      <c r="M107" s="13" t="str">
        <f aca="false">IF(OR(E107="",E95=""),"",E107/E95-1)</f>
        <v/>
      </c>
      <c r="N107" s="13" t="str">
        <f aca="false">IF(OR(F107="",F95=""),"",F107/F95-1)</f>
        <v/>
      </c>
      <c r="O107" s="13" t="str">
        <f aca="false">IF(OR(E107="",E104=""),"",(E107/E104)^4-1)</f>
        <v/>
      </c>
      <c r="P107" s="13" t="str">
        <f aca="false">IF(OR(F107="",F104=""),"",(F107/F104)^4-1)</f>
        <v/>
      </c>
      <c r="Q107" s="13" t="str">
        <f aca="false">IF(E107="","",IFERROR(E107/INDEX($E:$E,MATCH(C107-1&amp;"-12",$B:$B,0))-1,""))</f>
        <v/>
      </c>
    </row>
    <row r="108" customFormat="false" ht="15" hidden="false" customHeight="false" outlineLevel="0" collapsed="false">
      <c r="B108" s="7" t="s">
        <v>150</v>
      </c>
      <c r="C108" s="8" t="n">
        <v>2027</v>
      </c>
      <c r="D108" s="9" t="n">
        <v>6</v>
      </c>
      <c r="E108" s="11"/>
      <c r="F108" s="11"/>
      <c r="G108" s="11"/>
      <c r="H108" s="11"/>
      <c r="I108" s="12" t="str">
        <f aca="false">IF(OR(E108="",E107=""),"",E108/E107-1)</f>
        <v/>
      </c>
      <c r="J108" s="12" t="str">
        <f aca="false">IF(OR(F108="",F107=""),"",F108/F107-1)</f>
        <v/>
      </c>
      <c r="K108" s="12" t="str">
        <f aca="false">IF(OR(G108="",G107=""),"",G108/G107-1)</f>
        <v/>
      </c>
      <c r="L108" s="12" t="str">
        <f aca="false">IF(OR(H108="",H107=""),"",H108/H107-1)</f>
        <v/>
      </c>
      <c r="M108" s="13" t="str">
        <f aca="false">IF(OR(E108="",E96=""),"",E108/E96-1)</f>
        <v/>
      </c>
      <c r="N108" s="13" t="str">
        <f aca="false">IF(OR(F108="",F96=""),"",F108/F96-1)</f>
        <v/>
      </c>
      <c r="O108" s="13" t="str">
        <f aca="false">IF(OR(E108="",E105=""),"",(E108/E105)^4-1)</f>
        <v/>
      </c>
      <c r="P108" s="13" t="str">
        <f aca="false">IF(OR(F108="",F105=""),"",(F108/F105)^4-1)</f>
        <v/>
      </c>
      <c r="Q108" s="13" t="str">
        <f aca="false">IF(E108="","",IFERROR(E108/INDEX($E:$E,MATCH(C108-1&amp;"-12",$B:$B,0))-1,""))</f>
        <v/>
      </c>
    </row>
    <row r="109" customFormat="false" ht="15" hidden="false" customHeight="false" outlineLevel="0" collapsed="false">
      <c r="B109" s="7" t="s">
        <v>151</v>
      </c>
      <c r="C109" s="8" t="n">
        <v>2027</v>
      </c>
      <c r="D109" s="9" t="n">
        <v>7</v>
      </c>
      <c r="E109" s="11"/>
      <c r="F109" s="11"/>
      <c r="G109" s="11"/>
      <c r="H109" s="11"/>
      <c r="I109" s="12" t="str">
        <f aca="false">IF(OR(E109="",E108=""),"",E109/E108-1)</f>
        <v/>
      </c>
      <c r="J109" s="12" t="str">
        <f aca="false">IF(OR(F109="",F108=""),"",F109/F108-1)</f>
        <v/>
      </c>
      <c r="K109" s="12" t="str">
        <f aca="false">IF(OR(G109="",G108=""),"",G109/G108-1)</f>
        <v/>
      </c>
      <c r="L109" s="12" t="str">
        <f aca="false">IF(OR(H109="",H108=""),"",H109/H108-1)</f>
        <v/>
      </c>
      <c r="M109" s="13" t="str">
        <f aca="false">IF(OR(E109="",E97=""),"",E109/E97-1)</f>
        <v/>
      </c>
      <c r="N109" s="13" t="str">
        <f aca="false">IF(OR(F109="",F97=""),"",F109/F97-1)</f>
        <v/>
      </c>
      <c r="O109" s="13" t="str">
        <f aca="false">IF(OR(E109="",E106=""),"",(E109/E106)^4-1)</f>
        <v/>
      </c>
      <c r="P109" s="13" t="str">
        <f aca="false">IF(OR(F109="",F106=""),"",(F109/F106)^4-1)</f>
        <v/>
      </c>
      <c r="Q109" s="13" t="str">
        <f aca="false">IF(E109="","",IFERROR(E109/INDEX($E:$E,MATCH(C109-1&amp;"-12",$B:$B,0))-1,""))</f>
        <v/>
      </c>
    </row>
    <row r="110" customFormat="false" ht="15" hidden="false" customHeight="false" outlineLevel="0" collapsed="false">
      <c r="B110" s="7" t="s">
        <v>152</v>
      </c>
      <c r="C110" s="8" t="n">
        <v>2027</v>
      </c>
      <c r="D110" s="9" t="n">
        <v>8</v>
      </c>
      <c r="E110" s="11"/>
      <c r="F110" s="11"/>
      <c r="G110" s="11"/>
      <c r="H110" s="11"/>
      <c r="I110" s="12" t="str">
        <f aca="false">IF(OR(E110="",E109=""),"",E110/E109-1)</f>
        <v/>
      </c>
      <c r="J110" s="12" t="str">
        <f aca="false">IF(OR(F110="",F109=""),"",F110/F109-1)</f>
        <v/>
      </c>
      <c r="K110" s="12" t="str">
        <f aca="false">IF(OR(G110="",G109=""),"",G110/G109-1)</f>
        <v/>
      </c>
      <c r="L110" s="12" t="str">
        <f aca="false">IF(OR(H110="",H109=""),"",H110/H109-1)</f>
        <v/>
      </c>
      <c r="M110" s="13" t="str">
        <f aca="false">IF(OR(E110="",E98=""),"",E110/E98-1)</f>
        <v/>
      </c>
      <c r="N110" s="13" t="str">
        <f aca="false">IF(OR(F110="",F98=""),"",F110/F98-1)</f>
        <v/>
      </c>
      <c r="O110" s="13" t="str">
        <f aca="false">IF(OR(E110="",E107=""),"",(E110/E107)^4-1)</f>
        <v/>
      </c>
      <c r="P110" s="13" t="str">
        <f aca="false">IF(OR(F110="",F107=""),"",(F110/F107)^4-1)</f>
        <v/>
      </c>
      <c r="Q110" s="13" t="str">
        <f aca="false">IF(E110="","",IFERROR(E110/INDEX($E:$E,MATCH(C110-1&amp;"-12",$B:$B,0))-1,""))</f>
        <v/>
      </c>
    </row>
    <row r="111" customFormat="false" ht="15" hidden="false" customHeight="false" outlineLevel="0" collapsed="false">
      <c r="B111" s="7" t="s">
        <v>153</v>
      </c>
      <c r="C111" s="8" t="n">
        <v>2027</v>
      </c>
      <c r="D111" s="9" t="n">
        <v>9</v>
      </c>
      <c r="E111" s="11"/>
      <c r="F111" s="11"/>
      <c r="G111" s="11"/>
      <c r="H111" s="11"/>
      <c r="I111" s="12" t="str">
        <f aca="false">IF(OR(E111="",E110=""),"",E111/E110-1)</f>
        <v/>
      </c>
      <c r="J111" s="12" t="str">
        <f aca="false">IF(OR(F111="",F110=""),"",F111/F110-1)</f>
        <v/>
      </c>
      <c r="K111" s="12" t="str">
        <f aca="false">IF(OR(G111="",G110=""),"",G111/G110-1)</f>
        <v/>
      </c>
      <c r="L111" s="12" t="str">
        <f aca="false">IF(OR(H111="",H110=""),"",H111/H110-1)</f>
        <v/>
      </c>
      <c r="M111" s="13" t="str">
        <f aca="false">IF(OR(E111="",E99=""),"",E111/E99-1)</f>
        <v/>
      </c>
      <c r="N111" s="13" t="str">
        <f aca="false">IF(OR(F111="",F99=""),"",F111/F99-1)</f>
        <v/>
      </c>
      <c r="O111" s="13" t="str">
        <f aca="false">IF(OR(E111="",E108=""),"",(E111/E108)^4-1)</f>
        <v/>
      </c>
      <c r="P111" s="13" t="str">
        <f aca="false">IF(OR(F111="",F108=""),"",(F111/F108)^4-1)</f>
        <v/>
      </c>
      <c r="Q111" s="13" t="str">
        <f aca="false">IF(E111="","",IFERROR(E111/INDEX($E:$E,MATCH(C111-1&amp;"-12",$B:$B,0))-1,""))</f>
        <v/>
      </c>
    </row>
    <row r="112" customFormat="false" ht="15" hidden="false" customHeight="false" outlineLevel="0" collapsed="false">
      <c r="B112" s="7" t="s">
        <v>154</v>
      </c>
      <c r="C112" s="8" t="n">
        <v>2027</v>
      </c>
      <c r="D112" s="9" t="n">
        <v>10</v>
      </c>
      <c r="E112" s="11"/>
      <c r="F112" s="11"/>
      <c r="G112" s="11"/>
      <c r="H112" s="11"/>
      <c r="I112" s="12" t="str">
        <f aca="false">IF(OR(E112="",E111=""),"",E112/E111-1)</f>
        <v/>
      </c>
      <c r="J112" s="12" t="str">
        <f aca="false">IF(OR(F112="",F111=""),"",F112/F111-1)</f>
        <v/>
      </c>
      <c r="K112" s="12" t="str">
        <f aca="false">IF(OR(G112="",G111=""),"",G112/G111-1)</f>
        <v/>
      </c>
      <c r="L112" s="12" t="str">
        <f aca="false">IF(OR(H112="",H111=""),"",H112/H111-1)</f>
        <v/>
      </c>
      <c r="M112" s="13" t="str">
        <f aca="false">IF(OR(E112="",E100=""),"",E112/E100-1)</f>
        <v/>
      </c>
      <c r="N112" s="13" t="str">
        <f aca="false">IF(OR(F112="",F100=""),"",F112/F100-1)</f>
        <v/>
      </c>
      <c r="O112" s="13" t="str">
        <f aca="false">IF(OR(E112="",E109=""),"",(E112/E109)^4-1)</f>
        <v/>
      </c>
      <c r="P112" s="13" t="str">
        <f aca="false">IF(OR(F112="",F109=""),"",(F112/F109)^4-1)</f>
        <v/>
      </c>
      <c r="Q112" s="13" t="str">
        <f aca="false">IF(E112="","",IFERROR(E112/INDEX($E:$E,MATCH(C112-1&amp;"-12",$B:$B,0))-1,""))</f>
        <v/>
      </c>
    </row>
    <row r="113" customFormat="false" ht="15" hidden="false" customHeight="false" outlineLevel="0" collapsed="false">
      <c r="B113" s="7" t="s">
        <v>155</v>
      </c>
      <c r="C113" s="8" t="n">
        <v>2027</v>
      </c>
      <c r="D113" s="9" t="n">
        <v>11</v>
      </c>
      <c r="E113" s="11"/>
      <c r="F113" s="11"/>
      <c r="G113" s="11"/>
      <c r="H113" s="11"/>
      <c r="I113" s="12" t="str">
        <f aca="false">IF(OR(E113="",E112=""),"",E113/E112-1)</f>
        <v/>
      </c>
      <c r="J113" s="12" t="str">
        <f aca="false">IF(OR(F113="",F112=""),"",F113/F112-1)</f>
        <v/>
      </c>
      <c r="K113" s="12" t="str">
        <f aca="false">IF(OR(G113="",G112=""),"",G113/G112-1)</f>
        <v/>
      </c>
      <c r="L113" s="12" t="str">
        <f aca="false">IF(OR(H113="",H112=""),"",H113/H112-1)</f>
        <v/>
      </c>
      <c r="M113" s="13" t="str">
        <f aca="false">IF(OR(E113="",E101=""),"",E113/E101-1)</f>
        <v/>
      </c>
      <c r="N113" s="13" t="str">
        <f aca="false">IF(OR(F113="",F101=""),"",F113/F101-1)</f>
        <v/>
      </c>
      <c r="O113" s="13" t="str">
        <f aca="false">IF(OR(E113="",E110=""),"",(E113/E110)^4-1)</f>
        <v/>
      </c>
      <c r="P113" s="13" t="str">
        <f aca="false">IF(OR(F113="",F110=""),"",(F113/F110)^4-1)</f>
        <v/>
      </c>
      <c r="Q113" s="13" t="str">
        <f aca="false">IF(E113="","",IFERROR(E113/INDEX($E:$E,MATCH(C113-1&amp;"-12",$B:$B,0))-1,""))</f>
        <v/>
      </c>
    </row>
    <row r="114" customFormat="false" ht="15" hidden="false" customHeight="false" outlineLevel="0" collapsed="false">
      <c r="B114" s="7" t="s">
        <v>156</v>
      </c>
      <c r="C114" s="8" t="n">
        <v>2027</v>
      </c>
      <c r="D114" s="9" t="n">
        <v>12</v>
      </c>
      <c r="E114" s="11"/>
      <c r="F114" s="11"/>
      <c r="G114" s="11"/>
      <c r="H114" s="11"/>
      <c r="I114" s="12" t="str">
        <f aca="false">IF(OR(E114="",E113=""),"",E114/E113-1)</f>
        <v/>
      </c>
      <c r="J114" s="12" t="str">
        <f aca="false">IF(OR(F114="",F113=""),"",F114/F113-1)</f>
        <v/>
      </c>
      <c r="K114" s="12" t="str">
        <f aca="false">IF(OR(G114="",G113=""),"",G114/G113-1)</f>
        <v/>
      </c>
      <c r="L114" s="12" t="str">
        <f aca="false">IF(OR(H114="",H113=""),"",H114/H113-1)</f>
        <v/>
      </c>
      <c r="M114" s="13" t="str">
        <f aca="false">IF(OR(E114="",E102=""),"",E114/E102-1)</f>
        <v/>
      </c>
      <c r="N114" s="13" t="str">
        <f aca="false">IF(OR(F114="",F102=""),"",F114/F102-1)</f>
        <v/>
      </c>
      <c r="O114" s="13" t="str">
        <f aca="false">IF(OR(E114="",E111=""),"",(E114/E111)^4-1)</f>
        <v/>
      </c>
      <c r="P114" s="13" t="str">
        <f aca="false">IF(OR(F114="",F111=""),"",(F114/F111)^4-1)</f>
        <v/>
      </c>
      <c r="Q114" s="13" t="str">
        <f aca="false">IF(E114="","",IFERROR(E114/INDEX($E:$E,MATCH(C114-1&amp;"-12",$B:$B,0))-1,""))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10" min="3" style="0" width="10"/>
  </cols>
  <sheetData>
    <row r="2" customFormat="false" ht="25.5" hidden="false" customHeight="true" outlineLevel="0" collapsed="false">
      <c r="B2" s="1" t="s">
        <v>157</v>
      </c>
    </row>
    <row r="3" customFormat="false" ht="15" hidden="false" customHeight="false" outlineLevel="0" collapsed="false">
      <c r="B3" s="2" t="s">
        <v>158</v>
      </c>
    </row>
    <row r="5" customFormat="false" ht="15" hidden="false" customHeight="false" outlineLevel="0" collapsed="false">
      <c r="B5" s="14" t="s">
        <v>32</v>
      </c>
      <c r="C5" s="15" t="n">
        <v>2019</v>
      </c>
      <c r="D5" s="15" t="n">
        <v>2020</v>
      </c>
      <c r="E5" s="15" t="n">
        <v>2021</v>
      </c>
      <c r="F5" s="15" t="n">
        <v>2022</v>
      </c>
      <c r="G5" s="15" t="n">
        <v>2023</v>
      </c>
      <c r="H5" s="15" t="n">
        <v>2024</v>
      </c>
      <c r="I5" s="15" t="n">
        <v>2025</v>
      </c>
      <c r="J5" s="15" t="n">
        <v>2026</v>
      </c>
    </row>
    <row r="6" customFormat="false" ht="15" hidden="false" customHeight="false" outlineLevel="0" collapsed="false">
      <c r="B6" s="16" t="s">
        <v>159</v>
      </c>
      <c r="C6" s="13" t="n">
        <f aca="false">IF(COUNTIFS(Data!$C$6:$C$114,C$5,Data!$D$6:$D$114,1,Data!$E$6:$E$114,"&gt;0")=0,"",SUMIFS(Data!$I$6:$I$114,Data!$C$6:$C$114,C$5,Data!$D$6:$D$114,1))</f>
        <v>0.0290624090934746</v>
      </c>
      <c r="D6" s="13" t="n">
        <f aca="false">IF(COUNTIFS(Data!$C$6:$C$114,D$5,Data!$D$6:$D$114,1,Data!$E$6:$E$114,"&gt;0")=0,"",SUMIFS(Data!$I$6:$I$114,Data!$C$6:$C$114,D$5,Data!$D$6:$D$114,1))</f>
        <v>0.0225289492605598</v>
      </c>
      <c r="E6" s="13" t="n">
        <f aca="false">IF(COUNTIFS(Data!$C$6:$C$114,E$5,Data!$D$6:$D$114,1,Data!$E$6:$E$114,"&gt;0")=0,"",SUMIFS(Data!$I$6:$I$114,Data!$C$6:$C$114,E$5,Data!$D$6:$D$114,1))</f>
        <v>0.0404902941982872</v>
      </c>
      <c r="F6" s="13" t="n">
        <f aca="false">IF(COUNTIFS(Data!$C$6:$C$114,F$5,Data!$D$6:$D$114,1,Data!$E$6:$E$114,"&gt;0")=0,"",SUMIFS(Data!$I$6:$I$114,Data!$C$6:$C$114,F$5,Data!$D$6:$D$114,1))</f>
        <v>0.0387568191670638</v>
      </c>
      <c r="G6" s="13" t="n">
        <f aca="false">IF(COUNTIFS(Data!$C$6:$C$114,G$5,Data!$D$6:$D$114,1,Data!$E$6:$E$114,"&gt;0")=0,"",SUMIFS(Data!$I$6:$I$114,Data!$C$6:$C$114,G$5,Data!$D$6:$D$114,1))</f>
        <v>0.0602787356638426</v>
      </c>
      <c r="H6" s="13" t="n">
        <f aca="false">IF(COUNTIFS(Data!$C$6:$C$114,H$5,Data!$D$6:$D$114,1,Data!$E$6:$E$114,"&gt;0")=0,"",SUMIFS(Data!$I$6:$I$114,Data!$C$6:$C$114,H$5,Data!$D$6:$D$114,1))</f>
        <v>0.206142252889611</v>
      </c>
      <c r="I6" s="13" t="n">
        <f aca="false">IF(COUNTIFS(Data!$C$6:$C$114,I$5,Data!$D$6:$D$114,1,Data!$E$6:$E$114,"&gt;0")=0,"",SUMIFS(Data!$I$6:$I$114,Data!$C$6:$C$114,I$5,Data!$D$6:$D$114,1))</f>
        <v>0.0221104801366518</v>
      </c>
      <c r="J6" s="13" t="n">
        <f aca="false">IF(COUNTIFS(Data!$C$6:$C$114,J$5,Data!$D$6:$D$114,1,Data!$E$6:$E$114,"&gt;0")=0,"",SUMIFS(Data!$I$6:$I$114,Data!$C$6:$C$114,J$5,Data!$D$6:$D$114,1))</f>
        <v>0.0288161935366171</v>
      </c>
    </row>
    <row r="7" customFormat="false" ht="15" hidden="false" customHeight="false" outlineLevel="0" collapsed="false">
      <c r="B7" s="16" t="s">
        <v>160</v>
      </c>
      <c r="C7" s="13" t="n">
        <f aca="false">IF(COUNTIFS(Data!$C$6:$C$114,C$5,Data!$D$6:$D$114,2,Data!$E$6:$E$114,"&gt;0")=0,"",SUMIFS(Data!$I$6:$I$114,Data!$C$6:$C$114,C$5,Data!$D$6:$D$114,2))</f>
        <v>0.037656221899572</v>
      </c>
      <c r="D7" s="13" t="n">
        <f aca="false">IF(COUNTIFS(Data!$C$6:$C$114,D$5,Data!$D$6:$D$114,2,Data!$E$6:$E$114,"&gt;0")=0,"",SUMIFS(Data!$I$6:$I$114,Data!$C$6:$C$114,D$5,Data!$D$6:$D$114,2))</f>
        <v>0.0201362937364296</v>
      </c>
      <c r="E7" s="13" t="n">
        <f aca="false">IF(COUNTIFS(Data!$C$6:$C$114,E$5,Data!$D$6:$D$114,2,Data!$E$6:$E$114,"&gt;0")=0,"",SUMIFS(Data!$I$6:$I$114,Data!$C$6:$C$114,E$5,Data!$D$6:$D$114,2))</f>
        <v>0.0357463168148211</v>
      </c>
      <c r="F7" s="13" t="n">
        <f aca="false">IF(COUNTIFS(Data!$C$6:$C$114,F$5,Data!$D$6:$D$114,2,Data!$E$6:$E$114,"&gt;0")=0,"",SUMIFS(Data!$I$6:$I$114,Data!$C$6:$C$114,F$5,Data!$D$6:$D$114,2))</f>
        <v>0.04694365601009</v>
      </c>
      <c r="G7" s="13" t="n">
        <f aca="false">IF(COUNTIFS(Data!$C$6:$C$114,G$5,Data!$D$6:$D$114,2,Data!$E$6:$E$114,"&gt;0")=0,"",SUMIFS(Data!$I$6:$I$114,Data!$C$6:$C$114,G$5,Data!$D$6:$D$114,2))</f>
        <v>0.0662772168092709</v>
      </c>
      <c r="H7" s="13" t="n">
        <f aca="false">IF(COUNTIFS(Data!$C$6:$C$114,H$5,Data!$D$6:$D$114,2,Data!$E$6:$E$114,"&gt;0")=0,"",SUMIFS(Data!$I$6:$I$114,Data!$C$6:$C$114,H$5,Data!$D$6:$D$114,2))</f>
        <v>0.132406760535248</v>
      </c>
      <c r="I7" s="13" t="n">
        <f aca="false">IF(COUNTIFS(Data!$C$6:$C$114,I$5,Data!$D$6:$D$114,2,Data!$E$6:$E$114,"&gt;0")=0,"",SUMIFS(Data!$I$6:$I$114,Data!$C$6:$C$114,I$5,Data!$D$6:$D$114,2))</f>
        <v>0.0240162743075179</v>
      </c>
      <c r="J7" s="13" t="n">
        <f aca="false">IF(COUNTIFS(Data!$C$6:$C$114,J$5,Data!$D$6:$D$114,2,Data!$E$6:$E$114,"&gt;0")=0,"",SUMIFS(Data!$I$6:$I$114,Data!$C$6:$C$114,J$5,Data!$D$6:$D$114,2))</f>
        <v>0.0289631907267269</v>
      </c>
    </row>
    <row r="8" customFormat="false" ht="15" hidden="false" customHeight="false" outlineLevel="0" collapsed="false">
      <c r="B8" s="16" t="s">
        <v>161</v>
      </c>
      <c r="C8" s="13" t="n">
        <f aca="false">IF(COUNTIFS(Data!$C$6:$C$114,C$5,Data!$D$6:$D$114,3,Data!$E$6:$E$114,"&gt;0")=0,"",SUMIFS(Data!$I$6:$I$114,Data!$C$6:$C$114,C$5,Data!$D$6:$D$114,3))</f>
        <v>0.046795401882896</v>
      </c>
      <c r="D8" s="13" t="n">
        <f aca="false">IF(COUNTIFS(Data!$C$6:$C$114,D$5,Data!$D$6:$D$114,3,Data!$E$6:$E$114,"&gt;0")=0,"",SUMIFS(Data!$I$6:$I$114,Data!$C$6:$C$114,D$5,Data!$D$6:$D$114,3))</f>
        <v>0.0334346864367225</v>
      </c>
      <c r="E8" s="13" t="n">
        <f aca="false">IF(COUNTIFS(Data!$C$6:$C$114,E$5,Data!$D$6:$D$114,3,Data!$E$6:$E$114,"&gt;0")=0,"",SUMIFS(Data!$I$6:$I$114,Data!$C$6:$C$114,E$5,Data!$D$6:$D$114,3))</f>
        <v>0.048108074962818</v>
      </c>
      <c r="F8" s="13" t="n">
        <f aca="false">IF(COUNTIFS(Data!$C$6:$C$114,F$5,Data!$D$6:$D$114,3,Data!$E$6:$E$114,"&gt;0")=0,"",SUMIFS(Data!$I$6:$I$114,Data!$C$6:$C$114,F$5,Data!$D$6:$D$114,3))</f>
        <v>0.0672879783390254</v>
      </c>
      <c r="G8" s="13" t="n">
        <f aca="false">IF(COUNTIFS(Data!$C$6:$C$114,G$5,Data!$D$6:$D$114,3,Data!$E$6:$E$114,"&gt;0")=0,"",SUMIFS(Data!$I$6:$I$114,Data!$C$6:$C$114,G$5,Data!$D$6:$D$114,3))</f>
        <v>0.0767523984978356</v>
      </c>
      <c r="H8" s="13" t="n">
        <f aca="false">IF(COUNTIFS(Data!$C$6:$C$114,H$5,Data!$D$6:$D$114,3,Data!$E$6:$E$114,"&gt;0")=0,"",SUMIFS(Data!$I$6:$I$114,Data!$C$6:$C$114,H$5,Data!$D$6:$D$114,3))</f>
        <v>0.110097001565402</v>
      </c>
      <c r="I8" s="13" t="n">
        <f aca="false">IF(COUNTIFS(Data!$C$6:$C$114,I$5,Data!$D$6:$D$114,3,Data!$E$6:$E$114,"&gt;0")=0,"",SUMIFS(Data!$I$6:$I$114,Data!$C$6:$C$114,I$5,Data!$D$6:$D$114,3))</f>
        <v>0.0372933530661217</v>
      </c>
      <c r="J8" s="13" t="n">
        <f aca="false">IF(COUNTIFS(Data!$C$6:$C$114,J$5,Data!$D$6:$D$114,3,Data!$E$6:$E$114,"&gt;0")=0,"",SUMIFS(Data!$I$6:$I$114,Data!$C$6:$C$114,J$5,Data!$D$6:$D$114,3))</f>
        <v>0.0338262219244152</v>
      </c>
    </row>
    <row r="9" customFormat="false" ht="15" hidden="false" customHeight="false" outlineLevel="0" collapsed="false">
      <c r="B9" s="16" t="s">
        <v>162</v>
      </c>
      <c r="C9" s="13" t="n">
        <f aca="false">IF(COUNTIFS(Data!$C$6:$C$114,C$5,Data!$D$6:$D$114,4,Data!$E$6:$E$114,"&gt;0")=0,"",SUMIFS(Data!$I$6:$I$114,Data!$C$6:$C$114,C$5,Data!$D$6:$D$114,4))</f>
        <v>0.034</v>
      </c>
      <c r="D9" s="13" t="n">
        <f aca="false">IF(COUNTIFS(Data!$C$6:$C$114,D$5,Data!$D$6:$D$114,4,Data!$E$6:$E$114,"&gt;0")=0,"",SUMIFS(Data!$I$6:$I$114,Data!$C$6:$C$114,D$5,Data!$D$6:$D$114,4))</f>
        <v>0.0149657259087257</v>
      </c>
      <c r="E9" s="13" t="n">
        <f aca="false">IF(COUNTIFS(Data!$C$6:$C$114,E$5,Data!$D$6:$D$114,4,Data!$E$6:$E$114,"&gt;0")=0,"",SUMIFS(Data!$I$6:$I$114,Data!$C$6:$C$114,E$5,Data!$D$6:$D$114,4))</f>
        <v>0.0408029353995967</v>
      </c>
      <c r="F9" s="13" t="n">
        <f aca="false">IF(COUNTIFS(Data!$C$6:$C$114,F$5,Data!$D$6:$D$114,4,Data!$E$6:$E$114,"&gt;0")=0,"",SUMIFS(Data!$I$6:$I$114,Data!$C$6:$C$114,F$5,Data!$D$6:$D$114,4))</f>
        <v>0.0604731911499716</v>
      </c>
      <c r="G9" s="13" t="n">
        <f aca="false">IF(COUNTIFS(Data!$C$6:$C$114,G$5,Data!$D$6:$D$114,4,Data!$E$6:$E$114,"&gt;0")=0,"",SUMIFS(Data!$I$6:$I$114,Data!$C$6:$C$114,G$5,Data!$D$6:$D$114,4))</f>
        <v>0.0840268988367097</v>
      </c>
      <c r="H9" s="13" t="n">
        <f aca="false">IF(COUNTIFS(Data!$C$6:$C$114,H$5,Data!$D$6:$D$114,4,Data!$E$6:$E$114,"&gt;0")=0,"",SUMIFS(Data!$I$6:$I$114,Data!$C$6:$C$114,H$5,Data!$D$6:$D$114,4))</f>
        <v>0.0883192076060508</v>
      </c>
      <c r="I9" s="13" t="n">
        <f aca="false">IF(COUNTIFS(Data!$C$6:$C$114,I$5,Data!$D$6:$D$114,4,Data!$E$6:$E$114,"&gt;0")=0,"",SUMIFS(Data!$I$6:$I$114,Data!$C$6:$C$114,I$5,Data!$D$6:$D$114,4))</f>
        <v>0.0278083584485096</v>
      </c>
      <c r="J9" s="13" t="n">
        <f aca="false">IF(COUNTIFS(Data!$C$6:$C$114,J$5,Data!$D$6:$D$114,4,Data!$E$6:$E$114,"&gt;0")=0,"",SUMIFS(Data!$I$6:$I$114,Data!$C$6:$C$114,J$5,Data!$D$6:$D$114,4))</f>
        <v>0.0258217956156745</v>
      </c>
    </row>
    <row r="10" customFormat="false" ht="15" hidden="false" customHeight="false" outlineLevel="0" collapsed="false">
      <c r="B10" s="16" t="s">
        <v>163</v>
      </c>
      <c r="C10" s="13" t="n">
        <f aca="false">IF(COUNTIFS(Data!$C$6:$C$114,C$5,Data!$D$6:$D$114,5,Data!$E$6:$E$114,"&gt;0")=0,"",SUMIFS(Data!$I$6:$I$114,Data!$C$6:$C$114,C$5,Data!$D$6:$D$114,5))</f>
        <v>0.0310362027121631</v>
      </c>
      <c r="D10" s="13" t="n">
        <f aca="false">IF(COUNTIFS(Data!$C$6:$C$114,D$5,Data!$D$6:$D$114,5,Data!$E$6:$E$114,"&gt;0")=0,"",SUMIFS(Data!$I$6:$I$114,Data!$C$6:$C$114,D$5,Data!$D$6:$D$114,5))</f>
        <v>0.0154273625123862</v>
      </c>
      <c r="E10" s="13" t="n">
        <f aca="false">IF(COUNTIFS(Data!$C$6:$C$114,E$5,Data!$D$6:$D$114,5,Data!$E$6:$E$114,"&gt;0")=0,"",SUMIFS(Data!$I$6:$I$114,Data!$C$6:$C$114,E$5,Data!$D$6:$D$114,5))</f>
        <v>0.0332297807363955</v>
      </c>
      <c r="F10" s="13" t="n">
        <f aca="false">IF(COUNTIFS(Data!$C$6:$C$114,F$5,Data!$D$6:$D$114,5,Data!$E$6:$E$114,"&gt;0")=0,"",SUMIFS(Data!$I$6:$I$114,Data!$C$6:$C$114,F$5,Data!$D$6:$D$114,5))</f>
        <v>0.0505022805956261</v>
      </c>
      <c r="G10" s="13" t="n">
        <f aca="false">IF(COUNTIFS(Data!$C$6:$C$114,G$5,Data!$D$6:$D$114,5,Data!$E$6:$E$114,"&gt;0")=0,"",SUMIFS(Data!$I$6:$I$114,Data!$C$6:$C$114,G$5,Data!$D$6:$D$114,5))</f>
        <v>0.077727529658906</v>
      </c>
      <c r="H10" s="13" t="n">
        <f aca="false">IF(COUNTIFS(Data!$C$6:$C$114,H$5,Data!$D$6:$D$114,5,Data!$E$6:$E$114,"&gt;0")=0,"",SUMIFS(Data!$I$6:$I$114,Data!$C$6:$C$114,H$5,Data!$D$6:$D$114,5))</f>
        <v>0.0417604487482142</v>
      </c>
      <c r="I10" s="13" t="n">
        <f aca="false">IF(COUNTIFS(Data!$C$6:$C$114,I$5,Data!$D$6:$D$114,5,Data!$E$6:$E$114,"&gt;0")=0,"",SUMIFS(Data!$I$6:$I$114,Data!$C$6:$C$114,I$5,Data!$D$6:$D$114,5))</f>
        <v>0.0150110863438231</v>
      </c>
      <c r="J10" s="13" t="n">
        <f aca="false">IF(COUNTIFS(Data!$C$6:$C$114,J$5,Data!$D$6:$D$114,5,Data!$E$6:$E$114,"&gt;0")=0,"",SUMIFS(Data!$I$6:$I$114,Data!$C$6:$C$114,J$5,Data!$D$6:$D$114,5))</f>
        <v>0.0214997233499086</v>
      </c>
    </row>
    <row r="11" customFormat="false" ht="15" hidden="false" customHeight="false" outlineLevel="0" collapsed="false">
      <c r="B11" s="16" t="s">
        <v>164</v>
      </c>
      <c r="C11" s="13" t="n">
        <f aca="false">IF(COUNTIFS(Data!$C$6:$C$114,C$5,Data!$D$6:$D$114,6,Data!$E$6:$E$114,"&gt;0")=0,"",SUMIFS(Data!$I$6:$I$114,Data!$C$6:$C$114,C$5,Data!$D$6:$D$114,6))</f>
        <v>0.0271800540239953</v>
      </c>
      <c r="D11" s="13" t="n">
        <f aca="false">IF(COUNTIFS(Data!$C$6:$C$114,D$5,Data!$D$6:$D$114,6,Data!$E$6:$E$114,"&gt;0")=0,"",SUMIFS(Data!$I$6:$I$114,Data!$C$6:$C$114,D$5,Data!$D$6:$D$114,6))</f>
        <v>0.0224353915912769</v>
      </c>
      <c r="E11" s="13" t="n">
        <f aca="false">IF(COUNTIFS(Data!$C$6:$C$114,E$5,Data!$D$6:$D$114,6,Data!$E$6:$E$114,"&gt;0")=0,"",SUMIFS(Data!$I$6:$I$114,Data!$C$6:$C$114,E$5,Data!$D$6:$D$114,6))</f>
        <v>0.0317454797589205</v>
      </c>
      <c r="F11" s="13" t="n">
        <f aca="false">IF(COUNTIFS(Data!$C$6:$C$114,F$5,Data!$D$6:$D$114,6,Data!$E$6:$E$114,"&gt;0")=0,"",SUMIFS(Data!$I$6:$I$114,Data!$C$6:$C$114,F$5,Data!$D$6:$D$114,6))</f>
        <v>0.0529522125162816</v>
      </c>
      <c r="G11" s="13" t="n">
        <f aca="false">IF(COUNTIFS(Data!$C$6:$C$114,G$5,Data!$D$6:$D$114,6,Data!$E$6:$E$114,"&gt;0")=0,"",SUMIFS(Data!$I$6:$I$114,Data!$C$6:$C$114,G$5,Data!$D$6:$D$114,6))</f>
        <v>0.0595083198050062</v>
      </c>
      <c r="H11" s="13" t="n">
        <f aca="false">IF(COUNTIFS(Data!$C$6:$C$114,H$5,Data!$D$6:$D$114,6,Data!$E$6:$E$114,"&gt;0")=0,"",SUMIFS(Data!$I$6:$I$114,Data!$C$6:$C$114,H$5,Data!$D$6:$D$114,6))</f>
        <v>0.0457734988557224</v>
      </c>
      <c r="I11" s="13" t="n">
        <f aca="false">IF(COUNTIFS(Data!$C$6:$C$114,I$5,Data!$D$6:$D$114,6,Data!$E$6:$E$114,"&gt;0")=0,"",SUMIFS(Data!$I$6:$I$114,Data!$C$6:$C$114,I$5,Data!$D$6:$D$114,6))</f>
        <v>0.0161892488199333</v>
      </c>
      <c r="J11" s="13" t="n">
        <f aca="false">IF(COUNTIFS(Data!$C$6:$C$114,J$5,Data!$D$6:$D$114,6,Data!$E$6:$E$114,"&gt;0")=0,"",SUMIFS(Data!$I$6:$I$114,Data!$C$6:$C$114,J$5,Data!$D$6:$D$114,6))</f>
        <v>0.0188687146882938</v>
      </c>
    </row>
    <row r="12" customFormat="false" ht="15" hidden="false" customHeight="false" outlineLevel="0" collapsed="false">
      <c r="B12" s="16" t="s">
        <v>165</v>
      </c>
      <c r="C12" s="13" t="n">
        <f aca="false">IF(COUNTIFS(Data!$C$6:$C$114,C$5,Data!$D$6:$D$114,7,Data!$E$6:$E$114,"&gt;0")=0,"",SUMIFS(Data!$I$6:$I$114,Data!$C$6:$C$114,C$5,Data!$D$6:$D$114,7))</f>
        <v>0.021978655386921</v>
      </c>
      <c r="D12" s="13" t="n">
        <f aca="false">IF(COUNTIFS(Data!$C$6:$C$114,D$5,Data!$D$6:$D$114,7,Data!$E$6:$E$114,"&gt;0")=0,"",SUMIFS(Data!$I$6:$I$114,Data!$C$6:$C$114,D$5,Data!$D$6:$D$114,7))</f>
        <v>0.019341946456513</v>
      </c>
      <c r="E12" s="13" t="n">
        <f aca="false">IF(COUNTIFS(Data!$C$6:$C$114,E$5,Data!$D$6:$D$114,7,Data!$E$6:$E$114,"&gt;0")=0,"",SUMIFS(Data!$I$6:$I$114,Data!$C$6:$C$114,E$5,Data!$D$6:$D$114,7))</f>
        <v>0.0299703332203625</v>
      </c>
      <c r="F12" s="13" t="n">
        <f aca="false">IF(COUNTIFS(Data!$C$6:$C$114,F$5,Data!$D$6:$D$114,7,Data!$E$6:$E$114,"&gt;0")=0,"",SUMIFS(Data!$I$6:$I$114,Data!$C$6:$C$114,F$5,Data!$D$6:$D$114,7))</f>
        <v>0.0740619685715935</v>
      </c>
      <c r="G12" s="13" t="n">
        <f aca="false">IF(COUNTIFS(Data!$C$6:$C$114,G$5,Data!$D$6:$D$114,7,Data!$E$6:$E$114,"&gt;0")=0,"",SUMIFS(Data!$I$6:$I$114,Data!$C$6:$C$114,G$5,Data!$D$6:$D$114,7))</f>
        <v>0.063448508623158</v>
      </c>
      <c r="H12" s="13" t="n">
        <f aca="false">IF(COUNTIFS(Data!$C$6:$C$114,H$5,Data!$D$6:$D$114,7,Data!$E$6:$E$114,"&gt;0")=0,"",SUMIFS(Data!$I$6:$I$114,Data!$C$6:$C$114,H$5,Data!$D$6:$D$114,7))</f>
        <v>0.040309336951464</v>
      </c>
      <c r="I12" s="13" t="n">
        <f aca="false">IF(COUNTIFS(Data!$C$6:$C$114,I$5,Data!$D$6:$D$114,7,Data!$E$6:$E$114,"&gt;0")=0,"",SUMIFS(Data!$I$6:$I$114,Data!$C$6:$C$114,I$5,Data!$D$6:$D$114,7))</f>
        <v>0.0190168375533129</v>
      </c>
      <c r="J12" s="13" t="str">
        <f aca="false">IF(COUNTIFS(Data!$C$6:$C$114,J$5,Data!$D$6:$D$114,7,Data!$E$6:$E$114,"&gt;0")=0,"",SUMIFS(Data!$I$6:$I$114,Data!$C$6:$C$114,J$5,Data!$D$6:$D$114,7))</f>
        <v/>
      </c>
    </row>
    <row r="13" customFormat="false" ht="15" hidden="false" customHeight="false" outlineLevel="0" collapsed="false">
      <c r="B13" s="16" t="s">
        <v>166</v>
      </c>
      <c r="C13" s="13" t="n">
        <f aca="false">IF(COUNTIFS(Data!$C$6:$C$114,C$5,Data!$D$6:$D$114,8,Data!$E$6:$E$114,"&gt;0")=0,"",SUMIFS(Data!$I$6:$I$114,Data!$C$6:$C$114,C$5,Data!$D$6:$D$114,8))</f>
        <v>0.0395398578704869</v>
      </c>
      <c r="D13" s="13" t="n">
        <f aca="false">IF(COUNTIFS(Data!$C$6:$C$114,D$5,Data!$D$6:$D$114,8,Data!$E$6:$E$114,"&gt;0")=0,"",SUMIFS(Data!$I$6:$I$114,Data!$C$6:$C$114,D$5,Data!$D$6:$D$114,8))</f>
        <v>0.0270011035906612</v>
      </c>
      <c r="E13" s="13" t="n">
        <f aca="false">IF(COUNTIFS(Data!$C$6:$C$114,E$5,Data!$D$6:$D$114,8,Data!$E$6:$E$114,"&gt;0")=0,"",SUMIFS(Data!$I$6:$I$114,Data!$C$6:$C$114,E$5,Data!$D$6:$D$114,8))</f>
        <v>0.0246848666740147</v>
      </c>
      <c r="F13" s="13" t="n">
        <f aca="false">IF(COUNTIFS(Data!$C$6:$C$114,F$5,Data!$D$6:$D$114,8,Data!$E$6:$E$114,"&gt;0")=0,"",SUMIFS(Data!$I$6:$I$114,Data!$C$6:$C$114,F$5,Data!$D$6:$D$114,8))</f>
        <v>0.0697033557535507</v>
      </c>
      <c r="G13" s="13" t="n">
        <f aca="false">IF(COUNTIFS(Data!$C$6:$C$114,G$5,Data!$D$6:$D$114,8,Data!$E$6:$E$114,"&gt;0")=0,"",SUMIFS(Data!$I$6:$I$114,Data!$C$6:$C$114,G$5,Data!$D$6:$D$114,8))</f>
        <v>0.1244163772869</v>
      </c>
      <c r="H13" s="13" t="n">
        <f aca="false">IF(COUNTIFS(Data!$C$6:$C$114,H$5,Data!$D$6:$D$114,8,Data!$E$6:$E$114,"&gt;0")=0,"",SUMIFS(Data!$I$6:$I$114,Data!$C$6:$C$114,H$5,Data!$D$6:$D$114,8))</f>
        <v>0.0417227327937253</v>
      </c>
      <c r="I13" s="13" t="n">
        <f aca="false">IF(COUNTIFS(Data!$C$6:$C$114,I$5,Data!$D$6:$D$114,8,Data!$E$6:$E$114,"&gt;0")=0,"",SUMIFS(Data!$I$6:$I$114,Data!$C$6:$C$114,I$5,Data!$D$6:$D$114,8))</f>
        <v>0.0187579351135028</v>
      </c>
      <c r="J13" s="13" t="str">
        <f aca="false">IF(COUNTIFS(Data!$C$6:$C$114,J$5,Data!$D$6:$D$114,8,Data!$E$6:$E$114,"&gt;0")=0,"",SUMIFS(Data!$I$6:$I$114,Data!$C$6:$C$114,J$5,Data!$D$6:$D$114,8))</f>
        <v/>
      </c>
    </row>
    <row r="14" customFormat="false" ht="15" hidden="false" customHeight="false" outlineLevel="0" collapsed="false">
      <c r="B14" s="16" t="s">
        <v>167</v>
      </c>
      <c r="C14" s="13" t="n">
        <f aca="false">IF(COUNTIFS(Data!$C$6:$C$114,C$5,Data!$D$6:$D$114,9,Data!$E$6:$E$114,"&gt;0")=0,"",SUMIFS(Data!$I$6:$I$114,Data!$C$6:$C$114,C$5,Data!$D$6:$D$114,9))</f>
        <v>0.0588566227212231</v>
      </c>
      <c r="D14" s="13" t="n">
        <f aca="false">IF(COUNTIFS(Data!$C$6:$C$114,D$5,Data!$D$6:$D$114,9,Data!$E$6:$E$114,"&gt;0")=0,"",SUMIFS(Data!$I$6:$I$114,Data!$C$6:$C$114,D$5,Data!$D$6:$D$114,9))</f>
        <v>0.0283552164697896</v>
      </c>
      <c r="E14" s="13" t="n">
        <f aca="false">IF(COUNTIFS(Data!$C$6:$C$114,E$5,Data!$D$6:$D$114,9,Data!$E$6:$E$114,"&gt;0")=0,"",SUMIFS(Data!$I$6:$I$114,Data!$C$6:$C$114,E$5,Data!$D$6:$D$114,9))</f>
        <v>0.0354678795331138</v>
      </c>
      <c r="F14" s="13" t="n">
        <f aca="false">IF(COUNTIFS(Data!$C$6:$C$114,F$5,Data!$D$6:$D$114,9,Data!$E$6:$E$114,"&gt;0")=0,"",SUMIFS(Data!$I$6:$I$114,Data!$C$6:$C$114,F$5,Data!$D$6:$D$114,9))</f>
        <v>0.0616551988757716</v>
      </c>
      <c r="G14" s="13" t="n">
        <f aca="false">IF(COUNTIFS(Data!$C$6:$C$114,G$5,Data!$D$6:$D$114,9,Data!$E$6:$E$114,"&gt;0")=0,"",SUMIFS(Data!$I$6:$I$114,Data!$C$6:$C$114,G$5,Data!$D$6:$D$114,9))</f>
        <v>0.12749750132467</v>
      </c>
      <c r="H14" s="13" t="n">
        <f aca="false">IF(COUNTIFS(Data!$C$6:$C$114,H$5,Data!$D$6:$D$114,9,Data!$E$6:$E$114,"&gt;0")=0,"",SUMIFS(Data!$I$6:$I$114,Data!$C$6:$C$114,H$5,Data!$D$6:$D$114,9))</f>
        <v>0.0346920810480664</v>
      </c>
      <c r="I14" s="13" t="n">
        <f aca="false">IF(COUNTIFS(Data!$C$6:$C$114,I$5,Data!$D$6:$D$114,9,Data!$E$6:$E$114,"&gt;0")=0,"",SUMIFS(Data!$I$6:$I$114,Data!$C$6:$C$114,I$5,Data!$D$6:$D$114,9))</f>
        <v>0.0207596032395136</v>
      </c>
      <c r="J14" s="13" t="str">
        <f aca="false">IF(COUNTIFS(Data!$C$6:$C$114,J$5,Data!$D$6:$D$114,9,Data!$E$6:$E$114,"&gt;0")=0,"",SUMIFS(Data!$I$6:$I$114,Data!$C$6:$C$114,J$5,Data!$D$6:$D$114,9))</f>
        <v/>
      </c>
    </row>
    <row r="15" customFormat="false" ht="15" hidden="false" customHeight="false" outlineLevel="0" collapsed="false">
      <c r="B15" s="16" t="s">
        <v>168</v>
      </c>
      <c r="C15" s="13" t="n">
        <f aca="false">IF(COUNTIFS(Data!$C$6:$C$114,C$5,Data!$D$6:$D$114,10,Data!$E$6:$E$114,"&gt;0")=0,"",SUMIFS(Data!$I$6:$I$114,Data!$C$6:$C$114,C$5,Data!$D$6:$D$114,10))</f>
        <v>0.0329348209098412</v>
      </c>
      <c r="D15" s="13" t="n">
        <f aca="false">IF(COUNTIFS(Data!$C$6:$C$114,D$5,Data!$D$6:$D$114,10,Data!$E$6:$E$114,"&gt;0")=0,"",SUMIFS(Data!$I$6:$I$114,Data!$C$6:$C$114,D$5,Data!$D$6:$D$114,10))</f>
        <v>0.037609698439822</v>
      </c>
      <c r="E15" s="13" t="n">
        <f aca="false">IF(COUNTIFS(Data!$C$6:$C$114,E$5,Data!$D$6:$D$114,10,Data!$E$6:$E$114,"&gt;0")=0,"",SUMIFS(Data!$I$6:$I$114,Data!$C$6:$C$114,E$5,Data!$D$6:$D$114,10))</f>
        <v>0.0351627483837178</v>
      </c>
      <c r="F15" s="13" t="n">
        <f aca="false">IF(COUNTIFS(Data!$C$6:$C$114,F$5,Data!$D$6:$D$114,10,Data!$E$6:$E$114,"&gt;0")=0,"",SUMIFS(Data!$I$6:$I$114,Data!$C$6:$C$114,F$5,Data!$D$6:$D$114,10))</f>
        <v>0.0634735010869345</v>
      </c>
      <c r="G15" s="13" t="n">
        <f aca="false">IF(COUNTIFS(Data!$C$6:$C$114,G$5,Data!$D$6:$D$114,10,Data!$E$6:$E$114,"&gt;0")=0,"",SUMIFS(Data!$I$6:$I$114,Data!$C$6:$C$114,G$5,Data!$D$6:$D$114,10))</f>
        <v>0.0830173938041001</v>
      </c>
      <c r="H15" s="13" t="n">
        <f aca="false">IF(COUNTIFS(Data!$C$6:$C$114,H$5,Data!$D$6:$D$114,10,Data!$E$6:$E$114,"&gt;0")=0,"",SUMIFS(Data!$I$6:$I$114,Data!$C$6:$C$114,H$5,Data!$D$6:$D$114,10))</f>
        <v>0.0269173804131146</v>
      </c>
      <c r="I15" s="13" t="n">
        <f aca="false">IF(COUNTIFS(Data!$C$6:$C$114,I$5,Data!$D$6:$D$114,10,Data!$E$6:$E$114,"&gt;0")=0,"",SUMIFS(Data!$I$6:$I$114,Data!$C$6:$C$114,I$5,Data!$D$6:$D$114,10))</f>
        <v>0.0234194310239195</v>
      </c>
      <c r="J15" s="13" t="str">
        <f aca="false">IF(COUNTIFS(Data!$C$6:$C$114,J$5,Data!$D$6:$D$114,10,Data!$E$6:$E$114,"&gt;0")=0,"",SUMIFS(Data!$I$6:$I$114,Data!$C$6:$C$114,J$5,Data!$D$6:$D$114,10))</f>
        <v/>
      </c>
    </row>
    <row r="16" customFormat="false" ht="15" hidden="false" customHeight="false" outlineLevel="0" collapsed="false">
      <c r="B16" s="16" t="s">
        <v>169</v>
      </c>
      <c r="C16" s="13" t="n">
        <f aca="false">IF(COUNTIFS(Data!$C$6:$C$114,C$5,Data!$D$6:$D$114,11,Data!$E$6:$E$114,"&gt;0")=0,"",SUMIFS(Data!$I$6:$I$114,Data!$C$6:$C$114,C$5,Data!$D$6:$D$114,11))</f>
        <v>0.0425453730948031</v>
      </c>
      <c r="D16" s="13" t="n">
        <f aca="false">IF(COUNTIFS(Data!$C$6:$C$114,D$5,Data!$D$6:$D$114,11,Data!$E$6:$E$114,"&gt;0")=0,"",SUMIFS(Data!$I$6:$I$114,Data!$C$6:$C$114,D$5,Data!$D$6:$D$114,11))</f>
        <v>0.0315970494109665</v>
      </c>
      <c r="E16" s="13" t="n">
        <f aca="false">IF(COUNTIFS(Data!$C$6:$C$114,E$5,Data!$D$6:$D$114,11,Data!$E$6:$E$114,"&gt;0")=0,"",SUMIFS(Data!$I$6:$I$114,Data!$C$6:$C$114,E$5,Data!$D$6:$D$114,11))</f>
        <v>0.0252946460135095</v>
      </c>
      <c r="F16" s="13" t="n">
        <f aca="false">IF(COUNTIFS(Data!$C$6:$C$114,F$5,Data!$D$6:$D$114,11,Data!$E$6:$E$114,"&gt;0")=0,"",SUMIFS(Data!$I$6:$I$114,Data!$C$6:$C$114,F$5,Data!$D$6:$D$114,11))</f>
        <v>0.0491614708186792</v>
      </c>
      <c r="G16" s="13" t="n">
        <f aca="false">IF(COUNTIFS(Data!$C$6:$C$114,G$5,Data!$D$6:$D$114,11,Data!$E$6:$E$114,"&gt;0")=0,"",SUMIFS(Data!$I$6:$I$114,Data!$C$6:$C$114,G$5,Data!$D$6:$D$114,11))</f>
        <v>0.128106901769157</v>
      </c>
      <c r="H16" s="13" t="n">
        <f aca="false">IF(COUNTIFS(Data!$C$6:$C$114,H$5,Data!$D$6:$D$114,11,Data!$E$6:$E$114,"&gt;0")=0,"",SUMIFS(Data!$I$6:$I$114,Data!$C$6:$C$114,H$5,Data!$D$6:$D$114,11))</f>
        <v>0.0242655607550837</v>
      </c>
      <c r="I16" s="13" t="n">
        <f aca="false">IF(COUNTIFS(Data!$C$6:$C$114,I$5,Data!$D$6:$D$114,11,Data!$E$6:$E$114,"&gt;0")=0,"",SUMIFS(Data!$I$6:$I$114,Data!$C$6:$C$114,I$5,Data!$D$6:$D$114,11))</f>
        <v>0.0247291967107857</v>
      </c>
      <c r="J16" s="13" t="str">
        <f aca="false">IF(COUNTIFS(Data!$C$6:$C$114,J$5,Data!$D$6:$D$114,11,Data!$E$6:$E$114,"&gt;0")=0,"",SUMIFS(Data!$I$6:$I$114,Data!$C$6:$C$114,J$5,Data!$D$6:$D$114,11))</f>
        <v/>
      </c>
    </row>
    <row r="17" customFormat="false" ht="15" hidden="false" customHeight="false" outlineLevel="0" collapsed="false">
      <c r="B17" s="16" t="s">
        <v>170</v>
      </c>
      <c r="C17" s="13" t="n">
        <f aca="false">IF(COUNTIFS(Data!$C$6:$C$114,C$5,Data!$D$6:$D$114,12,Data!$E$6:$E$114,"&gt;0")=0,"",SUMIFS(Data!$I$6:$I$114,Data!$C$6:$C$114,C$5,Data!$D$6:$D$114,12))</f>
        <v>0.0374370735513834</v>
      </c>
      <c r="D17" s="13" t="n">
        <f aca="false">IF(COUNTIFS(Data!$C$6:$C$114,D$5,Data!$D$6:$D$114,12,Data!$E$6:$E$114,"&gt;0")=0,"",SUMIFS(Data!$I$6:$I$114,Data!$C$6:$C$114,D$5,Data!$D$6:$D$114,12))</f>
        <v>0.0400556733835353</v>
      </c>
      <c r="E17" s="13" t="n">
        <f aca="false">IF(COUNTIFS(Data!$C$6:$C$114,E$5,Data!$D$6:$D$114,12,Data!$E$6:$E$114,"&gt;0")=0,"",SUMIFS(Data!$I$6:$I$114,Data!$C$6:$C$114,E$5,Data!$D$6:$D$114,12))</f>
        <v>0.0383997030584127</v>
      </c>
      <c r="F17" s="13" t="n">
        <f aca="false">IF(COUNTIFS(Data!$C$6:$C$114,F$5,Data!$D$6:$D$114,12,Data!$E$6:$E$114,"&gt;0")=0,"",SUMIFS(Data!$I$6:$I$114,Data!$C$6:$C$114,F$5,Data!$D$6:$D$114,12))</f>
        <v>0.0512460775886709</v>
      </c>
      <c r="G17" s="13" t="n">
        <f aca="false">IF(COUNTIFS(Data!$C$6:$C$114,G$5,Data!$D$6:$D$114,12,Data!$E$6:$E$114,"&gt;0")=0,"",SUMIFS(Data!$I$6:$I$114,Data!$C$6:$C$114,G$5,Data!$D$6:$D$114,12))</f>
        <v>0.254656749842368</v>
      </c>
      <c r="H17" s="13" t="n">
        <f aca="false">IF(COUNTIFS(Data!$C$6:$C$114,H$5,Data!$D$6:$D$114,12,Data!$E$6:$E$114,"&gt;0")=0,"",SUMIFS(Data!$I$6:$I$114,Data!$C$6:$C$114,H$5,Data!$D$6:$D$114,12))</f>
        <v>0.0270410405146337</v>
      </c>
      <c r="I17" s="13" t="n">
        <f aca="false">IF(COUNTIFS(Data!$C$6:$C$114,I$5,Data!$D$6:$D$114,12,Data!$E$6:$E$114,"&gt;0")=0,"",SUMIFS(Data!$I$6:$I$114,Data!$C$6:$C$114,I$5,Data!$D$6:$D$114,12))</f>
        <v>0.0284527193457171</v>
      </c>
      <c r="J17" s="13" t="str">
        <f aca="false">IF(COUNTIFS(Data!$C$6:$C$114,J$5,Data!$D$6:$D$114,12,Data!$E$6:$E$114,"&gt;0")=0,"",SUMIFS(Data!$I$6:$I$114,Data!$C$6:$C$114,J$5,Data!$D$6:$D$114,12))</f>
        <v/>
      </c>
    </row>
    <row r="19" customFormat="false" ht="15" hidden="false" customHeight="false" outlineLevel="0" collapsed="false">
      <c r="B19" s="17" t="s">
        <v>171</v>
      </c>
      <c r="C19" s="18" t="n">
        <f aca="false">IFERROR(INDEX(Data!$E:$E,MATCH("2019-12",Data!$B:$B,0))/INDEX(Data!$E:$E,MATCH("2018-12",Data!$B:$B,0))-1,"")</f>
        <v>0.538324020163339</v>
      </c>
      <c r="D19" s="18" t="n">
        <f aca="false">IFERROR(INDEX(Data!$E:$E,MATCH("2020-12",Data!$B:$B,0))/INDEX(Data!$E:$E,MATCH("2019-12",Data!$B:$B,0))-1,"")</f>
        <v>0.361405878123454</v>
      </c>
      <c r="E19" s="18" t="n">
        <f aca="false">IFERROR(INDEX(Data!$E:$E,MATCH("2021-12",Data!$B:$B,0))/INDEX(Data!$E:$E,MATCH("2020-12",Data!$B:$B,0))-1,"")</f>
        <v>0.509416335434663</v>
      </c>
      <c r="F19" s="18" t="n">
        <f aca="false">IFERROR(INDEX(Data!$E:$E,MATCH("2022-12",Data!$B:$B,0))/INDEX(Data!$E:$E,MATCH("2021-12",Data!$B:$B,0))-1,"")</f>
        <v>0.947931823351919</v>
      </c>
      <c r="G19" s="18" t="n">
        <f aca="false">IFERROR(INDEX(Data!$E:$E,MATCH("2023-12",Data!$B:$B,0))/INDEX(Data!$E:$E,MATCH("2022-12",Data!$B:$B,0))-1,"")</f>
        <v>2.11407643747177</v>
      </c>
      <c r="H19" s="18" t="n">
        <f aca="false">IFERROR(INDEX(Data!$E:$E,MATCH("2024-12",Data!$B:$B,0))/INDEX(Data!$E:$E,MATCH("2023-12",Data!$B:$B,0))-1,"")</f>
        <v>1.17763627464139</v>
      </c>
      <c r="I19" s="18" t="n">
        <f aca="false">IFERROR(INDEX(Data!$E:$E,MATCH("2025-12",Data!$B:$B,0))/INDEX(Data!$E:$E,MATCH("2024-12",Data!$B:$B,0))-1,"")</f>
        <v>0.315487605126457</v>
      </c>
      <c r="J19" s="18" t="n">
        <f aca="false">IFERROR(INDEX(Data!$E:$E,MATCH("2026-06",Data!$B:$B,0))/INDEX(Data!$E:$E,MATCH("2025-12",Data!$B:$B,0))-1,"")</f>
        <v>0.168459264636221</v>
      </c>
    </row>
    <row r="20" customFormat="false" ht="15" hidden="false" customHeight="false" outlineLevel="0" collapsed="false">
      <c r="B20" s="17" t="s">
        <v>172</v>
      </c>
      <c r="C20" s="19" t="n">
        <f aca="false">IFERROR(AVERAGE(C6:C17),"")</f>
        <v>0.0365852244288966</v>
      </c>
      <c r="D20" s="19" t="n">
        <f aca="false">IFERROR(AVERAGE(D6:D17),"")</f>
        <v>0.0260740914331157</v>
      </c>
      <c r="E20" s="19" t="n">
        <f aca="false">IFERROR(AVERAGE(E6:E17),"")</f>
        <v>0.0349252548961642</v>
      </c>
      <c r="F20" s="19" t="n">
        <f aca="false">IFERROR(AVERAGE(F6:F17),"")</f>
        <v>0.0571848092061049</v>
      </c>
      <c r="G20" s="19" t="n">
        <f aca="false">IFERROR(AVERAGE(G6:G17),"")</f>
        <v>0.100476210993494</v>
      </c>
      <c r="H20" s="19" t="n">
        <f aca="false">IFERROR(AVERAGE(H6:H17),"")</f>
        <v>0.068287275223028</v>
      </c>
      <c r="I20" s="19" t="n">
        <f aca="false">IFERROR(AVERAGE(I6:I17),"")</f>
        <v>0.0231303770091091</v>
      </c>
      <c r="J20" s="19" t="n">
        <f aca="false">IFERROR(AVERAGE(J6:J17),"")</f>
        <v>0.0262993066402727</v>
      </c>
    </row>
    <row r="21" customFormat="false" ht="15" hidden="false" customHeight="false" outlineLevel="0" collapsed="false">
      <c r="B21" s="2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10" min="3" style="0" width="10"/>
  </cols>
  <sheetData>
    <row r="2" customFormat="false" ht="25.5" hidden="false" customHeight="true" outlineLevel="0" collapsed="false">
      <c r="B2" s="1" t="s">
        <v>174</v>
      </c>
    </row>
    <row r="3" customFormat="false" ht="15" hidden="false" customHeight="false" outlineLevel="0" collapsed="false">
      <c r="B3" s="2" t="s">
        <v>175</v>
      </c>
    </row>
    <row r="5" customFormat="false" ht="15" hidden="false" customHeight="false" outlineLevel="0" collapsed="false">
      <c r="B5" s="14" t="s">
        <v>32</v>
      </c>
      <c r="C5" s="15" t="n">
        <v>2019</v>
      </c>
      <c r="D5" s="15" t="n">
        <v>2020</v>
      </c>
      <c r="E5" s="15" t="n">
        <v>2021</v>
      </c>
      <c r="F5" s="15" t="n">
        <v>2022</v>
      </c>
      <c r="G5" s="15" t="n">
        <v>2023</v>
      </c>
      <c r="H5" s="15" t="n">
        <v>2024</v>
      </c>
      <c r="I5" s="15" t="n">
        <v>2025</v>
      </c>
      <c r="J5" s="15" t="n">
        <v>2026</v>
      </c>
    </row>
    <row r="6" customFormat="false" ht="15" hidden="false" customHeight="false" outlineLevel="0" collapsed="false">
      <c r="B6" s="16" t="s">
        <v>159</v>
      </c>
      <c r="C6" s="13" t="n">
        <f aca="false">IF(COUNTIFS(Data!$C$6:$C$114,C$5,Data!$D$6:$D$114,1,Data!$F$6:$F$114,"&gt;0")=0,"",SUMIFS(Data!$J$6:$J$114,Data!$C$6:$C$114,C$5,Data!$D$6:$D$114,1))</f>
        <v>0.0300280664339534</v>
      </c>
      <c r="D6" s="13" t="n">
        <f aca="false">IF(COUNTIFS(Data!$C$6:$C$114,D$5,Data!$D$6:$D$114,1,Data!$F$6:$F$114,"&gt;0")=0,"",SUMIFS(Data!$J$6:$J$114,Data!$C$6:$C$114,D$5,Data!$D$6:$D$114,1))</f>
        <v>0.0244093429184116</v>
      </c>
      <c r="E6" s="13" t="n">
        <f aca="false">IF(COUNTIFS(Data!$C$6:$C$114,E$5,Data!$D$6:$D$114,1,Data!$F$6:$F$114,"&gt;0")=0,"",SUMIFS(Data!$J$6:$J$114,Data!$C$6:$C$114,E$5,Data!$D$6:$D$114,1))</f>
        <v>0.0391587793702362</v>
      </c>
      <c r="F6" s="13" t="n">
        <f aca="false">IF(COUNTIFS(Data!$C$6:$C$114,F$5,Data!$D$6:$D$114,1,Data!$F$6:$F$114,"&gt;0")=0,"",SUMIFS(Data!$J$6:$J$114,Data!$C$6:$C$114,F$5,Data!$D$6:$D$114,1))</f>
        <v>0.0330209778677573</v>
      </c>
      <c r="G6" s="13" t="n">
        <f aca="false">IF(COUNTIFS(Data!$C$6:$C$114,G$5,Data!$D$6:$D$114,1,Data!$F$6:$F$114,"&gt;0")=0,"",SUMIFS(Data!$J$6:$J$114,Data!$C$6:$C$114,G$5,Data!$D$6:$D$114,1))</f>
        <v>0.0535214334611878</v>
      </c>
      <c r="H6" s="13" t="n">
        <f aca="false">IF(COUNTIFS(Data!$C$6:$C$114,H$5,Data!$D$6:$D$114,1,Data!$F$6:$F$114,"&gt;0")=0,"",SUMIFS(Data!$J$6:$J$114,Data!$C$6:$C$114,H$5,Data!$D$6:$D$114,1))</f>
        <v>0.202164887120713</v>
      </c>
      <c r="I6" s="13" t="n">
        <f aca="false">IF(COUNTIFS(Data!$C$6:$C$114,I$5,Data!$D$6:$D$114,1,Data!$F$6:$F$114,"&gt;0")=0,"",SUMIFS(Data!$J$6:$J$114,Data!$C$6:$C$114,I$5,Data!$D$6:$D$114,1))</f>
        <v>0.0239768943123944</v>
      </c>
      <c r="J6" s="13" t="n">
        <f aca="false">IF(COUNTIFS(Data!$C$6:$C$114,J$5,Data!$D$6:$D$114,1,Data!$F$6:$F$114,"&gt;0")=0,"",SUMIFS(Data!$J$6:$J$114,Data!$C$6:$C$114,J$5,Data!$D$6:$D$114,1))</f>
        <v>0.0263036906585312</v>
      </c>
    </row>
    <row r="7" customFormat="false" ht="15" hidden="false" customHeight="false" outlineLevel="0" collapsed="false">
      <c r="B7" s="16" t="s">
        <v>160</v>
      </c>
      <c r="C7" s="13" t="n">
        <f aca="false">IF(COUNTIFS(Data!$C$6:$C$114,C$5,Data!$D$6:$D$114,2,Data!$F$6:$F$114,"&gt;0")=0,"",SUMIFS(Data!$J$6:$J$114,Data!$C$6:$C$114,C$5,Data!$D$6:$D$114,2))</f>
        <v>0.038554986934743</v>
      </c>
      <c r="D7" s="13" t="n">
        <f aca="false">IF(COUNTIFS(Data!$C$6:$C$114,D$5,Data!$D$6:$D$114,2,Data!$F$6:$F$114,"&gt;0")=0,"",SUMIFS(Data!$J$6:$J$114,Data!$C$6:$C$114,D$5,Data!$D$6:$D$114,2))</f>
        <v>0.0238176246870572</v>
      </c>
      <c r="E7" s="13" t="n">
        <f aca="false">IF(COUNTIFS(Data!$C$6:$C$114,E$5,Data!$D$6:$D$114,2,Data!$F$6:$F$114,"&gt;0")=0,"",SUMIFS(Data!$J$6:$J$114,Data!$C$6:$C$114,E$5,Data!$D$6:$D$114,2))</f>
        <v>0.040697184753073</v>
      </c>
      <c r="F7" s="13" t="n">
        <f aca="false">IF(COUNTIFS(Data!$C$6:$C$114,F$5,Data!$D$6:$D$114,2,Data!$F$6:$F$114,"&gt;0")=0,"",SUMIFS(Data!$J$6:$J$114,Data!$C$6:$C$114,F$5,Data!$D$6:$D$114,2))</f>
        <v>0.0445076887590588</v>
      </c>
      <c r="G7" s="13" t="n">
        <f aca="false">IF(COUNTIFS(Data!$C$6:$C$114,G$5,Data!$D$6:$D$114,2,Data!$F$6:$F$114,"&gt;0")=0,"",SUMIFS(Data!$J$6:$J$114,Data!$C$6:$C$114,G$5,Data!$D$6:$D$114,2))</f>
        <v>0.0769021643878947</v>
      </c>
      <c r="H7" s="13" t="n">
        <f aca="false">IF(COUNTIFS(Data!$C$6:$C$114,H$5,Data!$D$6:$D$114,2,Data!$F$6:$F$114,"&gt;0")=0,"",SUMIFS(Data!$J$6:$J$114,Data!$C$6:$C$114,H$5,Data!$D$6:$D$114,2))</f>
        <v>0.122901408397057</v>
      </c>
      <c r="I7" s="13" t="n">
        <f aca="false">IF(COUNTIFS(Data!$C$6:$C$114,I$5,Data!$D$6:$D$114,2,Data!$F$6:$F$114,"&gt;0")=0,"",SUMIFS(Data!$J$6:$J$114,Data!$C$6:$C$114,I$5,Data!$D$6:$D$114,2))</f>
        <v>0.0292035280913883</v>
      </c>
      <c r="J7" s="13" t="n">
        <f aca="false">IF(COUNTIFS(Data!$C$6:$C$114,J$5,Data!$D$6:$D$114,2,Data!$F$6:$F$114,"&gt;0")=0,"",SUMIFS(Data!$J$6:$J$114,Data!$C$6:$C$114,J$5,Data!$D$6:$D$114,2))</f>
        <v>0.0307537518963203</v>
      </c>
    </row>
    <row r="8" customFormat="false" ht="15" hidden="false" customHeight="false" outlineLevel="0" collapsed="false">
      <c r="B8" s="16" t="s">
        <v>161</v>
      </c>
      <c r="C8" s="13" t="n">
        <f aca="false">IF(COUNTIFS(Data!$C$6:$C$114,C$5,Data!$D$6:$D$114,3,Data!$F$6:$F$114,"&gt;0")=0,"",SUMIFS(Data!$J$6:$J$114,Data!$C$6:$C$114,C$5,Data!$D$6:$D$114,3))</f>
        <v>0.0457945316765189</v>
      </c>
      <c r="D8" s="13" t="n">
        <f aca="false">IF(COUNTIFS(Data!$C$6:$C$114,D$5,Data!$D$6:$D$114,3,Data!$F$6:$F$114,"&gt;0")=0,"",SUMIFS(Data!$J$6:$J$114,Data!$C$6:$C$114,D$5,Data!$D$6:$D$114,3))</f>
        <v>0.0312059299532435</v>
      </c>
      <c r="E8" s="13" t="n">
        <f aca="false">IF(COUNTIFS(Data!$C$6:$C$114,E$5,Data!$D$6:$D$114,3,Data!$F$6:$F$114,"&gt;0")=0,"",SUMIFS(Data!$J$6:$J$114,Data!$C$6:$C$114,E$5,Data!$D$6:$D$114,3))</f>
        <v>0.0452605484423319</v>
      </c>
      <c r="F8" s="13" t="n">
        <f aca="false">IF(COUNTIFS(Data!$C$6:$C$114,F$5,Data!$D$6:$D$114,3,Data!$F$6:$F$114,"&gt;0")=0,"",SUMIFS(Data!$J$6:$J$114,Data!$C$6:$C$114,F$5,Data!$D$6:$D$114,3))</f>
        <v>0.0639643740013152</v>
      </c>
      <c r="G8" s="13" t="n">
        <f aca="false">IF(COUNTIFS(Data!$C$6:$C$114,G$5,Data!$D$6:$D$114,3,Data!$F$6:$F$114,"&gt;0")=0,"",SUMIFS(Data!$J$6:$J$114,Data!$C$6:$C$114,G$5,Data!$D$6:$D$114,3))</f>
        <v>0.0721012595864174</v>
      </c>
      <c r="H8" s="13" t="n">
        <f aca="false">IF(COUNTIFS(Data!$C$6:$C$114,H$5,Data!$D$6:$D$114,3,Data!$F$6:$F$114,"&gt;0")=0,"",SUMIFS(Data!$J$6:$J$114,Data!$C$6:$C$114,H$5,Data!$D$6:$D$114,3))</f>
        <v>0.0941204797536992</v>
      </c>
      <c r="I8" s="13" t="n">
        <f aca="false">IF(COUNTIFS(Data!$C$6:$C$114,I$5,Data!$D$6:$D$114,3,Data!$F$6:$F$114,"&gt;0")=0,"",SUMIFS(Data!$J$6:$J$114,Data!$C$6:$C$114,I$5,Data!$D$6:$D$114,3))</f>
        <v>0.0319279024268895</v>
      </c>
      <c r="J8" s="13" t="n">
        <f aca="false">IF(COUNTIFS(Data!$C$6:$C$114,J$5,Data!$D$6:$D$114,3,Data!$F$6:$F$114,"&gt;0")=0,"",SUMIFS(Data!$J$6:$J$114,Data!$C$6:$C$114,J$5,Data!$D$6:$D$114,3))</f>
        <v>0.0318894584518437</v>
      </c>
    </row>
    <row r="9" customFormat="false" ht="15" hidden="false" customHeight="false" outlineLevel="0" collapsed="false">
      <c r="B9" s="16" t="s">
        <v>162</v>
      </c>
      <c r="C9" s="13" t="n">
        <f aca="false">IF(COUNTIFS(Data!$C$6:$C$114,C$5,Data!$D$6:$D$114,4,Data!$F$6:$F$114,"&gt;0")=0,"",SUMIFS(Data!$J$6:$J$114,Data!$C$6:$C$114,C$5,Data!$D$6:$D$114,4))</f>
        <v>0.037670642645937</v>
      </c>
      <c r="D9" s="13" t="n">
        <f aca="false">IF(COUNTIFS(Data!$C$6:$C$114,D$5,Data!$D$6:$D$114,4,Data!$F$6:$F$114,"&gt;0")=0,"",SUMIFS(Data!$J$6:$J$114,Data!$C$6:$C$114,D$5,Data!$D$6:$D$114,4))</f>
        <v>0.0171575685308241</v>
      </c>
      <c r="E9" s="13" t="n">
        <f aca="false">IF(COUNTIFS(Data!$C$6:$C$114,E$5,Data!$D$6:$D$114,4,Data!$F$6:$F$114,"&gt;0")=0,"",SUMIFS(Data!$J$6:$J$114,Data!$C$6:$C$114,E$5,Data!$D$6:$D$114,4))</f>
        <v>0.045589513719098</v>
      </c>
      <c r="F9" s="13" t="n">
        <f aca="false">IF(COUNTIFS(Data!$C$6:$C$114,F$5,Data!$D$6:$D$114,4,Data!$F$6:$F$114,"&gt;0")=0,"",SUMIFS(Data!$J$6:$J$114,Data!$C$6:$C$114,F$5,Data!$D$6:$D$114,4))</f>
        <v>0.0670897435989704</v>
      </c>
      <c r="G9" s="13" t="n">
        <f aca="false">IF(COUNTIFS(Data!$C$6:$C$114,G$5,Data!$D$6:$D$114,4,Data!$F$6:$F$114,"&gt;0")=0,"",SUMIFS(Data!$J$6:$J$114,Data!$C$6:$C$114,G$5,Data!$D$6:$D$114,4))</f>
        <v>0.0840063104027715</v>
      </c>
      <c r="H9" s="13" t="n">
        <f aca="false">IF(COUNTIFS(Data!$C$6:$C$114,H$5,Data!$D$6:$D$114,4,Data!$F$6:$F$114,"&gt;0")=0,"",SUMIFS(Data!$J$6:$J$114,Data!$C$6:$C$114,H$5,Data!$D$6:$D$114,4))</f>
        <v>0.0629843839865203</v>
      </c>
      <c r="I9" s="13" t="n">
        <f aca="false">IF(COUNTIFS(Data!$C$6:$C$114,I$5,Data!$D$6:$D$114,4,Data!$F$6:$F$114,"&gt;0")=0,"",SUMIFS(Data!$J$6:$J$114,Data!$C$6:$C$114,I$5,Data!$D$6:$D$114,4))</f>
        <v>0.0321471596642027</v>
      </c>
      <c r="J9" s="13" t="n">
        <f aca="false">IF(COUNTIFS(Data!$C$6:$C$114,J$5,Data!$D$6:$D$114,4,Data!$F$6:$F$114,"&gt;0")=0,"",SUMIFS(Data!$J$6:$J$114,Data!$C$6:$C$114,J$5,Data!$D$6:$D$114,4))</f>
        <v>0.0228647443545247</v>
      </c>
    </row>
    <row r="10" customFormat="false" ht="15" hidden="false" customHeight="false" outlineLevel="0" collapsed="false">
      <c r="B10" s="16" t="s">
        <v>163</v>
      </c>
      <c r="C10" s="13" t="n">
        <f aca="false">IF(COUNTIFS(Data!$C$6:$C$114,C$5,Data!$D$6:$D$114,5,Data!$F$6:$F$114,"&gt;0")=0,"",SUMIFS(Data!$J$6:$J$114,Data!$C$6:$C$114,C$5,Data!$D$6:$D$114,5))</f>
        <v>0.0317753067983069</v>
      </c>
      <c r="D10" s="13" t="n">
        <f aca="false">IF(COUNTIFS(Data!$C$6:$C$114,D$5,Data!$D$6:$D$114,5,Data!$F$6:$F$114,"&gt;0")=0,"",SUMIFS(Data!$J$6:$J$114,Data!$C$6:$C$114,D$5,Data!$D$6:$D$114,5))</f>
        <v>0.0160567840836974</v>
      </c>
      <c r="E10" s="13" t="n">
        <f aca="false">IF(COUNTIFS(Data!$C$6:$C$114,E$5,Data!$D$6:$D$114,5,Data!$F$6:$F$114,"&gt;0")=0,"",SUMIFS(Data!$J$6:$J$114,Data!$C$6:$C$114,E$5,Data!$D$6:$D$114,5))</f>
        <v>0.0347975069382829</v>
      </c>
      <c r="F10" s="13" t="n">
        <f aca="false">IF(COUNTIFS(Data!$C$6:$C$114,F$5,Data!$D$6:$D$114,5,Data!$F$6:$F$114,"&gt;0")=0,"",SUMIFS(Data!$J$6:$J$114,Data!$C$6:$C$114,F$5,Data!$D$6:$D$114,5))</f>
        <v>0.0520184330951861</v>
      </c>
      <c r="G10" s="13" t="n">
        <f aca="false">IF(COUNTIFS(Data!$C$6:$C$114,G$5,Data!$D$6:$D$114,5,Data!$F$6:$F$114,"&gt;0")=0,"",SUMIFS(Data!$J$6:$J$114,Data!$C$6:$C$114,G$5,Data!$D$6:$D$114,5))</f>
        <v>0.0784178972966956</v>
      </c>
      <c r="H10" s="13" t="n">
        <f aca="false">IF(COUNTIFS(Data!$C$6:$C$114,H$5,Data!$D$6:$D$114,5,Data!$F$6:$F$114,"&gt;0")=0,"",SUMIFS(Data!$J$6:$J$114,Data!$C$6:$C$114,H$5,Data!$D$6:$D$114,5))</f>
        <v>0.0373468674243314</v>
      </c>
      <c r="I10" s="13" t="n">
        <f aca="false">IF(COUNTIFS(Data!$C$6:$C$114,I$5,Data!$D$6:$D$114,5,Data!$F$6:$F$114,"&gt;0")=0,"",SUMIFS(Data!$J$6:$J$114,Data!$C$6:$C$114,I$5,Data!$D$6:$D$114,5))</f>
        <v>0.0219726503339355</v>
      </c>
      <c r="J10" s="13" t="n">
        <f aca="false">IF(COUNTIFS(Data!$C$6:$C$114,J$5,Data!$D$6:$D$114,5,Data!$F$6:$F$114,"&gt;0")=0,"",SUMIFS(Data!$J$6:$J$114,Data!$C$6:$C$114,J$5,Data!$D$6:$D$114,5))</f>
        <v>0.0190347773268631</v>
      </c>
    </row>
    <row r="11" customFormat="false" ht="15" hidden="false" customHeight="false" outlineLevel="0" collapsed="false">
      <c r="B11" s="16" t="s">
        <v>164</v>
      </c>
      <c r="C11" s="13" t="n">
        <f aca="false">IF(COUNTIFS(Data!$C$6:$C$114,C$5,Data!$D$6:$D$114,6,Data!$F$6:$F$114,"&gt;0")=0,"",SUMIFS(Data!$J$6:$J$114,Data!$C$6:$C$114,C$5,Data!$D$6:$D$114,6))</f>
        <v>0.0273159255723501</v>
      </c>
      <c r="D11" s="13" t="n">
        <f aca="false">IF(COUNTIFS(Data!$C$6:$C$114,D$5,Data!$D$6:$D$114,6,Data!$F$6:$F$114,"&gt;0")=0,"",SUMIFS(Data!$J$6:$J$114,Data!$C$6:$C$114,D$5,Data!$D$6:$D$114,6))</f>
        <v>0.0231514476436991</v>
      </c>
      <c r="E11" s="13" t="n">
        <f aca="false">IF(COUNTIFS(Data!$C$6:$C$114,E$5,Data!$D$6:$D$114,6,Data!$F$6:$F$114,"&gt;0")=0,"",SUMIFS(Data!$J$6:$J$114,Data!$C$6:$C$114,E$5,Data!$D$6:$D$114,6))</f>
        <v>0.0360965523561749</v>
      </c>
      <c r="F11" s="13" t="n">
        <f aca="false">IF(COUNTIFS(Data!$C$6:$C$114,F$5,Data!$D$6:$D$114,6,Data!$F$6:$F$114,"&gt;0")=0,"",SUMIFS(Data!$J$6:$J$114,Data!$C$6:$C$114,F$5,Data!$D$6:$D$114,6))</f>
        <v>0.0508338796453565</v>
      </c>
      <c r="G11" s="13" t="n">
        <f aca="false">IF(COUNTIFS(Data!$C$6:$C$114,G$5,Data!$D$6:$D$114,6,Data!$F$6:$F$114,"&gt;0")=0,"",SUMIFS(Data!$J$6:$J$114,Data!$C$6:$C$114,G$5,Data!$D$6:$D$114,6))</f>
        <v>0.0649221308996844</v>
      </c>
      <c r="H11" s="13" t="n">
        <f aca="false">IF(COUNTIFS(Data!$C$6:$C$114,H$5,Data!$D$6:$D$114,6,Data!$F$6:$F$114,"&gt;0")=0,"",SUMIFS(Data!$J$6:$J$114,Data!$C$6:$C$114,H$5,Data!$D$6:$D$114,6))</f>
        <v>0.0365113028584356</v>
      </c>
      <c r="I11" s="13" t="n">
        <f aca="false">IF(COUNTIFS(Data!$C$6:$C$114,I$5,Data!$D$6:$D$114,6,Data!$F$6:$F$114,"&gt;0")=0,"",SUMIFS(Data!$J$6:$J$114,Data!$C$6:$C$114,I$5,Data!$D$6:$D$114,6))</f>
        <v>0.0171373496627161</v>
      </c>
      <c r="J11" s="13" t="n">
        <f aca="false">IF(COUNTIFS(Data!$C$6:$C$114,J$5,Data!$D$6:$D$114,6,Data!$F$6:$F$114,"&gt;0")=0,"",SUMIFS(Data!$J$6:$J$114,Data!$C$6:$C$114,J$5,Data!$D$6:$D$114,6))</f>
        <v>0.0156958117905071</v>
      </c>
    </row>
    <row r="12" customFormat="false" ht="15" hidden="false" customHeight="false" outlineLevel="0" collapsed="false">
      <c r="B12" s="16" t="s">
        <v>165</v>
      </c>
      <c r="C12" s="13" t="n">
        <f aca="false">IF(COUNTIFS(Data!$C$6:$C$114,C$5,Data!$D$6:$D$114,7,Data!$F$6:$F$114,"&gt;0")=0,"",SUMIFS(Data!$J$6:$J$114,Data!$C$6:$C$114,C$5,Data!$D$6:$D$114,7))</f>
        <v>0.0214767966026639</v>
      </c>
      <c r="D12" s="13" t="n">
        <f aca="false">IF(COUNTIFS(Data!$C$6:$C$114,D$5,Data!$D$6:$D$114,7,Data!$F$6:$F$114,"&gt;0")=0,"",SUMIFS(Data!$J$6:$J$114,Data!$C$6:$C$114,D$5,Data!$D$6:$D$114,7))</f>
        <v>0.0253327398133281</v>
      </c>
      <c r="E12" s="13" t="n">
        <f aca="false">IF(COUNTIFS(Data!$C$6:$C$114,E$5,Data!$D$6:$D$114,7,Data!$F$6:$F$114,"&gt;0")=0,"",SUMIFS(Data!$J$6:$J$114,Data!$C$6:$C$114,E$5,Data!$D$6:$D$114,7))</f>
        <v>0.0313350131234869</v>
      </c>
      <c r="F12" s="13" t="n">
        <f aca="false">IF(COUNTIFS(Data!$C$6:$C$114,F$5,Data!$D$6:$D$114,7,Data!$F$6:$F$114,"&gt;0")=0,"",SUMIFS(Data!$J$6:$J$114,Data!$C$6:$C$114,F$5,Data!$D$6:$D$114,7))</f>
        <v>0.073288005686861</v>
      </c>
      <c r="G12" s="13" t="n">
        <f aca="false">IF(COUNTIFS(Data!$C$6:$C$114,G$5,Data!$D$6:$D$114,7,Data!$F$6:$F$114,"&gt;0")=0,"",SUMIFS(Data!$J$6:$J$114,Data!$C$6:$C$114,G$5,Data!$D$6:$D$114,7))</f>
        <v>0.0649752940034201</v>
      </c>
      <c r="H12" s="13" t="n">
        <f aca="false">IF(COUNTIFS(Data!$C$6:$C$114,H$5,Data!$D$6:$D$114,7,Data!$F$6:$F$114,"&gt;0")=0,"",SUMIFS(Data!$J$6:$J$114,Data!$C$6:$C$114,H$5,Data!$D$6:$D$114,7))</f>
        <v>0.0378558792889565</v>
      </c>
      <c r="I12" s="13" t="n">
        <f aca="false">IF(COUNTIFS(Data!$C$6:$C$114,I$5,Data!$D$6:$D$114,7,Data!$F$6:$F$114,"&gt;0")=0,"",SUMIFS(Data!$J$6:$J$114,Data!$C$6:$C$114,I$5,Data!$D$6:$D$114,7))</f>
        <v>0.0147914831949412</v>
      </c>
      <c r="J12" s="13" t="str">
        <f aca="false">IF(COUNTIFS(Data!$C$6:$C$114,J$5,Data!$D$6:$D$114,7,Data!$F$6:$F$114,"&gt;0")=0,"",SUMIFS(Data!$J$6:$J$114,Data!$C$6:$C$114,J$5,Data!$D$6:$D$114,7))</f>
        <v/>
      </c>
    </row>
    <row r="13" customFormat="false" ht="15" hidden="false" customHeight="false" outlineLevel="0" collapsed="false">
      <c r="B13" s="16" t="s">
        <v>166</v>
      </c>
      <c r="C13" s="13" t="n">
        <f aca="false">IF(COUNTIFS(Data!$C$6:$C$114,C$5,Data!$D$6:$D$114,8,Data!$F$6:$F$114,"&gt;0")=0,"",SUMIFS(Data!$J$6:$J$114,Data!$C$6:$C$114,C$5,Data!$D$6:$D$114,8))</f>
        <v>0.0463786081971143</v>
      </c>
      <c r="D13" s="13" t="n">
        <f aca="false">IF(COUNTIFS(Data!$C$6:$C$114,D$5,Data!$D$6:$D$114,8,Data!$F$6:$F$114,"&gt;0")=0,"",SUMIFS(Data!$J$6:$J$114,Data!$C$6:$C$114,D$5,Data!$D$6:$D$114,8))</f>
        <v>0.0303327438291445</v>
      </c>
      <c r="E13" s="13" t="n">
        <f aca="false">IF(COUNTIFS(Data!$C$6:$C$114,E$5,Data!$D$6:$D$114,8,Data!$F$6:$F$114,"&gt;0")=0,"",SUMIFS(Data!$J$6:$J$114,Data!$C$6:$C$114,E$5,Data!$D$6:$D$114,8))</f>
        <v>0.0313218747540127</v>
      </c>
      <c r="F13" s="13" t="n">
        <f aca="false">IF(COUNTIFS(Data!$C$6:$C$114,F$5,Data!$D$6:$D$114,8,Data!$F$6:$F$114,"&gt;0")=0,"",SUMIFS(Data!$J$6:$J$114,Data!$C$6:$C$114,F$5,Data!$D$6:$D$114,8))</f>
        <v>0.06801591063054</v>
      </c>
      <c r="G13" s="13" t="n">
        <f aca="false">IF(COUNTIFS(Data!$C$6:$C$114,G$5,Data!$D$6:$D$114,8,Data!$F$6:$F$114,"&gt;0")=0,"",SUMIFS(Data!$J$6:$J$114,Data!$C$6:$C$114,G$5,Data!$D$6:$D$114,8))</f>
        <v>0.137866819088158</v>
      </c>
      <c r="H13" s="13" t="n">
        <f aca="false">IF(COUNTIFS(Data!$C$6:$C$114,H$5,Data!$D$6:$D$114,8,Data!$F$6:$F$114,"&gt;0")=0,"",SUMIFS(Data!$J$6:$J$114,Data!$C$6:$C$114,H$5,Data!$D$6:$D$114,8))</f>
        <v>0.0412028557309136</v>
      </c>
      <c r="I13" s="13" t="n">
        <f aca="false">IF(COUNTIFS(Data!$C$6:$C$114,I$5,Data!$D$6:$D$114,8,Data!$F$6:$F$114,"&gt;0")=0,"",SUMIFS(Data!$J$6:$J$114,Data!$C$6:$C$114,I$5,Data!$D$6:$D$114,8))</f>
        <v>0.020449004208132</v>
      </c>
      <c r="J13" s="13" t="str">
        <f aca="false">IF(COUNTIFS(Data!$C$6:$C$114,J$5,Data!$D$6:$D$114,8,Data!$F$6:$F$114,"&gt;0")=0,"",SUMIFS(Data!$J$6:$J$114,Data!$C$6:$C$114,J$5,Data!$D$6:$D$114,8))</f>
        <v/>
      </c>
    </row>
    <row r="14" customFormat="false" ht="15" hidden="false" customHeight="false" outlineLevel="0" collapsed="false">
      <c r="B14" s="16" t="s">
        <v>167</v>
      </c>
      <c r="C14" s="13" t="n">
        <f aca="false">IF(COUNTIFS(Data!$C$6:$C$114,C$5,Data!$D$6:$D$114,9,Data!$F$6:$F$114,"&gt;0")=0,"",SUMIFS(Data!$J$6:$J$114,Data!$C$6:$C$114,C$5,Data!$D$6:$D$114,9))</f>
        <v>0.0643776422810867</v>
      </c>
      <c r="D14" s="13" t="n">
        <f aca="false">IF(COUNTIFS(Data!$C$6:$C$114,D$5,Data!$D$6:$D$114,9,Data!$F$6:$F$114,"&gt;0")=0,"",SUMIFS(Data!$J$6:$J$114,Data!$C$6:$C$114,D$5,Data!$D$6:$D$114,9))</f>
        <v>0.0231689474391323</v>
      </c>
      <c r="E14" s="13" t="n">
        <f aca="false">IF(COUNTIFS(Data!$C$6:$C$114,E$5,Data!$D$6:$D$114,9,Data!$F$6:$F$114,"&gt;0")=0,"",SUMIFS(Data!$J$6:$J$114,Data!$C$6:$C$114,E$5,Data!$D$6:$D$114,9))</f>
        <v>0.0326212555539904</v>
      </c>
      <c r="F14" s="13" t="n">
        <f aca="false">IF(COUNTIFS(Data!$C$6:$C$114,F$5,Data!$D$6:$D$114,9,Data!$F$6:$F$114,"&gt;0")=0,"",SUMIFS(Data!$J$6:$J$114,Data!$C$6:$C$114,F$5,Data!$D$6:$D$114,9))</f>
        <v>0.0551278133351472</v>
      </c>
      <c r="G14" s="13" t="n">
        <f aca="false">IF(COUNTIFS(Data!$C$6:$C$114,G$5,Data!$D$6:$D$114,9,Data!$F$6:$F$114,"&gt;0")=0,"",SUMIFS(Data!$J$6:$J$114,Data!$C$6:$C$114,G$5,Data!$D$6:$D$114,9))</f>
        <v>0.134282114429142</v>
      </c>
      <c r="H14" s="13" t="n">
        <f aca="false">IF(COUNTIFS(Data!$C$6:$C$114,H$5,Data!$D$6:$D$114,9,Data!$F$6:$F$114,"&gt;0")=0,"",SUMIFS(Data!$J$6:$J$114,Data!$C$6:$C$114,H$5,Data!$D$6:$D$114,9))</f>
        <v>0.032622057516509</v>
      </c>
      <c r="I14" s="13" t="n">
        <f aca="false">IF(COUNTIFS(Data!$C$6:$C$114,I$5,Data!$D$6:$D$114,9,Data!$F$6:$F$114,"&gt;0")=0,"",SUMIFS(Data!$J$6:$J$114,Data!$C$6:$C$114,I$5,Data!$D$6:$D$114,9))</f>
        <v>0.0189587619236489</v>
      </c>
      <c r="J14" s="13" t="str">
        <f aca="false">IF(COUNTIFS(Data!$C$6:$C$114,J$5,Data!$D$6:$D$114,9,Data!$F$6:$F$114,"&gt;0")=0,"",SUMIFS(Data!$J$6:$J$114,Data!$C$6:$C$114,J$5,Data!$D$6:$D$114,9))</f>
        <v/>
      </c>
    </row>
    <row r="15" customFormat="false" ht="15" hidden="false" customHeight="false" outlineLevel="0" collapsed="false">
      <c r="B15" s="16" t="s">
        <v>168</v>
      </c>
      <c r="C15" s="13" t="n">
        <f aca="false">IF(COUNTIFS(Data!$C$6:$C$114,C$5,Data!$D$6:$D$114,10,Data!$F$6:$F$114,"&gt;0")=0,"",SUMIFS(Data!$J$6:$J$114,Data!$C$6:$C$114,C$5,Data!$D$6:$D$114,10))</f>
        <v>0.0380466764451548</v>
      </c>
      <c r="D15" s="13" t="n">
        <f aca="false">IF(COUNTIFS(Data!$C$6:$C$114,D$5,Data!$D$6:$D$114,10,Data!$F$6:$F$114,"&gt;0")=0,"",SUMIFS(Data!$J$6:$J$114,Data!$C$6:$C$114,D$5,Data!$D$6:$D$114,10))</f>
        <v>0.0345960157109009</v>
      </c>
      <c r="E15" s="13" t="n">
        <f aca="false">IF(COUNTIFS(Data!$C$6:$C$114,E$5,Data!$D$6:$D$114,10,Data!$F$6:$F$114,"&gt;0")=0,"",SUMIFS(Data!$J$6:$J$114,Data!$C$6:$C$114,E$5,Data!$D$6:$D$114,10))</f>
        <v>0.0320101243889219</v>
      </c>
      <c r="F15" s="13" t="n">
        <f aca="false">IF(COUNTIFS(Data!$C$6:$C$114,F$5,Data!$D$6:$D$114,10,Data!$F$6:$F$114,"&gt;0")=0,"",SUMIFS(Data!$J$6:$J$114,Data!$C$6:$C$114,F$5,Data!$D$6:$D$114,10))</f>
        <v>0.0554915796434534</v>
      </c>
      <c r="G15" s="13" t="n">
        <f aca="false">IF(COUNTIFS(Data!$C$6:$C$114,G$5,Data!$D$6:$D$114,10,Data!$F$6:$F$114,"&gt;0")=0,"",SUMIFS(Data!$J$6:$J$114,Data!$C$6:$C$114,G$5,Data!$D$6:$D$114,10))</f>
        <v>0.0881103433546322</v>
      </c>
      <c r="H15" s="13" t="n">
        <f aca="false">IF(COUNTIFS(Data!$C$6:$C$114,H$5,Data!$D$6:$D$114,10,Data!$F$6:$F$114,"&gt;0")=0,"",SUMIFS(Data!$J$6:$J$114,Data!$C$6:$C$114,H$5,Data!$D$6:$D$114,10))</f>
        <v>0.0291781680760621</v>
      </c>
      <c r="I15" s="13" t="n">
        <f aca="false">IF(COUNTIFS(Data!$C$6:$C$114,I$5,Data!$D$6:$D$114,10,Data!$F$6:$F$114,"&gt;0")=0,"",SUMIFS(Data!$J$6:$J$114,Data!$C$6:$C$114,I$5,Data!$D$6:$D$114,10))</f>
        <v>0.0221671871181035</v>
      </c>
      <c r="J15" s="13" t="str">
        <f aca="false">IF(COUNTIFS(Data!$C$6:$C$114,J$5,Data!$D$6:$D$114,10,Data!$F$6:$F$114,"&gt;0")=0,"",SUMIFS(Data!$J$6:$J$114,Data!$C$6:$C$114,J$5,Data!$D$6:$D$114,10))</f>
        <v/>
      </c>
    </row>
    <row r="16" customFormat="false" ht="15" hidden="false" customHeight="false" outlineLevel="0" collapsed="false">
      <c r="B16" s="16" t="s">
        <v>169</v>
      </c>
      <c r="C16" s="13" t="n">
        <f aca="false">IF(COUNTIFS(Data!$C$6:$C$114,C$5,Data!$D$6:$D$114,11,Data!$F$6:$F$114,"&gt;0")=0,"",SUMIFS(Data!$J$6:$J$114,Data!$C$6:$C$114,C$5,Data!$D$6:$D$114,11))</f>
        <v>0.0397812714653718</v>
      </c>
      <c r="D16" s="13" t="n">
        <f aca="false">IF(COUNTIFS(Data!$C$6:$C$114,D$5,Data!$D$6:$D$114,11,Data!$F$6:$F$114,"&gt;0")=0,"",SUMIFS(Data!$J$6:$J$114,Data!$C$6:$C$114,D$5,Data!$D$6:$D$114,11))</f>
        <v>0.0393766898587415</v>
      </c>
      <c r="E16" s="13" t="n">
        <f aca="false">IF(COUNTIFS(Data!$C$6:$C$114,E$5,Data!$D$6:$D$114,11,Data!$F$6:$F$114,"&gt;0")=0,"",SUMIFS(Data!$J$6:$J$114,Data!$C$6:$C$114,E$5,Data!$D$6:$D$114,11))</f>
        <v>0.0325273662562804</v>
      </c>
      <c r="F16" s="13" t="n">
        <f aca="false">IF(COUNTIFS(Data!$C$6:$C$114,F$5,Data!$D$6:$D$114,11,Data!$F$6:$F$114,"&gt;0")=0,"",SUMIFS(Data!$J$6:$J$114,Data!$C$6:$C$114,F$5,Data!$D$6:$D$114,11))</f>
        <v>0.0475586968884554</v>
      </c>
      <c r="G16" s="13" t="n">
        <f aca="false">IF(COUNTIFS(Data!$C$6:$C$114,G$5,Data!$D$6:$D$114,11,Data!$F$6:$F$114,"&gt;0")=0,"",SUMIFS(Data!$J$6:$J$114,Data!$C$6:$C$114,G$5,Data!$D$6:$D$114,11))</f>
        <v>0.134036155012214</v>
      </c>
      <c r="H16" s="13" t="n">
        <f aca="false">IF(COUNTIFS(Data!$C$6:$C$114,H$5,Data!$D$6:$D$114,11,Data!$F$6:$F$114,"&gt;0")=0,"",SUMIFS(Data!$J$6:$J$114,Data!$C$6:$C$114,H$5,Data!$D$6:$D$114,11))</f>
        <v>0.0271483385629572</v>
      </c>
      <c r="I16" s="13" t="n">
        <f aca="false">IF(COUNTIFS(Data!$C$6:$C$114,I$5,Data!$D$6:$D$114,11,Data!$F$6:$F$114,"&gt;0")=0,"",SUMIFS(Data!$J$6:$J$114,Data!$C$6:$C$114,I$5,Data!$D$6:$D$114,11))</f>
        <v>0.0263899736538846</v>
      </c>
      <c r="J16" s="13" t="str">
        <f aca="false">IF(COUNTIFS(Data!$C$6:$C$114,J$5,Data!$D$6:$D$114,11,Data!$F$6:$F$114,"&gt;0")=0,"",SUMIFS(Data!$J$6:$J$114,Data!$C$6:$C$114,J$5,Data!$D$6:$D$114,11))</f>
        <v/>
      </c>
    </row>
    <row r="17" customFormat="false" ht="15" hidden="false" customHeight="false" outlineLevel="0" collapsed="false">
      <c r="B17" s="16" t="s">
        <v>170</v>
      </c>
      <c r="C17" s="13" t="n">
        <f aca="false">IF(COUNTIFS(Data!$C$6:$C$114,C$5,Data!$D$6:$D$114,12,Data!$F$6:$F$114,"&gt;0")=0,"",SUMIFS(Data!$J$6:$J$114,Data!$C$6:$C$114,C$5,Data!$D$6:$D$114,12))</f>
        <v>0.0368230114878416</v>
      </c>
      <c r="D17" s="13" t="n">
        <f aca="false">IF(COUNTIFS(Data!$C$6:$C$114,D$5,Data!$D$6:$D$114,12,Data!$F$6:$F$114,"&gt;0")=0,"",SUMIFS(Data!$J$6:$J$114,Data!$C$6:$C$114,D$5,Data!$D$6:$D$114,12))</f>
        <v>0.0487100103753091</v>
      </c>
      <c r="E17" s="13" t="n">
        <f aca="false">IF(COUNTIFS(Data!$C$6:$C$114,E$5,Data!$D$6:$D$114,12,Data!$F$6:$F$114,"&gt;0")=0,"",SUMIFS(Data!$J$6:$J$114,Data!$C$6:$C$114,E$5,Data!$D$6:$D$114,12))</f>
        <v>0.0442323878846274</v>
      </c>
      <c r="F17" s="13" t="n">
        <f aca="false">IF(COUNTIFS(Data!$C$6:$C$114,F$5,Data!$D$6:$D$114,12,Data!$F$6:$F$114,"&gt;0")=0,"",SUMIFS(Data!$J$6:$J$114,Data!$C$6:$C$114,F$5,Data!$D$6:$D$114,12))</f>
        <v>0.0525108026831531</v>
      </c>
      <c r="G17" s="13" t="n">
        <f aca="false">IF(COUNTIFS(Data!$C$6:$C$114,G$5,Data!$D$6:$D$114,12,Data!$F$6:$F$114,"&gt;0")=0,"",SUMIFS(Data!$J$6:$J$114,Data!$C$6:$C$114,G$5,Data!$D$6:$D$114,12))</f>
        <v>0.282587598709105</v>
      </c>
      <c r="H17" s="13" t="n">
        <f aca="false">IF(COUNTIFS(Data!$C$6:$C$114,H$5,Data!$D$6:$D$114,12,Data!$F$6:$F$114,"&gt;0")=0,"",SUMIFS(Data!$J$6:$J$114,Data!$C$6:$C$114,H$5,Data!$D$6:$D$114,12))</f>
        <v>0.0319728150615013</v>
      </c>
      <c r="I17" s="13" t="n">
        <f aca="false">IF(COUNTIFS(Data!$C$6:$C$114,I$5,Data!$D$6:$D$114,12,Data!$F$6:$F$114,"&gt;0")=0,"",SUMIFS(Data!$J$6:$J$114,Data!$C$6:$C$114,I$5,Data!$D$6:$D$114,12))</f>
        <v>0.0303389211337597</v>
      </c>
      <c r="J17" s="13" t="str">
        <f aca="false">IF(COUNTIFS(Data!$C$6:$C$114,J$5,Data!$D$6:$D$114,12,Data!$F$6:$F$114,"&gt;0")=0,"",SUMIFS(Data!$J$6:$J$114,Data!$C$6:$C$114,J$5,Data!$D$6:$D$114,12))</f>
        <v/>
      </c>
    </row>
    <row r="19" customFormat="false" ht="15" hidden="false" customHeight="false" outlineLevel="0" collapsed="false">
      <c r="B19" s="17" t="s">
        <v>171</v>
      </c>
      <c r="C19" s="18" t="n">
        <f aca="false">IFERROR(INDEX(Data!$F:$F,MATCH("2019-12",Data!$B:$B,0))/INDEX(Data!$F:$F,MATCH("2018-12",Data!$B:$B,0))-1,"")</f>
        <v>0.566571435277864</v>
      </c>
      <c r="D19" s="18" t="n">
        <f aca="false">IFERROR(INDEX(Data!$F:$F,MATCH("2020-12",Data!$B:$B,0))/INDEX(Data!$F:$F,MATCH("2019-12",Data!$B:$B,0))-1,"")</f>
        <v>0.394044180261403</v>
      </c>
      <c r="E19" s="18" t="n">
        <f aca="false">IFERROR(INDEX(Data!$F:$F,MATCH("2021-12",Data!$B:$B,0))/INDEX(Data!$F:$F,MATCH("2020-12",Data!$B:$B,0))-1,"")</f>
        <v>0.548693270004645</v>
      </c>
      <c r="F19" s="18" t="n">
        <f aca="false">IFERROR(INDEX(Data!$F:$F,MATCH("2022-12",Data!$B:$B,0))/INDEX(Data!$F:$F,MATCH("2021-12",Data!$B:$B,0))-1,"")</f>
        <v>0.906184796849974</v>
      </c>
      <c r="G19" s="18" t="n">
        <f aca="false">IFERROR(INDEX(Data!$F:$F,MATCH("2023-12",Data!$B:$B,0))/INDEX(Data!$F:$F,MATCH("2022-12",Data!$B:$B,0))-1,"")</f>
        <v>2.29405698154029</v>
      </c>
      <c r="H19" s="18" t="n">
        <f aca="false">IFERROR(INDEX(Data!$F:$F,MATCH("2024-12",Data!$B:$B,0))/INDEX(Data!$F:$F,MATCH("2023-12",Data!$B:$B,0))-1,"")</f>
        <v>1.05495126815791</v>
      </c>
      <c r="I19" s="18" t="n">
        <f aca="false">IFERROR(INDEX(Data!$F:$F,MATCH("2025-12",Data!$B:$B,0))/INDEX(Data!$F:$F,MATCH("2024-12",Data!$B:$B,0))-1,"")</f>
        <v>0.330884742618287</v>
      </c>
      <c r="J19" s="18" t="n">
        <f aca="false">IFERROR(INDEX(Data!$F:$F,MATCH("2026-06",Data!$B:$B,0))/INDEX(Data!$F:$F,MATCH("2025-12",Data!$B:$B,0))-1,"")</f>
        <v>0.155672736516463</v>
      </c>
    </row>
    <row r="20" customFormat="false" ht="15" hidden="false" customHeight="false" outlineLevel="0" collapsed="false">
      <c r="B20" s="17" t="s">
        <v>172</v>
      </c>
      <c r="C20" s="19" t="n">
        <f aca="false">IFERROR(AVERAGE(C6:C17),"")</f>
        <v>0.0381686222117535</v>
      </c>
      <c r="D20" s="19" t="n">
        <f aca="false">IFERROR(AVERAGE(D6:D17),"")</f>
        <v>0.0281096537369574</v>
      </c>
      <c r="E20" s="19" t="n">
        <f aca="false">IFERROR(AVERAGE(E6:E17),"")</f>
        <v>0.037137342295043</v>
      </c>
      <c r="F20" s="19" t="n">
        <f aca="false">IFERROR(AVERAGE(F6:F17),"")</f>
        <v>0.0552856588196045</v>
      </c>
      <c r="G20" s="19" t="n">
        <f aca="false">IFERROR(AVERAGE(G6:G17),"")</f>
        <v>0.10597746005261</v>
      </c>
      <c r="H20" s="19" t="n">
        <f aca="false">IFERROR(AVERAGE(H6:H17),"")</f>
        <v>0.0630007869814713</v>
      </c>
      <c r="I20" s="19" t="n">
        <f aca="false">IFERROR(AVERAGE(I6:I17),"")</f>
        <v>0.0241217346436663</v>
      </c>
      <c r="J20" s="19" t="n">
        <f aca="false">IFERROR(AVERAGE(J6:J17),"")</f>
        <v>0.0244237057464317</v>
      </c>
    </row>
    <row r="21" customFormat="false" ht="15" hidden="false" customHeight="false" outlineLevel="0" collapsed="false">
      <c r="B21" s="2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14" min="3" style="0" width="7"/>
    <col collapsed="false" customWidth="true" hidden="false" outlineLevel="0" max="15" min="15" style="0" width="10"/>
  </cols>
  <sheetData>
    <row r="2" customFormat="false" ht="25.5" hidden="false" customHeight="true" outlineLevel="0" collapsed="false">
      <c r="B2" s="1" t="s">
        <v>176</v>
      </c>
    </row>
    <row r="3" customFormat="false" ht="15" hidden="false" customHeight="false" outlineLevel="0" collapsed="false">
      <c r="B3" s="2" t="s">
        <v>177</v>
      </c>
    </row>
    <row r="5" customFormat="false" ht="15" hidden="false" customHeight="false" outlineLevel="0" collapsed="false">
      <c r="B5" s="3" t="s">
        <v>178</v>
      </c>
    </row>
    <row r="6" customFormat="false" ht="15" hidden="false" customHeight="false" outlineLevel="0" collapsed="false">
      <c r="B6" s="14" t="s">
        <v>33</v>
      </c>
      <c r="C6" s="14" t="s">
        <v>159</v>
      </c>
      <c r="D6" s="14" t="s">
        <v>160</v>
      </c>
      <c r="E6" s="14" t="s">
        <v>161</v>
      </c>
      <c r="F6" s="14" t="s">
        <v>162</v>
      </c>
      <c r="G6" s="14" t="s">
        <v>163</v>
      </c>
      <c r="H6" s="14" t="s">
        <v>164</v>
      </c>
      <c r="I6" s="14" t="s">
        <v>165</v>
      </c>
      <c r="J6" s="14" t="s">
        <v>166</v>
      </c>
      <c r="K6" s="14" t="s">
        <v>167</v>
      </c>
      <c r="L6" s="14" t="s">
        <v>168</v>
      </c>
      <c r="M6" s="14" t="s">
        <v>169</v>
      </c>
      <c r="N6" s="14" t="s">
        <v>170</v>
      </c>
      <c r="O6" s="14" t="s">
        <v>179</v>
      </c>
    </row>
    <row r="7" customFormat="false" ht="15" hidden="false" customHeight="false" outlineLevel="0" collapsed="false">
      <c r="B7" s="21" t="n">
        <v>2019</v>
      </c>
      <c r="C7" s="22" t="n">
        <f aca="false">'Seasonality Headline'!C6</f>
        <v>0.0290624090934746</v>
      </c>
      <c r="D7" s="22" t="n">
        <f aca="false">'Seasonality Headline'!C7</f>
        <v>0.037656221899572</v>
      </c>
      <c r="E7" s="22" t="n">
        <f aca="false">'Seasonality Headline'!C8</f>
        <v>0.046795401882896</v>
      </c>
      <c r="F7" s="22" t="n">
        <f aca="false">'Seasonality Headline'!C9</f>
        <v>0.034</v>
      </c>
      <c r="G7" s="22" t="n">
        <f aca="false">'Seasonality Headline'!C10</f>
        <v>0.0310362027121631</v>
      </c>
      <c r="H7" s="22" t="n">
        <f aca="false">'Seasonality Headline'!C11</f>
        <v>0.0271800540239953</v>
      </c>
      <c r="I7" s="22" t="n">
        <f aca="false">'Seasonality Headline'!C12</f>
        <v>0.021978655386921</v>
      </c>
      <c r="J7" s="22" t="n">
        <f aca="false">'Seasonality Headline'!C13</f>
        <v>0.0395398578704869</v>
      </c>
      <c r="K7" s="22" t="n">
        <f aca="false">'Seasonality Headline'!C14</f>
        <v>0.0588566227212231</v>
      </c>
      <c r="L7" s="22" t="n">
        <f aca="false">'Seasonality Headline'!C15</f>
        <v>0.0329348209098412</v>
      </c>
      <c r="M7" s="22" t="n">
        <f aca="false">'Seasonality Headline'!C16</f>
        <v>0.0425453730948031</v>
      </c>
      <c r="N7" s="22" t="n">
        <f aca="false">'Seasonality Headline'!C17</f>
        <v>0.0374370735513834</v>
      </c>
      <c r="O7" s="18" t="n">
        <f aca="false">'Seasonality Headline'!C19</f>
        <v>0.538324020163339</v>
      </c>
    </row>
    <row r="8" customFormat="false" ht="15" hidden="false" customHeight="false" outlineLevel="0" collapsed="false">
      <c r="B8" s="21" t="n">
        <v>2020</v>
      </c>
      <c r="C8" s="22" t="n">
        <f aca="false">'Seasonality Headline'!D6</f>
        <v>0.0225289492605598</v>
      </c>
      <c r="D8" s="22" t="n">
        <f aca="false">'Seasonality Headline'!D7</f>
        <v>0.0201362937364296</v>
      </c>
      <c r="E8" s="22" t="n">
        <f aca="false">'Seasonality Headline'!D8</f>
        <v>0.0334346864367225</v>
      </c>
      <c r="F8" s="22" t="n">
        <f aca="false">'Seasonality Headline'!D9</f>
        <v>0.0149657259087257</v>
      </c>
      <c r="G8" s="22" t="n">
        <f aca="false">'Seasonality Headline'!D10</f>
        <v>0.0154273625123862</v>
      </c>
      <c r="H8" s="22" t="n">
        <f aca="false">'Seasonality Headline'!D11</f>
        <v>0.0224353915912769</v>
      </c>
      <c r="I8" s="22" t="n">
        <f aca="false">'Seasonality Headline'!D12</f>
        <v>0.019341946456513</v>
      </c>
      <c r="J8" s="22" t="n">
        <f aca="false">'Seasonality Headline'!D13</f>
        <v>0.0270011035906612</v>
      </c>
      <c r="K8" s="22" t="n">
        <f aca="false">'Seasonality Headline'!D14</f>
        <v>0.0283552164697896</v>
      </c>
      <c r="L8" s="22" t="n">
        <f aca="false">'Seasonality Headline'!D15</f>
        <v>0.037609698439822</v>
      </c>
      <c r="M8" s="22" t="n">
        <f aca="false">'Seasonality Headline'!D16</f>
        <v>0.0315970494109665</v>
      </c>
      <c r="N8" s="22" t="n">
        <f aca="false">'Seasonality Headline'!D17</f>
        <v>0.0400556733835353</v>
      </c>
      <c r="O8" s="18" t="n">
        <f aca="false">'Seasonality Headline'!D19</f>
        <v>0.361405878123454</v>
      </c>
    </row>
    <row r="9" customFormat="false" ht="15" hidden="false" customHeight="false" outlineLevel="0" collapsed="false">
      <c r="B9" s="21" t="n">
        <v>2021</v>
      </c>
      <c r="C9" s="22" t="n">
        <f aca="false">'Seasonality Headline'!E6</f>
        <v>0.0404902941982872</v>
      </c>
      <c r="D9" s="22" t="n">
        <f aca="false">'Seasonality Headline'!E7</f>
        <v>0.0357463168148211</v>
      </c>
      <c r="E9" s="22" t="n">
        <f aca="false">'Seasonality Headline'!E8</f>
        <v>0.048108074962818</v>
      </c>
      <c r="F9" s="22" t="n">
        <f aca="false">'Seasonality Headline'!E9</f>
        <v>0.0408029353995967</v>
      </c>
      <c r="G9" s="22" t="n">
        <f aca="false">'Seasonality Headline'!E10</f>
        <v>0.0332297807363955</v>
      </c>
      <c r="H9" s="22" t="n">
        <f aca="false">'Seasonality Headline'!E11</f>
        <v>0.0317454797589205</v>
      </c>
      <c r="I9" s="22" t="n">
        <f aca="false">'Seasonality Headline'!E12</f>
        <v>0.0299703332203625</v>
      </c>
      <c r="J9" s="22" t="n">
        <f aca="false">'Seasonality Headline'!E13</f>
        <v>0.0246848666740147</v>
      </c>
      <c r="K9" s="22" t="n">
        <f aca="false">'Seasonality Headline'!E14</f>
        <v>0.0354678795331138</v>
      </c>
      <c r="L9" s="22" t="n">
        <f aca="false">'Seasonality Headline'!E15</f>
        <v>0.0351627483837178</v>
      </c>
      <c r="M9" s="22" t="n">
        <f aca="false">'Seasonality Headline'!E16</f>
        <v>0.0252946460135095</v>
      </c>
      <c r="N9" s="22" t="n">
        <f aca="false">'Seasonality Headline'!E17</f>
        <v>0.0383997030584127</v>
      </c>
      <c r="O9" s="18" t="n">
        <f aca="false">'Seasonality Headline'!E19</f>
        <v>0.509416335434663</v>
      </c>
    </row>
    <row r="10" customFormat="false" ht="15" hidden="false" customHeight="false" outlineLevel="0" collapsed="false">
      <c r="B10" s="21" t="n">
        <v>2022</v>
      </c>
      <c r="C10" s="22" t="n">
        <f aca="false">'Seasonality Headline'!F6</f>
        <v>0.0387568191670638</v>
      </c>
      <c r="D10" s="22" t="n">
        <f aca="false">'Seasonality Headline'!F7</f>
        <v>0.04694365601009</v>
      </c>
      <c r="E10" s="22" t="n">
        <f aca="false">'Seasonality Headline'!F8</f>
        <v>0.0672879783390254</v>
      </c>
      <c r="F10" s="22" t="n">
        <f aca="false">'Seasonality Headline'!F9</f>
        <v>0.0604731911499716</v>
      </c>
      <c r="G10" s="22" t="n">
        <f aca="false">'Seasonality Headline'!F10</f>
        <v>0.0505022805956261</v>
      </c>
      <c r="H10" s="22" t="n">
        <f aca="false">'Seasonality Headline'!F11</f>
        <v>0.0529522125162816</v>
      </c>
      <c r="I10" s="22" t="n">
        <f aca="false">'Seasonality Headline'!F12</f>
        <v>0.0740619685715935</v>
      </c>
      <c r="J10" s="22" t="n">
        <f aca="false">'Seasonality Headline'!F13</f>
        <v>0.0697033557535507</v>
      </c>
      <c r="K10" s="22" t="n">
        <f aca="false">'Seasonality Headline'!F14</f>
        <v>0.0616551988757716</v>
      </c>
      <c r="L10" s="22" t="n">
        <f aca="false">'Seasonality Headline'!F15</f>
        <v>0.0634735010869345</v>
      </c>
      <c r="M10" s="22" t="n">
        <f aca="false">'Seasonality Headline'!F16</f>
        <v>0.0491614708186792</v>
      </c>
      <c r="N10" s="22" t="n">
        <f aca="false">'Seasonality Headline'!F17</f>
        <v>0.0512460775886709</v>
      </c>
      <c r="O10" s="18" t="n">
        <f aca="false">'Seasonality Headline'!F19</f>
        <v>0.947931823351919</v>
      </c>
    </row>
    <row r="11" customFormat="false" ht="15" hidden="false" customHeight="false" outlineLevel="0" collapsed="false">
      <c r="B11" s="21" t="n">
        <v>2023</v>
      </c>
      <c r="C11" s="22" t="n">
        <f aca="false">'Seasonality Headline'!G6</f>
        <v>0.0602787356638426</v>
      </c>
      <c r="D11" s="22" t="n">
        <f aca="false">'Seasonality Headline'!G7</f>
        <v>0.0662772168092709</v>
      </c>
      <c r="E11" s="22" t="n">
        <f aca="false">'Seasonality Headline'!G8</f>
        <v>0.0767523984978356</v>
      </c>
      <c r="F11" s="22" t="n">
        <f aca="false">'Seasonality Headline'!G9</f>
        <v>0.0840268988367097</v>
      </c>
      <c r="G11" s="22" t="n">
        <f aca="false">'Seasonality Headline'!G10</f>
        <v>0.077727529658906</v>
      </c>
      <c r="H11" s="22" t="n">
        <f aca="false">'Seasonality Headline'!G11</f>
        <v>0.0595083198050062</v>
      </c>
      <c r="I11" s="22" t="n">
        <f aca="false">'Seasonality Headline'!G12</f>
        <v>0.063448508623158</v>
      </c>
      <c r="J11" s="22" t="n">
        <f aca="false">'Seasonality Headline'!G13</f>
        <v>0.1244163772869</v>
      </c>
      <c r="K11" s="22" t="n">
        <f aca="false">'Seasonality Headline'!G14</f>
        <v>0.12749750132467</v>
      </c>
      <c r="L11" s="22" t="n">
        <f aca="false">'Seasonality Headline'!G15</f>
        <v>0.0830173938041001</v>
      </c>
      <c r="M11" s="22" t="n">
        <f aca="false">'Seasonality Headline'!G16</f>
        <v>0.128106901769157</v>
      </c>
      <c r="N11" s="22" t="n">
        <f aca="false">'Seasonality Headline'!G17</f>
        <v>0.254656749842368</v>
      </c>
      <c r="O11" s="18" t="n">
        <f aca="false">'Seasonality Headline'!G19</f>
        <v>2.11407643747177</v>
      </c>
    </row>
    <row r="12" customFormat="false" ht="15" hidden="false" customHeight="false" outlineLevel="0" collapsed="false">
      <c r="B12" s="21" t="n">
        <v>2024</v>
      </c>
      <c r="C12" s="22" t="n">
        <f aca="false">'Seasonality Headline'!H6</f>
        <v>0.206142252889611</v>
      </c>
      <c r="D12" s="22" t="n">
        <f aca="false">'Seasonality Headline'!H7</f>
        <v>0.132406760535248</v>
      </c>
      <c r="E12" s="22" t="n">
        <f aca="false">'Seasonality Headline'!H8</f>
        <v>0.110097001565402</v>
      </c>
      <c r="F12" s="22" t="n">
        <f aca="false">'Seasonality Headline'!H9</f>
        <v>0.0883192076060508</v>
      </c>
      <c r="G12" s="22" t="n">
        <f aca="false">'Seasonality Headline'!H10</f>
        <v>0.0417604487482142</v>
      </c>
      <c r="H12" s="22" t="n">
        <f aca="false">'Seasonality Headline'!H11</f>
        <v>0.0457734988557224</v>
      </c>
      <c r="I12" s="22" t="n">
        <f aca="false">'Seasonality Headline'!H12</f>
        <v>0.040309336951464</v>
      </c>
      <c r="J12" s="22" t="n">
        <f aca="false">'Seasonality Headline'!H13</f>
        <v>0.0417227327937253</v>
      </c>
      <c r="K12" s="22" t="n">
        <f aca="false">'Seasonality Headline'!H14</f>
        <v>0.0346920810480664</v>
      </c>
      <c r="L12" s="22" t="n">
        <f aca="false">'Seasonality Headline'!H15</f>
        <v>0.0269173804131146</v>
      </c>
      <c r="M12" s="22" t="n">
        <f aca="false">'Seasonality Headline'!H16</f>
        <v>0.0242655607550837</v>
      </c>
      <c r="N12" s="22" t="n">
        <f aca="false">'Seasonality Headline'!H17</f>
        <v>0.0270410405146337</v>
      </c>
      <c r="O12" s="18" t="n">
        <f aca="false">'Seasonality Headline'!H19</f>
        <v>1.17763627464139</v>
      </c>
    </row>
    <row r="13" customFormat="false" ht="15" hidden="false" customHeight="false" outlineLevel="0" collapsed="false">
      <c r="B13" s="21" t="n">
        <v>2025</v>
      </c>
      <c r="C13" s="22" t="n">
        <f aca="false">'Seasonality Headline'!I6</f>
        <v>0.0221104801366518</v>
      </c>
      <c r="D13" s="22" t="n">
        <f aca="false">'Seasonality Headline'!I7</f>
        <v>0.0240162743075179</v>
      </c>
      <c r="E13" s="22" t="n">
        <f aca="false">'Seasonality Headline'!I8</f>
        <v>0.0372933530661217</v>
      </c>
      <c r="F13" s="22" t="n">
        <f aca="false">'Seasonality Headline'!I9</f>
        <v>0.0278083584485096</v>
      </c>
      <c r="G13" s="22" t="n">
        <f aca="false">'Seasonality Headline'!I10</f>
        <v>0.0150110863438231</v>
      </c>
      <c r="H13" s="22" t="n">
        <f aca="false">'Seasonality Headline'!I11</f>
        <v>0.0161892488199333</v>
      </c>
      <c r="I13" s="22" t="n">
        <f aca="false">'Seasonality Headline'!I12</f>
        <v>0.0190168375533129</v>
      </c>
      <c r="J13" s="22" t="n">
        <f aca="false">'Seasonality Headline'!I13</f>
        <v>0.0187579351135028</v>
      </c>
      <c r="K13" s="22" t="n">
        <f aca="false">'Seasonality Headline'!I14</f>
        <v>0.0207596032395136</v>
      </c>
      <c r="L13" s="22" t="n">
        <f aca="false">'Seasonality Headline'!I15</f>
        <v>0.0234194310239195</v>
      </c>
      <c r="M13" s="22" t="n">
        <f aca="false">'Seasonality Headline'!I16</f>
        <v>0.0247291967107857</v>
      </c>
      <c r="N13" s="22" t="n">
        <f aca="false">'Seasonality Headline'!I17</f>
        <v>0.0284527193457171</v>
      </c>
      <c r="O13" s="18" t="n">
        <f aca="false">'Seasonality Headline'!I19</f>
        <v>0.315487605126457</v>
      </c>
    </row>
    <row r="14" customFormat="false" ht="15" hidden="false" customHeight="false" outlineLevel="0" collapsed="false">
      <c r="B14" s="21" t="n">
        <v>2026</v>
      </c>
      <c r="C14" s="22" t="n">
        <f aca="false">'Seasonality Headline'!J6</f>
        <v>0.0288161935366171</v>
      </c>
      <c r="D14" s="22" t="n">
        <f aca="false">'Seasonality Headline'!J7</f>
        <v>0.0289631907267269</v>
      </c>
      <c r="E14" s="22" t="n">
        <f aca="false">'Seasonality Headline'!J8</f>
        <v>0.0338262219244152</v>
      </c>
      <c r="F14" s="22" t="n">
        <f aca="false">'Seasonality Headline'!J9</f>
        <v>0.0258217956156745</v>
      </c>
      <c r="G14" s="22" t="n">
        <f aca="false">'Seasonality Headline'!J10</f>
        <v>0.0214997233499086</v>
      </c>
      <c r="H14" s="22" t="n">
        <f aca="false">'Seasonality Headline'!J11</f>
        <v>0.0188687146882938</v>
      </c>
      <c r="I14" s="22" t="str">
        <f aca="false">'Seasonality Headline'!J12</f>
        <v/>
      </c>
      <c r="J14" s="22" t="str">
        <f aca="false">'Seasonality Headline'!J13</f>
        <v/>
      </c>
      <c r="K14" s="22" t="str">
        <f aca="false">'Seasonality Headline'!J14</f>
        <v/>
      </c>
      <c r="L14" s="22" t="str">
        <f aca="false">'Seasonality Headline'!J15</f>
        <v/>
      </c>
      <c r="M14" s="22" t="str">
        <f aca="false">'Seasonality Headline'!J16</f>
        <v/>
      </c>
      <c r="N14" s="22" t="str">
        <f aca="false">'Seasonality Headline'!J17</f>
        <v/>
      </c>
      <c r="O14" s="18" t="n">
        <f aca="false">'Seasonality Headline'!J19</f>
        <v>0.168459264636221</v>
      </c>
    </row>
    <row r="17" customFormat="false" ht="15" hidden="false" customHeight="false" outlineLevel="0" collapsed="false">
      <c r="B17" s="3" t="s">
        <v>180</v>
      </c>
    </row>
    <row r="18" customFormat="false" ht="15" hidden="false" customHeight="false" outlineLevel="0" collapsed="false">
      <c r="B18" s="14" t="s">
        <v>33</v>
      </c>
      <c r="C18" s="14" t="s">
        <v>159</v>
      </c>
      <c r="D18" s="14" t="s">
        <v>160</v>
      </c>
      <c r="E18" s="14" t="s">
        <v>161</v>
      </c>
      <c r="F18" s="14" t="s">
        <v>162</v>
      </c>
      <c r="G18" s="14" t="s">
        <v>163</v>
      </c>
      <c r="H18" s="14" t="s">
        <v>164</v>
      </c>
      <c r="I18" s="14" t="s">
        <v>165</v>
      </c>
      <c r="J18" s="14" t="s">
        <v>166</v>
      </c>
      <c r="K18" s="14" t="s">
        <v>167</v>
      </c>
      <c r="L18" s="14" t="s">
        <v>168</v>
      </c>
      <c r="M18" s="14" t="s">
        <v>169</v>
      </c>
      <c r="N18" s="14" t="s">
        <v>170</v>
      </c>
      <c r="O18" s="14" t="s">
        <v>179</v>
      </c>
    </row>
    <row r="19" customFormat="false" ht="15" hidden="false" customHeight="false" outlineLevel="0" collapsed="false">
      <c r="B19" s="21" t="n">
        <v>2019</v>
      </c>
      <c r="C19" s="22" t="n">
        <f aca="false">'Seasonality Core'!C6</f>
        <v>0.0300280664339534</v>
      </c>
      <c r="D19" s="22" t="n">
        <f aca="false">'Seasonality Core'!C7</f>
        <v>0.038554986934743</v>
      </c>
      <c r="E19" s="22" t="n">
        <f aca="false">'Seasonality Core'!C8</f>
        <v>0.0457945316765189</v>
      </c>
      <c r="F19" s="22" t="n">
        <f aca="false">'Seasonality Core'!C9</f>
        <v>0.037670642645937</v>
      </c>
      <c r="G19" s="22" t="n">
        <f aca="false">'Seasonality Core'!C10</f>
        <v>0.0317753067983069</v>
      </c>
      <c r="H19" s="22" t="n">
        <f aca="false">'Seasonality Core'!C11</f>
        <v>0.0273159255723501</v>
      </c>
      <c r="I19" s="22" t="n">
        <f aca="false">'Seasonality Core'!C12</f>
        <v>0.0214767966026639</v>
      </c>
      <c r="J19" s="22" t="n">
        <f aca="false">'Seasonality Core'!C13</f>
        <v>0.0463786081971143</v>
      </c>
      <c r="K19" s="22" t="n">
        <f aca="false">'Seasonality Core'!C14</f>
        <v>0.0643776422810867</v>
      </c>
      <c r="L19" s="22" t="n">
        <f aca="false">'Seasonality Core'!C15</f>
        <v>0.0380466764451548</v>
      </c>
      <c r="M19" s="22" t="n">
        <f aca="false">'Seasonality Core'!C16</f>
        <v>0.0397812714653718</v>
      </c>
      <c r="N19" s="22" t="n">
        <f aca="false">'Seasonality Core'!C17</f>
        <v>0.0368230114878416</v>
      </c>
      <c r="O19" s="18" t="n">
        <f aca="false">'Seasonality Core'!C19</f>
        <v>0.566571435277864</v>
      </c>
    </row>
    <row r="20" customFormat="false" ht="15" hidden="false" customHeight="false" outlineLevel="0" collapsed="false">
      <c r="B20" s="21" t="n">
        <v>2020</v>
      </c>
      <c r="C20" s="22" t="n">
        <f aca="false">'Seasonality Core'!D6</f>
        <v>0.0244093429184116</v>
      </c>
      <c r="D20" s="22" t="n">
        <f aca="false">'Seasonality Core'!D7</f>
        <v>0.0238176246870572</v>
      </c>
      <c r="E20" s="22" t="n">
        <f aca="false">'Seasonality Core'!D8</f>
        <v>0.0312059299532435</v>
      </c>
      <c r="F20" s="22" t="n">
        <f aca="false">'Seasonality Core'!D9</f>
        <v>0.0171575685308241</v>
      </c>
      <c r="G20" s="22" t="n">
        <f aca="false">'Seasonality Core'!D10</f>
        <v>0.0160567840836974</v>
      </c>
      <c r="H20" s="22" t="n">
        <f aca="false">'Seasonality Core'!D11</f>
        <v>0.0231514476436991</v>
      </c>
      <c r="I20" s="22" t="n">
        <f aca="false">'Seasonality Core'!D12</f>
        <v>0.0253327398133281</v>
      </c>
      <c r="J20" s="22" t="n">
        <f aca="false">'Seasonality Core'!D13</f>
        <v>0.0303327438291445</v>
      </c>
      <c r="K20" s="22" t="n">
        <f aca="false">'Seasonality Core'!D14</f>
        <v>0.0231689474391323</v>
      </c>
      <c r="L20" s="22" t="n">
        <f aca="false">'Seasonality Core'!D15</f>
        <v>0.0345960157109009</v>
      </c>
      <c r="M20" s="22" t="n">
        <f aca="false">'Seasonality Core'!D16</f>
        <v>0.0393766898587415</v>
      </c>
      <c r="N20" s="22" t="n">
        <f aca="false">'Seasonality Core'!D17</f>
        <v>0.0487100103753091</v>
      </c>
      <c r="O20" s="18" t="n">
        <f aca="false">'Seasonality Core'!D19</f>
        <v>0.394044180261403</v>
      </c>
    </row>
    <row r="21" customFormat="false" ht="15" hidden="false" customHeight="false" outlineLevel="0" collapsed="false">
      <c r="B21" s="21" t="n">
        <v>2021</v>
      </c>
      <c r="C21" s="22" t="n">
        <f aca="false">'Seasonality Core'!E6</f>
        <v>0.0391587793702362</v>
      </c>
      <c r="D21" s="22" t="n">
        <f aca="false">'Seasonality Core'!E7</f>
        <v>0.040697184753073</v>
      </c>
      <c r="E21" s="22" t="n">
        <f aca="false">'Seasonality Core'!E8</f>
        <v>0.0452605484423319</v>
      </c>
      <c r="F21" s="22" t="n">
        <f aca="false">'Seasonality Core'!E9</f>
        <v>0.045589513719098</v>
      </c>
      <c r="G21" s="22" t="n">
        <f aca="false">'Seasonality Core'!E10</f>
        <v>0.0347975069382829</v>
      </c>
      <c r="H21" s="22" t="n">
        <f aca="false">'Seasonality Core'!E11</f>
        <v>0.0360965523561749</v>
      </c>
      <c r="I21" s="22" t="n">
        <f aca="false">'Seasonality Core'!E12</f>
        <v>0.0313350131234869</v>
      </c>
      <c r="J21" s="22" t="n">
        <f aca="false">'Seasonality Core'!E13</f>
        <v>0.0313218747540127</v>
      </c>
      <c r="K21" s="22" t="n">
        <f aca="false">'Seasonality Core'!E14</f>
        <v>0.0326212555539904</v>
      </c>
      <c r="L21" s="22" t="n">
        <f aca="false">'Seasonality Core'!E15</f>
        <v>0.0320101243889219</v>
      </c>
      <c r="M21" s="22" t="n">
        <f aca="false">'Seasonality Core'!E16</f>
        <v>0.0325273662562804</v>
      </c>
      <c r="N21" s="22" t="n">
        <f aca="false">'Seasonality Core'!E17</f>
        <v>0.0442323878846274</v>
      </c>
      <c r="O21" s="18" t="n">
        <f aca="false">'Seasonality Core'!E19</f>
        <v>0.548693270004645</v>
      </c>
    </row>
    <row r="22" customFormat="false" ht="15" hidden="false" customHeight="false" outlineLevel="0" collapsed="false">
      <c r="B22" s="21" t="n">
        <v>2022</v>
      </c>
      <c r="C22" s="22" t="n">
        <f aca="false">'Seasonality Core'!F6</f>
        <v>0.0330209778677573</v>
      </c>
      <c r="D22" s="22" t="n">
        <f aca="false">'Seasonality Core'!F7</f>
        <v>0.0445076887590588</v>
      </c>
      <c r="E22" s="22" t="n">
        <f aca="false">'Seasonality Core'!F8</f>
        <v>0.0639643740013152</v>
      </c>
      <c r="F22" s="22" t="n">
        <f aca="false">'Seasonality Core'!F9</f>
        <v>0.0670897435989704</v>
      </c>
      <c r="G22" s="22" t="n">
        <f aca="false">'Seasonality Core'!F10</f>
        <v>0.0520184330951861</v>
      </c>
      <c r="H22" s="22" t="n">
        <f aca="false">'Seasonality Core'!F11</f>
        <v>0.0508338796453565</v>
      </c>
      <c r="I22" s="22" t="n">
        <f aca="false">'Seasonality Core'!F12</f>
        <v>0.073288005686861</v>
      </c>
      <c r="J22" s="22" t="n">
        <f aca="false">'Seasonality Core'!F13</f>
        <v>0.06801591063054</v>
      </c>
      <c r="K22" s="22" t="n">
        <f aca="false">'Seasonality Core'!F14</f>
        <v>0.0551278133351472</v>
      </c>
      <c r="L22" s="22" t="n">
        <f aca="false">'Seasonality Core'!F15</f>
        <v>0.0554915796434534</v>
      </c>
      <c r="M22" s="22" t="n">
        <f aca="false">'Seasonality Core'!F16</f>
        <v>0.0475586968884554</v>
      </c>
      <c r="N22" s="22" t="n">
        <f aca="false">'Seasonality Core'!F17</f>
        <v>0.0525108026831531</v>
      </c>
      <c r="O22" s="18" t="n">
        <f aca="false">'Seasonality Core'!F19</f>
        <v>0.906184796849974</v>
      </c>
    </row>
    <row r="23" customFormat="false" ht="15" hidden="false" customHeight="false" outlineLevel="0" collapsed="false">
      <c r="B23" s="21" t="n">
        <v>2023</v>
      </c>
      <c r="C23" s="22" t="n">
        <f aca="false">'Seasonality Core'!G6</f>
        <v>0.0535214334611878</v>
      </c>
      <c r="D23" s="22" t="n">
        <f aca="false">'Seasonality Core'!G7</f>
        <v>0.0769021643878947</v>
      </c>
      <c r="E23" s="22" t="n">
        <f aca="false">'Seasonality Core'!G8</f>
        <v>0.0721012595864174</v>
      </c>
      <c r="F23" s="22" t="n">
        <f aca="false">'Seasonality Core'!G9</f>
        <v>0.0840063104027715</v>
      </c>
      <c r="G23" s="22" t="n">
        <f aca="false">'Seasonality Core'!G10</f>
        <v>0.0784178972966956</v>
      </c>
      <c r="H23" s="22" t="n">
        <f aca="false">'Seasonality Core'!G11</f>
        <v>0.0649221308996844</v>
      </c>
      <c r="I23" s="22" t="n">
        <f aca="false">'Seasonality Core'!G12</f>
        <v>0.0649752940034201</v>
      </c>
      <c r="J23" s="22" t="n">
        <f aca="false">'Seasonality Core'!G13</f>
        <v>0.137866819088158</v>
      </c>
      <c r="K23" s="22" t="n">
        <f aca="false">'Seasonality Core'!G14</f>
        <v>0.134282114429142</v>
      </c>
      <c r="L23" s="22" t="n">
        <f aca="false">'Seasonality Core'!G15</f>
        <v>0.0881103433546322</v>
      </c>
      <c r="M23" s="22" t="n">
        <f aca="false">'Seasonality Core'!G16</f>
        <v>0.134036155012214</v>
      </c>
      <c r="N23" s="22" t="n">
        <f aca="false">'Seasonality Core'!G17</f>
        <v>0.282587598709105</v>
      </c>
      <c r="O23" s="18" t="n">
        <f aca="false">'Seasonality Core'!G19</f>
        <v>2.29405698154029</v>
      </c>
    </row>
    <row r="24" customFormat="false" ht="15" hidden="false" customHeight="false" outlineLevel="0" collapsed="false">
      <c r="B24" s="21" t="n">
        <v>2024</v>
      </c>
      <c r="C24" s="22" t="n">
        <f aca="false">'Seasonality Core'!H6</f>
        <v>0.202164887120713</v>
      </c>
      <c r="D24" s="22" t="n">
        <f aca="false">'Seasonality Core'!H7</f>
        <v>0.122901408397057</v>
      </c>
      <c r="E24" s="22" t="n">
        <f aca="false">'Seasonality Core'!H8</f>
        <v>0.0941204797536992</v>
      </c>
      <c r="F24" s="22" t="n">
        <f aca="false">'Seasonality Core'!H9</f>
        <v>0.0629843839865203</v>
      </c>
      <c r="G24" s="22" t="n">
        <f aca="false">'Seasonality Core'!H10</f>
        <v>0.0373468674243314</v>
      </c>
      <c r="H24" s="22" t="n">
        <f aca="false">'Seasonality Core'!H11</f>
        <v>0.0365113028584356</v>
      </c>
      <c r="I24" s="22" t="n">
        <f aca="false">'Seasonality Core'!H12</f>
        <v>0.0378558792889565</v>
      </c>
      <c r="J24" s="22" t="n">
        <f aca="false">'Seasonality Core'!H13</f>
        <v>0.0412028557309136</v>
      </c>
      <c r="K24" s="22" t="n">
        <f aca="false">'Seasonality Core'!H14</f>
        <v>0.032622057516509</v>
      </c>
      <c r="L24" s="22" t="n">
        <f aca="false">'Seasonality Core'!H15</f>
        <v>0.0291781680760621</v>
      </c>
      <c r="M24" s="22" t="n">
        <f aca="false">'Seasonality Core'!H16</f>
        <v>0.0271483385629572</v>
      </c>
      <c r="N24" s="22" t="n">
        <f aca="false">'Seasonality Core'!H17</f>
        <v>0.0319728150615013</v>
      </c>
      <c r="O24" s="18" t="n">
        <f aca="false">'Seasonality Core'!H19</f>
        <v>1.05495126815791</v>
      </c>
    </row>
    <row r="25" customFormat="false" ht="15" hidden="false" customHeight="false" outlineLevel="0" collapsed="false">
      <c r="B25" s="21" t="n">
        <v>2025</v>
      </c>
      <c r="C25" s="22" t="n">
        <f aca="false">'Seasonality Core'!I6</f>
        <v>0.0239768943123944</v>
      </c>
      <c r="D25" s="22" t="n">
        <f aca="false">'Seasonality Core'!I7</f>
        <v>0.0292035280913883</v>
      </c>
      <c r="E25" s="22" t="n">
        <f aca="false">'Seasonality Core'!I8</f>
        <v>0.0319279024268895</v>
      </c>
      <c r="F25" s="22" t="n">
        <f aca="false">'Seasonality Core'!I9</f>
        <v>0.0321471596642027</v>
      </c>
      <c r="G25" s="22" t="n">
        <f aca="false">'Seasonality Core'!I10</f>
        <v>0.0219726503339355</v>
      </c>
      <c r="H25" s="22" t="n">
        <f aca="false">'Seasonality Core'!I11</f>
        <v>0.0171373496627161</v>
      </c>
      <c r="I25" s="22" t="n">
        <f aca="false">'Seasonality Core'!I12</f>
        <v>0.0147914831949412</v>
      </c>
      <c r="J25" s="22" t="n">
        <f aca="false">'Seasonality Core'!I13</f>
        <v>0.020449004208132</v>
      </c>
      <c r="K25" s="22" t="n">
        <f aca="false">'Seasonality Core'!I14</f>
        <v>0.0189587619236489</v>
      </c>
      <c r="L25" s="22" t="n">
        <f aca="false">'Seasonality Core'!I15</f>
        <v>0.0221671871181035</v>
      </c>
      <c r="M25" s="22" t="n">
        <f aca="false">'Seasonality Core'!I16</f>
        <v>0.0263899736538846</v>
      </c>
      <c r="N25" s="22" t="n">
        <f aca="false">'Seasonality Core'!I17</f>
        <v>0.0303389211337597</v>
      </c>
      <c r="O25" s="18" t="n">
        <f aca="false">'Seasonality Core'!I19</f>
        <v>0.330884742618287</v>
      </c>
    </row>
    <row r="26" customFormat="false" ht="15" hidden="false" customHeight="false" outlineLevel="0" collapsed="false">
      <c r="B26" s="21" t="n">
        <v>2026</v>
      </c>
      <c r="C26" s="22" t="n">
        <f aca="false">'Seasonality Core'!J6</f>
        <v>0.0263036906585312</v>
      </c>
      <c r="D26" s="22" t="n">
        <f aca="false">'Seasonality Core'!J7</f>
        <v>0.0307537518963203</v>
      </c>
      <c r="E26" s="22" t="n">
        <f aca="false">'Seasonality Core'!J8</f>
        <v>0.0318894584518437</v>
      </c>
      <c r="F26" s="22" t="n">
        <f aca="false">'Seasonality Core'!J9</f>
        <v>0.0228647443545247</v>
      </c>
      <c r="G26" s="22" t="n">
        <f aca="false">'Seasonality Core'!J10</f>
        <v>0.0190347773268631</v>
      </c>
      <c r="H26" s="22" t="n">
        <f aca="false">'Seasonality Core'!J11</f>
        <v>0.0156958117905071</v>
      </c>
      <c r="I26" s="22" t="str">
        <f aca="false">'Seasonality Core'!J12</f>
        <v/>
      </c>
      <c r="J26" s="22" t="str">
        <f aca="false">'Seasonality Core'!J13</f>
        <v/>
      </c>
      <c r="K26" s="22" t="str">
        <f aca="false">'Seasonality Core'!J14</f>
        <v/>
      </c>
      <c r="L26" s="22" t="str">
        <f aca="false">'Seasonality Core'!J15</f>
        <v/>
      </c>
      <c r="M26" s="22" t="str">
        <f aca="false">'Seasonality Core'!J16</f>
        <v/>
      </c>
      <c r="N26" s="22" t="str">
        <f aca="false">'Seasonality Core'!J17</f>
        <v/>
      </c>
      <c r="O26" s="18" t="n">
        <f aca="false">'Seasonality Core'!J19</f>
        <v>0.155672736516463</v>
      </c>
    </row>
    <row r="30" customFormat="false" ht="15" hidden="false" customHeight="false" outlineLevel="0" collapsed="false">
      <c r="B30" s="20" t="s">
        <v>181</v>
      </c>
    </row>
  </sheetData>
  <conditionalFormatting sqref="C7:N1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19:N26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25.5" hidden="false" customHeight="true" outlineLevel="0" collapsed="false">
      <c r="B2" s="1" t="s">
        <v>182</v>
      </c>
    </row>
    <row r="3" customFormat="false" ht="15" hidden="false" customHeight="false" outlineLevel="0" collapsed="false">
      <c r="B3" s="2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6" min="3" style="0" width="11"/>
  </cols>
  <sheetData>
    <row r="2" customFormat="false" ht="25.5" hidden="false" customHeight="true" outlineLevel="0" collapsed="false">
      <c r="B2" s="1" t="s">
        <v>184</v>
      </c>
    </row>
    <row r="3" customFormat="false" ht="15" hidden="false" customHeight="false" outlineLevel="0" collapsed="false">
      <c r="B3" s="2" t="s">
        <v>185</v>
      </c>
    </row>
    <row r="32" customFormat="false" ht="15" hidden="false" customHeight="false" outlineLevel="0" collapsed="false">
      <c r="B32" s="3" t="s">
        <v>186</v>
      </c>
    </row>
    <row r="33" customFormat="false" ht="15" hidden="false" customHeight="false" outlineLevel="0" collapsed="false">
      <c r="B33" s="14" t="s">
        <v>187</v>
      </c>
      <c r="C33" s="15" t="n">
        <v>2023</v>
      </c>
      <c r="D33" s="15" t="n">
        <v>2024</v>
      </c>
      <c r="E33" s="15" t="n">
        <v>2025</v>
      </c>
      <c r="F33" s="14" t="s">
        <v>188</v>
      </c>
    </row>
    <row r="34" customFormat="false" ht="15" hidden="false" customHeight="false" outlineLevel="0" collapsed="false">
      <c r="B34" s="16" t="s">
        <v>189</v>
      </c>
      <c r="C34" s="13" t="n">
        <f aca="false">IFERROR(INDEX(Data!$E:$E,MATCH("2023-12",Data!$B:$B,0))/INDEX(Data!$E:$E,MATCH("2022-12",Data!$B:$B,0))-1,"")</f>
        <v>2.11407643747177</v>
      </c>
      <c r="D34" s="13" t="n">
        <f aca="false">IFERROR(INDEX(Data!$E:$E,MATCH("2024-12",Data!$B:$B,0))/INDEX(Data!$E:$E,MATCH("2023-12",Data!$B:$B,0))-1,"")</f>
        <v>1.17763627464139</v>
      </c>
      <c r="E34" s="13" t="n">
        <f aca="false">IFERROR(INDEX(Data!$E:$E,MATCH("2025-12",Data!$B:$B,0))/INDEX(Data!$E:$E,MATCH("2024-12",Data!$B:$B,0))-1,"")</f>
        <v>0.315487605126457</v>
      </c>
      <c r="F34" s="13" t="n">
        <f aca="false">IFERROR(INDEX(Data!$E:$E,MATCH("2026-06",Data!$B:$B,0))/INDEX(Data!$E:$E,MATCH("2025-12",Data!$B:$B,0))-1,"")</f>
        <v>0.168459264636221</v>
      </c>
    </row>
    <row r="35" customFormat="false" ht="15" hidden="false" customHeight="false" outlineLevel="0" collapsed="false">
      <c r="B35" s="16" t="s">
        <v>190</v>
      </c>
      <c r="C35" s="13" t="n">
        <f aca="false">IFERROR(INDEX(Data!$F:$F,MATCH("2023-12",Data!$B:$B,0))/INDEX(Data!$F:$F,MATCH("2022-12",Data!$B:$B,0))-1,"")</f>
        <v>2.29405698154029</v>
      </c>
      <c r="D35" s="13" t="n">
        <f aca="false">IFERROR(INDEX(Data!$F:$F,MATCH("2024-12",Data!$B:$B,0))/INDEX(Data!$F:$F,MATCH("2023-12",Data!$B:$B,0))-1,"")</f>
        <v>1.05495126815791</v>
      </c>
      <c r="E35" s="13" t="n">
        <f aca="false">IFERROR(INDEX(Data!$F:$F,MATCH("2025-12",Data!$B:$B,0))/INDEX(Data!$F:$F,MATCH("2024-12",Data!$B:$B,0))-1,"")</f>
        <v>0.330884742618287</v>
      </c>
      <c r="F35" s="13" t="n">
        <f aca="false">IFERROR(INDEX(Data!$F:$F,MATCH("2026-06",Data!$B:$B,0))/INDEX(Data!$F:$F,MATCH("2025-12",Data!$B:$B,0))-1,"")</f>
        <v>0.155672736516463</v>
      </c>
    </row>
    <row r="36" customFormat="false" ht="15" hidden="false" customHeight="false" outlineLevel="0" collapsed="false">
      <c r="B36" s="16" t="s">
        <v>191</v>
      </c>
      <c r="C36" s="13" t="n">
        <f aca="false">IFERROR(INDEX(Data!$G:$G,MATCH("2023-12",Data!$B:$B,0))/INDEX(Data!$G:$G,MATCH("2022-12",Data!$B:$B,0))-1,"")</f>
        <v>1.64940953372234</v>
      </c>
      <c r="D36" s="13" t="n">
        <f aca="false">IFERROR(INDEX(Data!$G:$G,MATCH("2024-12",Data!$B:$B,0))/INDEX(Data!$G:$G,MATCH("2023-12",Data!$B:$B,0))-1,"")</f>
        <v>2.05878384582029</v>
      </c>
      <c r="E36" s="13" t="n">
        <f aca="false">IFERROR(INDEX(Data!$G:$G,MATCH("2025-12",Data!$B:$B,0))/INDEX(Data!$G:$G,MATCH("2024-12",Data!$B:$B,0))-1,"")</f>
        <v>0.342092441179866</v>
      </c>
      <c r="F36" s="13" t="n">
        <f aca="false">IFERROR(INDEX(Data!$G:$G,MATCH("2026-06",Data!$B:$B,0))/INDEX(Data!$G:$G,MATCH("2025-12",Data!$B:$B,0))-1,"")</f>
        <v>0.230441263133524</v>
      </c>
    </row>
    <row r="37" customFormat="false" ht="15" hidden="false" customHeight="false" outlineLevel="0" collapsed="false">
      <c r="B37" s="16" t="s">
        <v>192</v>
      </c>
      <c r="C37" s="13" t="n">
        <f aca="false">IFERROR(INDEX(Data!$H:$H,MATCH("2023-12",Data!$B:$B,0))/INDEX(Data!$H:$H,MATCH("2022-12",Data!$B:$B,0))-1,"")</f>
        <v>1.78978052667343</v>
      </c>
      <c r="D37" s="13" t="n">
        <f aca="false">IFERROR(INDEX(Data!$H:$H,MATCH("2024-12",Data!$B:$B,0))/INDEX(Data!$H:$H,MATCH("2023-12",Data!$B:$B,0))-1,"")</f>
        <v>0.873217031998935</v>
      </c>
      <c r="E37" s="13" t="n">
        <f aca="false">IFERROR(INDEX(Data!$H:$H,MATCH("2025-12",Data!$B:$B,0))/INDEX(Data!$H:$H,MATCH("2024-12",Data!$B:$B,0))-1,"")</f>
        <v>0.169511902579941</v>
      </c>
      <c r="F37" s="13" t="n">
        <f aca="false">IFERROR(INDEX(Data!$H:$H,MATCH("2026-06",Data!$B:$B,0))/INDEX(Data!$H:$H,MATCH("2025-12",Data!$B:$B,0))-1,"")</f>
        <v>0.127525986570385</v>
      </c>
    </row>
    <row r="38" customFormat="false" ht="15" hidden="false" customHeight="false" outlineLevel="0" collapsed="false">
      <c r="B38" s="23" t="s">
        <v>193</v>
      </c>
    </row>
    <row r="41" customFormat="false" ht="15" hidden="false" customHeight="false" outlineLevel="0" collapsed="false">
      <c r="B41" s="3" t="s">
        <v>194</v>
      </c>
    </row>
    <row r="42" customFormat="false" ht="15" hidden="false" customHeight="false" outlineLevel="0" collapsed="false">
      <c r="B42" s="14" t="s">
        <v>187</v>
      </c>
      <c r="C42" s="15" t="n">
        <v>2023</v>
      </c>
      <c r="D42" s="15" t="n">
        <v>2024</v>
      </c>
      <c r="E42" s="15" t="n">
        <v>2025</v>
      </c>
      <c r="F42" s="15" t="n">
        <v>2026</v>
      </c>
    </row>
    <row r="43" customFormat="false" ht="15" hidden="false" customHeight="false" outlineLevel="0" collapsed="false">
      <c r="B43" s="16" t="s">
        <v>189</v>
      </c>
      <c r="C43" s="13" t="n">
        <f aca="false">IFERROR(INDEX(Data!$E:$E,MATCH("2023-06",Data!$B:$B,0))/INDEX(Data!$E:$E,MATCH("2022-12",Data!$B:$B,0))-1,"")</f>
        <v>0.506813269139665</v>
      </c>
      <c r="D43" s="13" t="n">
        <f aca="false">IFERROR(INDEX(Data!$E:$E,MATCH("2024-06",Data!$B:$B,0))/INDEX(Data!$E:$E,MATCH("2023-12",Data!$B:$B,0))-1,"")</f>
        <v>0.797726854485867</v>
      </c>
      <c r="E43" s="13" t="n">
        <f aca="false">IFERROR(INDEX(Data!$E:$E,MATCH("2025-06",Data!$B:$B,0))/INDEX(Data!$E:$E,MATCH("2024-12",Data!$B:$B,0))-1,"")</f>
        <v>0.150969517510868</v>
      </c>
      <c r="F43" s="13" t="n">
        <f aca="false">IFERROR(INDEX(Data!$E:$E,MATCH("2026-06",Data!$B:$B,0))/INDEX(Data!$E:$E,MATCH("2025-12",Data!$B:$B,0))-1,"")</f>
        <v>0.168459264636221</v>
      </c>
    </row>
    <row r="44" customFormat="false" ht="15" hidden="false" customHeight="false" outlineLevel="0" collapsed="false">
      <c r="B44" s="16" t="s">
        <v>190</v>
      </c>
      <c r="C44" s="13" t="n">
        <f aca="false">IFERROR(INDEX(Data!$F:$F,MATCH("2023-06",Data!$B:$B,0))/INDEX(Data!$F:$F,MATCH("2022-12",Data!$B:$B,0))-1,"")</f>
        <v>0.514231168423853</v>
      </c>
      <c r="D44" s="13" t="n">
        <f aca="false">IFERROR(INDEX(Data!$F:$F,MATCH("2024-06",Data!$B:$B,0))/INDEX(Data!$F:$F,MATCH("2023-12",Data!$B:$B,0))-1,"")</f>
        <v>0.688090552380352</v>
      </c>
      <c r="E44" s="13" t="n">
        <f aca="false">IFERROR(INDEX(Data!$F:$F,MATCH("2025-06",Data!$B:$B,0))/INDEX(Data!$F:$F,MATCH("2024-12",Data!$B:$B,0))-1,"")</f>
        <v>0.166813045956096</v>
      </c>
      <c r="F44" s="13" t="n">
        <f aca="false">IFERROR(INDEX(Data!$F:$F,MATCH("2026-06",Data!$B:$B,0))/INDEX(Data!$F:$F,MATCH("2025-12",Data!$B:$B,0))-1,"")</f>
        <v>0.155672736516463</v>
      </c>
    </row>
    <row r="45" customFormat="false" ht="15" hidden="false" customHeight="false" outlineLevel="0" collapsed="false">
      <c r="B45" s="16" t="s">
        <v>191</v>
      </c>
      <c r="C45" s="13" t="n">
        <f aca="false">IFERROR(INDEX(Data!$G:$G,MATCH("2023-06",Data!$B:$B,0))/INDEX(Data!$G:$G,MATCH("2022-12",Data!$B:$B,0))-1,"")</f>
        <v>0.49479949616828</v>
      </c>
      <c r="D45" s="13" t="n">
        <f aca="false">IFERROR(INDEX(Data!$G:$G,MATCH("2024-06",Data!$B:$B,0))/INDEX(Data!$G:$G,MATCH("2023-12",Data!$B:$B,0))-1,"")</f>
        <v>1.40956930417529</v>
      </c>
      <c r="E45" s="13" t="n">
        <f aca="false">IFERROR(INDEX(Data!$G:$G,MATCH("2025-06",Data!$B:$B,0))/INDEX(Data!$G:$G,MATCH("2024-12",Data!$B:$B,0))-1,"")</f>
        <v>0.142155534501641</v>
      </c>
      <c r="F45" s="13" t="n">
        <f aca="false">IFERROR(INDEX(Data!$G:$G,MATCH("2026-06",Data!$B:$B,0))/INDEX(Data!$G:$G,MATCH("2025-12",Data!$B:$B,0))-1,"")</f>
        <v>0.230441263133524</v>
      </c>
    </row>
    <row r="46" customFormat="false" ht="15" hidden="false" customHeight="false" outlineLevel="0" collapsed="false">
      <c r="B46" s="16" t="s">
        <v>192</v>
      </c>
      <c r="C46" s="13" t="n">
        <f aca="false">IFERROR(INDEX(Data!$H:$H,MATCH("2023-06",Data!$B:$B,0))/INDEX(Data!$H:$H,MATCH("2022-12",Data!$B:$B,0))-1,"")</f>
        <v>0.482241476631254</v>
      </c>
      <c r="D46" s="13" t="n">
        <f aca="false">IFERROR(INDEX(Data!$H:$H,MATCH("2024-06",Data!$B:$B,0))/INDEX(Data!$H:$H,MATCH("2023-12",Data!$B:$B,0))-1,"")</f>
        <v>0.727600340725</v>
      </c>
      <c r="E46" s="13" t="n">
        <f aca="false">IFERROR(INDEX(Data!$H:$H,MATCH("2025-06",Data!$B:$B,0))/INDEX(Data!$H:$H,MATCH("2024-12",Data!$B:$B,0))-1,"")</f>
        <v>0.0673423592497364</v>
      </c>
      <c r="F46" s="13" t="n">
        <f aca="false">IFERROR(INDEX(Data!$H:$H,MATCH("2026-06",Data!$B:$B,0))/INDEX(Data!$H:$H,MATCH("2025-12",Data!$B:$B,0))-1,"")</f>
        <v>0.127525986570385</v>
      </c>
    </row>
    <row r="47" customFormat="false" ht="15" hidden="false" customHeight="false" outlineLevel="0" collapsed="false">
      <c r="B47" s="23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9" min="3" style="0" width="9"/>
    <col collapsed="false" customWidth="true" hidden="false" outlineLevel="0" max="12" min="10" style="0" width="10"/>
  </cols>
  <sheetData>
    <row r="2" customFormat="false" ht="25.5" hidden="false" customHeight="true" outlineLevel="0" collapsed="false">
      <c r="B2" s="1" t="s">
        <v>196</v>
      </c>
    </row>
    <row r="3" customFormat="false" ht="15" hidden="false" customHeight="false" outlineLevel="0" collapsed="false">
      <c r="B3" s="2" t="s">
        <v>197</v>
      </c>
    </row>
    <row r="5" customFormat="false" ht="15" hidden="false" customHeight="false" outlineLevel="0" collapsed="false">
      <c r="B5" s="14" t="s">
        <v>32</v>
      </c>
      <c r="C5" s="15" t="n">
        <v>2019</v>
      </c>
      <c r="D5" s="15" t="n">
        <v>2020</v>
      </c>
      <c r="E5" s="15" t="n">
        <v>2021</v>
      </c>
      <c r="F5" s="15" t="n">
        <v>2022</v>
      </c>
      <c r="G5" s="15" t="n">
        <v>2023</v>
      </c>
      <c r="H5" s="15" t="n">
        <v>2024</v>
      </c>
      <c r="I5" s="15" t="n">
        <v>2025</v>
      </c>
      <c r="J5" s="14" t="s">
        <v>198</v>
      </c>
      <c r="K5" s="14" t="s">
        <v>199</v>
      </c>
      <c r="L5" s="14" t="s">
        <v>200</v>
      </c>
    </row>
    <row r="6" customFormat="false" ht="15" hidden="false" customHeight="false" outlineLevel="0" collapsed="false">
      <c r="B6" s="16" t="s">
        <v>159</v>
      </c>
      <c r="C6" s="24" t="n">
        <f aca="false">IFERROR('Seasonality Headline'!C6/'Seasonality Headline'!C$20,"")</f>
        <v>0.794375585967973</v>
      </c>
      <c r="D6" s="24" t="n">
        <f aca="false">IFERROR('Seasonality Headline'!D6/'Seasonality Headline'!D$20,"")</f>
        <v>0.864035831060509</v>
      </c>
      <c r="E6" s="24" t="n">
        <f aca="false">IFERROR('Seasonality Headline'!E6/'Seasonality Headline'!E$20,"")</f>
        <v>1.15934140834959</v>
      </c>
      <c r="F6" s="24" t="n">
        <f aca="false">IFERROR('Seasonality Headline'!F6/'Seasonality Headline'!F$20,"")</f>
        <v>0.677746760112057</v>
      </c>
      <c r="G6" s="24" t="n">
        <f aca="false">IFERROR('Seasonality Headline'!G6/'Seasonality Headline'!G$20,"")</f>
        <v>0.599930422015475</v>
      </c>
      <c r="H6" s="24" t="n">
        <f aca="false">IFERROR('Seasonality Headline'!H6/'Seasonality Headline'!H$20,"")</f>
        <v>3.01875059762371</v>
      </c>
      <c r="I6" s="24" t="n">
        <f aca="false">IFERROR('Seasonality Headline'!I6/'Seasonality Headline'!I$20,"")</f>
        <v>0.95590660402744</v>
      </c>
      <c r="J6" s="25" t="n">
        <f aca="false">IFERROR(AVERAGE(C6:I6),"")</f>
        <v>1.15286960130811</v>
      </c>
      <c r="K6" s="25" t="n">
        <f aca="false">IFERROR(MEDIAN(C6:I6),"")</f>
        <v>0.864035831060509</v>
      </c>
      <c r="L6" s="25" t="n">
        <f aca="false">IFERROR((SUM(C6:I6)-D6)/(7-1),"")</f>
        <v>1.20100856301604</v>
      </c>
    </row>
    <row r="7" customFormat="false" ht="15" hidden="false" customHeight="false" outlineLevel="0" collapsed="false">
      <c r="B7" s="16" t="s">
        <v>160</v>
      </c>
      <c r="C7" s="24" t="n">
        <f aca="false">IFERROR('Seasonality Headline'!C7/'Seasonality Headline'!C$20,"")</f>
        <v>1.02927404402717</v>
      </c>
      <c r="D7" s="24" t="n">
        <f aca="false">IFERROR('Seasonality Headline'!D7/'Seasonality Headline'!D$20,"")</f>
        <v>0.772272114949142</v>
      </c>
      <c r="E7" s="24" t="n">
        <f aca="false">IFERROR('Seasonality Headline'!E7/'Seasonality Headline'!E$20,"")</f>
        <v>1.02350911743087</v>
      </c>
      <c r="F7" s="24" t="n">
        <f aca="false">IFERROR('Seasonality Headline'!F7/'Seasonality Headline'!F$20,"")</f>
        <v>0.820911299028666</v>
      </c>
      <c r="G7" s="24" t="n">
        <f aca="false">IFERROR('Seasonality Headline'!G7/'Seasonality Headline'!G$20,"")</f>
        <v>0.659630933072931</v>
      </c>
      <c r="H7" s="24" t="n">
        <f aca="false">IFERROR('Seasonality Headline'!H7/'Seasonality Headline'!H$20,"")</f>
        <v>1.93896681486857</v>
      </c>
      <c r="I7" s="24" t="n">
        <f aca="false">IFERROR('Seasonality Headline'!I7/'Seasonality Headline'!I$20,"")</f>
        <v>1.03830016683515</v>
      </c>
      <c r="J7" s="25" t="n">
        <f aca="false">IFERROR(AVERAGE(C7:I7),"")</f>
        <v>1.0404092128875</v>
      </c>
      <c r="K7" s="25" t="n">
        <f aca="false">IFERROR(MEDIAN(C7:I7),"")</f>
        <v>1.02350911743087</v>
      </c>
      <c r="L7" s="25" t="n">
        <f aca="false">IFERROR((SUM(C7:I7)-D7)/(7-1),"")</f>
        <v>1.08509872921056</v>
      </c>
    </row>
    <row r="8" customFormat="false" ht="15" hidden="false" customHeight="false" outlineLevel="0" collapsed="false">
      <c r="B8" s="16" t="s">
        <v>161</v>
      </c>
      <c r="C8" s="24" t="n">
        <f aca="false">IFERROR('Seasonality Headline'!C8/'Seasonality Headline'!C$20,"")</f>
        <v>1.27907926255428</v>
      </c>
      <c r="D8" s="24" t="n">
        <f aca="false">IFERROR('Seasonality Headline'!D8/'Seasonality Headline'!D$20,"")</f>
        <v>1.28229535907274</v>
      </c>
      <c r="E8" s="24" t="n">
        <f aca="false">IFERROR('Seasonality Headline'!E8/'Seasonality Headline'!E$20,"")</f>
        <v>1.37745809174042</v>
      </c>
      <c r="F8" s="24" t="n">
        <f aca="false">IFERROR('Seasonality Headline'!F8/'Seasonality Headline'!F$20,"")</f>
        <v>1.17667575136094</v>
      </c>
      <c r="G8" s="24" t="n">
        <f aca="false">IFERROR('Seasonality Headline'!G8/'Seasonality Headline'!G$20,"")</f>
        <v>0.763886274561107</v>
      </c>
      <c r="H8" s="24" t="n">
        <f aca="false">IFERROR('Seasonality Headline'!H8/'Seasonality Headline'!H$20,"")</f>
        <v>1.61226233153721</v>
      </c>
      <c r="I8" s="24" t="n">
        <f aca="false">IFERROR('Seasonality Headline'!I8/'Seasonality Headline'!I$20,"")</f>
        <v>1.6123106446313</v>
      </c>
      <c r="J8" s="25" t="n">
        <f aca="false">IFERROR(AVERAGE(C8:I8),"")</f>
        <v>1.300566816494</v>
      </c>
      <c r="K8" s="25" t="n">
        <f aca="false">IFERROR(MEDIAN(C8:I8),"")</f>
        <v>1.28229535907274</v>
      </c>
      <c r="L8" s="25" t="n">
        <f aca="false">IFERROR((SUM(C8:I8)-D8)/(7-1),"")</f>
        <v>1.30361205939754</v>
      </c>
    </row>
    <row r="9" customFormat="false" ht="15" hidden="false" customHeight="false" outlineLevel="0" collapsed="false">
      <c r="B9" s="16" t="s">
        <v>162</v>
      </c>
      <c r="C9" s="24" t="n">
        <f aca="false">IFERROR('Seasonality Headline'!C9/'Seasonality Headline'!C$20,"")</f>
        <v>0.929336925787595</v>
      </c>
      <c r="D9" s="24" t="n">
        <f aca="false">IFERROR('Seasonality Headline'!D9/'Seasonality Headline'!D$20,"")</f>
        <v>0.573969219488059</v>
      </c>
      <c r="E9" s="24" t="n">
        <f aca="false">IFERROR('Seasonality Headline'!E9/'Seasonality Headline'!E$20,"")</f>
        <v>1.16829313117134</v>
      </c>
      <c r="F9" s="24" t="n">
        <f aca="false">IFERROR('Seasonality Headline'!F9/'Seasonality Headline'!F$20,"")</f>
        <v>1.05750446647491</v>
      </c>
      <c r="G9" s="24" t="n">
        <f aca="false">IFERROR('Seasonality Headline'!G9/'Seasonality Headline'!G$20,"")</f>
        <v>0.836286500116439</v>
      </c>
      <c r="H9" s="24" t="n">
        <f aca="false">IFERROR('Seasonality Headline'!H9/'Seasonality Headline'!H$20,"")</f>
        <v>1.29334795271298</v>
      </c>
      <c r="I9" s="24" t="n">
        <f aca="false">IFERROR('Seasonality Headline'!I9/'Seasonality Headline'!I$20,"")</f>
        <v>1.20224406362068</v>
      </c>
      <c r="J9" s="25" t="n">
        <f aca="false">IFERROR(AVERAGE(C9:I9),"")</f>
        <v>1.00871175133886</v>
      </c>
      <c r="K9" s="25" t="n">
        <f aca="false">IFERROR(MEDIAN(C9:I9),"")</f>
        <v>1.05750446647491</v>
      </c>
      <c r="L9" s="25" t="n">
        <f aca="false">IFERROR((SUM(C9:I9)-D9)/(7-1),"")</f>
        <v>1.08116883998066</v>
      </c>
    </row>
    <row r="10" customFormat="false" ht="15" hidden="false" customHeight="false" outlineLevel="0" collapsed="false">
      <c r="B10" s="16" t="s">
        <v>163</v>
      </c>
      <c r="C10" s="24" t="n">
        <f aca="false">IFERROR('Seasonality Headline'!C10/'Seasonality Headline'!C$20,"")</f>
        <v>0.848326153430655</v>
      </c>
      <c r="D10" s="24" t="n">
        <f aca="false">IFERROR('Seasonality Headline'!D10/'Seasonality Headline'!D$20,"")</f>
        <v>0.591674020625413</v>
      </c>
      <c r="E10" s="24" t="n">
        <f aca="false">IFERROR('Seasonality Headline'!E10/'Seasonality Headline'!E$20,"")</f>
        <v>0.951454207999069</v>
      </c>
      <c r="F10" s="24" t="n">
        <f aca="false">IFERROR('Seasonality Headline'!F10/'Seasonality Headline'!F$20,"")</f>
        <v>0.883141542251305</v>
      </c>
      <c r="G10" s="24" t="n">
        <f aca="false">IFERROR('Seasonality Headline'!G10/'Seasonality Headline'!G$20,"")</f>
        <v>0.773591369443054</v>
      </c>
      <c r="H10" s="24" t="n">
        <f aca="false">IFERROR('Seasonality Headline'!H10/'Seasonality Headline'!H$20,"")</f>
        <v>0.611540709624501</v>
      </c>
      <c r="I10" s="24" t="n">
        <f aca="false">IFERROR('Seasonality Headline'!I10/'Seasonality Headline'!I$20,"")</f>
        <v>0.648977158388361</v>
      </c>
      <c r="J10" s="25" t="n">
        <f aca="false">IFERROR(AVERAGE(C10:I10),"")</f>
        <v>0.758386451680337</v>
      </c>
      <c r="K10" s="25" t="n">
        <f aca="false">IFERROR(MEDIAN(C10:I10),"")</f>
        <v>0.773591369443054</v>
      </c>
      <c r="L10" s="25" t="n">
        <f aca="false">IFERROR((SUM(C10:I10)-D10)/(7-1),"")</f>
        <v>0.786171856856158</v>
      </c>
    </row>
    <row r="11" customFormat="false" ht="15" hidden="false" customHeight="false" outlineLevel="0" collapsed="false">
      <c r="B11" s="16" t="s">
        <v>164</v>
      </c>
      <c r="C11" s="24" t="n">
        <f aca="false">IFERROR('Seasonality Headline'!C11/'Seasonality Headline'!C$20,"")</f>
        <v>0.742924348511779</v>
      </c>
      <c r="D11" s="24" t="n">
        <f aca="false">IFERROR('Seasonality Headline'!D11/'Seasonality Headline'!D$20,"")</f>
        <v>0.860447684201284</v>
      </c>
      <c r="E11" s="24" t="n">
        <f aca="false">IFERROR('Seasonality Headline'!E11/'Seasonality Headline'!E$20,"")</f>
        <v>0.908954848097819</v>
      </c>
      <c r="F11" s="24" t="n">
        <f aca="false">IFERROR('Seasonality Headline'!F11/'Seasonality Headline'!F$20,"")</f>
        <v>0.925983897671701</v>
      </c>
      <c r="G11" s="24" t="n">
        <f aca="false">IFERROR('Seasonality Headline'!G11/'Seasonality Headline'!G$20,"")</f>
        <v>0.592262777592794</v>
      </c>
      <c r="H11" s="24" t="n">
        <f aca="false">IFERROR('Seasonality Headline'!H11/'Seasonality Headline'!H$20,"")</f>
        <v>0.670307882489453</v>
      </c>
      <c r="I11" s="24" t="n">
        <f aca="false">IFERROR('Seasonality Headline'!I11/'Seasonality Headline'!I$20,"")</f>
        <v>0.699912881383549</v>
      </c>
      <c r="J11" s="25" t="n">
        <f aca="false">IFERROR(AVERAGE(C11:I11),"")</f>
        <v>0.771542045706911</v>
      </c>
      <c r="K11" s="25" t="n">
        <f aca="false">IFERROR(MEDIAN(C11:I11),"")</f>
        <v>0.742924348511779</v>
      </c>
      <c r="L11" s="25" t="n">
        <f aca="false">IFERROR((SUM(C11:I11)-D11)/(7-1),"")</f>
        <v>0.756724439291182</v>
      </c>
    </row>
    <row r="12" customFormat="false" ht="15" hidden="false" customHeight="false" outlineLevel="0" collapsed="false">
      <c r="B12" s="16" t="s">
        <v>165</v>
      </c>
      <c r="C12" s="24" t="n">
        <f aca="false">IFERROR('Seasonality Headline'!C12/'Seasonality Headline'!C$20,"")</f>
        <v>0.600752236183121</v>
      </c>
      <c r="D12" s="24" t="n">
        <f aca="false">IFERROR('Seasonality Headline'!D12/'Seasonality Headline'!D$20,"")</f>
        <v>0.741807111711956</v>
      </c>
      <c r="E12" s="24" t="n">
        <f aca="false">IFERROR('Seasonality Headline'!E12/'Seasonality Headline'!E$20,"")</f>
        <v>0.858127830690625</v>
      </c>
      <c r="F12" s="24" t="n">
        <f aca="false">IFERROR('Seasonality Headline'!F12/'Seasonality Headline'!F$20,"")</f>
        <v>1.29513361327586</v>
      </c>
      <c r="G12" s="24" t="n">
        <f aca="false">IFERROR('Seasonality Headline'!G12/'Seasonality Headline'!G$20,"")</f>
        <v>0.631477918960007</v>
      </c>
      <c r="H12" s="24" t="n">
        <f aca="false">IFERROR('Seasonality Headline'!H12/'Seasonality Headline'!H$20,"")</f>
        <v>0.59029060421305</v>
      </c>
      <c r="I12" s="24" t="n">
        <f aca="false">IFERROR('Seasonality Headline'!I12/'Seasonality Headline'!I$20,"")</f>
        <v>0.822158564290748</v>
      </c>
      <c r="J12" s="25" t="n">
        <f aca="false">IFERROR(AVERAGE(C12:I12),"")</f>
        <v>0.791392554189339</v>
      </c>
      <c r="K12" s="25" t="n">
        <f aca="false">IFERROR(MEDIAN(C12:I12),"")</f>
        <v>0.741807111711956</v>
      </c>
      <c r="L12" s="25" t="n">
        <f aca="false">IFERROR((SUM(C12:I12)-D12)/(7-1),"")</f>
        <v>0.799656794602236</v>
      </c>
    </row>
    <row r="13" customFormat="false" ht="15" hidden="false" customHeight="false" outlineLevel="0" collapsed="false">
      <c r="B13" s="16" t="s">
        <v>166</v>
      </c>
      <c r="C13" s="24" t="n">
        <f aca="false">IFERROR('Seasonality Headline'!C13/'Seasonality Headline'!C$20,"")</f>
        <v>1.08076029292461</v>
      </c>
      <c r="D13" s="24" t="n">
        <f aca="false">IFERROR('Seasonality Headline'!D13/'Seasonality Headline'!D$20,"")</f>
        <v>1.03555299941796</v>
      </c>
      <c r="E13" s="24" t="n">
        <f aca="false">IFERROR('Seasonality Headline'!E13/'Seasonality Headline'!E$20,"")</f>
        <v>0.70679131039716</v>
      </c>
      <c r="F13" s="24" t="n">
        <f aca="false">IFERROR('Seasonality Headline'!F13/'Seasonality Headline'!F$20,"")</f>
        <v>1.21891384654842</v>
      </c>
      <c r="G13" s="24" t="n">
        <f aca="false">IFERROR('Seasonality Headline'!G13/'Seasonality Headline'!G$20,"")</f>
        <v>1.23826700924218</v>
      </c>
      <c r="H13" s="24" t="n">
        <f aca="false">IFERROR('Seasonality Headline'!H13/'Seasonality Headline'!H$20,"")</f>
        <v>0.610988396556427</v>
      </c>
      <c r="I13" s="24" t="n">
        <f aca="false">IFERROR('Seasonality Headline'!I13/'Seasonality Headline'!I$20,"")</f>
        <v>0.810965385739957</v>
      </c>
      <c r="J13" s="25" t="n">
        <f aca="false">IFERROR(AVERAGE(C13:I13),"")</f>
        <v>0.957462748689531</v>
      </c>
      <c r="K13" s="25" t="n">
        <f aca="false">IFERROR(MEDIAN(C13:I13),"")</f>
        <v>1.03555299941796</v>
      </c>
      <c r="L13" s="25" t="n">
        <f aca="false">IFERROR((SUM(C13:I13)-D13)/(7-1),"")</f>
        <v>0.944447706901458</v>
      </c>
    </row>
    <row r="14" customFormat="false" ht="15" hidden="false" customHeight="false" outlineLevel="0" collapsed="false">
      <c r="B14" s="16" t="s">
        <v>167</v>
      </c>
      <c r="C14" s="24" t="n">
        <f aca="false">IFERROR('Seasonality Headline'!C14/'Seasonality Headline'!C$20,"")</f>
        <v>1.60875390652887</v>
      </c>
      <c r="D14" s="24" t="n">
        <f aca="false">IFERROR('Seasonality Headline'!D14/'Seasonality Headline'!D$20,"")</f>
        <v>1.08748627128678</v>
      </c>
      <c r="E14" s="24" t="n">
        <f aca="false">IFERROR('Seasonality Headline'!E14/'Seasonality Headline'!E$20,"")</f>
        <v>1.0155367409218</v>
      </c>
      <c r="F14" s="24" t="n">
        <f aca="false">IFERROR('Seasonality Headline'!F14/'Seasonality Headline'!F$20,"")</f>
        <v>1.07817442659561</v>
      </c>
      <c r="G14" s="24" t="n">
        <f aca="false">IFERROR('Seasonality Headline'!G14/'Seasonality Headline'!G$20,"")</f>
        <v>1.26893221852211</v>
      </c>
      <c r="H14" s="24" t="n">
        <f aca="false">IFERROR('Seasonality Headline'!H14/'Seasonality Headline'!H$20,"")</f>
        <v>0.50803141485381</v>
      </c>
      <c r="I14" s="24" t="n">
        <f aca="false">IFERROR('Seasonality Headline'!I14/'Seasonality Headline'!I$20,"")</f>
        <v>0.897503885532787</v>
      </c>
      <c r="J14" s="25" t="n">
        <f aca="false">IFERROR(AVERAGE(C14:I14),"")</f>
        <v>1.06634555203454</v>
      </c>
      <c r="K14" s="25" t="n">
        <f aca="false">IFERROR(MEDIAN(C14:I14),"")</f>
        <v>1.07817442659561</v>
      </c>
      <c r="L14" s="25" t="n">
        <f aca="false">IFERROR((SUM(C14:I14)-D14)/(7-1),"")</f>
        <v>1.06282209882583</v>
      </c>
    </row>
    <row r="15" customFormat="false" ht="15" hidden="false" customHeight="false" outlineLevel="0" collapsed="false">
      <c r="B15" s="16" t="s">
        <v>168</v>
      </c>
      <c r="C15" s="24" t="n">
        <f aca="false">IFERROR('Seasonality Headline'!C15/'Seasonality Headline'!C$20,"")</f>
        <v>0.900221918109319</v>
      </c>
      <c r="D15" s="24" t="n">
        <f aca="false">IFERROR('Seasonality Headline'!D15/'Seasonality Headline'!D$20,"")</f>
        <v>1.44241645145324</v>
      </c>
      <c r="E15" s="24" t="n">
        <f aca="false">IFERROR('Seasonality Headline'!E15/'Seasonality Headline'!E$20,"")</f>
        <v>1.00680005022897</v>
      </c>
      <c r="F15" s="24" t="n">
        <f aca="false">IFERROR('Seasonality Headline'!F15/'Seasonality Headline'!F$20,"")</f>
        <v>1.10997137121091</v>
      </c>
      <c r="G15" s="24" t="n">
        <f aca="false">IFERROR('Seasonality Headline'!G15/'Seasonality Headline'!G$20,"")</f>
        <v>0.826239295682397</v>
      </c>
      <c r="H15" s="24" t="n">
        <f aca="false">IFERROR('Seasonality Headline'!H15/'Seasonality Headline'!H$20,"")</f>
        <v>0.394178568777298</v>
      </c>
      <c r="I15" s="24" t="n">
        <f aca="false">IFERROR('Seasonality Headline'!I15/'Seasonality Headline'!I$20,"")</f>
        <v>1.01249672734243</v>
      </c>
      <c r="J15" s="25" t="n">
        <f aca="false">IFERROR(AVERAGE(C15:I15),"")</f>
        <v>0.956046340400652</v>
      </c>
      <c r="K15" s="25" t="n">
        <f aca="false">IFERROR(MEDIAN(C15:I15),"")</f>
        <v>1.00680005022897</v>
      </c>
      <c r="L15" s="25" t="n">
        <f aca="false">IFERROR((SUM(C15:I15)-D15)/(7-1),"")</f>
        <v>0.874984655225221</v>
      </c>
    </row>
    <row r="16" customFormat="false" ht="15" hidden="false" customHeight="false" outlineLevel="0" collapsed="false">
      <c r="B16" s="16" t="s">
        <v>169</v>
      </c>
      <c r="C16" s="24" t="n">
        <f aca="false">IFERROR('Seasonality Headline'!C16/'Seasonality Headline'!C$20,"")</f>
        <v>1.16291135995325</v>
      </c>
      <c r="D16" s="24" t="n">
        <f aca="false">IFERROR('Seasonality Headline'!D16/'Seasonality Headline'!D$20,"")</f>
        <v>1.21181784960823</v>
      </c>
      <c r="E16" s="24" t="n">
        <f aca="false">IFERROR('Seasonality Headline'!E16/'Seasonality Headline'!E$20,"")</f>
        <v>0.724250863414246</v>
      </c>
      <c r="F16" s="24" t="n">
        <f aca="false">IFERROR('Seasonality Headline'!F16/'Seasonality Headline'!F$20,"")</f>
        <v>0.859694584998822</v>
      </c>
      <c r="G16" s="24" t="n">
        <f aca="false">IFERROR('Seasonality Headline'!G16/'Seasonality Headline'!G$20,"")</f>
        <v>1.27499734019083</v>
      </c>
      <c r="H16" s="24" t="n">
        <f aca="false">IFERROR('Seasonality Headline'!H16/'Seasonality Headline'!H$20,"")</f>
        <v>0.355345277371688</v>
      </c>
      <c r="I16" s="24" t="n">
        <f aca="false">IFERROR('Seasonality Headline'!I16/'Seasonality Headline'!I$20,"")</f>
        <v>1.06912207704383</v>
      </c>
      <c r="J16" s="25" t="n">
        <f aca="false">IFERROR(AVERAGE(C16:I16),"")</f>
        <v>0.951162764654415</v>
      </c>
      <c r="K16" s="25" t="n">
        <f aca="false">IFERROR(MEDIAN(C16:I16),"")</f>
        <v>1.06912207704383</v>
      </c>
      <c r="L16" s="25" t="n">
        <f aca="false">IFERROR((SUM(C16:I16)-D16)/(7-1),"")</f>
        <v>0.907720250495446</v>
      </c>
    </row>
    <row r="17" customFormat="false" ht="15" hidden="false" customHeight="false" outlineLevel="0" collapsed="false">
      <c r="B17" s="16" t="s">
        <v>170</v>
      </c>
      <c r="C17" s="24" t="n">
        <f aca="false">IFERROR('Seasonality Headline'!C17/'Seasonality Headline'!C$20,"")</f>
        <v>1.02328396602137</v>
      </c>
      <c r="D17" s="24" t="n">
        <f aca="false">IFERROR('Seasonality Headline'!D17/'Seasonality Headline'!D$20,"")</f>
        <v>1.53622508712469</v>
      </c>
      <c r="E17" s="24" t="n">
        <f aca="false">IFERROR('Seasonality Headline'!E17/'Seasonality Headline'!E$20,"")</f>
        <v>1.0994823995581</v>
      </c>
      <c r="F17" s="24" t="n">
        <f aca="false">IFERROR('Seasonality Headline'!F17/'Seasonality Headline'!F$20,"")</f>
        <v>0.896148440470796</v>
      </c>
      <c r="G17" s="24" t="n">
        <f aca="false">IFERROR('Seasonality Headline'!G17/'Seasonality Headline'!G$20,"")</f>
        <v>2.53449794060067</v>
      </c>
      <c r="H17" s="24" t="n">
        <f aca="false">IFERROR('Seasonality Headline'!H17/'Seasonality Headline'!H$20,"")</f>
        <v>0.395989449371307</v>
      </c>
      <c r="I17" s="24" t="n">
        <f aca="false">IFERROR('Seasonality Headline'!I17/'Seasonality Headline'!I$20,"")</f>
        <v>1.23010184116377</v>
      </c>
      <c r="J17" s="25" t="n">
        <f aca="false">IFERROR(AVERAGE(C17:I17),"")</f>
        <v>1.24510416061581</v>
      </c>
      <c r="K17" s="25" t="n">
        <f aca="false">IFERROR(MEDIAN(C17:I17),"")</f>
        <v>1.0994823995581</v>
      </c>
      <c r="L17" s="25" t="n">
        <f aca="false">IFERROR((SUM(C17:I17)-D17)/(7-1),"")</f>
        <v>1.19658400619767</v>
      </c>
    </row>
    <row r="19" customFormat="false" ht="15" hidden="false" customHeight="false" outlineLevel="0" collapsed="false">
      <c r="B19" s="20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34"/>
    <col collapsed="false" customWidth="true" hidden="false" outlineLevel="0" max="6" min="6" style="0" width="11"/>
    <col collapsed="false" customWidth="true" hidden="false" outlineLevel="0" max="7" min="7" style="0" width="24"/>
    <col collapsed="false" customWidth="true" hidden="false" outlineLevel="0" max="9" min="8" style="0" width="12"/>
  </cols>
  <sheetData>
    <row r="2" customFormat="false" ht="25.5" hidden="false" customHeight="true" outlineLevel="0" collapsed="false">
      <c r="B2" s="1" t="s">
        <v>202</v>
      </c>
    </row>
    <row r="3" customFormat="false" ht="15" hidden="false" customHeight="false" outlineLevel="0" collapsed="false">
      <c r="B3" s="2" t="s">
        <v>203</v>
      </c>
    </row>
    <row r="5" customFormat="false" ht="15" hidden="false" customHeight="false" outlineLevel="0" collapsed="false">
      <c r="B5" s="14" t="s">
        <v>32</v>
      </c>
      <c r="C5" s="14" t="s">
        <v>204</v>
      </c>
      <c r="D5" s="14" t="s">
        <v>205</v>
      </c>
      <c r="E5" s="14" t="s">
        <v>206</v>
      </c>
      <c r="F5" s="14" t="s">
        <v>207</v>
      </c>
      <c r="G5" s="6" t="s">
        <v>208</v>
      </c>
      <c r="H5" s="6" t="s">
        <v>209</v>
      </c>
      <c r="I5" s="6" t="s">
        <v>210</v>
      </c>
    </row>
    <row r="6" customFormat="false" ht="15" hidden="false" customHeight="false" outlineLevel="0" collapsed="false">
      <c r="B6" s="7" t="s">
        <v>121</v>
      </c>
      <c r="C6" s="26" t="n">
        <f aca="false">IFERROR(IF(INDEX(Data!$I:$I,MATCH($B6,Data!$B:$B,0))="","",INDEX(Data!$I:$I,MATCH($B6,Data!$B:$B,0))),"")</f>
        <v>0.0221104801366518</v>
      </c>
      <c r="D6" s="27"/>
      <c r="E6" s="27"/>
      <c r="F6" s="27"/>
      <c r="G6" s="28" t="n">
        <f aca="false">IFERROR(INDEX(Data!$E:$E,MATCH($B6,Data!$B:$B,0)),"")</f>
        <v>7864.1257</v>
      </c>
      <c r="H6" s="28" t="n">
        <f aca="false">IFERROR(INDEX(Data!$E:$E,MATCH($B6,Data!$B:$B,0)),"")</f>
        <v>7864.1257</v>
      </c>
      <c r="I6" s="28" t="n">
        <f aca="false">IFERROR(INDEX(Data!$E:$E,MATCH($B6,Data!$B:$B,0)),"")</f>
        <v>7864.1257</v>
      </c>
    </row>
    <row r="7" customFormat="false" ht="15" hidden="false" customHeight="false" outlineLevel="0" collapsed="false">
      <c r="B7" s="7" t="s">
        <v>122</v>
      </c>
      <c r="C7" s="26" t="n">
        <f aca="false">IFERROR(IF(INDEX(Data!$I:$I,MATCH($B7,Data!$B:$B,0))="","",INDEX(Data!$I:$I,MATCH($B7,Data!$B:$B,0))),"")</f>
        <v>0.0240162743075179</v>
      </c>
      <c r="D7" s="27"/>
      <c r="E7" s="27"/>
      <c r="F7" s="27"/>
      <c r="G7" s="28" t="n">
        <f aca="false">IFERROR(INDEX(Data!$E:$E,MATCH($B7,Data!$B:$B,0)),"")</f>
        <v>8052.9927</v>
      </c>
      <c r="H7" s="28" t="n">
        <f aca="false">IFERROR(INDEX(Data!$E:$E,MATCH($B7,Data!$B:$B,0)),"")</f>
        <v>8052.9927</v>
      </c>
      <c r="I7" s="28" t="n">
        <f aca="false">IFERROR(INDEX(Data!$E:$E,MATCH($B7,Data!$B:$B,0)),"")</f>
        <v>8052.9927</v>
      </c>
    </row>
    <row r="8" customFormat="false" ht="15" hidden="false" customHeight="false" outlineLevel="0" collapsed="false">
      <c r="B8" s="7" t="s">
        <v>123</v>
      </c>
      <c r="C8" s="26" t="n">
        <f aca="false">IFERROR(IF(INDEX(Data!$I:$I,MATCH($B8,Data!$B:$B,0))="","",INDEX(Data!$I:$I,MATCH($B8,Data!$B:$B,0))),"")</f>
        <v>0.0372933530661217</v>
      </c>
      <c r="D8" s="27"/>
      <c r="E8" s="27"/>
      <c r="F8" s="27"/>
      <c r="G8" s="28" t="n">
        <f aca="false">IFERROR(INDEX(Data!$E:$E,MATCH($B8,Data!$B:$B,0)),"")</f>
        <v>8353.3158</v>
      </c>
      <c r="H8" s="28" t="n">
        <f aca="false">IFERROR(INDEX(Data!$E:$E,MATCH($B8,Data!$B:$B,0)),"")</f>
        <v>8353.3158</v>
      </c>
      <c r="I8" s="28" t="n">
        <f aca="false">IFERROR(INDEX(Data!$E:$E,MATCH($B8,Data!$B:$B,0)),"")</f>
        <v>8353.3158</v>
      </c>
    </row>
    <row r="9" customFormat="false" ht="15" hidden="false" customHeight="false" outlineLevel="0" collapsed="false">
      <c r="B9" s="7" t="s">
        <v>124</v>
      </c>
      <c r="C9" s="26" t="n">
        <f aca="false">IFERROR(IF(INDEX(Data!$I:$I,MATCH($B9,Data!$B:$B,0))="","",INDEX(Data!$I:$I,MATCH($B9,Data!$B:$B,0))),"")</f>
        <v>0.0278083584485096</v>
      </c>
      <c r="D9" s="27"/>
      <c r="E9" s="27"/>
      <c r="F9" s="27"/>
      <c r="G9" s="28" t="n">
        <f aca="false">IFERROR(INDEX(Data!$E:$E,MATCH($B9,Data!$B:$B,0)),"")</f>
        <v>8585.6078</v>
      </c>
      <c r="H9" s="28" t="n">
        <f aca="false">IFERROR(INDEX(Data!$E:$E,MATCH($B9,Data!$B:$B,0)),"")</f>
        <v>8585.6078</v>
      </c>
      <c r="I9" s="28" t="n">
        <f aca="false">IFERROR(INDEX(Data!$E:$E,MATCH($B9,Data!$B:$B,0)),"")</f>
        <v>8585.6078</v>
      </c>
    </row>
    <row r="10" customFormat="false" ht="15" hidden="false" customHeight="false" outlineLevel="0" collapsed="false">
      <c r="B10" s="7" t="s">
        <v>125</v>
      </c>
      <c r="C10" s="26" t="n">
        <f aca="false">IFERROR(IF(INDEX(Data!$I:$I,MATCH($B10,Data!$B:$B,0))="","",INDEX(Data!$I:$I,MATCH($B10,Data!$B:$B,0))),"")</f>
        <v>0.0150110863438231</v>
      </c>
      <c r="D10" s="27"/>
      <c r="E10" s="27"/>
      <c r="F10" s="27"/>
      <c r="G10" s="28" t="n">
        <f aca="false">IFERROR(INDEX(Data!$E:$E,MATCH($B10,Data!$B:$B,0)),"")</f>
        <v>8714.4871</v>
      </c>
      <c r="H10" s="28" t="n">
        <f aca="false">IFERROR(INDEX(Data!$E:$E,MATCH($B10,Data!$B:$B,0)),"")</f>
        <v>8714.4871</v>
      </c>
      <c r="I10" s="28" t="n">
        <f aca="false">IFERROR(INDEX(Data!$E:$E,MATCH($B10,Data!$B:$B,0)),"")</f>
        <v>8714.4871</v>
      </c>
    </row>
    <row r="11" customFormat="false" ht="15" hidden="false" customHeight="false" outlineLevel="0" collapsed="false">
      <c r="B11" s="7" t="s">
        <v>126</v>
      </c>
      <c r="C11" s="26" t="n">
        <f aca="false">IFERROR(IF(INDEX(Data!$I:$I,MATCH($B11,Data!$B:$B,0))="","",INDEX(Data!$I:$I,MATCH($B11,Data!$B:$B,0))),"")</f>
        <v>0.0161892488199333</v>
      </c>
      <c r="D11" s="27"/>
      <c r="E11" s="27"/>
      <c r="F11" s="27"/>
      <c r="G11" s="28" t="n">
        <f aca="false">IFERROR(INDEX(Data!$E:$E,MATCH($B11,Data!$B:$B,0)),"")</f>
        <v>8855.5681</v>
      </c>
      <c r="H11" s="28" t="n">
        <f aca="false">IFERROR(INDEX(Data!$E:$E,MATCH($B11,Data!$B:$B,0)),"")</f>
        <v>8855.5681</v>
      </c>
      <c r="I11" s="28" t="n">
        <f aca="false">IFERROR(INDEX(Data!$E:$E,MATCH($B11,Data!$B:$B,0)),"")</f>
        <v>8855.5681</v>
      </c>
    </row>
    <row r="12" customFormat="false" ht="15" hidden="false" customHeight="false" outlineLevel="0" collapsed="false">
      <c r="B12" s="7" t="s">
        <v>127</v>
      </c>
      <c r="C12" s="26" t="n">
        <f aca="false">IFERROR(IF(INDEX(Data!$I:$I,MATCH($B12,Data!$B:$B,0))="","",INDEX(Data!$I:$I,MATCH($B12,Data!$B:$B,0))),"")</f>
        <v>0.0190168375533129</v>
      </c>
      <c r="D12" s="27"/>
      <c r="E12" s="27"/>
      <c r="F12" s="27"/>
      <c r="G12" s="28" t="n">
        <f aca="false">IFERROR(INDEX(Data!$E:$E,MATCH($B12,Data!$B:$B,0)),"")</f>
        <v>9023.973</v>
      </c>
      <c r="H12" s="28" t="n">
        <f aca="false">IFERROR(INDEX(Data!$E:$E,MATCH($B12,Data!$B:$B,0)),"")</f>
        <v>9023.973</v>
      </c>
      <c r="I12" s="28" t="n">
        <f aca="false">IFERROR(INDEX(Data!$E:$E,MATCH($B12,Data!$B:$B,0)),"")</f>
        <v>9023.973</v>
      </c>
    </row>
    <row r="13" customFormat="false" ht="15" hidden="false" customHeight="false" outlineLevel="0" collapsed="false">
      <c r="B13" s="7" t="s">
        <v>128</v>
      </c>
      <c r="C13" s="26" t="n">
        <f aca="false">IFERROR(IF(INDEX(Data!$I:$I,MATCH($B13,Data!$B:$B,0))="","",INDEX(Data!$I:$I,MATCH($B13,Data!$B:$B,0))),"")</f>
        <v>0.0187579351135028</v>
      </c>
      <c r="D13" s="27"/>
      <c r="E13" s="27"/>
      <c r="F13" s="27"/>
      <c r="G13" s="28" t="n">
        <f aca="false">IFERROR(INDEX(Data!$E:$E,MATCH($B13,Data!$B:$B,0)),"")</f>
        <v>9193.2441</v>
      </c>
      <c r="H13" s="28" t="n">
        <f aca="false">IFERROR(INDEX(Data!$E:$E,MATCH($B13,Data!$B:$B,0)),"")</f>
        <v>9193.2441</v>
      </c>
      <c r="I13" s="28" t="n">
        <f aca="false">IFERROR(INDEX(Data!$E:$E,MATCH($B13,Data!$B:$B,0)),"")</f>
        <v>9193.2441</v>
      </c>
    </row>
    <row r="14" customFormat="false" ht="15" hidden="false" customHeight="false" outlineLevel="0" collapsed="false">
      <c r="B14" s="7" t="s">
        <v>129</v>
      </c>
      <c r="C14" s="26" t="n">
        <f aca="false">IFERROR(IF(INDEX(Data!$I:$I,MATCH($B14,Data!$B:$B,0))="","",INDEX(Data!$I:$I,MATCH($B14,Data!$B:$B,0))),"")</f>
        <v>0.0207596032395136</v>
      </c>
      <c r="D14" s="27"/>
      <c r="E14" s="27"/>
      <c r="F14" s="27"/>
      <c r="G14" s="28" t="n">
        <f aca="false">IFERROR(INDEX(Data!$E:$E,MATCH($B14,Data!$B:$B,0)),"")</f>
        <v>9384.0922</v>
      </c>
      <c r="H14" s="28" t="n">
        <f aca="false">IFERROR(INDEX(Data!$E:$E,MATCH($B14,Data!$B:$B,0)),"")</f>
        <v>9384.0922</v>
      </c>
      <c r="I14" s="28" t="n">
        <f aca="false">IFERROR(INDEX(Data!$E:$E,MATCH($B14,Data!$B:$B,0)),"")</f>
        <v>9384.0922</v>
      </c>
    </row>
    <row r="15" customFormat="false" ht="15" hidden="false" customHeight="false" outlineLevel="0" collapsed="false">
      <c r="B15" s="7" t="s">
        <v>130</v>
      </c>
      <c r="C15" s="26" t="n">
        <f aca="false">IFERROR(IF(INDEX(Data!$I:$I,MATCH($B15,Data!$B:$B,0))="","",INDEX(Data!$I:$I,MATCH($B15,Data!$B:$B,0))),"")</f>
        <v>0.0234194310239195</v>
      </c>
      <c r="D15" s="27"/>
      <c r="E15" s="27"/>
      <c r="F15" s="27"/>
      <c r="G15" s="28" t="n">
        <f aca="false">IFERROR(INDEX(Data!$E:$E,MATCH($B15,Data!$B:$B,0)),"")</f>
        <v>9603.8623</v>
      </c>
      <c r="H15" s="28" t="n">
        <f aca="false">IFERROR(INDEX(Data!$E:$E,MATCH($B15,Data!$B:$B,0)),"")</f>
        <v>9603.8623</v>
      </c>
      <c r="I15" s="28" t="n">
        <f aca="false">IFERROR(INDEX(Data!$E:$E,MATCH($B15,Data!$B:$B,0)),"")</f>
        <v>9603.8623</v>
      </c>
    </row>
    <row r="16" customFormat="false" ht="15" hidden="false" customHeight="false" outlineLevel="0" collapsed="false">
      <c r="B16" s="7" t="s">
        <v>131</v>
      </c>
      <c r="C16" s="26" t="n">
        <f aca="false">IFERROR(IF(INDEX(Data!$I:$I,MATCH($B16,Data!$B:$B,0))="","",INDEX(Data!$I:$I,MATCH($B16,Data!$B:$B,0))),"")</f>
        <v>0.0247291967107857</v>
      </c>
      <c r="D16" s="27"/>
      <c r="E16" s="27"/>
      <c r="F16" s="27"/>
      <c r="G16" s="28" t="n">
        <f aca="false">IFERROR(INDEX(Data!$E:$E,MATCH($B16,Data!$B:$B,0)),"")</f>
        <v>9841.3581</v>
      </c>
      <c r="H16" s="28" t="n">
        <f aca="false">IFERROR(INDEX(Data!$E:$E,MATCH($B16,Data!$B:$B,0)),"")</f>
        <v>9841.3581</v>
      </c>
      <c r="I16" s="28" t="n">
        <f aca="false">IFERROR(INDEX(Data!$E:$E,MATCH($B16,Data!$B:$B,0)),"")</f>
        <v>9841.3581</v>
      </c>
    </row>
    <row r="17" customFormat="false" ht="15" hidden="false" customHeight="false" outlineLevel="0" collapsed="false">
      <c r="B17" s="7" t="s">
        <v>132</v>
      </c>
      <c r="C17" s="26" t="n">
        <f aca="false">IFERROR(IF(INDEX(Data!$I:$I,MATCH($B17,Data!$B:$B,0))="","",INDEX(Data!$I:$I,MATCH($B17,Data!$B:$B,0))),"")</f>
        <v>0.0284527193457171</v>
      </c>
      <c r="D17" s="27"/>
      <c r="E17" s="27"/>
      <c r="F17" s="27"/>
      <c r="G17" s="28" t="n">
        <f aca="false">IFERROR(INDEX(Data!$E:$E,MATCH($B17,Data!$B:$B,0)),"")</f>
        <v>10121.3715</v>
      </c>
      <c r="H17" s="28" t="n">
        <f aca="false">IFERROR(INDEX(Data!$E:$E,MATCH($B17,Data!$B:$B,0)),"")</f>
        <v>10121.3715</v>
      </c>
      <c r="I17" s="28" t="n">
        <f aca="false">IFERROR(INDEX(Data!$E:$E,MATCH($B17,Data!$B:$B,0)),"")</f>
        <v>10121.3715</v>
      </c>
    </row>
    <row r="18" customFormat="false" ht="15" hidden="false" customHeight="false" outlineLevel="0" collapsed="false">
      <c r="B18" s="7" t="s">
        <v>133</v>
      </c>
      <c r="C18" s="26" t="n">
        <f aca="false">IFERROR(IF(INDEX(Data!$I:$I,MATCH($B18,Data!$B:$B,0))="","",INDEX(Data!$I:$I,MATCH($B18,Data!$B:$B,0))),"")</f>
        <v>0.0288161935366171</v>
      </c>
      <c r="D18" s="27"/>
      <c r="E18" s="27"/>
      <c r="F18" s="27"/>
      <c r="G18" s="28" t="n">
        <f aca="false">IFERROR(INDEX(Data!$E:$E,MATCH($B18,Data!$B:$B,0)),"")</f>
        <v>10413.0309</v>
      </c>
      <c r="H18" s="28" t="n">
        <f aca="false">IFERROR(INDEX(Data!$E:$E,MATCH($B18,Data!$B:$B,0)),"")</f>
        <v>10413.0309</v>
      </c>
      <c r="I18" s="28" t="n">
        <f aca="false">IFERROR(INDEX(Data!$E:$E,MATCH($B18,Data!$B:$B,0)),"")</f>
        <v>10413.0309</v>
      </c>
    </row>
    <row r="19" customFormat="false" ht="15" hidden="false" customHeight="false" outlineLevel="0" collapsed="false">
      <c r="B19" s="7" t="s">
        <v>134</v>
      </c>
      <c r="C19" s="26" t="n">
        <f aca="false">IFERROR(IF(INDEX(Data!$I:$I,MATCH($B19,Data!$B:$B,0))="","",INDEX(Data!$I:$I,MATCH($B19,Data!$B:$B,0))),"")</f>
        <v>0.0289631907267269</v>
      </c>
      <c r="D19" s="27"/>
      <c r="E19" s="27"/>
      <c r="F19" s="27"/>
      <c r="G19" s="28" t="n">
        <f aca="false">IFERROR(INDEX(Data!$E:$E,MATCH($B19,Data!$B:$B,0)),"")</f>
        <v>10714.6255</v>
      </c>
      <c r="H19" s="28" t="n">
        <f aca="false">IFERROR(INDEX(Data!$E:$E,MATCH($B19,Data!$B:$B,0)),"")</f>
        <v>10714.6255</v>
      </c>
      <c r="I19" s="28" t="n">
        <f aca="false">IFERROR(INDEX(Data!$E:$E,MATCH($B19,Data!$B:$B,0)),"")</f>
        <v>10714.6255</v>
      </c>
    </row>
    <row r="20" customFormat="false" ht="15" hidden="false" customHeight="false" outlineLevel="0" collapsed="false">
      <c r="B20" s="7" t="s">
        <v>135</v>
      </c>
      <c r="C20" s="26" t="n">
        <f aca="false">IFERROR(IF(INDEX(Data!$I:$I,MATCH($B20,Data!$B:$B,0))="","",INDEX(Data!$I:$I,MATCH($B20,Data!$B:$B,0))),"")</f>
        <v>0.0338262219244152</v>
      </c>
      <c r="D20" s="27"/>
      <c r="E20" s="27"/>
      <c r="F20" s="27"/>
      <c r="G20" s="28" t="n">
        <f aca="false">IFERROR(INDEX(Data!$E:$E,MATCH($B20,Data!$B:$B,0)),"")</f>
        <v>11077.0608</v>
      </c>
      <c r="H20" s="28" t="n">
        <f aca="false">IFERROR(INDEX(Data!$E:$E,MATCH($B20,Data!$B:$B,0)),"")</f>
        <v>11077.0608</v>
      </c>
      <c r="I20" s="28" t="n">
        <f aca="false">IFERROR(INDEX(Data!$E:$E,MATCH($B20,Data!$B:$B,0)),"")</f>
        <v>11077.0608</v>
      </c>
    </row>
    <row r="21" customFormat="false" ht="15" hidden="false" customHeight="false" outlineLevel="0" collapsed="false">
      <c r="B21" s="7" t="s">
        <v>136</v>
      </c>
      <c r="C21" s="26" t="n">
        <f aca="false">IFERROR(IF(INDEX(Data!$I:$I,MATCH($B21,Data!$B:$B,0))="","",INDEX(Data!$I:$I,MATCH($B21,Data!$B:$B,0))),"")</f>
        <v>0.0258217956156745</v>
      </c>
      <c r="D21" s="27"/>
      <c r="E21" s="27"/>
      <c r="F21" s="27"/>
      <c r="G21" s="28" t="n">
        <f aca="false">IFERROR(INDEX(Data!$E:$E,MATCH($B21,Data!$B:$B,0)),"")</f>
        <v>11363.0904</v>
      </c>
      <c r="H21" s="28" t="n">
        <f aca="false">IFERROR(INDEX(Data!$E:$E,MATCH($B21,Data!$B:$B,0)),"")</f>
        <v>11363.0904</v>
      </c>
      <c r="I21" s="28" t="n">
        <f aca="false">IFERROR(INDEX(Data!$E:$E,MATCH($B21,Data!$B:$B,0)),"")</f>
        <v>11363.0904</v>
      </c>
    </row>
    <row r="22" customFormat="false" ht="15" hidden="false" customHeight="false" outlineLevel="0" collapsed="false">
      <c r="B22" s="7" t="s">
        <v>137</v>
      </c>
      <c r="C22" s="26" t="n">
        <f aca="false">IFERROR(IF(INDEX(Data!$I:$I,MATCH($B22,Data!$B:$B,0))="","",INDEX(Data!$I:$I,MATCH($B22,Data!$B:$B,0))),"")</f>
        <v>0.0214997233499086</v>
      </c>
      <c r="D22" s="27"/>
      <c r="E22" s="27"/>
      <c r="F22" s="27"/>
      <c r="G22" s="28" t="n">
        <f aca="false">IFERROR(INDEX(Data!$E:$E,MATCH($B22,Data!$B:$B,0)),"")</f>
        <v>11607.3937</v>
      </c>
      <c r="H22" s="28" t="n">
        <f aca="false">IFERROR(INDEX(Data!$E:$E,MATCH($B22,Data!$B:$B,0)),"")</f>
        <v>11607.3937</v>
      </c>
      <c r="I22" s="28" t="n">
        <f aca="false">IFERROR(INDEX(Data!$E:$E,MATCH($B22,Data!$B:$B,0)),"")</f>
        <v>11607.3937</v>
      </c>
    </row>
    <row r="23" customFormat="false" ht="15" hidden="false" customHeight="false" outlineLevel="0" collapsed="false">
      <c r="B23" s="7" t="s">
        <v>138</v>
      </c>
      <c r="C23" s="26" t="n">
        <f aca="false">IFERROR(IF(INDEX(Data!$I:$I,MATCH($B23,Data!$B:$B,0))="","",INDEX(Data!$I:$I,MATCH($B23,Data!$B:$B,0))),"")</f>
        <v>0.0188687146882938</v>
      </c>
      <c r="D23" s="26" t="n">
        <f aca="false">$C23</f>
        <v>0.0188687146882938</v>
      </c>
      <c r="E23" s="26" t="n">
        <f aca="false">$C23</f>
        <v>0.0188687146882938</v>
      </c>
      <c r="F23" s="26" t="n">
        <f aca="false">$C23</f>
        <v>0.0188687146882938</v>
      </c>
      <c r="G23" s="28" t="n">
        <f aca="false">IFERROR(INDEX(Data!$E:$E,MATCH($B23,Data!$B:$B,0)),"")</f>
        <v>11826.4103</v>
      </c>
      <c r="H23" s="28" t="n">
        <f aca="false">IFERROR(INDEX(Data!$E:$E,MATCH($B23,Data!$B:$B,0)),"")</f>
        <v>11826.4103</v>
      </c>
      <c r="I23" s="28" t="n">
        <f aca="false">IFERROR(INDEX(Data!$E:$E,MATCH($B23,Data!$B:$B,0)),"")</f>
        <v>11826.4103</v>
      </c>
    </row>
    <row r="24" customFormat="false" ht="15" hidden="false" customHeight="false" outlineLevel="0" collapsed="false">
      <c r="B24" s="7" t="s">
        <v>139</v>
      </c>
      <c r="C24" s="26" t="str">
        <f aca="false">IFERROR(IF(INDEX(Data!$I:$I,MATCH($B24,Data!$B:$B,0))="","",INDEX(Data!$I:$I,MATCH($B24,Data!$B:$B,0))),"")</f>
        <v/>
      </c>
      <c r="D24" s="29" t="n">
        <v>0.017</v>
      </c>
      <c r="E24" s="29" t="n">
        <v>0.019</v>
      </c>
      <c r="F24" s="29" t="n">
        <v>0.022</v>
      </c>
      <c r="G24" s="28" t="n">
        <f aca="false">G23*(1+D24)</f>
        <v>12027.4592751</v>
      </c>
      <c r="H24" s="28" t="n">
        <f aca="false">H23*(1+E24)</f>
        <v>12051.1120957</v>
      </c>
      <c r="I24" s="28" t="n">
        <f aca="false">I23*(1+F24)</f>
        <v>12086.5913266</v>
      </c>
    </row>
    <row r="25" customFormat="false" ht="15" hidden="false" customHeight="false" outlineLevel="0" collapsed="false">
      <c r="B25" s="7" t="s">
        <v>140</v>
      </c>
      <c r="C25" s="26" t="str">
        <f aca="false">IFERROR(IF(INDEX(Data!$I:$I,MATCH($B25,Data!$B:$B,0))="","",INDEX(Data!$I:$I,MATCH($B25,Data!$B:$B,0))),"")</f>
        <v/>
      </c>
      <c r="D25" s="29" t="n">
        <v>0.016</v>
      </c>
      <c r="E25" s="29" t="n">
        <v>0.018</v>
      </c>
      <c r="F25" s="29" t="n">
        <v>0.024</v>
      </c>
      <c r="G25" s="28" t="n">
        <f aca="false">G24*(1+D25)</f>
        <v>12219.8986235016</v>
      </c>
      <c r="H25" s="28" t="n">
        <f aca="false">H24*(1+E25)</f>
        <v>12268.0321134226</v>
      </c>
      <c r="I25" s="28" t="n">
        <f aca="false">I24*(1+F25)</f>
        <v>12376.6695184384</v>
      </c>
    </row>
    <row r="26" customFormat="false" ht="15" hidden="false" customHeight="false" outlineLevel="0" collapsed="false">
      <c r="B26" s="7" t="s">
        <v>141</v>
      </c>
      <c r="C26" s="26" t="str">
        <f aca="false">IFERROR(IF(INDEX(Data!$I:$I,MATCH($B26,Data!$B:$B,0))="","",INDEX(Data!$I:$I,MATCH($B26,Data!$B:$B,0))),"")</f>
        <v/>
      </c>
      <c r="D26" s="29" t="n">
        <v>0.015</v>
      </c>
      <c r="E26" s="29" t="n">
        <v>0.018</v>
      </c>
      <c r="F26" s="29" t="n">
        <v>0.025</v>
      </c>
      <c r="G26" s="28" t="n">
        <f aca="false">G25*(1+D26)</f>
        <v>12403.1971028541</v>
      </c>
      <c r="H26" s="28" t="n">
        <f aca="false">H25*(1+E26)</f>
        <v>12488.8566914642</v>
      </c>
      <c r="I26" s="28" t="n">
        <f aca="false">I25*(1+F26)</f>
        <v>12686.0862563994</v>
      </c>
    </row>
    <row r="27" customFormat="false" ht="15" hidden="false" customHeight="false" outlineLevel="0" collapsed="false">
      <c r="B27" s="7" t="s">
        <v>142</v>
      </c>
      <c r="C27" s="26" t="str">
        <f aca="false">IFERROR(IF(INDEX(Data!$I:$I,MATCH($B27,Data!$B:$B,0))="","",INDEX(Data!$I:$I,MATCH($B27,Data!$B:$B,0))),"")</f>
        <v/>
      </c>
      <c r="D27" s="29" t="n">
        <v>0.015</v>
      </c>
      <c r="E27" s="29" t="n">
        <v>0.019</v>
      </c>
      <c r="F27" s="29" t="n">
        <v>0.027</v>
      </c>
      <c r="G27" s="28" t="n">
        <f aca="false">G26*(1+D27)</f>
        <v>12589.2450593969</v>
      </c>
      <c r="H27" s="28" t="n">
        <f aca="false">H26*(1+E27)</f>
        <v>12726.144968602</v>
      </c>
      <c r="I27" s="28" t="n">
        <f aca="false">I26*(1+F27)</f>
        <v>13028.6105853221</v>
      </c>
    </row>
    <row r="28" customFormat="false" ht="15" hidden="false" customHeight="false" outlineLevel="0" collapsed="false">
      <c r="B28" s="7" t="s">
        <v>143</v>
      </c>
      <c r="C28" s="26" t="str">
        <f aca="false">IFERROR(IF(INDEX(Data!$I:$I,MATCH($B28,Data!$B:$B,0))="","",INDEX(Data!$I:$I,MATCH($B28,Data!$B:$B,0))),"")</f>
        <v/>
      </c>
      <c r="D28" s="29" t="n">
        <v>0.014</v>
      </c>
      <c r="E28" s="29" t="n">
        <v>0.019</v>
      </c>
      <c r="F28" s="29" t="n">
        <v>0.026</v>
      </c>
      <c r="G28" s="28" t="n">
        <f aca="false">G27*(1+D28)</f>
        <v>12765.4944902285</v>
      </c>
      <c r="H28" s="28" t="n">
        <f aca="false">H27*(1+E28)</f>
        <v>12967.9417230055</v>
      </c>
      <c r="I28" s="28" t="n">
        <f aca="false">I27*(1+F28)</f>
        <v>13367.3544605405</v>
      </c>
    </row>
    <row r="29" customFormat="false" ht="15" hidden="false" customHeight="false" outlineLevel="0" collapsed="false">
      <c r="B29" s="7" t="s">
        <v>144</v>
      </c>
      <c r="C29" s="26" t="str">
        <f aca="false">IFERROR(IF(INDEX(Data!$I:$I,MATCH($B29,Data!$B:$B,0))="","",INDEX(Data!$I:$I,MATCH($B29,Data!$B:$B,0))),"")</f>
        <v/>
      </c>
      <c r="D29" s="29" t="n">
        <v>0.016</v>
      </c>
      <c r="E29" s="29" t="n">
        <v>0.021</v>
      </c>
      <c r="F29" s="29" t="n">
        <v>0.028</v>
      </c>
      <c r="G29" s="28" t="n">
        <f aca="false">G28*(1+D29)</f>
        <v>12969.7424020721</v>
      </c>
      <c r="H29" s="28" t="n">
        <f aca="false">H28*(1+E29)</f>
        <v>13240.2684991886</v>
      </c>
      <c r="I29" s="28" t="n">
        <f aca="false">I28*(1+F29)</f>
        <v>13741.6403854357</v>
      </c>
    </row>
    <row r="30" customFormat="false" ht="15" hidden="false" customHeight="false" outlineLevel="0" collapsed="false">
      <c r="B30" s="7" t="s">
        <v>145</v>
      </c>
      <c r="C30" s="26" t="str">
        <f aca="false">IFERROR(IF(INDEX(Data!$I:$I,MATCH($B30,Data!$B:$B,0))="","",INDEX(Data!$I:$I,MATCH($B30,Data!$B:$B,0))),"")</f>
        <v/>
      </c>
      <c r="D30" s="29" t="n">
        <v>0.015</v>
      </c>
      <c r="E30" s="29" t="n">
        <v>0.02</v>
      </c>
      <c r="F30" s="29" t="n">
        <v>0.028</v>
      </c>
      <c r="G30" s="28" t="n">
        <f aca="false">G29*(1+D30)</f>
        <v>13164.2885381032</v>
      </c>
      <c r="H30" s="28" t="n">
        <f aca="false">H29*(1+E30)</f>
        <v>13505.0738691723</v>
      </c>
      <c r="I30" s="28" t="n">
        <f aca="false">I29*(1+F30)</f>
        <v>14126.4063162278</v>
      </c>
    </row>
    <row r="31" customFormat="false" ht="15" hidden="false" customHeight="false" outlineLevel="0" collapsed="false">
      <c r="B31" s="7" t="s">
        <v>146</v>
      </c>
      <c r="C31" s="26" t="str">
        <f aca="false">IFERROR(IF(INDEX(Data!$I:$I,MATCH($B31,Data!$B:$B,0))="","",INDEX(Data!$I:$I,MATCH($B31,Data!$B:$B,0))),"")</f>
        <v/>
      </c>
      <c r="D31" s="29" t="n">
        <v>0.013</v>
      </c>
      <c r="E31" s="29" t="n">
        <v>0.018</v>
      </c>
      <c r="F31" s="29" t="n">
        <v>0.026</v>
      </c>
      <c r="G31" s="28" t="n">
        <f aca="false">G30*(1+D31)</f>
        <v>13335.4242890986</v>
      </c>
      <c r="H31" s="28" t="n">
        <f aca="false">H30*(1+E31)</f>
        <v>13748.1651988174</v>
      </c>
      <c r="I31" s="28" t="n">
        <f aca="false">I30*(1+F31)</f>
        <v>14493.6928804498</v>
      </c>
    </row>
    <row r="32" customFormat="false" ht="15" hidden="false" customHeight="false" outlineLevel="0" collapsed="false">
      <c r="B32" s="7" t="s">
        <v>147</v>
      </c>
      <c r="C32" s="26" t="str">
        <f aca="false">IFERROR(IF(INDEX(Data!$I:$I,MATCH($B32,Data!$B:$B,0))="","",INDEX(Data!$I:$I,MATCH($B32,Data!$B:$B,0))),"")</f>
        <v/>
      </c>
      <c r="D32" s="29" t="n">
        <v>0.013</v>
      </c>
      <c r="E32" s="29" t="n">
        <v>0.017</v>
      </c>
      <c r="F32" s="29" t="n">
        <v>0.025</v>
      </c>
      <c r="G32" s="28" t="n">
        <f aca="false">G31*(1+D32)</f>
        <v>13508.7848048568</v>
      </c>
      <c r="H32" s="28" t="n">
        <f aca="false">H31*(1+E32)</f>
        <v>13981.8840071973</v>
      </c>
      <c r="I32" s="28" t="n">
        <f aca="false">I31*(1+F32)</f>
        <v>14856.035202461</v>
      </c>
    </row>
    <row r="33" customFormat="false" ht="15" hidden="false" customHeight="false" outlineLevel="0" collapsed="false">
      <c r="B33" s="7" t="s">
        <v>148</v>
      </c>
      <c r="C33" s="26" t="str">
        <f aca="false">IFERROR(IF(INDEX(Data!$I:$I,MATCH($B33,Data!$B:$B,0))="","",INDEX(Data!$I:$I,MATCH($B33,Data!$B:$B,0))),"")</f>
        <v/>
      </c>
      <c r="D33" s="29" t="n">
        <v>0.011</v>
      </c>
      <c r="E33" s="29" t="n">
        <v>0.016</v>
      </c>
      <c r="F33" s="29" t="n">
        <v>0.023</v>
      </c>
      <c r="G33" s="28" t="n">
        <f aca="false">G32*(1+D33)</f>
        <v>13657.3814377103</v>
      </c>
      <c r="H33" s="28" t="n">
        <f aca="false">H32*(1+E33)</f>
        <v>14205.5941513125</v>
      </c>
      <c r="I33" s="28" t="n">
        <f aca="false">I32*(1+F33)</f>
        <v>15197.7240121176</v>
      </c>
    </row>
    <row r="34" customFormat="false" ht="15" hidden="false" customHeight="false" outlineLevel="0" collapsed="false">
      <c r="B34" s="7" t="s">
        <v>149</v>
      </c>
      <c r="C34" s="26" t="str">
        <f aca="false">IFERROR(IF(INDEX(Data!$I:$I,MATCH($B34,Data!$B:$B,0))="","",INDEX(Data!$I:$I,MATCH($B34,Data!$B:$B,0))),"")</f>
        <v/>
      </c>
      <c r="D34" s="29" t="n">
        <v>0.01</v>
      </c>
      <c r="E34" s="29" t="n">
        <v>0.014</v>
      </c>
      <c r="F34" s="29" t="n">
        <v>0.021</v>
      </c>
      <c r="G34" s="28" t="n">
        <f aca="false">G33*(1+D34)</f>
        <v>13793.9552520874</v>
      </c>
      <c r="H34" s="28" t="n">
        <f aca="false">H33*(1+E34)</f>
        <v>14404.4724694309</v>
      </c>
      <c r="I34" s="28" t="n">
        <f aca="false">I33*(1+F34)</f>
        <v>15516.8762163721</v>
      </c>
    </row>
    <row r="35" customFormat="false" ht="15" hidden="false" customHeight="false" outlineLevel="0" collapsed="false">
      <c r="B35" s="7" t="s">
        <v>150</v>
      </c>
      <c r="C35" s="26" t="str">
        <f aca="false">IFERROR(IF(INDEX(Data!$I:$I,MATCH($B35,Data!$B:$B,0))="","",INDEX(Data!$I:$I,MATCH($B35,Data!$B:$B,0))),"")</f>
        <v/>
      </c>
      <c r="D35" s="29" t="n">
        <v>0.009</v>
      </c>
      <c r="E35" s="29" t="n">
        <v>0.013</v>
      </c>
      <c r="F35" s="29" t="n">
        <v>0.02</v>
      </c>
      <c r="G35" s="28" t="n">
        <f aca="false">G34*(1+D35)</f>
        <v>13918.1008493562</v>
      </c>
      <c r="H35" s="28" t="n">
        <f aca="false">H34*(1+E35)</f>
        <v>14591.7306115335</v>
      </c>
      <c r="I35" s="28" t="n">
        <f aca="false">I34*(1+F35)</f>
        <v>15827.2137406995</v>
      </c>
    </row>
    <row r="36" customFormat="false" ht="15" hidden="false" customHeight="false" outlineLevel="0" collapsed="false">
      <c r="B36" s="7" t="s">
        <v>151</v>
      </c>
      <c r="C36" s="26" t="str">
        <f aca="false">IFERROR(IF(INDEX(Data!$I:$I,MATCH($B36,Data!$B:$B,0))="","",INDEX(Data!$I:$I,MATCH($B36,Data!$B:$B,0))),"")</f>
        <v/>
      </c>
      <c r="D36" s="29" t="n">
        <v>0.009</v>
      </c>
      <c r="E36" s="29" t="n">
        <v>0.013</v>
      </c>
      <c r="F36" s="29" t="n">
        <v>0.019</v>
      </c>
      <c r="G36" s="28" t="n">
        <f aca="false">G35*(1+D36)</f>
        <v>14043.3637570004</v>
      </c>
      <c r="H36" s="28" t="n">
        <f aca="false">H35*(1+E36)</f>
        <v>14781.4231094834</v>
      </c>
      <c r="I36" s="28" t="n">
        <f aca="false">I35*(1+F36)</f>
        <v>16127.9308017728</v>
      </c>
    </row>
    <row r="37" customFormat="false" ht="15" hidden="false" customHeight="false" outlineLevel="0" collapsed="false">
      <c r="B37" s="7" t="s">
        <v>152</v>
      </c>
      <c r="C37" s="26" t="str">
        <f aca="false">IFERROR(IF(INDEX(Data!$I:$I,MATCH($B37,Data!$B:$B,0))="","",INDEX(Data!$I:$I,MATCH($B37,Data!$B:$B,0))),"")</f>
        <v/>
      </c>
      <c r="D37" s="29" t="n">
        <v>0.008</v>
      </c>
      <c r="E37" s="29" t="n">
        <v>0.012</v>
      </c>
      <c r="F37" s="29" t="n">
        <v>0.019</v>
      </c>
      <c r="G37" s="28" t="n">
        <f aca="false">G36*(1+D37)</f>
        <v>14155.7106670564</v>
      </c>
      <c r="H37" s="28" t="n">
        <f aca="false">H36*(1+E37)</f>
        <v>14958.8001867972</v>
      </c>
      <c r="I37" s="28" t="n">
        <f aca="false">I36*(1+F37)</f>
        <v>16434.3614870065</v>
      </c>
    </row>
    <row r="38" customFormat="false" ht="15" hidden="false" customHeight="false" outlineLevel="0" collapsed="false">
      <c r="B38" s="7" t="s">
        <v>153</v>
      </c>
      <c r="C38" s="26" t="str">
        <f aca="false">IFERROR(IF(INDEX(Data!$I:$I,MATCH($B38,Data!$B:$B,0))="","",INDEX(Data!$I:$I,MATCH($B38,Data!$B:$B,0))),"")</f>
        <v/>
      </c>
      <c r="D38" s="29" t="n">
        <v>0.008</v>
      </c>
      <c r="E38" s="29" t="n">
        <v>0.012</v>
      </c>
      <c r="F38" s="29" t="n">
        <v>0.018</v>
      </c>
      <c r="G38" s="28" t="n">
        <f aca="false">G37*(1+D38)</f>
        <v>14268.9563523928</v>
      </c>
      <c r="H38" s="28" t="n">
        <f aca="false">H37*(1+E38)</f>
        <v>15138.3057890388</v>
      </c>
      <c r="I38" s="28" t="n">
        <f aca="false">I37*(1+F38)</f>
        <v>16730.1799937726</v>
      </c>
    </row>
    <row r="39" customFormat="false" ht="15" hidden="false" customHeight="false" outlineLevel="0" collapsed="false">
      <c r="B39" s="7" t="s">
        <v>154</v>
      </c>
      <c r="C39" s="26" t="str">
        <f aca="false">IFERROR(IF(INDEX(Data!$I:$I,MATCH($B39,Data!$B:$B,0))="","",INDEX(Data!$I:$I,MATCH($B39,Data!$B:$B,0))),"")</f>
        <v/>
      </c>
      <c r="D39" s="29" t="n">
        <v>0.008</v>
      </c>
      <c r="E39" s="29" t="n">
        <v>0.012</v>
      </c>
      <c r="F39" s="29" t="n">
        <v>0.018</v>
      </c>
      <c r="G39" s="28" t="n">
        <f aca="false">G38*(1+D39)</f>
        <v>14383.108003212</v>
      </c>
      <c r="H39" s="28" t="n">
        <f aca="false">H38*(1+E39)</f>
        <v>15319.9654585072</v>
      </c>
      <c r="I39" s="28" t="n">
        <f aca="false">I38*(1+F39)</f>
        <v>17031.3232336605</v>
      </c>
    </row>
    <row r="40" customFormat="false" ht="15" hidden="false" customHeight="false" outlineLevel="0" collapsed="false">
      <c r="B40" s="7" t="s">
        <v>155</v>
      </c>
      <c r="C40" s="26" t="str">
        <f aca="false">IFERROR(IF(INDEX(Data!$I:$I,MATCH($B40,Data!$B:$B,0))="","",INDEX(Data!$I:$I,MATCH($B40,Data!$B:$B,0))),"")</f>
        <v/>
      </c>
      <c r="D40" s="29" t="n">
        <v>0.008</v>
      </c>
      <c r="E40" s="29" t="n">
        <v>0.012</v>
      </c>
      <c r="F40" s="29" t="n">
        <v>0.018</v>
      </c>
      <c r="G40" s="28" t="n">
        <f aca="false">G39*(1+D40)</f>
        <v>14498.1728672377</v>
      </c>
      <c r="H40" s="28" t="n">
        <f aca="false">H39*(1+E40)</f>
        <v>15503.8050440093</v>
      </c>
      <c r="I40" s="28" t="n">
        <f aca="false">I39*(1+F40)</f>
        <v>17337.8870518664</v>
      </c>
    </row>
    <row r="41" customFormat="false" ht="15" hidden="false" customHeight="false" outlineLevel="0" collapsed="false">
      <c r="B41" s="7" t="s">
        <v>156</v>
      </c>
      <c r="C41" s="26" t="str">
        <f aca="false">IFERROR(IF(INDEX(Data!$I:$I,MATCH($B41,Data!$B:$B,0))="","",INDEX(Data!$I:$I,MATCH($B41,Data!$B:$B,0))),"")</f>
        <v/>
      </c>
      <c r="D41" s="29" t="n">
        <v>0.01</v>
      </c>
      <c r="E41" s="29" t="n">
        <v>0.014</v>
      </c>
      <c r="F41" s="29" t="n">
        <v>0.02</v>
      </c>
      <c r="G41" s="28" t="n">
        <f aca="false">G40*(1+D41)</f>
        <v>14643.15459591</v>
      </c>
      <c r="H41" s="28" t="n">
        <f aca="false">H40*(1+E41)</f>
        <v>15720.8583146255</v>
      </c>
      <c r="I41" s="28" t="n">
        <f aca="false">I40*(1+F41)</f>
        <v>17684.6447929037</v>
      </c>
    </row>
    <row r="43" customFormat="false" ht="15" hidden="false" customHeight="false" outlineLevel="0" collapsed="false">
      <c r="B43" s="3" t="s">
        <v>211</v>
      </c>
    </row>
    <row r="44" customFormat="false" ht="15" hidden="false" customHeight="false" outlineLevel="0" collapsed="false">
      <c r="B44" s="14"/>
      <c r="D44" s="14" t="s">
        <v>205</v>
      </c>
      <c r="E44" s="14" t="s">
        <v>206</v>
      </c>
      <c r="F44" s="14" t="s">
        <v>207</v>
      </c>
      <c r="G44" s="14" t="s">
        <v>212</v>
      </c>
    </row>
    <row r="45" customFormat="false" ht="15" hidden="false" customHeight="false" outlineLevel="0" collapsed="false">
      <c r="B45" s="4" t="s">
        <v>213</v>
      </c>
      <c r="D45" s="30" t="n">
        <f aca="false">G$29/INDEX(Data!$E:$E,MATCH("2025-12",Data!$B:$B,0))-1</f>
        <v>0.281421436024964</v>
      </c>
      <c r="E45" s="30" t="n">
        <f aca="false">H$29/INDEX(Data!$E:$E,MATCH("2025-12",Data!$B:$B,0))-1</f>
        <v>0.308149641497556</v>
      </c>
      <c r="F45" s="30" t="n">
        <f aca="false">I$29/INDEX(Data!$E:$E,MATCH("2025-12",Data!$B:$B,0))-1</f>
        <v>0.357685604706403</v>
      </c>
      <c r="G45" s="31" t="n">
        <v>0.3</v>
      </c>
    </row>
    <row r="46" customFormat="false" ht="15" hidden="false" customHeight="false" outlineLevel="0" collapsed="false">
      <c r="B46" s="4" t="s">
        <v>214</v>
      </c>
      <c r="D46" s="30" t="n">
        <f aca="false">G$41/G$29-1</f>
        <v>0.129024319987306</v>
      </c>
      <c r="E46" s="30" t="n">
        <f aca="false">H$41/H$29-1</f>
        <v>0.187351926857745</v>
      </c>
      <c r="F46" s="30" t="n">
        <f aca="false">I$41/I$29-1</f>
        <v>0.286938407415112</v>
      </c>
      <c r="G46" s="31" t="n">
        <v>0.118</v>
      </c>
    </row>
    <row r="47" customFormat="false" ht="15" hidden="false" customHeight="false" outlineLevel="0" collapsed="false">
      <c r="B47" s="20" t="s">
        <v>215</v>
      </c>
    </row>
    <row r="50" customFormat="false" ht="15" hidden="false" customHeight="false" outlineLevel="0" collapsed="false">
      <c r="B50" s="3" t="s">
        <v>216</v>
      </c>
    </row>
    <row r="51" customFormat="false" ht="15" hidden="false" customHeight="false" outlineLevel="0" collapsed="false">
      <c r="B51" s="14" t="s">
        <v>217</v>
      </c>
      <c r="C51" s="6" t="s">
        <v>205</v>
      </c>
      <c r="D51" s="6" t="s">
        <v>206</v>
      </c>
      <c r="E51" s="6" t="s">
        <v>207</v>
      </c>
    </row>
    <row r="52" customFormat="false" ht="43.5" hidden="false" customHeight="true" outlineLevel="0" collapsed="false">
      <c r="B52" s="32" t="s">
        <v>218</v>
      </c>
      <c r="C52" s="33" t="s">
        <v>219</v>
      </c>
      <c r="D52" s="33" t="s">
        <v>220</v>
      </c>
      <c r="E52" s="33" t="s">
        <v>221</v>
      </c>
    </row>
    <row r="53" customFormat="false" ht="43.5" hidden="false" customHeight="true" outlineLevel="0" collapsed="false">
      <c r="B53" s="32" t="s">
        <v>222</v>
      </c>
      <c r="C53" s="33" t="s">
        <v>223</v>
      </c>
      <c r="D53" s="33" t="s">
        <v>224</v>
      </c>
      <c r="E53" s="33" t="s">
        <v>225</v>
      </c>
    </row>
    <row r="54" customFormat="false" ht="43.5" hidden="false" customHeight="true" outlineLevel="0" collapsed="false">
      <c r="B54" s="32" t="s">
        <v>226</v>
      </c>
      <c r="C54" s="33" t="s">
        <v>227</v>
      </c>
      <c r="D54" s="33" t="s">
        <v>228</v>
      </c>
      <c r="E54" s="33" t="s">
        <v>229</v>
      </c>
    </row>
    <row r="55" customFormat="false" ht="43.5" hidden="false" customHeight="true" outlineLevel="0" collapsed="false">
      <c r="B55" s="32" t="s">
        <v>230</v>
      </c>
      <c r="C55" s="33" t="s">
        <v>231</v>
      </c>
      <c r="D55" s="33" t="s">
        <v>232</v>
      </c>
      <c r="E55" s="33" t="s">
        <v>233</v>
      </c>
    </row>
    <row r="56" customFormat="false" ht="43.5" hidden="false" customHeight="true" outlineLevel="0" collapsed="false">
      <c r="B56" s="32" t="s">
        <v>234</v>
      </c>
      <c r="C56" s="33" t="s">
        <v>235</v>
      </c>
      <c r="D56" s="33" t="s">
        <v>236</v>
      </c>
      <c r="E56" s="33" t="s">
        <v>237</v>
      </c>
    </row>
    <row r="57" customFormat="false" ht="43.5" hidden="false" customHeight="true" outlineLevel="0" collapsed="false">
      <c r="B57" s="32" t="s">
        <v>238</v>
      </c>
      <c r="C57" s="33" t="s">
        <v>239</v>
      </c>
      <c r="D57" s="33" t="s">
        <v>240</v>
      </c>
      <c r="E57" s="33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2026-08-03T22:46:41Z</dcterms:created>
  <dc:creator>openpyxl</dc:creator>
  <dc:description/>
  <dc:language>en-US</dc:language>
  <cp:lastModifiedBy/>
  <dcterms:modified xsi:type="dcterms:W3CDTF">2026-08-03T22:46:51Z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