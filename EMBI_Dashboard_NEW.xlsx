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YTD_Summary" sheetId="2" state="visible" r:id="rId2"/>
    <sheet xmlns:r="http://schemas.openxmlformats.org/officeDocument/2006/relationships" name="By_Region" sheetId="3" state="visible" r:id="rId3"/>
    <sheet xmlns:r="http://schemas.openxmlformats.org/officeDocument/2006/relationships" name="By_Rating" sheetId="4" state="visible" r:id="rId4"/>
    <sheet xmlns:r="http://schemas.openxmlformats.org/officeDocument/2006/relationships" name="By_Country" sheetId="5" state="visible" r:id="rId5"/>
    <sheet xmlns:r="http://schemas.openxmlformats.org/officeDocument/2006/relationships" name="Spread_History" sheetId="6" state="visible" r:id="rId6"/>
    <sheet xmlns:r="http://schemas.openxmlformats.org/officeDocument/2006/relationships" name="Forecast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;-0.00"/>
    <numFmt numFmtId="165" formatCode="+0;-0"/>
    <numFmt numFmtId="166" formatCode="+0.000;-0.000"/>
    <numFmt numFmtId="167" formatCode="+0.0;-0.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i val="1"/>
      <color rgb="007F7F7F"/>
      <sz val="10"/>
    </font>
    <font>
      <name val="Arial"/>
      <b val="1"/>
      <color rgb="001F4E78"/>
      <sz val="14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1" pivotButton="0" quotePrefix="0" xfId="0"/>
    <xf numFmtId="0" fontId="2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6" fillId="0" borderId="1" pivotButton="0" quotePrefix="0" xfId="0"/>
    <xf numFmtId="164" fontId="7" fillId="0" borderId="1" pivotButton="0" quotePrefix="0" xfId="0"/>
    <xf numFmtId="166" fontId="6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2" fontId="6" fillId="0" borderId="1" pivotButton="0" quotePrefix="0" xfId="0"/>
    <xf numFmtId="165" fontId="6" fillId="0" borderId="1" pivotButton="0" quotePrefix="0" xfId="0"/>
    <xf numFmtId="2" fontId="7" fillId="0" borderId="1" pivotButton="0" quotePrefix="0" xfId="0"/>
    <xf numFmtId="1" fontId="7" fillId="0" borderId="1" pivotButton="0" quotePrefix="0" xfId="0"/>
    <xf numFmtId="164" fontId="6" fillId="0" borderId="1" pivotButton="0" quotePrefix="0" xfId="0"/>
    <xf numFmtId="9" fontId="6" fillId="0" borderId="1" pivotButton="0" quotePrefix="0" xfId="0"/>
    <xf numFmtId="0" fontId="4" fillId="0" borderId="1" applyAlignment="1" pivotButton="0" quotePrefix="0" xfId="0">
      <alignment horizontal="left"/>
    </xf>
    <xf numFmtId="0" fontId="9" fillId="0" borderId="1" pivotButton="0" quotePrefix="0" xfId="0"/>
    <xf numFmtId="164" fontId="3" fillId="5" borderId="1" pivotButton="0" quotePrefix="0" xfId="0"/>
    <xf numFmtId="164" fontId="6" fillId="5" borderId="1" pivotButton="0" quotePrefix="0" xfId="0"/>
    <xf numFmtId="0" fontId="9" fillId="5" borderId="1" pivotButton="0" quotePrefix="0" xfId="0"/>
    <xf numFmtId="9" fontId="6" fillId="5" borderId="1" pivotButton="0" quotePrefix="0" xfId="0"/>
    <xf numFmtId="1" fontId="3" fillId="0" borderId="1" pivotButton="0" quotePrefix="0" xfId="0"/>
    <xf numFmtId="2" fontId="3" fillId="0" borderId="1" pivotButton="0" quotePrefix="0" xfId="0"/>
    <xf numFmtId="2" fontId="3" fillId="6" borderId="1" pivotButton="0" quotePrefix="0" xfId="0"/>
    <xf numFmtId="165" fontId="2" fillId="6" borderId="1" pivotButton="0" quotePrefix="0" xfId="0"/>
    <xf numFmtId="2" fontId="9" fillId="0" borderId="1" pivotButton="0" quotePrefix="0" xfId="0"/>
    <xf numFmtId="167" fontId="6" fillId="0" borderId="1" pivotButton="0" quotePrefix="0" xfId="0"/>
    <xf numFmtId="167" fontId="2" fillId="6" borderId="1" pivotButton="0" quotePrefix="0" xfId="0"/>
    <xf numFmtId="164" fontId="2" fillId="6" borderId="1" pivotButton="0" quotePrefix="0" xfId="0"/>
    <xf numFmtId="167" fontId="2" fillId="0" borderId="1" pivotButton="0" quotePrefix="0" xfId="0"/>
    <xf numFmtId="168" fontId="3" fillId="0" borderId="1" pivotButton="0" quotePrefix="0" xfId="0"/>
    <xf numFmtId="167" fontId="7" fillId="0" borderId="1" pivotButton="0" quotePrefix="0" xfId="0"/>
    <xf numFmtId="2" fontId="2" fillId="6" borderId="1" pivotButton="0" quotePrefix="0" xfId="0"/>
    <xf numFmtId="1" fontId="6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2" fontId="2" fillId="3" borderId="1" pivotButton="0" quotePrefix="0" xfId="0"/>
    <xf numFmtId="2" fontId="2" fillId="5" borderId="1" pivotButton="0" quotePrefix="0" xfId="0"/>
    <xf numFmtId="2" fontId="6" fillId="3" borderId="1" pivotButton="0" quotePrefix="0" xfId="0"/>
    <xf numFmtId="2" fontId="6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EMBIG Div spread (bp)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'Spread_History'!$J$6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'Spread_History'!$K$6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'Spread_History'!$L$6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'Spread_History'!$M$6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'Spread_History'!$N$6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'Spread_History'!$O$6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'Spread_History'!$P$6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'Spread_History'!$Q$6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'Spread_History'!$R$6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'Spread_History'!$S$6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'Spread_History'!$T$6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'Spread_History'!$U$6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'Spread_History'!$V$6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'Spread_History'!$W$6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'Spread_History'!$X$6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'Spread_History'!$Y$6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'Spread_History'!$Z$6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'Spread_History'!$AA$6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'Spread_History'!$AB$6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'Spread_History'!$AC$6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'Spread_History'!$AD$6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'Spread_History'!$AE$6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'Spread_History'!$AF$6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'Spread_History'!$AG$6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'Spread_History'!$AH$6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'Spread_History'!$AI$6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'Spread_History'!$AJ$6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'Spread_History'!$AK$6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'Spread_History'!$AL$6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'Spread_History'!$AM$6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'Spread_History'!$AN$6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'Spread_History'!$AO$6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'Spread_History'!$AP$6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'Spread_History'!$AQ$6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'Spread_History'!$AR$6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'Spread_History'!$AS$6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'Spread_History'!$AT$6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'Spread_History'!$AU$6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'Spread_History'!$AV$6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'Spread_History'!$AW$6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'Spread_History'!$AX$6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'Spread_History'!$AY$6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'Spread_History'!$AZ$6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'Spread_History'!$BA$6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'Spread_History'!$BB$6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'Spread_History'!$BC$6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'Spread_History'!$BD$6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'Spread_History'!$BE$6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'Spread_History'!$BF$6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'Spread_History'!$BG$6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'Spread_History'!$BH$6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'Spread_History'!$B$4:$BI$4</f>
            </numRef>
          </cat>
          <val>
            <numRef>
              <f>'Spread_History'!$BI$6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102</row>
      <rowOff>0</rowOff>
    </from>
    <ext cx="93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6" customWidth="1" min="2" max="2"/>
  </cols>
  <sheetData>
    <row r="1">
      <c r="A1" s="1" t="inlineStr">
        <is>
          <t>EMBI Global Diversified — history, attribution and forecast</t>
        </is>
      </c>
    </row>
    <row r="3">
      <c r="A3" s="2" t="inlineStr">
        <is>
          <t>Latest observation</t>
        </is>
      </c>
      <c r="B3" s="3" t="inlineStr">
        <is>
          <t>2026-09-08</t>
        </is>
      </c>
    </row>
    <row r="4">
      <c r="A4" s="2" t="inlineStr">
        <is>
          <t>YTD measured from</t>
        </is>
      </c>
      <c r="B4" s="3" t="inlineStr">
        <is>
          <t>2025-12-31 (last print of 2025)</t>
        </is>
      </c>
    </row>
    <row r="5">
      <c r="A5" s="2" t="inlineStr">
        <is>
          <t>Observations in history</t>
        </is>
      </c>
      <c r="B5" s="3" t="inlineStr">
        <is>
          <t>1,249 from 2021-09-08</t>
        </is>
      </c>
    </row>
    <row r="6">
      <c r="A6" s="2" t="inlineStr">
        <is>
          <t>Index spread (STW Trsy)</t>
        </is>
      </c>
      <c r="B6" s="3" t="inlineStr">
        <is>
          <t>173bp</t>
        </is>
      </c>
    </row>
    <row r="7">
      <c r="A7" s="2" t="inlineStr">
        <is>
          <t>Index yield</t>
        </is>
      </c>
      <c r="B7" s="3" t="inlineStr">
        <is>
          <t>6.65%</t>
        </is>
      </c>
    </row>
    <row r="8">
      <c r="A8" s="2" t="inlineStr">
        <is>
          <t>Spread duration</t>
        </is>
      </c>
      <c r="B8" s="3" t="inlineStr">
        <is>
          <t>6.22  (published)</t>
        </is>
      </c>
    </row>
    <row r="10">
      <c r="A10" s="2" t="inlineStr">
        <is>
          <t>YTD total return</t>
        </is>
      </c>
      <c r="B10" s="3" t="inlineStr">
        <is>
          <t>+2.68%</t>
        </is>
      </c>
    </row>
    <row r="11">
      <c r="A11" s="2" t="inlineStr">
        <is>
          <t>YTD spread move</t>
        </is>
      </c>
      <c r="B11" s="3" t="inlineStr">
        <is>
          <t>-80bp</t>
        </is>
      </c>
    </row>
    <row r="12">
      <c r="A12" s="2" t="inlineStr">
        <is>
          <t>YTD move in the underlying Treasury</t>
        </is>
      </c>
      <c r="B12" s="3" t="inlineStr">
        <is>
          <t>+64bp</t>
        </is>
      </c>
    </row>
    <row r="14">
      <c r="A14" s="2" t="inlineStr">
        <is>
          <t>Countries tracked</t>
        </is>
      </c>
      <c r="B14" s="3" t="n">
        <v>75</v>
      </c>
    </row>
    <row r="15">
      <c r="A15" s="2" t="inlineStr">
        <is>
          <t>Generated</t>
        </is>
      </c>
      <c r="B15" s="3" t="inlineStr">
        <is>
          <t>2026-09-09 19:04</t>
        </is>
      </c>
    </row>
    <row r="17">
      <c r="A17" s="4" t="inlineStr">
        <is>
          <t>Your history workbook is read-only and is never modified. Each run re-reads it,</t>
        </is>
      </c>
    </row>
    <row r="18">
      <c r="A18" s="4" t="inlineStr">
        <is>
          <t>adds any JPM downloads found in the folder, and writes the growing copy to</t>
        </is>
      </c>
    </row>
    <row r="19">
      <c r="A19" s="4" t="inlineStr">
        <is>
          <t>EMBI_history_extended.csv. This dashboard is rebuilt from scratch every time - delete it</t>
        </is>
      </c>
    </row>
    <row r="20">
      <c r="A20" s="4" t="inlineStr">
        <is>
          <t>and rerun and you lose nothing.</t>
        </is>
      </c>
    </row>
    <row r="21">
      <c r="A21" s="4" t="inlineStr"/>
    </row>
    <row r="22">
      <c r="A22" s="4" t="inlineStr">
        <is>
          <t>Spread attribution uses JPM's published spread duration, not one estimated from</t>
        </is>
      </c>
    </row>
    <row r="23">
      <c r="A23" s="4" t="inlineStr">
        <is>
          <t>the history: the index YTM is distorted by distressed names whose quoted yields</t>
        </is>
      </c>
    </row>
    <row r="24">
      <c r="A24" s="4" t="inlineStr">
        <is>
          <t>are arithmetic artefacts, so a regression-based duration comes out near 3.3</t>
        </is>
      </c>
    </row>
    <row r="25">
      <c r="A25" s="4" t="inlineStr">
        <is>
          <t>against a published 6.22. See the Methodology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Year to date 2026 — 2025-12-31 to 2026-09-08</t>
        </is>
      </c>
    </row>
    <row r="2">
      <c r="A2" s="4" t="inlineStr">
        <is>
          <t>Total return split into what the spread move was worth, what the Treasury move was worth, and the remainder — realised coupon, roll, rebalancing and defaults. The three legs add to the total by construction.</t>
        </is>
      </c>
    </row>
    <row r="4">
      <c r="A4" s="2" t="inlineStr">
        <is>
          <t>EMBI Global Diversified</t>
        </is>
      </c>
      <c r="B4" s="6" t="n"/>
      <c r="C4" s="6" t="n"/>
    </row>
    <row r="5">
      <c r="A5" s="7" t="inlineStr">
        <is>
          <t>Total return</t>
        </is>
      </c>
      <c r="B5" s="8" t="n">
        <v>2.683231414603848</v>
      </c>
      <c r="C5" s="4" t="inlineStr"/>
    </row>
    <row r="6">
      <c r="A6" s="7" t="inlineStr">
        <is>
          <t>Spread move (bp)</t>
        </is>
      </c>
      <c r="B6" s="9" t="n">
        <v>-80.20939999999999</v>
      </c>
      <c r="C6" s="4" t="inlineStr">
        <is>
          <t>253 -&gt; 173</t>
        </is>
      </c>
    </row>
    <row r="7">
      <c r="A7" s="7" t="inlineStr">
        <is>
          <t>Underlying Treasury move (bp)</t>
        </is>
      </c>
      <c r="B7" s="9" t="n">
        <v>64.02750000000009</v>
      </c>
      <c r="C7" s="4" t="inlineStr">
        <is>
          <t>yield less spread</t>
        </is>
      </c>
    </row>
    <row r="9">
      <c r="A9" s="10" t="inlineStr">
        <is>
          <t xml:space="preserve">  worth of the spread move</t>
        </is>
      </c>
      <c r="B9" s="8" t="n">
        <v>4.988125532625999</v>
      </c>
      <c r="C9" s="4">
        <f> -6.22 x spread change</f>
        <v/>
      </c>
    </row>
    <row r="10">
      <c r="A10" s="10" t="inlineStr">
        <is>
          <t xml:space="preserve">  worth of the rate move</t>
        </is>
      </c>
      <c r="B10" s="8" t="n">
        <v>-3.981792751725005</v>
      </c>
      <c r="C10" s="4">
        <f> -6.22 x Treasury change</f>
        <v/>
      </c>
    </row>
    <row r="11">
      <c r="A11" s="10" t="inlineStr">
        <is>
          <t xml:space="preserve">  carry, roll and residual</t>
        </is>
      </c>
      <c r="B11" s="8" t="n">
        <v>1.676898633702854</v>
      </c>
      <c r="C11" s="4" t="inlineStr">
        <is>
          <t>the remainder, not an error</t>
        </is>
      </c>
    </row>
    <row r="13">
      <c r="A13" s="2" t="inlineStr">
        <is>
          <t>JPM's own published attribution — cite this one externally</t>
        </is>
      </c>
      <c r="B13" s="6" t="n"/>
      <c r="C13" s="6" t="n"/>
    </row>
    <row r="14">
      <c r="A14" s="10" t="inlineStr">
        <is>
          <t>Total return</t>
        </is>
      </c>
      <c r="B14" s="11" t="n">
        <v>2.683231</v>
      </c>
    </row>
    <row r="15">
      <c r="A15" s="10" t="inlineStr">
        <is>
          <t>Spread return</t>
        </is>
      </c>
      <c r="B15" s="11" t="n">
        <v>3.821168</v>
      </c>
    </row>
    <row r="16">
      <c r="A16" s="10" t="inlineStr">
        <is>
          <t>UST return</t>
        </is>
      </c>
      <c r="B16" s="11" t="n">
        <v>-1.096055</v>
      </c>
    </row>
    <row r="17">
      <c r="A17" s="10" t="inlineStr">
        <is>
          <t xml:space="preserve">  our total vs JPM's</t>
        </is>
      </c>
      <c r="B17" s="12" t="n">
        <v>4.14603848142292e-07</v>
      </c>
      <c r="C17" s="4" t="inlineStr">
        <is>
          <t>reconciliation check on the total-return index</t>
        </is>
      </c>
    </row>
    <row r="19">
      <c r="A19" s="4" t="inlineStr">
        <is>
          <t>JPM's legs and ours differ: theirs are computed on the actual Treasury hedge and compound through the year, ours are a duration approximation at a single duration. Use JPM's in client work; ours travels across every date in the history, theirs does not.</t>
        </is>
      </c>
    </row>
    <row r="22">
      <c r="A22" s="2" t="inlineStr">
        <is>
          <t>Best YTD total return</t>
        </is>
      </c>
      <c r="B22" s="6" t="n"/>
      <c r="C22" s="6" t="n"/>
      <c r="D22" s="6" t="n"/>
    </row>
    <row r="23">
      <c r="B23" s="13" t="inlineStr">
        <is>
          <t>YTD return %</t>
        </is>
      </c>
      <c r="C23" s="13" t="inlineStr">
        <is>
          <t>weight %</t>
        </is>
      </c>
      <c r="D23" s="13" t="inlineStr">
        <is>
          <t>spread move bp</t>
        </is>
      </c>
    </row>
    <row r="24">
      <c r="A24" s="10" t="inlineStr">
        <is>
          <t>Venezuela</t>
        </is>
      </c>
      <c r="B24" s="11" t="n">
        <v>74.67798462944535</v>
      </c>
      <c r="C24" s="14" t="n">
        <v>1.764866</v>
      </c>
      <c r="D24" s="15" t="n">
        <v>-8717.990400000001</v>
      </c>
    </row>
    <row r="25">
      <c r="A25" s="10" t="inlineStr">
        <is>
          <t>Lebanon</t>
        </is>
      </c>
      <c r="B25" s="11" t="n">
        <v>21.67861521465342</v>
      </c>
      <c r="C25" s="14" t="n">
        <v>0.5675559999999999</v>
      </c>
      <c r="D25" s="15" t="n">
        <v>-7365.0987</v>
      </c>
    </row>
    <row r="26">
      <c r="A26" s="10" t="inlineStr">
        <is>
          <t>Mozambique</t>
        </is>
      </c>
      <c r="B26" s="11" t="n">
        <v>14.82120125318822</v>
      </c>
      <c r="C26" s="14" t="n">
        <v>0.114639</v>
      </c>
      <c r="D26" s="15" t="n">
        <v>-245.9023</v>
      </c>
    </row>
    <row r="27">
      <c r="A27" s="10" t="inlineStr">
        <is>
          <t>Angola</t>
        </is>
      </c>
      <c r="B27" s="11" t="n">
        <v>13.36519219007906</v>
      </c>
      <c r="C27" s="14" t="n">
        <v>1.788995</v>
      </c>
      <c r="D27" s="15" t="n">
        <v>-168.3601</v>
      </c>
    </row>
    <row r="28">
      <c r="A28" s="10" t="inlineStr">
        <is>
          <t>Ukraine</t>
        </is>
      </c>
      <c r="B28" s="11" t="n">
        <v>13.11537278035448</v>
      </c>
      <c r="C28" s="14" t="n">
        <v>1.873797</v>
      </c>
      <c r="D28" s="15" t="n">
        <v>-156.6937</v>
      </c>
    </row>
    <row r="29">
      <c r="A29" s="10" t="inlineStr">
        <is>
          <t>Sri Lanka</t>
        </is>
      </c>
      <c r="B29" s="11" t="n">
        <v>12.54488897254977</v>
      </c>
      <c r="C29" s="14" t="n">
        <v>1.117507</v>
      </c>
      <c r="D29" s="15" t="n">
        <v>-200.4777</v>
      </c>
    </row>
    <row r="30">
      <c r="A30" s="10" t="inlineStr">
        <is>
          <t>Bolivia</t>
        </is>
      </c>
      <c r="B30" s="11" t="n">
        <v>10.51331327223497</v>
      </c>
      <c r="C30" s="14" t="n">
        <v>0.332753</v>
      </c>
      <c r="D30" s="15" t="n">
        <v>-212.7968</v>
      </c>
    </row>
    <row r="31">
      <c r="A31" s="10" t="inlineStr">
        <is>
          <t>Cameroon</t>
        </is>
      </c>
      <c r="B31" s="11" t="n">
        <v>8.227558013618053</v>
      </c>
      <c r="C31" s="14" t="n">
        <v>0.07477</v>
      </c>
      <c r="D31" s="15" t="n">
        <v>-138.8086</v>
      </c>
    </row>
    <row r="33">
      <c r="A33" s="2" t="inlineStr">
        <is>
          <t>Worst YTD total return</t>
        </is>
      </c>
      <c r="B33" s="6" t="n"/>
      <c r="C33" s="6" t="n"/>
      <c r="D33" s="6" t="n"/>
    </row>
    <row r="34">
      <c r="B34" s="13" t="inlineStr">
        <is>
          <t>YTD return %</t>
        </is>
      </c>
      <c r="C34" s="13" t="inlineStr">
        <is>
          <t>weight %</t>
        </is>
      </c>
      <c r="D34" s="13" t="inlineStr">
        <is>
          <t>spread move bp</t>
        </is>
      </c>
    </row>
    <row r="35">
      <c r="A35" s="10" t="inlineStr">
        <is>
          <t>Bahrain</t>
        </is>
      </c>
      <c r="B35" s="11" t="n">
        <v>-1.916179827608333</v>
      </c>
      <c r="C35" s="14" t="n">
        <v>2.838575</v>
      </c>
      <c r="D35" s="15" t="n">
        <v>65.69880000000001</v>
      </c>
    </row>
    <row r="36">
      <c r="A36" s="10" t="inlineStr">
        <is>
          <t>Philippines</t>
        </is>
      </c>
      <c r="B36" s="11" t="n">
        <v>-1.899319447666092</v>
      </c>
      <c r="C36" s="14" t="n">
        <v>2.973885</v>
      </c>
      <c r="D36" s="15" t="n">
        <v>19.1789</v>
      </c>
    </row>
    <row r="37">
      <c r="A37" s="10" t="inlineStr">
        <is>
          <t>Indonesia</t>
        </is>
      </c>
      <c r="B37" s="11" t="n">
        <v>-1.756958748168425</v>
      </c>
      <c r="C37" s="14" t="n">
        <v>4.038554</v>
      </c>
      <c r="D37" s="15" t="n">
        <v>20.6944</v>
      </c>
    </row>
    <row r="38">
      <c r="A38" s="10" t="inlineStr">
        <is>
          <t>Paraguay</t>
        </is>
      </c>
      <c r="B38" s="11" t="n">
        <v>-1.612828321114113</v>
      </c>
      <c r="C38" s="14" t="n">
        <v>0.826901</v>
      </c>
      <c r="D38" s="15" t="n">
        <v>14.1994</v>
      </c>
    </row>
    <row r="39">
      <c r="A39" s="10" t="inlineStr">
        <is>
          <t>Malaysia</t>
        </is>
      </c>
      <c r="B39" s="11" t="n">
        <v>-1.31911894105734</v>
      </c>
      <c r="C39" s="14" t="n">
        <v>2.550414</v>
      </c>
      <c r="D39" s="15" t="n">
        <v>1.952300000000001</v>
      </c>
    </row>
    <row r="40">
      <c r="A40" s="10" t="inlineStr">
        <is>
          <t>Bulgaria</t>
        </is>
      </c>
      <c r="B40" s="11" t="n">
        <v>-1.072360234373293</v>
      </c>
      <c r="C40" s="14" t="n">
        <v>0.189015</v>
      </c>
      <c r="D40" s="15" t="n">
        <v>-0.8469999999999942</v>
      </c>
    </row>
    <row r="41">
      <c r="A41" s="10" t="inlineStr">
        <is>
          <t>Uruguay</t>
        </is>
      </c>
      <c r="B41" s="11" t="n">
        <v>-1.05932076479428</v>
      </c>
      <c r="C41" s="14" t="n">
        <v>2.279098</v>
      </c>
      <c r="D41" s="15" t="n">
        <v>1.207099999999997</v>
      </c>
    </row>
    <row r="42">
      <c r="A42" s="10" t="inlineStr">
        <is>
          <t>Poland</t>
        </is>
      </c>
      <c r="B42" s="11" t="n">
        <v>-0.8257879691011549</v>
      </c>
      <c r="C42" s="14" t="n">
        <v>2.980228</v>
      </c>
      <c r="D42" s="15" t="n">
        <v>6.944800000000001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3" customWidth="1" min="4" max="4"/>
    <col width="14" customWidth="1" min="5" max="5"/>
    <col width="9" customWidth="1" min="6" max="6"/>
    <col width="10" customWidth="1" min="7" max="7"/>
    <col width="12" customWidth="1" min="8" max="8"/>
    <col width="15" customWidth="1" min="9" max="9"/>
    <col width="14" customWidth="1" min="10" max="10"/>
    <col width="16" customWidth="1" min="11" max="11"/>
    <col width="12" customWidth="1" min="12" max="12"/>
    <col width="34" customWidth="1" min="13" max="13"/>
  </cols>
  <sheetData>
    <row r="1">
      <c r="A1" s="5" t="inlineStr">
        <is>
          <t>By region — YTD 2026 (2025-12-31 to 2026-09-08)</t>
        </is>
      </c>
    </row>
    <row r="2">
      <c r="A2" s="4" t="inlineStr">
        <is>
          <t>Spread and rate legs are at published duration; 'carry &amp; residual' is the remainder that makes the three add to the total. Shaded rows are flagged in the last column — the decomposition there is arithmetic, not analysis.</t>
        </is>
      </c>
    </row>
    <row r="4">
      <c r="A4" s="13" t="inlineStr"/>
      <c r="B4" s="13" t="inlineStr">
        <is>
          <t>Weight %</t>
        </is>
      </c>
      <c r="C4" s="13" t="inlineStr">
        <is>
          <t>Spread now</t>
        </is>
      </c>
      <c r="D4" s="13" t="inlineStr">
        <is>
          <t>Spread YTD bp</t>
        </is>
      </c>
      <c r="E4" s="13" t="inlineStr">
        <is>
          <t>Treasury YTD bp</t>
        </is>
      </c>
      <c r="F4" s="13" t="inlineStr">
        <is>
          <t>Yield %</t>
        </is>
      </c>
      <c r="G4" s="13" t="inlineStr">
        <is>
          <t>Duration</t>
        </is>
      </c>
      <c r="H4" s="13" t="inlineStr">
        <is>
          <t>YTD total %</t>
        </is>
      </c>
      <c r="I4" s="13" t="inlineStr">
        <is>
          <t>of which spread</t>
        </is>
      </c>
      <c r="J4" s="13" t="inlineStr">
        <is>
          <t>of which rates</t>
        </is>
      </c>
      <c r="K4" s="13" t="inlineStr">
        <is>
          <t>carry &amp; residual</t>
        </is>
      </c>
      <c r="L4" s="13" t="inlineStr">
        <is>
          <t>spread share</t>
        </is>
      </c>
      <c r="M4" s="13" t="inlineStr">
        <is>
          <t>read with care</t>
        </is>
      </c>
    </row>
    <row r="5">
      <c r="A5" s="10" t="inlineStr">
        <is>
          <t>LATIN Region</t>
        </is>
      </c>
      <c r="B5" s="16" t="n">
        <v>37.201578</v>
      </c>
      <c r="C5" s="17" t="n">
        <v>172</v>
      </c>
      <c r="D5" s="15" t="n">
        <v>-136.6951</v>
      </c>
      <c r="E5" s="15" t="n">
        <v>65.74170000000015</v>
      </c>
      <c r="F5" s="16" t="n">
        <v>6.689736</v>
      </c>
      <c r="G5" s="14" t="n">
        <v>7.094123</v>
      </c>
      <c r="H5" s="8" t="n">
        <v>4.424909520031806</v>
      </c>
      <c r="I5" s="18" t="n">
        <v>9.697318528973002</v>
      </c>
      <c r="J5" s="18" t="n">
        <v>-4.66379706029101</v>
      </c>
      <c r="K5" s="18" t="n">
        <v>-0.6086119486501858</v>
      </c>
      <c r="L5" s="19" t="n">
        <v>2.191529224512437</v>
      </c>
      <c r="M5" s="20" t="inlineStr"/>
    </row>
    <row r="6">
      <c r="A6" s="10" t="inlineStr">
        <is>
          <t>EUROPE Region</t>
        </is>
      </c>
      <c r="B6" s="16" t="n">
        <v>19.269271</v>
      </c>
      <c r="C6" s="17" t="n">
        <v>188</v>
      </c>
      <c r="D6" s="15" t="n">
        <v>-21.95320000000001</v>
      </c>
      <c r="E6" s="15" t="n">
        <v>65.74780000000003</v>
      </c>
      <c r="F6" s="16" t="n">
        <v>6.705056</v>
      </c>
      <c r="G6" s="14" t="n">
        <v>5.564653</v>
      </c>
      <c r="H6" s="8" t="n">
        <v>1.857301394858912</v>
      </c>
      <c r="I6" s="18" t="n">
        <v>1.221619402396001</v>
      </c>
      <c r="J6" s="18" t="n">
        <v>-3.658636925134001</v>
      </c>
      <c r="K6" s="18" t="n">
        <v>4.294318917596913</v>
      </c>
      <c r="L6" s="19" t="n">
        <v>0.657738913984286</v>
      </c>
      <c r="M6" s="20" t="inlineStr"/>
    </row>
    <row r="7">
      <c r="A7" s="10" t="inlineStr">
        <is>
          <t>ASIA Region</t>
        </is>
      </c>
      <c r="B7" s="16" t="n">
        <v>15.759652</v>
      </c>
      <c r="C7" s="17" t="n">
        <v>77</v>
      </c>
      <c r="D7" s="15" t="n">
        <v>-4.634799999999998</v>
      </c>
      <c r="E7" s="15" t="n">
        <v>54.40869999999993</v>
      </c>
      <c r="F7" s="16" t="n">
        <v>5.711429</v>
      </c>
      <c r="G7" s="14" t="n">
        <v>6.130849</v>
      </c>
      <c r="H7" s="8" t="n">
        <v>0.163418774994506</v>
      </c>
      <c r="I7" s="18" t="n">
        <v>0.2841525894519999</v>
      </c>
      <c r="J7" s="18" t="n">
        <v>-3.335715239862996</v>
      </c>
      <c r="K7" s="18" t="n">
        <v>3.214981425405502</v>
      </c>
      <c r="L7" s="21" t="inlineStr">
        <is>
          <t>n/m</t>
        </is>
      </c>
      <c r="M7" s="20" t="inlineStr"/>
    </row>
    <row r="8">
      <c r="A8" s="10" t="inlineStr">
        <is>
          <t>AFRICA Region</t>
        </is>
      </c>
      <c r="B8" s="16" t="n">
        <v>15.57426</v>
      </c>
      <c r="C8" s="17" t="n">
        <v>288</v>
      </c>
      <c r="D8" s="15" t="n">
        <v>-37.07069999999999</v>
      </c>
      <c r="E8" s="15" t="n">
        <v>61.62970000000003</v>
      </c>
      <c r="F8" s="16" t="n">
        <v>7.75985</v>
      </c>
      <c r="G8" s="14" t="n">
        <v>5.685877</v>
      </c>
      <c r="H8" s="8" t="n">
        <v>4.765696347444037</v>
      </c>
      <c r="I8" s="18" t="n">
        <v>2.107794405038999</v>
      </c>
      <c r="J8" s="18" t="n">
        <v>-3.504188937469002</v>
      </c>
      <c r="K8" s="18" t="n">
        <v>6.162090879874039</v>
      </c>
      <c r="L8" s="19" t="n">
        <v>0.4422846634300278</v>
      </c>
      <c r="M8" s="20" t="inlineStr"/>
    </row>
    <row r="9">
      <c r="A9" s="10" t="inlineStr">
        <is>
          <t>MIDEAST Region</t>
        </is>
      </c>
      <c r="B9" s="16" t="n">
        <v>12.195239</v>
      </c>
      <c r="C9" s="17" t="n">
        <v>137</v>
      </c>
      <c r="D9" s="15" t="n">
        <v>-128.1583</v>
      </c>
      <c r="E9" s="15" t="n">
        <v>68.2633</v>
      </c>
      <c r="F9" s="16" t="n">
        <v>6.25047</v>
      </c>
      <c r="G9" s="14" t="n">
        <v>5.456254</v>
      </c>
      <c r="H9" s="22" t="n">
        <v>0.04836897599607148</v>
      </c>
      <c r="I9" s="23" t="n">
        <v>6.992642370082</v>
      </c>
      <c r="J9" s="23" t="n">
        <v>-3.724619036782001</v>
      </c>
      <c r="K9" s="23" t="n">
        <v>-3.219654357303928</v>
      </c>
      <c r="L9" s="24" t="inlineStr">
        <is>
          <t>n/m</t>
        </is>
      </c>
      <c r="M9" s="20" t="inlineStr">
        <is>
          <t>negative carry — defaults or composition, not coupon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3" customWidth="1" min="4" max="4"/>
    <col width="14" customWidth="1" min="5" max="5"/>
    <col width="9" customWidth="1" min="6" max="6"/>
    <col width="10" customWidth="1" min="7" max="7"/>
    <col width="12" customWidth="1" min="8" max="8"/>
    <col width="15" customWidth="1" min="9" max="9"/>
    <col width="14" customWidth="1" min="10" max="10"/>
    <col width="16" customWidth="1" min="11" max="11"/>
    <col width="12" customWidth="1" min="12" max="12"/>
    <col width="34" customWidth="1" min="13" max="13"/>
  </cols>
  <sheetData>
    <row r="1">
      <c r="A1" s="5" t="inlineStr">
        <is>
          <t>By rating bucket — YTD 2026 (2025-12-31 to 2026-09-08)</t>
        </is>
      </c>
    </row>
    <row r="2">
      <c r="A2" s="4" t="inlineStr">
        <is>
          <t>Spread and rate legs are at published duration; 'carry &amp; residual' is the remainder that makes the three add to the total. Shaded rows are flagged in the last column — the decomposition there is arithmetic, not analysis.</t>
        </is>
      </c>
    </row>
    <row r="4">
      <c r="A4" s="13" t="inlineStr"/>
      <c r="B4" s="13" t="inlineStr">
        <is>
          <t>Weight %</t>
        </is>
      </c>
      <c r="C4" s="13" t="inlineStr">
        <is>
          <t>Spread now</t>
        </is>
      </c>
      <c r="D4" s="13" t="inlineStr">
        <is>
          <t>Spread YTD bp</t>
        </is>
      </c>
      <c r="E4" s="13" t="inlineStr">
        <is>
          <t>Treasury YTD bp</t>
        </is>
      </c>
      <c r="F4" s="13" t="inlineStr">
        <is>
          <t>Yield %</t>
        </is>
      </c>
      <c r="G4" s="13" t="inlineStr">
        <is>
          <t>Duration</t>
        </is>
      </c>
      <c r="H4" s="13" t="inlineStr">
        <is>
          <t>YTD total %</t>
        </is>
      </c>
      <c r="I4" s="13" t="inlineStr">
        <is>
          <t>of which spread</t>
        </is>
      </c>
      <c r="J4" s="13" t="inlineStr">
        <is>
          <t>of which rates</t>
        </is>
      </c>
      <c r="K4" s="13" t="inlineStr">
        <is>
          <t>carry &amp; residual</t>
        </is>
      </c>
      <c r="L4" s="13" t="inlineStr">
        <is>
          <t>spread share</t>
        </is>
      </c>
      <c r="M4" s="13" t="inlineStr">
        <is>
          <t>read with care</t>
        </is>
      </c>
    </row>
    <row r="5">
      <c r="A5" s="10" t="inlineStr">
        <is>
          <t>Credit Non-IG</t>
        </is>
      </c>
      <c r="B5" s="16" t="n">
        <v>52.862307</v>
      </c>
      <c r="C5" s="17" t="n">
        <v>261</v>
      </c>
      <c r="D5" s="15" t="n">
        <v>-178.7291</v>
      </c>
      <c r="E5" s="15" t="n">
        <v>71.09639999999997</v>
      </c>
      <c r="F5" s="16" t="n">
        <v>7.468113</v>
      </c>
      <c r="G5" s="14" t="n">
        <v>5.611607</v>
      </c>
      <c r="H5" s="8" t="n">
        <v>5.600487699190304</v>
      </c>
      <c r="I5" s="18" t="n">
        <v>10.029574686637</v>
      </c>
      <c r="J5" s="18" t="n">
        <v>-3.989650559147999</v>
      </c>
      <c r="K5" s="18" t="n">
        <v>-0.4394364282986989</v>
      </c>
      <c r="L5" s="19" t="n">
        <v>1.790839517081171</v>
      </c>
      <c r="M5" s="20" t="inlineStr"/>
    </row>
    <row r="6">
      <c r="A6" s="10" t="inlineStr">
        <is>
          <t>Credit IG only</t>
        </is>
      </c>
      <c r="B6" s="16" t="n">
        <v>47.137693</v>
      </c>
      <c r="C6" s="17" t="n">
        <v>96</v>
      </c>
      <c r="D6" s="15" t="n">
        <v>4.396699999999996</v>
      </c>
      <c r="E6" s="15" t="n">
        <v>54.89910000000009</v>
      </c>
      <c r="F6" s="16" t="n">
        <v>5.928778</v>
      </c>
      <c r="G6" s="14" t="n">
        <v>6.866624</v>
      </c>
      <c r="H6" s="8" t="n">
        <v>-0.3530122094281385</v>
      </c>
      <c r="I6" s="18" t="n">
        <v>-0.3019048574079997</v>
      </c>
      <c r="J6" s="18" t="n">
        <v>-3.769714776384006</v>
      </c>
      <c r="K6" s="18" t="n">
        <v>3.718607424363867</v>
      </c>
      <c r="L6" s="19" t="n">
        <v>0.8552249733715157</v>
      </c>
      <c r="M6" s="20" t="inlineStr"/>
    </row>
    <row r="7">
      <c r="A7" s="10" t="inlineStr">
        <is>
          <t>Credit BBB only</t>
        </is>
      </c>
      <c r="B7" s="16" t="n">
        <v>31.802982</v>
      </c>
      <c r="C7" s="17" t="n">
        <v>107</v>
      </c>
      <c r="D7" s="15" t="n">
        <v>-2.107100000000003</v>
      </c>
      <c r="E7" s="15" t="n">
        <v>55.17199999999995</v>
      </c>
      <c r="F7" s="16" t="n">
        <v>6.040569</v>
      </c>
      <c r="G7" s="14" t="n">
        <v>7.033178</v>
      </c>
      <c r="H7" s="8" t="n">
        <v>-0.01506108803881467</v>
      </c>
      <c r="I7" s="18" t="n">
        <v>0.1481960936380002</v>
      </c>
      <c r="J7" s="18" t="n">
        <v>-3.880344966159997</v>
      </c>
      <c r="K7" s="18" t="n">
        <v>3.717087784483182</v>
      </c>
      <c r="L7" s="21" t="inlineStr">
        <is>
          <t>n/m</t>
        </is>
      </c>
      <c r="M7" s="20" t="inlineStr"/>
    </row>
    <row r="8">
      <c r="A8" s="10" t="inlineStr">
        <is>
          <t>Credit BB only</t>
        </is>
      </c>
      <c r="B8" s="16" t="n">
        <v>25.240719</v>
      </c>
      <c r="C8" s="17" t="n">
        <v>181</v>
      </c>
      <c r="D8" s="15" t="n">
        <v>-21.90790000000001</v>
      </c>
      <c r="E8" s="15" t="n">
        <v>58.29950000000004</v>
      </c>
      <c r="F8" s="16" t="n">
        <v>6.715856</v>
      </c>
      <c r="G8" s="14" t="n">
        <v>6.154167</v>
      </c>
      <c r="H8" s="8" t="n">
        <v>2.273637070471901</v>
      </c>
      <c r="I8" s="18" t="n">
        <v>1.348248752193001</v>
      </c>
      <c r="J8" s="18" t="n">
        <v>-3.587848590165002</v>
      </c>
      <c r="K8" s="18" t="n">
        <v>4.513236908443902</v>
      </c>
      <c r="L8" s="19" t="n">
        <v>0.5929920697119735</v>
      </c>
      <c r="M8" s="20" t="inlineStr"/>
    </row>
    <row r="9">
      <c r="A9" s="10" t="inlineStr">
        <is>
          <t>Credit B only</t>
        </is>
      </c>
      <c r="B9" s="16" t="n">
        <v>20.383458</v>
      </c>
      <c r="C9" s="17" t="n">
        <v>330</v>
      </c>
      <c r="D9" s="15" t="n">
        <v>-16.21550000000002</v>
      </c>
      <c r="E9" s="15" t="n">
        <v>63.04740000000004</v>
      </c>
      <c r="F9" s="16" t="n">
        <v>8.102579</v>
      </c>
      <c r="G9" s="14" t="n">
        <v>5.092871</v>
      </c>
      <c r="H9" s="8" t="n">
        <v>3.876538058771195</v>
      </c>
      <c r="I9" s="18" t="n">
        <v>0.825834497005001</v>
      </c>
      <c r="J9" s="18" t="n">
        <v>-3.210922750854002</v>
      </c>
      <c r="K9" s="18" t="n">
        <v>6.261626312620196</v>
      </c>
      <c r="L9" s="19" t="n">
        <v>0.2130340227503863</v>
      </c>
      <c r="M9" s="20" t="inlineStr"/>
    </row>
    <row r="10">
      <c r="A10" s="10" t="inlineStr">
        <is>
          <t>Credit A only</t>
        </is>
      </c>
      <c r="B10" s="16" t="n">
        <v>15.334711</v>
      </c>
      <c r="C10" s="17" t="n">
        <v>71</v>
      </c>
      <c r="D10" s="15" t="n">
        <v>7.410499999999999</v>
      </c>
      <c r="E10" s="15" t="n">
        <v>55.08049999999996</v>
      </c>
      <c r="F10" s="16" t="n">
        <v>5.67857</v>
      </c>
      <c r="G10" s="14" t="n">
        <v>6.521203</v>
      </c>
      <c r="H10" s="8" t="n">
        <v>-0.7024870910364411</v>
      </c>
      <c r="I10" s="18" t="n">
        <v>-0.4832537483149999</v>
      </c>
      <c r="J10" s="18" t="n">
        <v>-3.591911218414997</v>
      </c>
      <c r="K10" s="18" t="n">
        <v>3.372677875693555</v>
      </c>
      <c r="L10" s="19" t="n">
        <v>0.6879183325661017</v>
      </c>
      <c r="M10" s="20" t="inlineStr"/>
    </row>
    <row r="11">
      <c r="A11" s="10" t="inlineStr">
        <is>
          <t>Credit C only</t>
        </is>
      </c>
      <c r="B11" s="16" t="n">
        <v>6.468151</v>
      </c>
      <c r="C11" s="17" t="n">
        <v>496</v>
      </c>
      <c r="D11" s="15" t="n">
        <v>-1059.3418</v>
      </c>
      <c r="E11" s="15" t="n">
        <v>89.66489999999973</v>
      </c>
      <c r="F11" s="16" t="n">
        <v>9.679141</v>
      </c>
      <c r="G11" s="14" t="n">
        <v>4.947637</v>
      </c>
      <c r="H11" s="22" t="n">
        <v>17.89095993758125</v>
      </c>
      <c r="I11" s="23" t="n">
        <v>52.412386853266</v>
      </c>
      <c r="J11" s="23" t="n">
        <v>-4.436293768412988</v>
      </c>
      <c r="K11" s="23" t="n">
        <v>-30.08513314727176</v>
      </c>
      <c r="L11" s="25" t="n">
        <v>2.929545817335939</v>
      </c>
      <c r="M11" s="20" t="inlineStr">
        <is>
          <t>spread moved 1059bp — too large for a duration split; negative carry — defaults or composition, not coupon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3" customWidth="1" min="4" max="4"/>
    <col width="14" customWidth="1" min="5" max="5"/>
    <col width="9" customWidth="1" min="6" max="6"/>
    <col width="10" customWidth="1" min="7" max="7"/>
    <col width="12" customWidth="1" min="8" max="8"/>
    <col width="15" customWidth="1" min="9" max="9"/>
    <col width="14" customWidth="1" min="10" max="10"/>
    <col width="16" customWidth="1" min="11" max="11"/>
    <col width="12" customWidth="1" min="12" max="12"/>
    <col width="34" customWidth="1" min="13" max="13"/>
  </cols>
  <sheetData>
    <row r="1">
      <c r="A1" s="5" t="inlineStr">
        <is>
          <t>By country — YTD 2026 (2025-12-31 to 2026-09-08)</t>
        </is>
      </c>
    </row>
    <row r="2">
      <c r="A2" s="4" t="inlineStr">
        <is>
          <t>Spread and rate legs are at published duration; 'carry &amp; residual' is the remainder that makes the three add to the total. Shaded rows are flagged in the last column — the decomposition there is arithmetic, not analysis.</t>
        </is>
      </c>
    </row>
    <row r="4">
      <c r="A4" s="13" t="inlineStr"/>
      <c r="B4" s="13" t="inlineStr">
        <is>
          <t>Weight %</t>
        </is>
      </c>
      <c r="C4" s="13" t="inlineStr">
        <is>
          <t>Spread now</t>
        </is>
      </c>
      <c r="D4" s="13" t="inlineStr">
        <is>
          <t>Spread YTD bp</t>
        </is>
      </c>
      <c r="E4" s="13" t="inlineStr">
        <is>
          <t>Treasury YTD bp</t>
        </is>
      </c>
      <c r="F4" s="13" t="inlineStr">
        <is>
          <t>Yield %</t>
        </is>
      </c>
      <c r="G4" s="13" t="inlineStr">
        <is>
          <t>Duration</t>
        </is>
      </c>
      <c r="H4" s="13" t="inlineStr">
        <is>
          <t>YTD total %</t>
        </is>
      </c>
      <c r="I4" s="13" t="inlineStr">
        <is>
          <t>of which spread</t>
        </is>
      </c>
      <c r="J4" s="13" t="inlineStr">
        <is>
          <t>of which rates</t>
        </is>
      </c>
      <c r="K4" s="13" t="inlineStr">
        <is>
          <t>carry &amp; residual</t>
        </is>
      </c>
      <c r="L4" s="13" t="inlineStr">
        <is>
          <t>spread share</t>
        </is>
      </c>
      <c r="M4" s="13" t="inlineStr">
        <is>
          <t>read with care</t>
        </is>
      </c>
    </row>
    <row r="5">
      <c r="A5" s="10" t="inlineStr">
        <is>
          <t>Saudi Arabia</t>
        </is>
      </c>
      <c r="B5" s="16" t="n">
        <v>5.186043</v>
      </c>
      <c r="C5" s="17" t="n">
        <v>92</v>
      </c>
      <c r="D5" s="15" t="n">
        <v>12.2854</v>
      </c>
      <c r="E5" s="15" t="n">
        <v>58.91339999999996</v>
      </c>
      <c r="F5" s="16" t="n">
        <v>5.853028</v>
      </c>
      <c r="G5" s="14" t="n">
        <v>5.963267</v>
      </c>
      <c r="H5" s="8" t="n">
        <v>-0.5907283709581157</v>
      </c>
      <c r="I5" s="18" t="n">
        <v>-0.7326112040179997</v>
      </c>
      <c r="J5" s="18" t="n">
        <v>-3.513163340777998</v>
      </c>
      <c r="K5" s="18" t="n">
        <v>3.655046173837882</v>
      </c>
      <c r="L5" s="19" t="n">
        <v>1.240182865823358</v>
      </c>
      <c r="M5" s="20" t="inlineStr"/>
    </row>
    <row r="6">
      <c r="A6" s="10" t="inlineStr">
        <is>
          <t>Mexico</t>
        </is>
      </c>
      <c r="B6" s="16" t="n">
        <v>5.123428</v>
      </c>
      <c r="C6" s="17" t="n">
        <v>198</v>
      </c>
      <c r="D6" s="15" t="n">
        <v>-24.03129999999999</v>
      </c>
      <c r="E6" s="15" t="n">
        <v>57.60309999999996</v>
      </c>
      <c r="F6" s="16" t="n">
        <v>6.960008</v>
      </c>
      <c r="G6" s="14" t="n">
        <v>7.199278</v>
      </c>
      <c r="H6" s="8" t="n">
        <v>1.639985860522875</v>
      </c>
      <c r="I6" s="18" t="n">
        <v>1.730080094013999</v>
      </c>
      <c r="J6" s="18" t="n">
        <v>-4.147007305617996</v>
      </c>
      <c r="K6" s="18" t="n">
        <v>4.056913072126871</v>
      </c>
      <c r="L6" s="19" t="n">
        <v>1.054935981864136</v>
      </c>
      <c r="M6" s="20" t="inlineStr"/>
    </row>
    <row r="7">
      <c r="A7" s="10" t="inlineStr">
        <is>
          <t>Turkey</t>
        </is>
      </c>
      <c r="B7" s="16" t="n">
        <v>4.084789</v>
      </c>
      <c r="C7" s="17" t="n">
        <v>231</v>
      </c>
      <c r="D7" s="15" t="n">
        <v>18.20009999999999</v>
      </c>
      <c r="E7" s="15" t="n">
        <v>60.88300000000002</v>
      </c>
      <c r="F7" s="16" t="n">
        <v>7.074141</v>
      </c>
      <c r="G7" s="14" t="n">
        <v>4.679953</v>
      </c>
      <c r="H7" s="8" t="n">
        <v>0.8435084222597755</v>
      </c>
      <c r="I7" s="18" t="n">
        <v>-0.8517561259529997</v>
      </c>
      <c r="J7" s="18" t="n">
        <v>-2.849295784990001</v>
      </c>
      <c r="K7" s="18" t="n">
        <v>4.544560333202776</v>
      </c>
      <c r="L7" s="19" t="n">
        <v>-1.009777855769511</v>
      </c>
      <c r="M7" s="20" t="inlineStr"/>
    </row>
    <row r="8">
      <c r="A8" s="10" t="inlineStr">
        <is>
          <t>Indonesia</t>
        </is>
      </c>
      <c r="B8" s="16" t="n">
        <v>4.038554</v>
      </c>
      <c r="C8" s="17" t="n">
        <v>93</v>
      </c>
      <c r="D8" s="15" t="n">
        <v>20.6944</v>
      </c>
      <c r="E8" s="15" t="n">
        <v>54.29040000000001</v>
      </c>
      <c r="F8" s="16" t="n">
        <v>5.931208</v>
      </c>
      <c r="G8" s="14" t="n">
        <v>6.965912</v>
      </c>
      <c r="H8" s="8" t="n">
        <v>-1.756958748168425</v>
      </c>
      <c r="I8" s="18" t="n">
        <v>-1.441553692928</v>
      </c>
      <c r="J8" s="18" t="n">
        <v>-3.781821488448001</v>
      </c>
      <c r="K8" s="18" t="n">
        <v>3.466416433207576</v>
      </c>
      <c r="L8" s="19" t="n">
        <v>0.8204823786732476</v>
      </c>
      <c r="M8" s="20" t="inlineStr"/>
    </row>
    <row r="9">
      <c r="A9" s="10" t="inlineStr">
        <is>
          <t>China</t>
        </is>
      </c>
      <c r="B9" s="16" t="n">
        <v>3.236778</v>
      </c>
      <c r="C9" s="17" t="n">
        <v>2</v>
      </c>
      <c r="D9" s="15" t="n">
        <v>-2.3627</v>
      </c>
      <c r="E9" s="15" t="n">
        <v>27.68199999999998</v>
      </c>
      <c r="F9" s="16" t="n">
        <v>4.859323</v>
      </c>
      <c r="G9" s="14" t="n">
        <v>3.877586</v>
      </c>
      <c r="H9" s="8" t="n">
        <v>0.376345225698782</v>
      </c>
      <c r="I9" s="18" t="n">
        <v>0.091615724422</v>
      </c>
      <c r="J9" s="18" t="n">
        <v>-1.073393356519999</v>
      </c>
      <c r="K9" s="18" t="n">
        <v>1.358122857796781</v>
      </c>
      <c r="L9" s="19" t="n">
        <v>0.2434353305582441</v>
      </c>
      <c r="M9" s="20" t="inlineStr"/>
    </row>
    <row r="10">
      <c r="A10" s="10" t="inlineStr">
        <is>
          <t>Brazil</t>
        </is>
      </c>
      <c r="B10" s="16" t="n">
        <v>3.21829</v>
      </c>
      <c r="C10" s="17" t="n">
        <v>170</v>
      </c>
      <c r="D10" s="15" t="n">
        <v>-26.58629999999999</v>
      </c>
      <c r="E10" s="15" t="n">
        <v>59.73749999999995</v>
      </c>
      <c r="F10" s="16" t="n">
        <v>6.615152</v>
      </c>
      <c r="G10" s="14" t="n">
        <v>6.489121</v>
      </c>
      <c r="H10" s="8" t="n">
        <v>2.306037337229361</v>
      </c>
      <c r="I10" s="18" t="n">
        <v>1.725217176423</v>
      </c>
      <c r="J10" s="18" t="n">
        <v>-3.876438657374997</v>
      </c>
      <c r="K10" s="18" t="n">
        <v>4.457258818181359</v>
      </c>
      <c r="L10" s="19" t="n">
        <v>0.7481306345611037</v>
      </c>
      <c r="M10" s="20" t="inlineStr"/>
    </row>
    <row r="11">
      <c r="A11" s="10" t="inlineStr">
        <is>
          <t>Chile</t>
        </is>
      </c>
      <c r="B11" s="16" t="n">
        <v>3.00295</v>
      </c>
      <c r="C11" s="17" t="n">
        <v>88</v>
      </c>
      <c r="D11" s="15" t="n">
        <v>2.171499999999995</v>
      </c>
      <c r="E11" s="15" t="n">
        <v>48.58590000000005</v>
      </c>
      <c r="F11" s="16" t="n">
        <v>5.944234</v>
      </c>
      <c r="G11" s="14" t="n">
        <v>8.52966</v>
      </c>
      <c r="H11" s="8" t="n">
        <v>-0.7364247194313056</v>
      </c>
      <c r="I11" s="18" t="n">
        <v>-0.1852215668999995</v>
      </c>
      <c r="J11" s="18" t="n">
        <v>-4.144212077940004</v>
      </c>
      <c r="K11" s="18" t="n">
        <v>3.593008925408698</v>
      </c>
      <c r="L11" s="19" t="n">
        <v>0.251514597504324</v>
      </c>
      <c r="M11" s="20" t="inlineStr"/>
    </row>
    <row r="12">
      <c r="A12" s="10" t="inlineStr">
        <is>
          <t>Poland</t>
        </is>
      </c>
      <c r="B12" s="16" t="n">
        <v>2.980228</v>
      </c>
      <c r="C12" s="17" t="n">
        <v>92</v>
      </c>
      <c r="D12" s="15" t="n">
        <v>6.944800000000001</v>
      </c>
      <c r="E12" s="15" t="n">
        <v>58.58679999999996</v>
      </c>
      <c r="F12" s="16" t="n">
        <v>5.875486</v>
      </c>
      <c r="G12" s="14" t="n">
        <v>7.247525</v>
      </c>
      <c r="H12" s="8" t="n">
        <v>-0.8257879691011549</v>
      </c>
      <c r="I12" s="18" t="n">
        <v>-0.5033261162000001</v>
      </c>
      <c r="J12" s="18" t="n">
        <v>-4.246092976699997</v>
      </c>
      <c r="K12" s="18" t="n">
        <v>3.923631123798843</v>
      </c>
      <c r="L12" s="19" t="n">
        <v>0.6095101103832443</v>
      </c>
      <c r="M12" s="20" t="inlineStr"/>
    </row>
    <row r="13">
      <c r="A13" s="10" t="inlineStr">
        <is>
          <t>Philippines</t>
        </is>
      </c>
      <c r="B13" s="16" t="n">
        <v>2.973885</v>
      </c>
      <c r="C13" s="17" t="n">
        <v>78</v>
      </c>
      <c r="D13" s="15" t="n">
        <v>19.1789</v>
      </c>
      <c r="E13" s="15" t="n">
        <v>56.5703</v>
      </c>
      <c r="F13" s="16" t="n">
        <v>5.750072</v>
      </c>
      <c r="G13" s="14" t="n">
        <v>7.099961</v>
      </c>
      <c r="H13" s="8" t="n">
        <v>-1.899319447666092</v>
      </c>
      <c r="I13" s="18" t="n">
        <v>-1.361694420229</v>
      </c>
      <c r="J13" s="18" t="n">
        <v>-4.016469237583001</v>
      </c>
      <c r="K13" s="18" t="n">
        <v>3.478844210145909</v>
      </c>
      <c r="L13" s="19" t="n">
        <v>0.7169380705822116</v>
      </c>
      <c r="M13" s="20" t="inlineStr"/>
    </row>
    <row r="14">
      <c r="A14" s="10" t="inlineStr">
        <is>
          <t>Dominican Republic</t>
        </is>
      </c>
      <c r="B14" s="16" t="n">
        <v>2.88623</v>
      </c>
      <c r="C14" s="17" t="n">
        <v>162</v>
      </c>
      <c r="D14" s="15" t="n">
        <v>-6.847700000000003</v>
      </c>
      <c r="E14" s="15" t="n">
        <v>56.39059999999994</v>
      </c>
      <c r="F14" s="16" t="n">
        <v>6.594669</v>
      </c>
      <c r="G14" s="14" t="n">
        <v>7.343042</v>
      </c>
      <c r="H14" s="8" t="n">
        <v>0.7567331283112821</v>
      </c>
      <c r="I14" s="18" t="n">
        <v>0.5028294870340002</v>
      </c>
      <c r="J14" s="18" t="n">
        <v>-4.140785442051995</v>
      </c>
      <c r="K14" s="18" t="n">
        <v>4.394689083329277</v>
      </c>
      <c r="L14" s="19" t="n">
        <v>0.6644739977964349</v>
      </c>
      <c r="M14" s="20" t="inlineStr"/>
    </row>
    <row r="15">
      <c r="A15" s="10" t="inlineStr">
        <is>
          <t>Oman</t>
        </is>
      </c>
      <c r="B15" s="16" t="n">
        <v>2.880407</v>
      </c>
      <c r="C15" s="17" t="n">
        <v>96</v>
      </c>
      <c r="D15" s="15" t="n">
        <v>-1.298500000000004</v>
      </c>
      <c r="E15" s="15" t="n">
        <v>61.67350000000003</v>
      </c>
      <c r="F15" s="16" t="n">
        <v>5.88296</v>
      </c>
      <c r="G15" s="14" t="n">
        <v>5.392383</v>
      </c>
      <c r="H15" s="8" t="n">
        <v>0.5426982016247583</v>
      </c>
      <c r="I15" s="18" t="n">
        <v>0.07002009325500022</v>
      </c>
      <c r="J15" s="18" t="n">
        <v>-3.325671329505001</v>
      </c>
      <c r="K15" s="18" t="n">
        <v>3.79834943787476</v>
      </c>
      <c r="L15" s="19" t="n">
        <v>0.1290221582554915</v>
      </c>
      <c r="M15" s="20" t="inlineStr"/>
    </row>
    <row r="16">
      <c r="A16" s="10" t="inlineStr">
        <is>
          <t>Hungary</t>
        </is>
      </c>
      <c r="B16" s="16" t="n">
        <v>2.860849</v>
      </c>
      <c r="C16" s="17" t="n">
        <v>95</v>
      </c>
      <c r="D16" s="15" t="n">
        <v>-32.6232</v>
      </c>
      <c r="E16" s="15" t="n">
        <v>60.9521</v>
      </c>
      <c r="F16" s="16" t="n">
        <v>5.849979</v>
      </c>
      <c r="G16" s="14" t="n">
        <v>5.90676</v>
      </c>
      <c r="H16" s="8" t="n">
        <v>2.190723465212274</v>
      </c>
      <c r="I16" s="18" t="n">
        <v>1.92697412832</v>
      </c>
      <c r="J16" s="18" t="n">
        <v>-3.60029426196</v>
      </c>
      <c r="K16" s="18" t="n">
        <v>3.864043598852275</v>
      </c>
      <c r="L16" s="19" t="n">
        <v>0.8796062848275933</v>
      </c>
      <c r="M16" s="20" t="inlineStr"/>
    </row>
    <row r="17">
      <c r="A17" s="10" t="inlineStr">
        <is>
          <t>Egypt</t>
        </is>
      </c>
      <c r="B17" s="16" t="n">
        <v>2.847937</v>
      </c>
      <c r="C17" s="17" t="n">
        <v>329</v>
      </c>
      <c r="D17" s="15" t="n">
        <v>-8.101299999999981</v>
      </c>
      <c r="E17" s="15" t="n">
        <v>57.14319999999997</v>
      </c>
      <c r="F17" s="16" t="n">
        <v>8.230349</v>
      </c>
      <c r="G17" s="14" t="n">
        <v>5.987502</v>
      </c>
      <c r="H17" s="8" t="n">
        <v>2.266733072432014</v>
      </c>
      <c r="I17" s="18" t="n">
        <v>0.4850654995259988</v>
      </c>
      <c r="J17" s="18" t="n">
        <v>-3.421450242863998</v>
      </c>
      <c r="K17" s="18" t="n">
        <v>5.203117815770014</v>
      </c>
      <c r="L17" s="19" t="n">
        <v>0.2139932157982608</v>
      </c>
      <c r="M17" s="20" t="inlineStr"/>
    </row>
    <row r="18">
      <c r="A18" s="10" t="inlineStr">
        <is>
          <t>Colombia</t>
        </is>
      </c>
      <c r="B18" s="16" t="n">
        <v>2.844247</v>
      </c>
      <c r="C18" s="17" t="n">
        <v>202</v>
      </c>
      <c r="D18" s="15" t="n">
        <v>-72.59370000000001</v>
      </c>
      <c r="E18" s="15" t="n">
        <v>51.57589999999992</v>
      </c>
      <c r="F18" s="16" t="n">
        <v>6.891822</v>
      </c>
      <c r="G18" s="14" t="n">
        <v>5.937888</v>
      </c>
      <c r="H18" s="8" t="n">
        <v>5.374636599402982</v>
      </c>
      <c r="I18" s="18" t="n">
        <v>4.310532601056001</v>
      </c>
      <c r="J18" s="18" t="n">
        <v>-3.062519176991995</v>
      </c>
      <c r="K18" s="18" t="n">
        <v>4.126623175338977</v>
      </c>
      <c r="L18" s="19" t="n">
        <v>0.8020137773658628</v>
      </c>
      <c r="M18" s="20" t="inlineStr"/>
    </row>
    <row r="19">
      <c r="A19" s="10" t="inlineStr">
        <is>
          <t>Bahrain</t>
        </is>
      </c>
      <c r="B19" s="16" t="n">
        <v>2.838575</v>
      </c>
      <c r="C19" s="17" t="n">
        <v>268</v>
      </c>
      <c r="D19" s="15" t="n">
        <v>65.69880000000001</v>
      </c>
      <c r="E19" s="15" t="n">
        <v>69.19029999999999</v>
      </c>
      <c r="F19" s="16" t="n">
        <v>7.430451</v>
      </c>
      <c r="G19" s="14" t="n">
        <v>4.963646</v>
      </c>
      <c r="H19" s="8" t="n">
        <v>-1.916179827608333</v>
      </c>
      <c r="I19" s="18" t="n">
        <v>-3.261055858248</v>
      </c>
      <c r="J19" s="18" t="n">
        <v>-3.434361558337999</v>
      </c>
      <c r="K19" s="18" t="n">
        <v>4.779237588977667</v>
      </c>
      <c r="L19" s="19" t="n">
        <v>1.701852723456684</v>
      </c>
      <c r="M19" s="20" t="inlineStr"/>
    </row>
    <row r="20">
      <c r="A20" s="10" t="inlineStr">
        <is>
          <t>South Africa</t>
        </is>
      </c>
      <c r="B20" s="16" t="n">
        <v>2.816591</v>
      </c>
      <c r="C20" s="17" t="n">
        <v>186</v>
      </c>
      <c r="D20" s="15" t="n">
        <v>-25.95050000000001</v>
      </c>
      <c r="E20" s="15" t="n">
        <v>55.69069999999998</v>
      </c>
      <c r="F20" s="16" t="n">
        <v>6.893012</v>
      </c>
      <c r="G20" s="14" t="n">
        <v>6.908109</v>
      </c>
      <c r="H20" s="8" t="n">
        <v>2.470805435592505</v>
      </c>
      <c r="I20" s="18" t="n">
        <v>1.792688826045</v>
      </c>
      <c r="J20" s="18" t="n">
        <v>-3.847174258862998</v>
      </c>
      <c r="K20" s="18" t="n">
        <v>4.525290868410503</v>
      </c>
      <c r="L20" s="19" t="n">
        <v>0.7255483577221084</v>
      </c>
      <c r="M20" s="20" t="inlineStr"/>
    </row>
    <row r="21">
      <c r="A21" s="10" t="inlineStr">
        <is>
          <t>Romania</t>
        </is>
      </c>
      <c r="B21" s="16" t="n">
        <v>2.760468</v>
      </c>
      <c r="C21" s="17" t="n">
        <v>173</v>
      </c>
      <c r="D21" s="15" t="n">
        <v>7.709399999999988</v>
      </c>
      <c r="E21" s="15" t="n">
        <v>61.57129999999995</v>
      </c>
      <c r="F21" s="16" t="n">
        <v>6.594697</v>
      </c>
      <c r="G21" s="14" t="n">
        <v>5.990676</v>
      </c>
      <c r="H21" s="8" t="n">
        <v>0.304505381066944</v>
      </c>
      <c r="I21" s="18" t="n">
        <v>-0.4618451755439992</v>
      </c>
      <c r="J21" s="18" t="n">
        <v>-3.688537091987997</v>
      </c>
      <c r="K21" s="18" t="n">
        <v>4.45488764859894</v>
      </c>
      <c r="L21" s="19" t="n">
        <v>-1.516706121664447</v>
      </c>
      <c r="M21" s="20" t="inlineStr"/>
    </row>
    <row r="22">
      <c r="A22" s="10" t="inlineStr">
        <is>
          <t>Panama</t>
        </is>
      </c>
      <c r="B22" s="16" t="n">
        <v>2.713131</v>
      </c>
      <c r="C22" s="17" t="n">
        <v>123</v>
      </c>
      <c r="D22" s="15" t="n">
        <v>-32.0309</v>
      </c>
      <c r="E22" s="15" t="n">
        <v>52.51739999999998</v>
      </c>
      <c r="F22" s="16" t="n">
        <v>6.252085</v>
      </c>
      <c r="G22" s="14" t="n">
        <v>8.204592</v>
      </c>
      <c r="H22" s="8" t="n">
        <v>2.641895831914676</v>
      </c>
      <c r="I22" s="18" t="n">
        <v>2.628004658928</v>
      </c>
      <c r="J22" s="18" t="n">
        <v>-4.308838399007998</v>
      </c>
      <c r="K22" s="18" t="n">
        <v>4.322729571994674</v>
      </c>
      <c r="L22" s="19" t="n">
        <v>0.9947419679387555</v>
      </c>
      <c r="M22" s="20" t="inlineStr"/>
    </row>
    <row r="23">
      <c r="A23" s="10" t="inlineStr">
        <is>
          <t>Argentina</t>
        </is>
      </c>
      <c r="B23" s="16" t="n">
        <v>2.698095</v>
      </c>
      <c r="C23" s="17" t="n">
        <v>497</v>
      </c>
      <c r="D23" s="15" t="n">
        <v>-63.5453</v>
      </c>
      <c r="E23" s="15" t="n">
        <v>74.02040000000002</v>
      </c>
      <c r="F23" s="16" t="n">
        <v>9.646461</v>
      </c>
      <c r="G23" s="14" t="n">
        <v>4.342971</v>
      </c>
      <c r="H23" s="8" t="n">
        <v>6.319174442801057</v>
      </c>
      <c r="I23" s="18" t="n">
        <v>2.759753950863</v>
      </c>
      <c r="J23" s="18" t="n">
        <v>-3.214684506084001</v>
      </c>
      <c r="K23" s="18" t="n">
        <v>6.774104998022057</v>
      </c>
      <c r="L23" s="19" t="n">
        <v>0.4367269768928397</v>
      </c>
      <c r="M23" s="20" t="inlineStr"/>
    </row>
    <row r="24">
      <c r="A24" s="10" t="inlineStr">
        <is>
          <t>Nigeria</t>
        </is>
      </c>
      <c r="B24" s="16" t="n">
        <v>2.639026</v>
      </c>
      <c r="C24" s="17" t="n">
        <v>251</v>
      </c>
      <c r="D24" s="15" t="n">
        <v>-76.05349999999999</v>
      </c>
      <c r="E24" s="15" t="n">
        <v>64.83030000000002</v>
      </c>
      <c r="F24" s="16" t="n">
        <v>7.381058</v>
      </c>
      <c r="G24" s="14" t="n">
        <v>5.526497</v>
      </c>
      <c r="H24" s="8" t="n">
        <v>6.079380556776615</v>
      </c>
      <c r="I24" s="18" t="n">
        <v>4.203094395894999</v>
      </c>
      <c r="J24" s="18" t="n">
        <v>-3.582844584591002</v>
      </c>
      <c r="K24" s="18" t="n">
        <v>5.459130745472617</v>
      </c>
      <c r="L24" s="19" t="n">
        <v>0.6913688584949429</v>
      </c>
      <c r="M24" s="20" t="inlineStr"/>
    </row>
    <row r="25">
      <c r="A25" s="10" t="inlineStr">
        <is>
          <t>Malaysia</t>
        </is>
      </c>
      <c r="B25" s="16" t="n">
        <v>2.550414</v>
      </c>
      <c r="C25" s="17" t="n">
        <v>57</v>
      </c>
      <c r="D25" s="15" t="n">
        <v>1.952300000000001</v>
      </c>
      <c r="E25" s="15" t="n">
        <v>51.07289999999995</v>
      </c>
      <c r="F25" s="16" t="n">
        <v>5.619872</v>
      </c>
      <c r="G25" s="14" t="n">
        <v>8.139343999999999</v>
      </c>
      <c r="H25" s="8" t="n">
        <v>-1.31911894105734</v>
      </c>
      <c r="I25" s="18" t="n">
        <v>-0.1589044129120001</v>
      </c>
      <c r="J25" s="18" t="n">
        <v>-4.156999021775996</v>
      </c>
      <c r="K25" s="18" t="n">
        <v>2.996784493630656</v>
      </c>
      <c r="L25" s="19" t="n">
        <v>0.1204625359898405</v>
      </c>
      <c r="M25" s="20" t="inlineStr"/>
    </row>
    <row r="26">
      <c r="A26" s="10" t="inlineStr">
        <is>
          <t>Peru</t>
        </is>
      </c>
      <c r="B26" s="16" t="n">
        <v>2.536391</v>
      </c>
      <c r="C26" s="17" t="n">
        <v>107</v>
      </c>
      <c r="D26" s="15" t="n">
        <v>-27.7697</v>
      </c>
      <c r="E26" s="15" t="n">
        <v>53.44639999999998</v>
      </c>
      <c r="F26" s="16" t="n">
        <v>6.115677</v>
      </c>
      <c r="G26" s="14" t="n">
        <v>9.049595</v>
      </c>
      <c r="H26" s="8" t="n">
        <v>1.654956661833751</v>
      </c>
      <c r="I26" s="18" t="n">
        <v>2.513045382715</v>
      </c>
      <c r="J26" s="18" t="n">
        <v>-4.836682742079998</v>
      </c>
      <c r="K26" s="18" t="n">
        <v>3.978594021198749</v>
      </c>
      <c r="L26" s="19" t="n">
        <v>1.51849618825091</v>
      </c>
      <c r="M26" s="20" t="inlineStr"/>
    </row>
    <row r="27">
      <c r="A27" s="10" t="inlineStr">
        <is>
          <t>Uruguay</t>
        </is>
      </c>
      <c r="B27" s="16" t="n">
        <v>2.279098</v>
      </c>
      <c r="C27" s="17" t="n">
        <v>69</v>
      </c>
      <c r="D27" s="15" t="n">
        <v>1.207099999999997</v>
      </c>
      <c r="E27" s="15" t="n">
        <v>51.74949999999994</v>
      </c>
      <c r="F27" s="16" t="n">
        <v>5.754696</v>
      </c>
      <c r="G27" s="14" t="n">
        <v>8.625964</v>
      </c>
      <c r="H27" s="8" t="n">
        <v>-1.05932076479428</v>
      </c>
      <c r="I27" s="18" t="n">
        <v>-0.1041240114439997</v>
      </c>
      <c r="J27" s="18" t="n">
        <v>-4.463893240179995</v>
      </c>
      <c r="K27" s="18" t="n">
        <v>3.508696486829714</v>
      </c>
      <c r="L27" s="19" t="n">
        <v>0.09829318456173242</v>
      </c>
      <c r="M27" s="20" t="inlineStr"/>
    </row>
    <row r="28">
      <c r="A28" s="10" t="inlineStr">
        <is>
          <t>Ukraine</t>
        </is>
      </c>
      <c r="B28" s="16" t="n">
        <v>1.873797</v>
      </c>
      <c r="C28" s="17" t="n">
        <v>753</v>
      </c>
      <c r="D28" s="15" t="n">
        <v>-156.6937</v>
      </c>
      <c r="E28" s="15" t="n">
        <v>66.9029000000001</v>
      </c>
      <c r="F28" s="16" t="n">
        <v>12.191102</v>
      </c>
      <c r="G28" s="14" t="n">
        <v>5.07487</v>
      </c>
      <c r="H28" s="8" t="n">
        <v>13.11537278035448</v>
      </c>
      <c r="I28" s="18" t="n">
        <v>7.952001573190001</v>
      </c>
      <c r="J28" s="18" t="n">
        <v>-3.395235201230005</v>
      </c>
      <c r="K28" s="18" t="n">
        <v>8.558606408394487</v>
      </c>
      <c r="L28" s="19" t="n">
        <v>0.6063115175118243</v>
      </c>
      <c r="M28" s="20" t="inlineStr"/>
    </row>
    <row r="29">
      <c r="A29" s="10" t="inlineStr">
        <is>
          <t>Kazakhstan</t>
        </is>
      </c>
      <c r="B29" s="16" t="n">
        <v>1.821772</v>
      </c>
      <c r="C29" s="17" t="n">
        <v>74</v>
      </c>
      <c r="D29" s="15" t="n">
        <v>-8.838899999999995</v>
      </c>
      <c r="E29" s="15" t="n">
        <v>62.53129999999993</v>
      </c>
      <c r="F29" s="16" t="n">
        <v>5.592524</v>
      </c>
      <c r="G29" s="14" t="n">
        <v>5.956082</v>
      </c>
      <c r="H29" s="8" t="n">
        <v>0.8661749077594427</v>
      </c>
      <c r="I29" s="18" t="n">
        <v>0.5264521318979998</v>
      </c>
      <c r="J29" s="18" t="n">
        <v>-3.724415503665996</v>
      </c>
      <c r="K29" s="18" t="n">
        <v>4.064138279527439</v>
      </c>
      <c r="L29" s="19" t="n">
        <v>0.6077896359983311</v>
      </c>
      <c r="M29" s="20" t="inlineStr"/>
    </row>
    <row r="30">
      <c r="A30" s="10" t="inlineStr">
        <is>
          <t>Ecuador</t>
        </is>
      </c>
      <c r="B30" s="16" t="n">
        <v>1.798609</v>
      </c>
      <c r="C30" s="17" t="n">
        <v>424</v>
      </c>
      <c r="D30" s="15" t="n">
        <v>-67.99279999999999</v>
      </c>
      <c r="E30" s="15" t="n">
        <v>76.20239999999994</v>
      </c>
      <c r="F30" s="16" t="n">
        <v>8.990176</v>
      </c>
      <c r="G30" s="14" t="n">
        <v>5.584254</v>
      </c>
      <c r="H30" s="8" t="n">
        <v>6.830408299963753</v>
      </c>
      <c r="I30" s="18" t="n">
        <v>3.796890653711999</v>
      </c>
      <c r="J30" s="18" t="n">
        <v>-4.255335570095996</v>
      </c>
      <c r="K30" s="18" t="n">
        <v>7.28885321634775</v>
      </c>
      <c r="L30" s="19" t="n">
        <v>0.5558804813662674</v>
      </c>
      <c r="M30" s="20" t="inlineStr"/>
    </row>
    <row r="31">
      <c r="A31" s="10" t="inlineStr">
        <is>
          <t>Angola</t>
        </is>
      </c>
      <c r="B31" s="16" t="n">
        <v>1.788995</v>
      </c>
      <c r="C31" s="17" t="n">
        <v>392</v>
      </c>
      <c r="D31" s="15" t="n">
        <v>-168.3601</v>
      </c>
      <c r="E31" s="15" t="n">
        <v>67.23419999999996</v>
      </c>
      <c r="F31" s="16" t="n">
        <v>8.748721</v>
      </c>
      <c r="G31" s="14" t="n">
        <v>5.297822</v>
      </c>
      <c r="H31" s="8" t="n">
        <v>13.36519219007906</v>
      </c>
      <c r="I31" s="18" t="n">
        <v>8.919418417021999</v>
      </c>
      <c r="J31" s="18" t="n">
        <v>-3.561948239123998</v>
      </c>
      <c r="K31" s="18" t="n">
        <v>8.007722012181056</v>
      </c>
      <c r="L31" s="19" t="n">
        <v>0.6673617775315538</v>
      </c>
      <c r="M31" s="20" t="inlineStr"/>
    </row>
    <row r="32">
      <c r="A32" s="10" t="inlineStr">
        <is>
          <t>Venezuela</t>
        </is>
      </c>
      <c r="B32" s="16" t="n">
        <v>1.764866</v>
      </c>
      <c r="C32" s="17" t="n">
        <v>4023</v>
      </c>
      <c r="D32" s="15" t="n">
        <v>-8717.990400000001</v>
      </c>
      <c r="E32" s="15" t="n">
        <v>-48.51169999999954</v>
      </c>
      <c r="F32" s="16" t="n">
        <v>43.236069</v>
      </c>
      <c r="G32" s="14" t="n">
        <v>1.387009</v>
      </c>
      <c r="H32" s="22" t="n">
        <v>74.67798462944535</v>
      </c>
      <c r="I32" s="23" t="n">
        <v>120.919311467136</v>
      </c>
      <c r="J32" s="23" t="n">
        <v>0.6728616450529935</v>
      </c>
      <c r="K32" s="23" t="n">
        <v>-46.91418848274365</v>
      </c>
      <c r="L32" s="25" t="n">
        <v>1.619209624725971</v>
      </c>
      <c r="M32" s="20" t="inlineStr">
        <is>
          <t>spread moved 8718bp — too large for a duration split; negative carry — defaults or composition, not coupon</t>
        </is>
      </c>
    </row>
    <row r="33">
      <c r="A33" s="10" t="inlineStr">
        <is>
          <t>Kenya</t>
        </is>
      </c>
      <c r="B33" s="16" t="n">
        <v>1.290015</v>
      </c>
      <c r="C33" s="17" t="n">
        <v>363</v>
      </c>
      <c r="D33" s="15" t="n">
        <v>-31.31509999999997</v>
      </c>
      <c r="E33" s="15" t="n">
        <v>69.30590000000008</v>
      </c>
      <c r="F33" s="16" t="n">
        <v>8.408358</v>
      </c>
      <c r="G33" s="14" t="n">
        <v>5.507169</v>
      </c>
      <c r="H33" s="8" t="n">
        <v>4.757742529271569</v>
      </c>
      <c r="I33" s="18" t="n">
        <v>1.724575479518999</v>
      </c>
      <c r="J33" s="18" t="n">
        <v>-3.816793039971004</v>
      </c>
      <c r="K33" s="18" t="n">
        <v>6.849960089723576</v>
      </c>
      <c r="L33" s="19" t="n">
        <v>0.3624776811499799</v>
      </c>
      <c r="M33" s="20" t="inlineStr"/>
    </row>
    <row r="34">
      <c r="A34" s="10" t="inlineStr">
        <is>
          <t>Guatemala</t>
        </is>
      </c>
      <c r="B34" s="16" t="n">
        <v>1.27779</v>
      </c>
      <c r="C34" s="17" t="n">
        <v>116</v>
      </c>
      <c r="D34" s="15" t="n">
        <v>-25.20009999999999</v>
      </c>
      <c r="E34" s="15" t="n">
        <v>59.87960000000001</v>
      </c>
      <c r="F34" s="16" t="n">
        <v>6.084055</v>
      </c>
      <c r="G34" s="14" t="n">
        <v>6.496506</v>
      </c>
      <c r="H34" s="8" t="n">
        <v>1.887715988248173</v>
      </c>
      <c r="I34" s="18" t="n">
        <v>1.637126008506</v>
      </c>
      <c r="J34" s="18" t="n">
        <v>-3.890081806776001</v>
      </c>
      <c r="K34" s="18" t="n">
        <v>4.140671786518174</v>
      </c>
      <c r="L34" s="19" t="n">
        <v>0.8672522872602649</v>
      </c>
      <c r="M34" s="20" t="inlineStr"/>
    </row>
    <row r="35">
      <c r="A35" s="10" t="inlineStr">
        <is>
          <t>Sri Lanka</t>
        </is>
      </c>
      <c r="B35" s="16" t="n">
        <v>1.117507</v>
      </c>
      <c r="C35" s="17" t="n">
        <v>91</v>
      </c>
      <c r="D35" s="15" t="n">
        <v>-200.4777</v>
      </c>
      <c r="E35" s="15" t="n">
        <v>69.6928999999999</v>
      </c>
      <c r="F35" s="16" t="n">
        <v>5.654112</v>
      </c>
      <c r="G35" s="14" t="n">
        <v>5.635882</v>
      </c>
      <c r="H35" s="22" t="n">
        <v>12.54488897254977</v>
      </c>
      <c r="I35" s="23" t="n">
        <v>11.298686608314</v>
      </c>
      <c r="J35" s="23" t="n">
        <v>-3.927809606377994</v>
      </c>
      <c r="K35" s="23" t="n">
        <v>5.174011970613765</v>
      </c>
      <c r="L35" s="25" t="n">
        <v>0.9006605505267794</v>
      </c>
      <c r="M35" s="20" t="inlineStr">
        <is>
          <t>spread moved 200bp — too large for a duration split</t>
        </is>
      </c>
    </row>
    <row r="36">
      <c r="A36" s="10" t="inlineStr">
        <is>
          <t>Costa Rica</t>
        </is>
      </c>
      <c r="B36" s="16" t="n">
        <v>1.05795</v>
      </c>
      <c r="C36" s="17" t="n">
        <v>130</v>
      </c>
      <c r="D36" s="15" t="n">
        <v>-10.7577</v>
      </c>
      <c r="E36" s="15" t="n">
        <v>54.6913</v>
      </c>
      <c r="F36" s="16" t="n">
        <v>6.372856</v>
      </c>
      <c r="G36" s="14" t="n">
        <v>8.358677</v>
      </c>
      <c r="H36" s="8" t="n">
        <v>0.6284181205630013</v>
      </c>
      <c r="I36" s="18" t="n">
        <v>0.899201395629</v>
      </c>
      <c r="J36" s="18" t="n">
        <v>-4.571469114101</v>
      </c>
      <c r="K36" s="18" t="n">
        <v>4.300685839035001</v>
      </c>
      <c r="L36" s="19" t="n">
        <v>1.430896669280325</v>
      </c>
      <c r="M36" s="20" t="inlineStr"/>
    </row>
    <row r="37">
      <c r="A37" s="10" t="inlineStr">
        <is>
          <t>Cote d Ivoire</t>
        </is>
      </c>
      <c r="B37" s="16" t="n">
        <v>0.958341</v>
      </c>
      <c r="C37" s="17" t="n">
        <v>215</v>
      </c>
      <c r="D37" s="15" t="n">
        <v>-39.45249999999999</v>
      </c>
      <c r="E37" s="15" t="n">
        <v>76.87149999999986</v>
      </c>
      <c r="F37" s="16" t="n">
        <v>6.92774</v>
      </c>
      <c r="G37" s="14" t="n">
        <v>6.172773</v>
      </c>
      <c r="H37" s="8" t="n">
        <v>3.667460343168272</v>
      </c>
      <c r="I37" s="18" t="n">
        <v>2.435313267824999</v>
      </c>
      <c r="J37" s="18" t="n">
        <v>-4.745103196694991</v>
      </c>
      <c r="K37" s="18" t="n">
        <v>5.977250272038264</v>
      </c>
      <c r="L37" s="19" t="n">
        <v>0.6640326111123437</v>
      </c>
      <c r="M37" s="20" t="inlineStr"/>
    </row>
    <row r="38">
      <c r="A38" s="10" t="inlineStr">
        <is>
          <t>El Salvador</t>
        </is>
      </c>
      <c r="B38" s="16" t="n">
        <v>0.951193</v>
      </c>
      <c r="C38" s="17" t="n">
        <v>265</v>
      </c>
      <c r="D38" s="15" t="n">
        <v>-60.71039999999999</v>
      </c>
      <c r="E38" s="15" t="n">
        <v>58.40259999999997</v>
      </c>
      <c r="F38" s="16" t="n">
        <v>7.635662</v>
      </c>
      <c r="G38" s="14" t="n">
        <v>6.887151</v>
      </c>
      <c r="H38" s="8" t="n">
        <v>5.666238946197688</v>
      </c>
      <c r="I38" s="18" t="n">
        <v>4.181216920703999</v>
      </c>
      <c r="J38" s="18" t="n">
        <v>-4.022275249925998</v>
      </c>
      <c r="K38" s="18" t="n">
        <v>5.507297275419686</v>
      </c>
      <c r="L38" s="19" t="n">
        <v>0.7379175076105451</v>
      </c>
      <c r="M38" s="20" t="inlineStr"/>
    </row>
    <row r="39">
      <c r="A39" s="10" t="inlineStr">
        <is>
          <t>Uzbekistan</t>
        </is>
      </c>
      <c r="B39" s="16" t="n">
        <v>0.887701</v>
      </c>
      <c r="C39" s="17" t="n">
        <v>135</v>
      </c>
      <c r="D39" s="15" t="n">
        <v>-49.07769999999999</v>
      </c>
      <c r="E39" s="15" t="n">
        <v>83.50709999999992</v>
      </c>
      <c r="F39" s="16" t="n">
        <v>5.879314</v>
      </c>
      <c r="G39" s="14" t="n">
        <v>3.209025</v>
      </c>
      <c r="H39" s="8" t="n">
        <v>2.991758239034437</v>
      </c>
      <c r="I39" s="18" t="n">
        <v>1.574915662425</v>
      </c>
      <c r="J39" s="18" t="n">
        <v>-2.679763715774997</v>
      </c>
      <c r="K39" s="18" t="n">
        <v>4.096606292384434</v>
      </c>
      <c r="L39" s="19" t="n">
        <v>0.5264180915010331</v>
      </c>
      <c r="M39" s="20" t="inlineStr"/>
    </row>
    <row r="40">
      <c r="A40" s="10" t="inlineStr">
        <is>
          <t>Paraguay</t>
        </is>
      </c>
      <c r="B40" s="16" t="n">
        <v>0.826901</v>
      </c>
      <c r="C40" s="17" t="n">
        <v>115</v>
      </c>
      <c r="D40" s="15" t="n">
        <v>14.1994</v>
      </c>
      <c r="E40" s="15" t="n">
        <v>55.39259999999997</v>
      </c>
      <c r="F40" s="16" t="n">
        <v>6.21658</v>
      </c>
      <c r="G40" s="14" t="n">
        <v>8.617865</v>
      </c>
      <c r="H40" s="8" t="n">
        <v>-1.612828321114113</v>
      </c>
      <c r="I40" s="18" t="n">
        <v>-1.22368512281</v>
      </c>
      <c r="J40" s="18" t="n">
        <v>-4.773659487989997</v>
      </c>
      <c r="K40" s="18" t="n">
        <v>4.384516289685885</v>
      </c>
      <c r="L40" s="19" t="n">
        <v>0.7587200117894137</v>
      </c>
      <c r="M40" s="20" t="inlineStr"/>
    </row>
    <row r="41">
      <c r="A41" s="10" t="inlineStr">
        <is>
          <t>Ghana</t>
        </is>
      </c>
      <c r="B41" s="16" t="n">
        <v>0.801104</v>
      </c>
      <c r="C41" s="17" t="n">
        <v>224</v>
      </c>
      <c r="D41" s="15" t="n">
        <v>-70.52140000000003</v>
      </c>
      <c r="E41" s="15" t="n">
        <v>78.16260000000005</v>
      </c>
      <c r="F41" s="16" t="n">
        <v>6.854642</v>
      </c>
      <c r="G41" s="14" t="n">
        <v>3.743506</v>
      </c>
      <c r="H41" s="8" t="n">
        <v>5.037924554027695</v>
      </c>
      <c r="I41" s="18" t="n">
        <v>2.639972840284001</v>
      </c>
      <c r="J41" s="18" t="n">
        <v>-2.926021620756002</v>
      </c>
      <c r="K41" s="18" t="n">
        <v>5.323973334499696</v>
      </c>
      <c r="L41" s="19" t="n">
        <v>0.524019923675397</v>
      </c>
      <c r="M41" s="20" t="inlineStr"/>
    </row>
    <row r="42">
      <c r="A42" s="10" t="inlineStr">
        <is>
          <t>India</t>
        </is>
      </c>
      <c r="B42" s="16" t="n">
        <v>0.76786</v>
      </c>
      <c r="C42" s="17" t="n">
        <v>82</v>
      </c>
      <c r="D42" s="15" t="n">
        <v>8.393199999999993</v>
      </c>
      <c r="E42" s="15" t="n">
        <v>93.0950999999999</v>
      </c>
      <c r="F42" s="16" t="n">
        <v>5.592623</v>
      </c>
      <c r="G42" s="14" t="n">
        <v>5.12192</v>
      </c>
      <c r="H42" s="8" t="n">
        <v>-0.3471137878000685</v>
      </c>
      <c r="I42" s="18" t="n">
        <v>-0.4298929894399997</v>
      </c>
      <c r="J42" s="18" t="n">
        <v>-4.768256545919995</v>
      </c>
      <c r="K42" s="18" t="n">
        <v>4.851035747559926</v>
      </c>
      <c r="L42" s="19" t="n">
        <v>1.238478575468199</v>
      </c>
      <c r="M42" s="20" t="inlineStr"/>
    </row>
    <row r="43">
      <c r="A43" s="10" t="inlineStr">
        <is>
          <t>Morocco</t>
        </is>
      </c>
      <c r="B43" s="16" t="n">
        <v>0.7613490000000001</v>
      </c>
      <c r="C43" s="17" t="n">
        <v>111</v>
      </c>
      <c r="D43" s="15" t="n">
        <v>-2.512100000000004</v>
      </c>
      <c r="E43" s="15" t="n">
        <v>59.36299999999992</v>
      </c>
      <c r="F43" s="16" t="n">
        <v>6.049719</v>
      </c>
      <c r="G43" s="14" t="n">
        <v>5.811128</v>
      </c>
      <c r="H43" s="8" t="n">
        <v>0.5622843653002585</v>
      </c>
      <c r="I43" s="18" t="n">
        <v>0.1459813464880002</v>
      </c>
      <c r="J43" s="18" t="n">
        <v>-3.449659914639995</v>
      </c>
      <c r="K43" s="18" t="n">
        <v>3.865962933452254</v>
      </c>
      <c r="L43" s="19" t="n">
        <v>0.2596219199693495</v>
      </c>
      <c r="M43" s="20" t="inlineStr"/>
    </row>
    <row r="44">
      <c r="A44" s="10" t="inlineStr">
        <is>
          <t>Serbia</t>
        </is>
      </c>
      <c r="B44" s="16" t="n">
        <v>0.744476</v>
      </c>
      <c r="C44" s="17" t="n">
        <v>128</v>
      </c>
      <c r="D44" s="15" t="n">
        <v>-2.945899999999995</v>
      </c>
      <c r="E44" s="15" t="n">
        <v>78.67779999999995</v>
      </c>
      <c r="F44" s="16" t="n">
        <v>5.968939</v>
      </c>
      <c r="G44" s="14" t="n">
        <v>5.166878</v>
      </c>
      <c r="H44" s="8" t="n">
        <v>0.6836953017524516</v>
      </c>
      <c r="I44" s="18" t="n">
        <v>0.1522110590019997</v>
      </c>
      <c r="J44" s="18" t="n">
        <v>-4.065185939083998</v>
      </c>
      <c r="K44" s="18" t="n">
        <v>4.596670181834449</v>
      </c>
      <c r="L44" s="19" t="n">
        <v>0.222629961931655</v>
      </c>
      <c r="M44" s="20" t="inlineStr"/>
    </row>
    <row r="45">
      <c r="A45" s="10" t="inlineStr">
        <is>
          <t>Pakistan</t>
        </is>
      </c>
      <c r="B45" s="16" t="n">
        <v>0.706639</v>
      </c>
      <c r="C45" s="17" t="n">
        <v>316</v>
      </c>
      <c r="D45" s="15" t="n">
        <v>-69.53429999999997</v>
      </c>
      <c r="E45" s="15" t="n">
        <v>70.97509999999998</v>
      </c>
      <c r="F45" s="16" t="n">
        <v>7.909398</v>
      </c>
      <c r="G45" s="14" t="n">
        <v>3.575225</v>
      </c>
      <c r="H45" s="8" t="n">
        <v>5.611903727791212</v>
      </c>
      <c r="I45" s="18" t="n">
        <v>2.486007677174999</v>
      </c>
      <c r="J45" s="18" t="n">
        <v>-2.537519518974999</v>
      </c>
      <c r="K45" s="18" t="n">
        <v>5.663415569591212</v>
      </c>
      <c r="L45" s="19" t="n">
        <v>0.4429882973337225</v>
      </c>
      <c r="M45" s="20" t="inlineStr"/>
    </row>
    <row r="46">
      <c r="A46" s="10" t="inlineStr">
        <is>
          <t>Jordan</t>
        </is>
      </c>
      <c r="B46" s="16" t="n">
        <v>0.655478</v>
      </c>
      <c r="C46" s="17" t="n">
        <v>191</v>
      </c>
      <c r="D46" s="15" t="n">
        <v>-25.77420000000001</v>
      </c>
      <c r="E46" s="15" t="n">
        <v>69.07339999999991</v>
      </c>
      <c r="F46" s="16" t="n">
        <v>6.735942</v>
      </c>
      <c r="G46" s="14" t="n">
        <v>4.335664</v>
      </c>
      <c r="H46" s="8" t="n">
        <v>2.874302046814003</v>
      </c>
      <c r="I46" s="18" t="n">
        <v>1.117482710688</v>
      </c>
      <c r="J46" s="18" t="n">
        <v>-2.994790537375996</v>
      </c>
      <c r="K46" s="18" t="n">
        <v>4.751609873502</v>
      </c>
      <c r="L46" s="19" t="n">
        <v>0.3887840221686739</v>
      </c>
      <c r="M46" s="20" t="inlineStr"/>
    </row>
    <row r="47">
      <c r="A47" s="10" t="inlineStr">
        <is>
          <t>Trinidad &amp; Tobago</t>
        </is>
      </c>
      <c r="B47" s="16" t="n">
        <v>0.623089</v>
      </c>
      <c r="C47" s="17" t="n">
        <v>153</v>
      </c>
      <c r="D47" s="15" t="n">
        <v>-60.18299999999999</v>
      </c>
      <c r="E47" s="15" t="n">
        <v>67.39209999999991</v>
      </c>
      <c r="F47" s="16" t="n">
        <v>6.262891</v>
      </c>
      <c r="G47" s="14" t="n">
        <v>5.461004</v>
      </c>
      <c r="H47" s="8" t="n">
        <v>4.652851624388732</v>
      </c>
      <c r="I47" s="18" t="n">
        <v>3.286596037319999</v>
      </c>
      <c r="J47" s="18" t="n">
        <v>-3.680285276683995</v>
      </c>
      <c r="K47" s="18" t="n">
        <v>5.046540863752728</v>
      </c>
      <c r="L47" s="19" t="n">
        <v>0.706361668636226</v>
      </c>
      <c r="M47" s="20" t="inlineStr"/>
    </row>
    <row r="48">
      <c r="A48" s="10" t="inlineStr">
        <is>
          <t>Jamaica</t>
        </is>
      </c>
      <c r="B48" s="16" t="n">
        <v>0.5995200000000001</v>
      </c>
      <c r="C48" s="17" t="n">
        <v>106</v>
      </c>
      <c r="D48" s="15" t="n">
        <v>-22.3904</v>
      </c>
      <c r="E48" s="15" t="n">
        <v>57.68930000000001</v>
      </c>
      <c r="F48" s="16" t="n">
        <v>6.117339</v>
      </c>
      <c r="G48" s="14" t="n">
        <v>7.602573</v>
      </c>
      <c r="H48" s="8" t="n">
        <v>1.75388857488934</v>
      </c>
      <c r="I48" s="18" t="n">
        <v>1.702246504992</v>
      </c>
      <c r="J48" s="18" t="n">
        <v>-4.385871145689</v>
      </c>
      <c r="K48" s="18" t="n">
        <v>4.43751321558634</v>
      </c>
      <c r="L48" s="19" t="n">
        <v>0.9705556723290715</v>
      </c>
      <c r="M48" s="20" t="inlineStr"/>
    </row>
    <row r="49">
      <c r="A49" s="10" t="inlineStr">
        <is>
          <t>Lebanon</t>
        </is>
      </c>
      <c r="B49" s="16" t="n">
        <v>0.5675559999999999</v>
      </c>
      <c r="C49" s="17" t="n">
        <v>7781</v>
      </c>
      <c r="D49" s="15" t="n">
        <v>-7365.0987</v>
      </c>
      <c r="E49" s="15" t="n">
        <v>-98.25179999999705</v>
      </c>
      <c r="F49" s="16" t="n">
        <v>80.311485</v>
      </c>
      <c r="G49" s="14" t="n">
        <v>1.171955</v>
      </c>
      <c r="H49" s="22" t="n">
        <v>21.67861521465342</v>
      </c>
      <c r="I49" s="23" t="n">
        <v>86.31564246958501</v>
      </c>
      <c r="J49" s="23" t="n">
        <v>1.151466882689965</v>
      </c>
      <c r="K49" s="23" t="n">
        <v>-65.78849413762156</v>
      </c>
      <c r="L49" s="25" t="n">
        <v>3.981603142770896</v>
      </c>
      <c r="M49" s="20" t="inlineStr">
        <is>
          <t>spread moved 7365bp — too large for a duration split; negative carry — defaults or composition, not coupon</t>
        </is>
      </c>
    </row>
    <row r="50">
      <c r="A50" s="10" t="inlineStr">
        <is>
          <t>Bolivia</t>
        </is>
      </c>
      <c r="B50" s="16" t="n">
        <v>0.332753</v>
      </c>
      <c r="C50" s="17" t="n">
        <v>460</v>
      </c>
      <c r="D50" s="15" t="n">
        <v>-212.7968</v>
      </c>
      <c r="E50" s="15" t="n">
        <v>95.81799999999996</v>
      </c>
      <c r="F50" s="16" t="n">
        <v>9.084052</v>
      </c>
      <c r="G50" s="14" t="n">
        <v>2.444905</v>
      </c>
      <c r="H50" s="22" t="n">
        <v>10.51331327223497</v>
      </c>
      <c r="I50" s="23" t="n">
        <v>5.202679603039999</v>
      </c>
      <c r="J50" s="23" t="n">
        <v>-2.342659072899999</v>
      </c>
      <c r="K50" s="23" t="n">
        <v>7.653292742094971</v>
      </c>
      <c r="L50" s="25" t="n">
        <v>0.4948658399421963</v>
      </c>
      <c r="M50" s="20" t="inlineStr">
        <is>
          <t>spread moved 213bp — too large for a duration split</t>
        </is>
      </c>
    </row>
    <row r="51">
      <c r="A51" s="10" t="inlineStr">
        <is>
          <t>Honduras</t>
        </is>
      </c>
      <c r="B51" s="16" t="n">
        <v>0.328913</v>
      </c>
      <c r="C51" s="17" t="n">
        <v>149</v>
      </c>
      <c r="D51" s="15" t="n">
        <v>-83.10900000000001</v>
      </c>
      <c r="E51" s="15" t="n">
        <v>79.49979999999996</v>
      </c>
      <c r="F51" s="16" t="n">
        <v>6.200628</v>
      </c>
      <c r="G51" s="14" t="n">
        <v>5.70934</v>
      </c>
      <c r="H51" s="8" t="n">
        <v>5.054830472708893</v>
      </c>
      <c r="I51" s="18" t="n">
        <v>4.744975380600001</v>
      </c>
      <c r="J51" s="18" t="n">
        <v>-4.538913881319998</v>
      </c>
      <c r="K51" s="18" t="n">
        <v>4.848768973428891</v>
      </c>
      <c r="L51" s="19" t="n">
        <v>0.9387011901226352</v>
      </c>
      <c r="M51" s="20" t="inlineStr"/>
    </row>
    <row r="52">
      <c r="A52" s="10" t="inlineStr">
        <is>
          <t>Mongolia</t>
        </is>
      </c>
      <c r="B52" s="16" t="n">
        <v>0.296363</v>
      </c>
      <c r="C52" s="17" t="n">
        <v>178</v>
      </c>
      <c r="D52" s="15" t="n">
        <v>-53.32069999999999</v>
      </c>
      <c r="E52" s="15" t="n">
        <v>94.07189999999991</v>
      </c>
      <c r="F52" s="16" t="n">
        <v>6.340952</v>
      </c>
      <c r="G52" s="14" t="n">
        <v>3.965246</v>
      </c>
      <c r="H52" s="8" t="n">
        <v>4.974527149843766</v>
      </c>
      <c r="I52" s="18" t="n">
        <v>2.114296923922</v>
      </c>
      <c r="J52" s="18" t="n">
        <v>-3.730182251873997</v>
      </c>
      <c r="K52" s="18" t="n">
        <v>6.590412477795763</v>
      </c>
      <c r="L52" s="19" t="n">
        <v>0.4250247028983253</v>
      </c>
      <c r="M52" s="20" t="inlineStr"/>
    </row>
    <row r="53">
      <c r="A53" s="10" t="inlineStr">
        <is>
          <t>Benin</t>
        </is>
      </c>
      <c r="B53" s="16" t="n">
        <v>0.291473</v>
      </c>
      <c r="C53" s="17" t="n">
        <v>235</v>
      </c>
      <c r="D53" s="15" t="n">
        <v>-87.44810000000001</v>
      </c>
      <c r="E53" s="15" t="n">
        <v>58.04669999999996</v>
      </c>
      <c r="F53" s="16" t="n">
        <v>7.183376</v>
      </c>
      <c r="G53" s="14" t="n">
        <v>6.881355</v>
      </c>
      <c r="H53" s="8" t="n">
        <v>5.858390785123646</v>
      </c>
      <c r="I53" s="18" t="n">
        <v>6.017614201755001</v>
      </c>
      <c r="J53" s="18" t="n">
        <v>-3.994399492784997</v>
      </c>
      <c r="K53" s="18" t="n">
        <v>3.835176076153642</v>
      </c>
      <c r="L53" s="19" t="n">
        <v>1.027178695049787</v>
      </c>
      <c r="M53" s="20" t="inlineStr"/>
    </row>
    <row r="54">
      <c r="A54" s="10" t="inlineStr">
        <is>
          <t>Suriname</t>
        </is>
      </c>
      <c r="B54" s="16" t="n">
        <v>0.266633</v>
      </c>
      <c r="C54" s="17" t="n">
        <v>247</v>
      </c>
      <c r="D54" s="15" t="n">
        <v>-66.06029999999998</v>
      </c>
      <c r="E54" s="15" t="n">
        <v>71.69809999999997</v>
      </c>
      <c r="F54" s="16" t="n">
        <v>7.184658</v>
      </c>
      <c r="G54" s="14" t="n">
        <v>5.48458</v>
      </c>
      <c r="H54" s="8" t="n">
        <v>5.071499221044795</v>
      </c>
      <c r="I54" s="18" t="n">
        <v>3.623130001739999</v>
      </c>
      <c r="J54" s="18" t="n">
        <v>-3.932339652979998</v>
      </c>
      <c r="K54" s="18" t="n">
        <v>5.380708872284794</v>
      </c>
      <c r="L54" s="19" t="n">
        <v>0.7144100479608447</v>
      </c>
      <c r="M54" s="20" t="inlineStr"/>
    </row>
    <row r="55">
      <c r="A55" s="10" t="inlineStr">
        <is>
          <t>Azerbaijan</t>
        </is>
      </c>
      <c r="B55" s="16" t="n">
        <v>0.241624</v>
      </c>
      <c r="C55" s="17" t="n">
        <v>50</v>
      </c>
      <c r="D55" s="15" t="n">
        <v>-37.3695</v>
      </c>
      <c r="E55" s="15" t="n">
        <v>82.36219999999999</v>
      </c>
      <c r="F55" s="16" t="n">
        <v>5.054487</v>
      </c>
      <c r="G55" s="14" t="n">
        <v>3.815823</v>
      </c>
      <c r="H55" s="8" t="n">
        <v>1.837632562719316</v>
      </c>
      <c r="I55" s="18" t="n">
        <v>1.425953975985</v>
      </c>
      <c r="J55" s="18" t="n">
        <v>-3.142795770905999</v>
      </c>
      <c r="K55" s="18" t="n">
        <v>3.554474357640315</v>
      </c>
      <c r="L55" s="19" t="n">
        <v>0.7759733936554124</v>
      </c>
      <c r="M55" s="20" t="inlineStr"/>
    </row>
    <row r="56">
      <c r="A56" s="10" t="inlineStr">
        <is>
          <t>Senegal</t>
        </is>
      </c>
      <c r="B56" s="16" t="n">
        <v>0.227754</v>
      </c>
      <c r="C56" s="17" t="n">
        <v>1405</v>
      </c>
      <c r="D56" s="15" t="n">
        <v>95.1244999999999</v>
      </c>
      <c r="E56" s="15" t="n">
        <v>88.29789999999988</v>
      </c>
      <c r="F56" s="16" t="n">
        <v>18.868924</v>
      </c>
      <c r="G56" s="14" t="n">
        <v>4.504388</v>
      </c>
      <c r="H56" s="8" t="n">
        <v>-0.1098505155676555</v>
      </c>
      <c r="I56" s="18" t="n">
        <v>-4.284776563059995</v>
      </c>
      <c r="J56" s="18" t="n">
        <v>-3.977280011851994</v>
      </c>
      <c r="K56" s="18" t="n">
        <v>8.152206059344334</v>
      </c>
      <c r="L56" s="21" t="inlineStr">
        <is>
          <t>n/m</t>
        </is>
      </c>
      <c r="M56" s="20" t="inlineStr"/>
    </row>
    <row r="57">
      <c r="A57" s="10" t="inlineStr">
        <is>
          <t>Bulgaria</t>
        </is>
      </c>
      <c r="B57" s="16" t="n">
        <v>0.189015</v>
      </c>
      <c r="C57" s="17" t="n">
        <v>78</v>
      </c>
      <c r="D57" s="15" t="n">
        <v>-0.8469999999999942</v>
      </c>
      <c r="E57" s="15" t="n">
        <v>60.9559</v>
      </c>
      <c r="F57" s="16" t="n">
        <v>5.614809</v>
      </c>
      <c r="G57" s="14" t="n">
        <v>7.987513</v>
      </c>
      <c r="H57" s="8" t="n">
        <v>-1.072360234373293</v>
      </c>
      <c r="I57" s="18" t="n">
        <v>0.06765423510999953</v>
      </c>
      <c r="J57" s="18" t="n">
        <v>-4.868860436766999</v>
      </c>
      <c r="K57" s="18" t="n">
        <v>3.728845967283707</v>
      </c>
      <c r="L57" s="19" t="n">
        <v>-0.06308909351673032</v>
      </c>
      <c r="M57" s="20" t="inlineStr"/>
    </row>
    <row r="58">
      <c r="A58" s="10" t="inlineStr">
        <is>
          <t>Ethiopia</t>
        </is>
      </c>
      <c r="B58" s="16" t="n">
        <v>0.142852</v>
      </c>
      <c r="C58" s="17" t="n">
        <v>-401</v>
      </c>
      <c r="D58" s="15" t="n">
        <v>100.659</v>
      </c>
      <c r="E58" s="15" t="n">
        <v>-51.52670000000006</v>
      </c>
      <c r="F58" s="16" t="n">
        <v>-1.032917</v>
      </c>
      <c r="G58" s="14" t="n">
        <v>1.20786</v>
      </c>
      <c r="H58" s="8" t="n">
        <v>0.4638016570911674</v>
      </c>
      <c r="I58" s="18" t="n">
        <v>-1.2158197974</v>
      </c>
      <c r="J58" s="18" t="n">
        <v>0.6223703986200007</v>
      </c>
      <c r="K58" s="18" t="n">
        <v>1.057251055871167</v>
      </c>
      <c r="L58" s="19" t="n">
        <v>-2.62142184878182</v>
      </c>
      <c r="M58" s="20" t="inlineStr"/>
    </row>
    <row r="59">
      <c r="A59" s="10" t="inlineStr">
        <is>
          <t>Georgia</t>
        </is>
      </c>
      <c r="B59" s="16" t="n">
        <v>0.128899</v>
      </c>
      <c r="C59" s="17" t="n">
        <v>151</v>
      </c>
      <c r="D59" s="15" t="n">
        <v>-129.3714</v>
      </c>
      <c r="E59" s="15" t="n">
        <v>100.2313</v>
      </c>
      <c r="F59" s="16" t="n">
        <v>6.002669</v>
      </c>
      <c r="G59" s="14" t="n">
        <v>2.750249</v>
      </c>
      <c r="H59" s="8" t="n">
        <v>3.908343419105975</v>
      </c>
      <c r="I59" s="18" t="n">
        <v>3.558035634786</v>
      </c>
      <c r="J59" s="18" t="n">
        <v>-2.756610325937002</v>
      </c>
      <c r="K59" s="18" t="n">
        <v>3.106918110256977</v>
      </c>
      <c r="L59" s="19" t="n">
        <v>0.9103692417080106</v>
      </c>
      <c r="M59" s="20" t="inlineStr"/>
    </row>
    <row r="60">
      <c r="A60" s="10" t="inlineStr">
        <is>
          <t>Mozambique</t>
        </is>
      </c>
      <c r="B60" s="16" t="n">
        <v>0.114639</v>
      </c>
      <c r="C60" s="17" t="n">
        <v>763</v>
      </c>
      <c r="D60" s="15" t="n">
        <v>-245.9023</v>
      </c>
      <c r="E60" s="15" t="n">
        <v>86.07369999999995</v>
      </c>
      <c r="F60" s="16" t="n">
        <v>12.112434</v>
      </c>
      <c r="G60" s="14" t="n">
        <v>2.53177</v>
      </c>
      <c r="H60" s="22" t="n">
        <v>14.82120125318822</v>
      </c>
      <c r="I60" s="23" t="n">
        <v>6.225680660709998</v>
      </c>
      <c r="J60" s="23" t="n">
        <v>-2.179188114489998</v>
      </c>
      <c r="K60" s="23" t="n">
        <v>10.77470870696822</v>
      </c>
      <c r="L60" s="25" t="n">
        <v>0.4200523664956495</v>
      </c>
      <c r="M60" s="20" t="inlineStr">
        <is>
          <t>spread moved 246bp — too large for a duration split</t>
        </is>
      </c>
    </row>
    <row r="61">
      <c r="A61" s="10" t="inlineStr">
        <is>
          <t>Montenegro</t>
        </is>
      </c>
      <c r="B61" s="16" t="n">
        <v>0.10719</v>
      </c>
      <c r="C61" s="17" t="n">
        <v>159</v>
      </c>
      <c r="D61" s="15" t="n">
        <v>-28.2492</v>
      </c>
      <c r="E61" s="15" t="n">
        <v>82.31460000000004</v>
      </c>
      <c r="F61" s="16" t="n">
        <v>6.129774</v>
      </c>
      <c r="G61" s="14" t="n">
        <v>3.695566</v>
      </c>
      <c r="H61" s="8" t="n">
        <v>2.17032607703771</v>
      </c>
      <c r="I61" s="18" t="n">
        <v>1.043967830472</v>
      </c>
      <c r="J61" s="18" t="n">
        <v>-3.041990370636001</v>
      </c>
      <c r="K61" s="18" t="n">
        <v>4.168348617201711</v>
      </c>
      <c r="L61" s="19" t="n">
        <v>0.4810188853727074</v>
      </c>
      <c r="M61" s="20" t="inlineStr"/>
    </row>
    <row r="62">
      <c r="A62" s="10" t="inlineStr">
        <is>
          <t>Cameroon</t>
        </is>
      </c>
      <c r="B62" s="16" t="n">
        <v>0.07477</v>
      </c>
      <c r="C62" s="17" t="n">
        <v>430</v>
      </c>
      <c r="D62" s="15" t="n">
        <v>-138.8086</v>
      </c>
      <c r="E62" s="15" t="n">
        <v>85.58850000000007</v>
      </c>
      <c r="F62" s="16" t="n">
        <v>8.774639000000001</v>
      </c>
      <c r="G62" s="14" t="n">
        <v>2.408453</v>
      </c>
      <c r="H62" s="8" t="n">
        <v>8.227558013618053</v>
      </c>
      <c r="I62" s="18" t="n">
        <v>3.343139890957999</v>
      </c>
      <c r="J62" s="18" t="n">
        <v>-2.061358795905002</v>
      </c>
      <c r="K62" s="18" t="n">
        <v>6.945776918565055</v>
      </c>
      <c r="L62" s="19" t="n">
        <v>0.4063344051083585</v>
      </c>
      <c r="M62" s="20" t="inlineStr"/>
    </row>
    <row r="63">
      <c r="A63" s="10" t="inlineStr">
        <is>
          <t>Barbados</t>
        </is>
      </c>
      <c r="B63" s="16" t="n">
        <v>0.07149999999999999</v>
      </c>
      <c r="C63" s="17" t="n">
        <v>212</v>
      </c>
      <c r="D63" s="15" t="n">
        <v>-85.11309999999997</v>
      </c>
      <c r="E63" s="15" t="n">
        <v>73.22389999999999</v>
      </c>
      <c r="F63" s="16" t="n">
        <v>6.767938</v>
      </c>
      <c r="G63" s="14" t="n">
        <v>4.98777</v>
      </c>
      <c r="H63" s="8" t="n">
        <v>5.90374387103092</v>
      </c>
      <c r="I63" s="18" t="n">
        <v>4.245245667869999</v>
      </c>
      <c r="J63" s="18" t="n">
        <v>-3.65223971703</v>
      </c>
      <c r="K63" s="18" t="n">
        <v>5.31073792019092</v>
      </c>
      <c r="L63" s="19" t="n">
        <v>0.7190768706449131</v>
      </c>
      <c r="M63" s="20" t="inlineStr"/>
    </row>
    <row r="64">
      <c r="A64" s="10" t="inlineStr">
        <is>
          <t>Iraq</t>
        </is>
      </c>
      <c r="B64" s="16" t="n">
        <v>0.067179</v>
      </c>
      <c r="C64" s="17" t="n">
        <v>232</v>
      </c>
      <c r="D64" s="15" t="n">
        <v>545.8274</v>
      </c>
      <c r="E64" s="15" t="n">
        <v>-421.2135000000002</v>
      </c>
      <c r="F64" s="16" t="n">
        <v>6.516259</v>
      </c>
      <c r="G64" s="14" t="n">
        <v>0.803162</v>
      </c>
      <c r="H64" s="22" t="n">
        <v>3.705929403513974</v>
      </c>
      <c r="I64" s="23" t="n">
        <v>-4.383878262388</v>
      </c>
      <c r="J64" s="23" t="n">
        <v>3.383026770870002</v>
      </c>
      <c r="K64" s="23" t="n">
        <v>4.706780895031974</v>
      </c>
      <c r="L64" s="25" t="n">
        <v>-1.182936258373188</v>
      </c>
      <c r="M64" s="20" t="inlineStr">
        <is>
          <t>spread moved 546bp — too large for a duration split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0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</cols>
  <sheetData>
    <row r="1">
      <c r="A1" s="5" t="inlineStr">
        <is>
          <t>Spread history — month ends (STW Trsy, bp)</t>
        </is>
      </c>
    </row>
    <row r="2">
      <c r="A2" s="4" t="inlineStr">
        <is>
          <t>Every observation is kept in the extended CSV; this tab samples month ends for legibility.</t>
        </is>
      </c>
    </row>
    <row r="4">
      <c r="A4" s="13" t="inlineStr">
        <is>
          <t>Entity</t>
        </is>
      </c>
      <c r="B4" s="13" t="inlineStr">
        <is>
          <t>2021-10</t>
        </is>
      </c>
      <c r="C4" s="13" t="inlineStr">
        <is>
          <t>2021-11</t>
        </is>
      </c>
      <c r="D4" s="13" t="inlineStr">
        <is>
          <t>2021-12</t>
        </is>
      </c>
      <c r="E4" s="13" t="inlineStr">
        <is>
          <t>2022-01</t>
        </is>
      </c>
      <c r="F4" s="13" t="inlineStr">
        <is>
          <t>2022-02</t>
        </is>
      </c>
      <c r="G4" s="13" t="inlineStr">
        <is>
          <t>2022-03</t>
        </is>
      </c>
      <c r="H4" s="13" t="inlineStr">
        <is>
          <t>2022-04</t>
        </is>
      </c>
      <c r="I4" s="13" t="inlineStr">
        <is>
          <t>2022-05</t>
        </is>
      </c>
      <c r="J4" s="13" t="inlineStr">
        <is>
          <t>2022-06</t>
        </is>
      </c>
      <c r="K4" s="13" t="inlineStr">
        <is>
          <t>2022-07</t>
        </is>
      </c>
      <c r="L4" s="13" t="inlineStr">
        <is>
          <t>2022-08</t>
        </is>
      </c>
      <c r="M4" s="13" t="inlineStr">
        <is>
          <t>2022-09</t>
        </is>
      </c>
      <c r="N4" s="13" t="inlineStr">
        <is>
          <t>2022-10</t>
        </is>
      </c>
      <c r="O4" s="13" t="inlineStr">
        <is>
          <t>2022-11</t>
        </is>
      </c>
      <c r="P4" s="13" t="inlineStr">
        <is>
          <t>2022-12</t>
        </is>
      </c>
      <c r="Q4" s="13" t="inlineStr">
        <is>
          <t>2023-01</t>
        </is>
      </c>
      <c r="R4" s="13" t="inlineStr">
        <is>
          <t>2023-02</t>
        </is>
      </c>
      <c r="S4" s="13" t="inlineStr">
        <is>
          <t>2023-03</t>
        </is>
      </c>
      <c r="T4" s="13" t="inlineStr">
        <is>
          <t>2023-04</t>
        </is>
      </c>
      <c r="U4" s="13" t="inlineStr">
        <is>
          <t>2023-05</t>
        </is>
      </c>
      <c r="V4" s="13" t="inlineStr">
        <is>
          <t>2023-06</t>
        </is>
      </c>
      <c r="W4" s="13" t="inlineStr">
        <is>
          <t>2023-07</t>
        </is>
      </c>
      <c r="X4" s="13" t="inlineStr">
        <is>
          <t>2023-08</t>
        </is>
      </c>
      <c r="Y4" s="13" t="inlineStr">
        <is>
          <t>2023-09</t>
        </is>
      </c>
      <c r="Z4" s="13" t="inlineStr">
        <is>
          <t>2023-10</t>
        </is>
      </c>
      <c r="AA4" s="13" t="inlineStr">
        <is>
          <t>2023-11</t>
        </is>
      </c>
      <c r="AB4" s="13" t="inlineStr">
        <is>
          <t>2023-12</t>
        </is>
      </c>
      <c r="AC4" s="13" t="inlineStr">
        <is>
          <t>2024-01</t>
        </is>
      </c>
      <c r="AD4" s="13" t="inlineStr">
        <is>
          <t>2024-02</t>
        </is>
      </c>
      <c r="AE4" s="13" t="inlineStr">
        <is>
          <t>2024-03</t>
        </is>
      </c>
      <c r="AF4" s="13" t="inlineStr">
        <is>
          <t>2024-04</t>
        </is>
      </c>
      <c r="AG4" s="13" t="inlineStr">
        <is>
          <t>2024-05</t>
        </is>
      </c>
      <c r="AH4" s="13" t="inlineStr">
        <is>
          <t>2024-06</t>
        </is>
      </c>
      <c r="AI4" s="13" t="inlineStr">
        <is>
          <t>2024-07</t>
        </is>
      </c>
      <c r="AJ4" s="13" t="inlineStr">
        <is>
          <t>2024-08</t>
        </is>
      </c>
      <c r="AK4" s="13" t="inlineStr">
        <is>
          <t>2024-09</t>
        </is>
      </c>
      <c r="AL4" s="13" t="inlineStr">
        <is>
          <t>2024-10</t>
        </is>
      </c>
      <c r="AM4" s="13" t="inlineStr">
        <is>
          <t>2024-11</t>
        </is>
      </c>
      <c r="AN4" s="13" t="inlineStr">
        <is>
          <t>2024-12</t>
        </is>
      </c>
      <c r="AO4" s="13" t="inlineStr">
        <is>
          <t>2025-01</t>
        </is>
      </c>
      <c r="AP4" s="13" t="inlineStr">
        <is>
          <t>2025-02</t>
        </is>
      </c>
      <c r="AQ4" s="13" t="inlineStr">
        <is>
          <t>2025-03</t>
        </is>
      </c>
      <c r="AR4" s="13" t="inlineStr">
        <is>
          <t>2025-04</t>
        </is>
      </c>
      <c r="AS4" s="13" t="inlineStr">
        <is>
          <t>2025-05</t>
        </is>
      </c>
      <c r="AT4" s="13" t="inlineStr">
        <is>
          <t>2025-06</t>
        </is>
      </c>
      <c r="AU4" s="13" t="inlineStr">
        <is>
          <t>2025-07</t>
        </is>
      </c>
      <c r="AV4" s="13" t="inlineStr">
        <is>
          <t>2025-08</t>
        </is>
      </c>
      <c r="AW4" s="13" t="inlineStr">
        <is>
          <t>2025-09</t>
        </is>
      </c>
      <c r="AX4" s="13" t="inlineStr">
        <is>
          <t>2025-10</t>
        </is>
      </c>
      <c r="AY4" s="13" t="inlineStr">
        <is>
          <t>2025-11</t>
        </is>
      </c>
      <c r="AZ4" s="13" t="inlineStr">
        <is>
          <t>2025-12</t>
        </is>
      </c>
      <c r="BA4" s="13" t="inlineStr">
        <is>
          <t>2026-01</t>
        </is>
      </c>
      <c r="BB4" s="13" t="inlineStr">
        <is>
          <t>2026-02</t>
        </is>
      </c>
      <c r="BC4" s="13" t="inlineStr">
        <is>
          <t>2026-03</t>
        </is>
      </c>
      <c r="BD4" s="13" t="inlineStr">
        <is>
          <t>2026-04</t>
        </is>
      </c>
      <c r="BE4" s="13" t="inlineStr">
        <is>
          <t>2026-05</t>
        </is>
      </c>
      <c r="BF4" s="13" t="inlineStr">
        <is>
          <t>2026-06</t>
        </is>
      </c>
      <c r="BG4" s="13" t="inlineStr">
        <is>
          <t>2026-07</t>
        </is>
      </c>
      <c r="BH4" s="13" t="inlineStr">
        <is>
          <t>2026-08</t>
        </is>
      </c>
      <c r="BI4" s="13" t="inlineStr">
        <is>
          <t>2026-09-08</t>
        </is>
      </c>
    </row>
    <row r="5">
      <c r="A5" s="2" t="inlineStr">
        <is>
          <t>INDEX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</row>
    <row r="6">
      <c r="A6" s="10" t="inlineStr">
        <is>
          <t>EMBIG Div</t>
        </is>
      </c>
      <c r="B6" s="17" t="n">
        <v>356.8221</v>
      </c>
      <c r="C6" s="17" t="n">
        <v>390.4778</v>
      </c>
      <c r="D6" s="17" t="n">
        <v>366.9862</v>
      </c>
      <c r="E6" s="17" t="n">
        <v>383.2171</v>
      </c>
      <c r="F6" s="17" t="n">
        <v>469.3273</v>
      </c>
      <c r="G6" s="17" t="n">
        <v>398.6879</v>
      </c>
      <c r="H6" s="17" t="n">
        <v>438.2696</v>
      </c>
      <c r="I6" s="17" t="n">
        <v>447.2439</v>
      </c>
      <c r="J6" s="17" t="n">
        <v>541.9657</v>
      </c>
      <c r="K6" s="17" t="n">
        <v>532.5984999999999</v>
      </c>
      <c r="L6" s="17" t="n">
        <v>501.1209</v>
      </c>
      <c r="M6" s="17" t="n">
        <v>559.5367</v>
      </c>
      <c r="N6" s="17" t="n">
        <v>542.4982</v>
      </c>
      <c r="O6" s="17" t="n">
        <v>467.7078</v>
      </c>
      <c r="P6" s="17" t="n">
        <v>451.9157</v>
      </c>
      <c r="Q6" s="17" t="n">
        <v>438.058</v>
      </c>
      <c r="R6" s="17" t="n">
        <v>440.7841</v>
      </c>
      <c r="S6" s="17" t="n">
        <v>478.4237</v>
      </c>
      <c r="T6" s="17" t="n">
        <v>477.3041</v>
      </c>
      <c r="U6" s="17" t="n">
        <v>476.5581</v>
      </c>
      <c r="V6" s="17" t="n">
        <v>431.5186</v>
      </c>
      <c r="W6" s="17" t="n">
        <v>396.6921</v>
      </c>
      <c r="X6" s="17" t="n">
        <v>421.0459</v>
      </c>
      <c r="Y6" s="17" t="n">
        <v>430.2104</v>
      </c>
      <c r="Z6" s="17" t="n">
        <v>435.5651</v>
      </c>
      <c r="AA6" s="17" t="n">
        <v>404.7993</v>
      </c>
      <c r="AB6" s="17" t="n">
        <v>383.2629</v>
      </c>
      <c r="AC6" s="17" t="n">
        <v>401.4692</v>
      </c>
      <c r="AD6" s="17" t="n">
        <v>367.97</v>
      </c>
      <c r="AE6" s="17" t="n">
        <v>341.0716</v>
      </c>
      <c r="AF6" s="17" t="n">
        <v>372.6676</v>
      </c>
      <c r="AG6" s="17" t="n">
        <v>379.843</v>
      </c>
      <c r="AH6" s="17" t="n">
        <v>390.766</v>
      </c>
      <c r="AI6" s="17" t="n">
        <v>399.7734</v>
      </c>
      <c r="AJ6" s="17" t="n">
        <v>387.7881</v>
      </c>
      <c r="AK6" s="17" t="n">
        <v>360.7666</v>
      </c>
      <c r="AL6" s="17" t="n">
        <v>337.2067</v>
      </c>
      <c r="AM6" s="17" t="n">
        <v>335.7403</v>
      </c>
      <c r="AN6" s="17" t="n">
        <v>324.7819</v>
      </c>
      <c r="AO6" s="17" t="n">
        <v>315.721</v>
      </c>
      <c r="AP6" s="17" t="n">
        <v>327.9052</v>
      </c>
      <c r="AQ6" s="17" t="n">
        <v>348.7533</v>
      </c>
      <c r="AR6" s="17" t="n">
        <v>367.7288</v>
      </c>
      <c r="AS6" s="17" t="n">
        <v>334.0463</v>
      </c>
      <c r="AT6" s="17" t="n">
        <v>321.8429</v>
      </c>
      <c r="AU6" s="17" t="n">
        <v>298.6333</v>
      </c>
      <c r="AV6" s="17" t="n">
        <v>297.2017</v>
      </c>
      <c r="AW6" s="17" t="n">
        <v>283.3106</v>
      </c>
      <c r="AX6" s="17" t="n">
        <v>262.0301</v>
      </c>
      <c r="AY6" s="17" t="n">
        <v>269.5869</v>
      </c>
      <c r="AZ6" s="17" t="n">
        <v>253.2094</v>
      </c>
      <c r="BA6" s="17" t="n">
        <v>244.1238</v>
      </c>
      <c r="BB6" s="17" t="n">
        <v>258.1486</v>
      </c>
      <c r="BC6" s="17" t="n">
        <v>288.5808</v>
      </c>
      <c r="BD6" s="17" t="n">
        <v>247.1579</v>
      </c>
      <c r="BE6" s="17" t="n">
        <v>236.8663</v>
      </c>
      <c r="BF6" s="17" t="n">
        <v>234.9968</v>
      </c>
      <c r="BG6" s="17" t="n">
        <v>243.9999</v>
      </c>
      <c r="BH6" s="17" t="n">
        <v>234.0069</v>
      </c>
      <c r="BI6" s="17" t="n">
        <v>173</v>
      </c>
    </row>
    <row r="8">
      <c r="A8" s="2" t="inlineStr">
        <is>
          <t>REGION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</row>
    <row r="9">
      <c r="A9" s="10" t="inlineStr">
        <is>
          <t>LATIN Region</t>
        </is>
      </c>
      <c r="B9" s="17" t="n">
        <v>378.0323</v>
      </c>
      <c r="C9" s="17" t="n">
        <v>410.4392</v>
      </c>
      <c r="D9" s="17" t="n">
        <v>380.9451</v>
      </c>
      <c r="E9" s="17" t="n">
        <v>391.5471</v>
      </c>
      <c r="F9" s="17" t="n">
        <v>421.4031</v>
      </c>
      <c r="G9" s="17" t="n">
        <v>382.1178</v>
      </c>
      <c r="H9" s="17" t="n">
        <v>419.4428</v>
      </c>
      <c r="I9" s="17" t="n">
        <v>415.6491</v>
      </c>
      <c r="J9" s="17" t="n">
        <v>506.0286</v>
      </c>
      <c r="K9" s="17" t="n">
        <v>481.0709</v>
      </c>
      <c r="L9" s="17" t="n">
        <v>480.3372</v>
      </c>
      <c r="M9" s="17" t="n">
        <v>525.3175</v>
      </c>
      <c r="N9" s="17" t="n">
        <v>491.4701</v>
      </c>
      <c r="O9" s="17" t="n">
        <v>433.2504</v>
      </c>
      <c r="P9" s="17" t="n">
        <v>415.5405</v>
      </c>
      <c r="Q9" s="17" t="n">
        <v>402.3497</v>
      </c>
      <c r="R9" s="17" t="n">
        <v>417.1926</v>
      </c>
      <c r="S9" s="17" t="n">
        <v>447.4362</v>
      </c>
      <c r="T9" s="17" t="n">
        <v>445.5704</v>
      </c>
      <c r="U9" s="17" t="n">
        <v>442.1651</v>
      </c>
      <c r="V9" s="17" t="n">
        <v>401.2961</v>
      </c>
      <c r="W9" s="17" t="n">
        <v>374.5675</v>
      </c>
      <c r="X9" s="17" t="n">
        <v>385.0398</v>
      </c>
      <c r="Y9" s="17" t="n">
        <v>404.4265</v>
      </c>
      <c r="Z9" s="17" t="n">
        <v>409.5327</v>
      </c>
      <c r="AA9" s="17" t="n">
        <v>381.6443</v>
      </c>
      <c r="AB9" s="17" t="n">
        <v>366.0783</v>
      </c>
      <c r="AC9" s="17" t="n">
        <v>377.6011</v>
      </c>
      <c r="AD9" s="17" t="n">
        <v>348.6866</v>
      </c>
      <c r="AE9" s="17" t="n">
        <v>328.2402</v>
      </c>
      <c r="AF9" s="17" t="n">
        <v>410.0607</v>
      </c>
      <c r="AG9" s="17" t="n">
        <v>442.8337</v>
      </c>
      <c r="AH9" s="17" t="n">
        <v>471.0796</v>
      </c>
      <c r="AI9" s="17" t="n">
        <v>475.9413</v>
      </c>
      <c r="AJ9" s="17" t="n">
        <v>459.7564</v>
      </c>
      <c r="AK9" s="17" t="n">
        <v>441.2452</v>
      </c>
      <c r="AL9" s="17" t="n">
        <v>435.9154</v>
      </c>
      <c r="AM9" s="17" t="n">
        <v>428.2601</v>
      </c>
      <c r="AN9" s="17" t="n">
        <v>427.0442</v>
      </c>
      <c r="AO9" s="17" t="n">
        <v>413.2614</v>
      </c>
      <c r="AP9" s="17" t="n">
        <v>430.5806</v>
      </c>
      <c r="AQ9" s="17" t="n">
        <v>446.0272</v>
      </c>
      <c r="AR9" s="17" t="n">
        <v>451.8437</v>
      </c>
      <c r="AS9" s="17" t="n">
        <v>422.0288</v>
      </c>
      <c r="AT9" s="17" t="n">
        <v>401.0786</v>
      </c>
      <c r="AU9" s="17" t="n">
        <v>377.4266</v>
      </c>
      <c r="AV9" s="17" t="n">
        <v>367.031</v>
      </c>
      <c r="AW9" s="17" t="n">
        <v>359.9776</v>
      </c>
      <c r="AX9" s="17" t="n">
        <v>317.9811</v>
      </c>
      <c r="AY9" s="17" t="n">
        <v>323.7365</v>
      </c>
      <c r="AZ9" s="17" t="n">
        <v>308.6951</v>
      </c>
      <c r="BA9" s="17" t="n">
        <v>287.4119</v>
      </c>
      <c r="BB9" s="17" t="n">
        <v>300.4685</v>
      </c>
      <c r="BC9" s="17" t="n">
        <v>308.673</v>
      </c>
      <c r="BD9" s="17" t="n">
        <v>261.8432</v>
      </c>
      <c r="BE9" s="17" t="n">
        <v>259.6163</v>
      </c>
      <c r="BF9" s="17" t="n">
        <v>250.5824</v>
      </c>
      <c r="BG9" s="17" t="n">
        <v>260.1326</v>
      </c>
      <c r="BH9" s="17" t="n">
        <v>251.5007</v>
      </c>
      <c r="BI9" s="17" t="n">
        <v>172</v>
      </c>
    </row>
    <row r="10">
      <c r="A10" s="10" t="inlineStr">
        <is>
          <t>EUROPE Region</t>
        </is>
      </c>
      <c r="B10" s="17" t="n">
        <v>283.254</v>
      </c>
      <c r="C10" s="17" t="n">
        <v>324.87</v>
      </c>
      <c r="D10" s="17" t="n">
        <v>323.5206</v>
      </c>
      <c r="E10" s="17" t="n">
        <v>363.6894</v>
      </c>
      <c r="F10" s="17" t="n">
        <v>822.8273</v>
      </c>
      <c r="G10" s="17" t="n">
        <v>560.3842</v>
      </c>
      <c r="H10" s="17" t="n">
        <v>614.2266</v>
      </c>
      <c r="I10" s="17" t="n">
        <v>631.9857</v>
      </c>
      <c r="J10" s="17" t="n">
        <v>766.1864</v>
      </c>
      <c r="K10" s="17" t="n">
        <v>786.3104</v>
      </c>
      <c r="L10" s="17" t="n">
        <v>685.4313</v>
      </c>
      <c r="M10" s="17" t="n">
        <v>732.4293</v>
      </c>
      <c r="N10" s="17" t="n">
        <v>717.111</v>
      </c>
      <c r="O10" s="17" t="n">
        <v>602.5643</v>
      </c>
      <c r="P10" s="17" t="n">
        <v>590.6436</v>
      </c>
      <c r="Q10" s="17" t="n">
        <v>579.7041</v>
      </c>
      <c r="R10" s="17" t="n">
        <v>575.5951</v>
      </c>
      <c r="S10" s="17" t="n">
        <v>605.8411</v>
      </c>
      <c r="T10" s="17" t="n">
        <v>569.1666</v>
      </c>
      <c r="U10" s="17" t="n">
        <v>576.5575</v>
      </c>
      <c r="V10" s="17" t="n">
        <v>517.2292</v>
      </c>
      <c r="W10" s="17" t="n">
        <v>449.7109</v>
      </c>
      <c r="X10" s="17" t="n">
        <v>475.8815</v>
      </c>
      <c r="Y10" s="17" t="n">
        <v>483.63</v>
      </c>
      <c r="Z10" s="17" t="n">
        <v>488.0649</v>
      </c>
      <c r="AA10" s="17" t="n">
        <v>472.3237</v>
      </c>
      <c r="AB10" s="17" t="n">
        <v>446.1251</v>
      </c>
      <c r="AC10" s="17" t="n">
        <v>460.3607</v>
      </c>
      <c r="AD10" s="17" t="n">
        <v>427.3613</v>
      </c>
      <c r="AE10" s="17" t="n">
        <v>377.1934</v>
      </c>
      <c r="AF10" s="17" t="n">
        <v>382.4656</v>
      </c>
      <c r="AG10" s="17" t="n">
        <v>375.4632</v>
      </c>
      <c r="AH10" s="17" t="n">
        <v>372.7676</v>
      </c>
      <c r="AI10" s="17" t="n">
        <v>376.8108</v>
      </c>
      <c r="AJ10" s="17" t="n">
        <v>367.4662</v>
      </c>
      <c r="AK10" s="17" t="n">
        <v>272.7171</v>
      </c>
      <c r="AL10" s="17" t="n">
        <v>258.8062</v>
      </c>
      <c r="AM10" s="17" t="n">
        <v>258.901</v>
      </c>
      <c r="AN10" s="17" t="n">
        <v>249.6912</v>
      </c>
      <c r="AO10" s="17" t="n">
        <v>243.8605</v>
      </c>
      <c r="AP10" s="17" t="n">
        <v>251.4194</v>
      </c>
      <c r="AQ10" s="17" t="n">
        <v>282.5513</v>
      </c>
      <c r="AR10" s="17" t="n">
        <v>309.5141</v>
      </c>
      <c r="AS10" s="17" t="n">
        <v>287.9646</v>
      </c>
      <c r="AT10" s="17" t="n">
        <v>277.472</v>
      </c>
      <c r="AU10" s="17" t="n">
        <v>247.6487</v>
      </c>
      <c r="AV10" s="17" t="n">
        <v>244.3925</v>
      </c>
      <c r="AW10" s="17" t="n">
        <v>231.4514</v>
      </c>
      <c r="AX10" s="17" t="n">
        <v>222.9265</v>
      </c>
      <c r="AY10" s="17" t="n">
        <v>227.2757</v>
      </c>
      <c r="AZ10" s="17" t="n">
        <v>209.9532</v>
      </c>
      <c r="BA10" s="17" t="n">
        <v>214.3667</v>
      </c>
      <c r="BB10" s="17" t="n">
        <v>225.3615</v>
      </c>
      <c r="BC10" s="17" t="n">
        <v>271.5148</v>
      </c>
      <c r="BD10" s="17" t="n">
        <v>225.1341</v>
      </c>
      <c r="BE10" s="17" t="n">
        <v>201.9007</v>
      </c>
      <c r="BF10" s="17" t="n">
        <v>190.8133</v>
      </c>
      <c r="BG10" s="17" t="n">
        <v>197.9199</v>
      </c>
      <c r="BH10" s="17" t="n">
        <v>193.7842</v>
      </c>
      <c r="BI10" s="17" t="n">
        <v>188</v>
      </c>
    </row>
    <row r="11">
      <c r="A11" s="10" t="inlineStr">
        <is>
          <t>AFRICA Region</t>
        </is>
      </c>
      <c r="B11" s="17" t="n">
        <v>590.0373</v>
      </c>
      <c r="C11" s="17" t="n">
        <v>669.8862</v>
      </c>
      <c r="D11" s="17" t="n">
        <v>612.3946999999999</v>
      </c>
      <c r="E11" s="17" t="n">
        <v>624.0789</v>
      </c>
      <c r="F11" s="17" t="n">
        <v>703.5432</v>
      </c>
      <c r="G11" s="17" t="n">
        <v>616.9725</v>
      </c>
      <c r="H11" s="17" t="n">
        <v>701.5853</v>
      </c>
      <c r="I11" s="17" t="n">
        <v>741.1082</v>
      </c>
      <c r="J11" s="17" t="n">
        <v>973.7723</v>
      </c>
      <c r="K11" s="17" t="n">
        <v>981.8324</v>
      </c>
      <c r="L11" s="17" t="n">
        <v>908.5282999999999</v>
      </c>
      <c r="M11" s="17" t="n">
        <v>1026.6411</v>
      </c>
      <c r="N11" s="17" t="n">
        <v>985.9118</v>
      </c>
      <c r="O11" s="17" t="n">
        <v>800.7134</v>
      </c>
      <c r="P11" s="17" t="n">
        <v>817.8526000000001</v>
      </c>
      <c r="Q11" s="17" t="n">
        <v>799.9146</v>
      </c>
      <c r="R11" s="17" t="n">
        <v>810.0081</v>
      </c>
      <c r="S11" s="17" t="n">
        <v>912.462</v>
      </c>
      <c r="T11" s="17" t="n">
        <v>979.9336</v>
      </c>
      <c r="U11" s="17" t="n">
        <v>938.9268</v>
      </c>
      <c r="V11" s="17" t="n">
        <v>843.3625</v>
      </c>
      <c r="W11" s="17" t="n">
        <v>751.84</v>
      </c>
      <c r="X11" s="17" t="n">
        <v>861.7257</v>
      </c>
      <c r="Y11" s="17" t="n">
        <v>862.3896</v>
      </c>
      <c r="Z11" s="17" t="n">
        <v>851.7542999999999</v>
      </c>
      <c r="AA11" s="17" t="n">
        <v>791.5107</v>
      </c>
      <c r="AB11" s="17" t="n">
        <v>733.6729</v>
      </c>
      <c r="AC11" s="17" t="n">
        <v>759.9471</v>
      </c>
      <c r="AD11" s="17" t="n">
        <v>654.957</v>
      </c>
      <c r="AE11" s="17" t="n">
        <v>605.2967</v>
      </c>
      <c r="AF11" s="17" t="n">
        <v>608.972</v>
      </c>
      <c r="AG11" s="17" t="n">
        <v>602.8004</v>
      </c>
      <c r="AH11" s="17" t="n">
        <v>605.5777</v>
      </c>
      <c r="AI11" s="17" t="n">
        <v>621.1038</v>
      </c>
      <c r="AJ11" s="17" t="n">
        <v>602.2166</v>
      </c>
      <c r="AK11" s="17" t="n">
        <v>583.365</v>
      </c>
      <c r="AL11" s="17" t="n">
        <v>464.7616</v>
      </c>
      <c r="AM11" s="17" t="n">
        <v>462.9645</v>
      </c>
      <c r="AN11" s="17" t="n">
        <v>464.287</v>
      </c>
      <c r="AO11" s="17" t="n">
        <v>447.7428</v>
      </c>
      <c r="AP11" s="17" t="n">
        <v>467.8785</v>
      </c>
      <c r="AQ11" s="17" t="n">
        <v>522.8148</v>
      </c>
      <c r="AR11" s="17" t="n">
        <v>596.59</v>
      </c>
      <c r="AS11" s="17" t="n">
        <v>498.8124</v>
      </c>
      <c r="AT11" s="17" t="n">
        <v>462.2974</v>
      </c>
      <c r="AU11" s="17" t="n">
        <v>422.4258</v>
      </c>
      <c r="AV11" s="17" t="n">
        <v>416.9576</v>
      </c>
      <c r="AW11" s="17" t="n">
        <v>381.3522</v>
      </c>
      <c r="AX11" s="17" t="n">
        <v>365.4819</v>
      </c>
      <c r="AY11" s="17" t="n">
        <v>369.1289</v>
      </c>
      <c r="AZ11" s="17" t="n">
        <v>325.0707</v>
      </c>
      <c r="BA11" s="17" t="n">
        <v>328.56</v>
      </c>
      <c r="BB11" s="17" t="n">
        <v>350.599</v>
      </c>
      <c r="BC11" s="17" t="n">
        <v>405.0751</v>
      </c>
      <c r="BD11" s="17" t="n">
        <v>337.9628</v>
      </c>
      <c r="BE11" s="17" t="n">
        <v>304.2733</v>
      </c>
      <c r="BF11" s="17" t="n">
        <v>314.2729</v>
      </c>
      <c r="BG11" s="17" t="n">
        <v>314.4405</v>
      </c>
      <c r="BH11" s="17" t="n">
        <v>296.058</v>
      </c>
      <c r="BI11" s="17" t="n">
        <v>288</v>
      </c>
    </row>
    <row r="12">
      <c r="A12" s="10" t="inlineStr">
        <is>
          <t>MIDEAST Region</t>
        </is>
      </c>
      <c r="B12" s="17" t="n">
        <v>326.3728</v>
      </c>
      <c r="C12" s="17" t="n">
        <v>345.6423</v>
      </c>
      <c r="D12" s="17" t="n">
        <v>325.0279</v>
      </c>
      <c r="E12" s="17" t="n">
        <v>333.7177</v>
      </c>
      <c r="F12" s="17" t="n">
        <v>349.7637</v>
      </c>
      <c r="G12" s="17" t="n">
        <v>315.4146</v>
      </c>
      <c r="H12" s="17" t="n">
        <v>328.9353</v>
      </c>
      <c r="I12" s="17" t="n">
        <v>335.0428</v>
      </c>
      <c r="J12" s="17" t="n">
        <v>387.9571</v>
      </c>
      <c r="K12" s="17" t="n">
        <v>374.0066</v>
      </c>
      <c r="L12" s="17" t="n">
        <v>342.2782</v>
      </c>
      <c r="M12" s="17" t="n">
        <v>382.8232</v>
      </c>
      <c r="N12" s="17" t="n">
        <v>375.1547</v>
      </c>
      <c r="O12" s="17" t="n">
        <v>341.2113</v>
      </c>
      <c r="P12" s="17" t="n">
        <v>312.4961</v>
      </c>
      <c r="Q12" s="17" t="n">
        <v>299.8183</v>
      </c>
      <c r="R12" s="17" t="n">
        <v>291.213</v>
      </c>
      <c r="S12" s="17" t="n">
        <v>319.7051</v>
      </c>
      <c r="T12" s="17" t="n">
        <v>309.5342</v>
      </c>
      <c r="U12" s="17" t="n">
        <v>332.2418</v>
      </c>
      <c r="V12" s="17" t="n">
        <v>312.9088</v>
      </c>
      <c r="W12" s="17" t="n">
        <v>296.5299</v>
      </c>
      <c r="X12" s="17" t="n">
        <v>309.5152</v>
      </c>
      <c r="Y12" s="17" t="n">
        <v>311.0453</v>
      </c>
      <c r="Z12" s="17" t="n">
        <v>332.6041</v>
      </c>
      <c r="AA12" s="17" t="n">
        <v>309.8256</v>
      </c>
      <c r="AB12" s="17" t="n">
        <v>292.7903</v>
      </c>
      <c r="AC12" s="17" t="n">
        <v>318.121</v>
      </c>
      <c r="AD12" s="17" t="n">
        <v>297.8372</v>
      </c>
      <c r="AE12" s="17" t="n">
        <v>280.7134</v>
      </c>
      <c r="AF12" s="17" t="n">
        <v>277.3335</v>
      </c>
      <c r="AG12" s="17" t="n">
        <v>269.7912</v>
      </c>
      <c r="AH12" s="17" t="n">
        <v>269.2725</v>
      </c>
      <c r="AI12" s="17" t="n">
        <v>282.932</v>
      </c>
      <c r="AJ12" s="17" t="n">
        <v>268.2655</v>
      </c>
      <c r="AK12" s="17" t="n">
        <v>267.4686</v>
      </c>
      <c r="AL12" s="17" t="n">
        <v>265.012</v>
      </c>
      <c r="AM12" s="17" t="n">
        <v>268.6922</v>
      </c>
      <c r="AN12" s="17" t="n">
        <v>264.2972</v>
      </c>
      <c r="AO12" s="17" t="n">
        <v>258.4312</v>
      </c>
      <c r="AP12" s="17" t="n">
        <v>262.0467</v>
      </c>
      <c r="AQ12" s="17" t="n">
        <v>268.8249</v>
      </c>
      <c r="AR12" s="17" t="n">
        <v>282.4518</v>
      </c>
      <c r="AS12" s="17" t="n">
        <v>266.7116</v>
      </c>
      <c r="AT12" s="17" t="n">
        <v>276.5236</v>
      </c>
      <c r="AU12" s="17" t="n">
        <v>264.8031</v>
      </c>
      <c r="AV12" s="17" t="n">
        <v>287.8293</v>
      </c>
      <c r="AW12" s="17" t="n">
        <v>264.2555</v>
      </c>
      <c r="AX12" s="17" t="n">
        <v>252.7873</v>
      </c>
      <c r="AY12" s="17" t="n">
        <v>269.7432</v>
      </c>
      <c r="AZ12" s="17" t="n">
        <v>265.1583</v>
      </c>
      <c r="BA12" s="17" t="n">
        <v>255.9338</v>
      </c>
      <c r="BB12" s="17" t="n">
        <v>265.9236</v>
      </c>
      <c r="BC12" s="17" t="n">
        <v>336.3219</v>
      </c>
      <c r="BD12" s="17" t="n">
        <v>323.1566</v>
      </c>
      <c r="BE12" s="17" t="n">
        <v>338.1136</v>
      </c>
      <c r="BF12" s="17" t="n">
        <v>377.2342</v>
      </c>
      <c r="BG12" s="17" t="n">
        <v>402.1352</v>
      </c>
      <c r="BH12" s="17" t="n">
        <v>381.9538</v>
      </c>
      <c r="BI12" s="17" t="n">
        <v>137</v>
      </c>
    </row>
    <row r="13">
      <c r="A13" s="10" t="inlineStr">
        <is>
          <t>ASIA Region</t>
        </is>
      </c>
      <c r="B13" s="17" t="n">
        <v>215.4514</v>
      </c>
      <c r="C13" s="17" t="n">
        <v>230.5014</v>
      </c>
      <c r="D13" s="17" t="n">
        <v>219.0857</v>
      </c>
      <c r="E13" s="17" t="n">
        <v>239.3275</v>
      </c>
      <c r="F13" s="17" t="n">
        <v>274.5558</v>
      </c>
      <c r="G13" s="17" t="n">
        <v>250.1173</v>
      </c>
      <c r="H13" s="17" t="n">
        <v>277.3913</v>
      </c>
      <c r="I13" s="17" t="n">
        <v>291.0687</v>
      </c>
      <c r="J13" s="17" t="n">
        <v>332.6568</v>
      </c>
      <c r="K13" s="17" t="n">
        <v>338.0026</v>
      </c>
      <c r="L13" s="17" t="n">
        <v>297.8123</v>
      </c>
      <c r="M13" s="17" t="n">
        <v>375.4207</v>
      </c>
      <c r="N13" s="17" t="n">
        <v>400.4997</v>
      </c>
      <c r="O13" s="17" t="n">
        <v>334.7671</v>
      </c>
      <c r="P13" s="17" t="n">
        <v>316.6635</v>
      </c>
      <c r="Q13" s="17" t="n">
        <v>304.3819</v>
      </c>
      <c r="R13" s="17" t="n">
        <v>293.6616</v>
      </c>
      <c r="S13" s="17" t="n">
        <v>320.8854</v>
      </c>
      <c r="T13" s="17" t="n">
        <v>317.5256</v>
      </c>
      <c r="U13" s="17" t="n">
        <v>306.3273</v>
      </c>
      <c r="V13" s="17" t="n">
        <v>264.0151</v>
      </c>
      <c r="W13" s="17" t="n">
        <v>248.5705</v>
      </c>
      <c r="X13" s="17" t="n">
        <v>265.6805</v>
      </c>
      <c r="Y13" s="17" t="n">
        <v>265.0599</v>
      </c>
      <c r="Z13" s="17" t="n">
        <v>257.7961</v>
      </c>
      <c r="AA13" s="17" t="n">
        <v>223.9546</v>
      </c>
      <c r="AB13" s="17" t="n">
        <v>211.5502</v>
      </c>
      <c r="AC13" s="17" t="n">
        <v>225.5699</v>
      </c>
      <c r="AD13" s="17" t="n">
        <v>205.1313</v>
      </c>
      <c r="AE13" s="17" t="n">
        <v>183.8284</v>
      </c>
      <c r="AF13" s="17" t="n">
        <v>183.9108</v>
      </c>
      <c r="AG13" s="17" t="n">
        <v>175.912</v>
      </c>
      <c r="AH13" s="17" t="n">
        <v>180.0271</v>
      </c>
      <c r="AI13" s="17" t="n">
        <v>191.5585</v>
      </c>
      <c r="AJ13" s="17" t="n">
        <v>193.3292</v>
      </c>
      <c r="AK13" s="17" t="n">
        <v>179.6885</v>
      </c>
      <c r="AL13" s="17" t="n">
        <v>161.7265</v>
      </c>
      <c r="AM13" s="17" t="n">
        <v>159.5638</v>
      </c>
      <c r="AN13" s="17" t="n">
        <v>115.4824</v>
      </c>
      <c r="AO13" s="17" t="n">
        <v>113.5836</v>
      </c>
      <c r="AP13" s="17" t="n">
        <v>121.5978</v>
      </c>
      <c r="AQ13" s="17" t="n">
        <v>133.3877</v>
      </c>
      <c r="AR13" s="17" t="n">
        <v>147.2421</v>
      </c>
      <c r="AS13" s="17" t="n">
        <v>116.4031</v>
      </c>
      <c r="AT13" s="17" t="n">
        <v>111.271</v>
      </c>
      <c r="AU13" s="17" t="n">
        <v>90.3426</v>
      </c>
      <c r="AV13" s="17" t="n">
        <v>91.05589999999999</v>
      </c>
      <c r="AW13" s="17" t="n">
        <v>84.4057</v>
      </c>
      <c r="AX13" s="17" t="n">
        <v>81.15900000000001</v>
      </c>
      <c r="AY13" s="17" t="n">
        <v>89.43210000000001</v>
      </c>
      <c r="AZ13" s="17" t="n">
        <v>81.6348</v>
      </c>
      <c r="BA13" s="17" t="n">
        <v>76.91160000000001</v>
      </c>
      <c r="BB13" s="17" t="n">
        <v>90.0158</v>
      </c>
      <c r="BC13" s="17" t="n">
        <v>102.9524</v>
      </c>
      <c r="BD13" s="17" t="n">
        <v>83.86620000000001</v>
      </c>
      <c r="BE13" s="17" t="n">
        <v>77.399</v>
      </c>
      <c r="BF13" s="17" t="n">
        <v>73.8674</v>
      </c>
      <c r="BG13" s="17" t="n">
        <v>82.9593</v>
      </c>
      <c r="BH13" s="17" t="n">
        <v>75.4255</v>
      </c>
      <c r="BI13" s="17" t="n">
        <v>77</v>
      </c>
    </row>
    <row r="15">
      <c r="A15" s="2" t="inlineStr">
        <is>
          <t>RATING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</row>
    <row r="16">
      <c r="A16" s="10" t="inlineStr">
        <is>
          <t>Credit AA only</t>
        </is>
      </c>
      <c r="B16" s="17" t="n">
        <v>112.172</v>
      </c>
      <c r="C16" s="17" t="n">
        <v>117.1052</v>
      </c>
      <c r="D16" s="17" t="n">
        <v>101.4455</v>
      </c>
      <c r="E16" s="17" t="n">
        <v>106.7131</v>
      </c>
      <c r="F16" s="17" t="n">
        <v>115.9892</v>
      </c>
      <c r="G16" s="17" t="n">
        <v>99.0155</v>
      </c>
      <c r="H16" s="17" t="n">
        <v>101.3113</v>
      </c>
      <c r="I16" s="17" t="n">
        <v>95.2359</v>
      </c>
      <c r="J16" s="17" t="n">
        <v>119.5004</v>
      </c>
      <c r="K16" s="17" t="n">
        <v>103.8495</v>
      </c>
      <c r="L16" s="17" t="n">
        <v>88.577</v>
      </c>
      <c r="M16" s="17" t="n">
        <v>112.7428</v>
      </c>
      <c r="N16" s="17" t="n">
        <v>107.6692</v>
      </c>
      <c r="O16" s="17" t="n">
        <v>99.27500000000001</v>
      </c>
      <c r="P16" s="17" t="n">
        <v>72.6084</v>
      </c>
      <c r="Q16" s="17" t="n">
        <v>92.0872</v>
      </c>
      <c r="R16" s="17" t="n">
        <v>86.46559999999999</v>
      </c>
      <c r="S16" s="17" t="n">
        <v>100.3589</v>
      </c>
      <c r="T16" s="17" t="n">
        <v>91.3537</v>
      </c>
      <c r="U16" s="17" t="n">
        <v>94.4379</v>
      </c>
      <c r="V16" s="17" t="n">
        <v>86.4019</v>
      </c>
      <c r="W16" s="17" t="n">
        <v>75.29219999999999</v>
      </c>
      <c r="X16" s="17" t="n">
        <v>83.51309999999999</v>
      </c>
      <c r="Y16" s="17" t="n">
        <v>77.1061</v>
      </c>
      <c r="Z16" s="17" t="n">
        <v>83.2696</v>
      </c>
      <c r="AA16" s="17" t="n">
        <v>81.2668</v>
      </c>
      <c r="AB16" s="17" t="n">
        <v>71.8476</v>
      </c>
      <c r="AC16" s="17" t="n">
        <v>91.1657</v>
      </c>
      <c r="AD16" s="17" t="n">
        <v>72.83759999999999</v>
      </c>
      <c r="AE16" s="17" t="n">
        <v>70.6503</v>
      </c>
      <c r="AF16" s="17" t="n">
        <v>67.2495</v>
      </c>
      <c r="AG16" s="17" t="n">
        <v>64.83929999999999</v>
      </c>
      <c r="AH16" s="17" t="n">
        <v>60.5394</v>
      </c>
      <c r="AI16" s="17" t="n">
        <v>74.4259</v>
      </c>
      <c r="AJ16" s="17" t="n">
        <v>61.2679</v>
      </c>
      <c r="AK16" s="17" t="n">
        <v>68.1597</v>
      </c>
      <c r="AL16" s="17" t="n">
        <v>62.8236</v>
      </c>
      <c r="AM16" s="17" t="n">
        <v>72.3841</v>
      </c>
      <c r="AN16" s="17" t="n">
        <v>61.8869</v>
      </c>
      <c r="AO16" s="17" t="n">
        <v>63.6677</v>
      </c>
      <c r="AP16" s="17" t="n">
        <v>74.3732</v>
      </c>
      <c r="AQ16" s="17" t="n">
        <v>74.1396</v>
      </c>
      <c r="AR16" s="17" t="n">
        <v>76.2535</v>
      </c>
      <c r="AS16" s="17" t="n">
        <v>64.8896</v>
      </c>
      <c r="AT16" s="17" t="n">
        <v>68.0808</v>
      </c>
      <c r="AU16" s="17" t="n">
        <v>46.8868</v>
      </c>
      <c r="AV16" s="17" t="n">
        <v>44.3651</v>
      </c>
      <c r="AW16" s="17" t="n">
        <v>40.0245</v>
      </c>
      <c r="AX16" s="17" t="n">
        <v>34.1853</v>
      </c>
      <c r="AY16" s="17" t="n">
        <v>47.1356</v>
      </c>
      <c r="AZ16" s="17" t="n">
        <v>43.16</v>
      </c>
      <c r="BA16" s="17" t="n">
        <v>46.7531</v>
      </c>
      <c r="BB16" s="17" t="n">
        <v>59.8773</v>
      </c>
      <c r="BC16" s="17" t="n">
        <v>86.14749999999999</v>
      </c>
      <c r="BD16" s="17" t="n">
        <v>64.1183</v>
      </c>
      <c r="BE16" s="17" t="n">
        <v>55.5813</v>
      </c>
      <c r="BF16" s="17" t="inlineStr"/>
      <c r="BG16" s="17" t="inlineStr"/>
      <c r="BH16" s="17" t="inlineStr"/>
      <c r="BI16" s="17" t="n">
        <v>0</v>
      </c>
    </row>
    <row r="17">
      <c r="A17" s="10" t="inlineStr">
        <is>
          <t>Credit A only</t>
        </is>
      </c>
      <c r="B17" s="17" t="n">
        <v>124.4406</v>
      </c>
      <c r="C17" s="17" t="n">
        <v>127.8594</v>
      </c>
      <c r="D17" s="17" t="n">
        <v>118.5274</v>
      </c>
      <c r="E17" s="17" t="n">
        <v>125.4152</v>
      </c>
      <c r="F17" s="17" t="n">
        <v>143.1966</v>
      </c>
      <c r="G17" s="17" t="n">
        <v>121.5593</v>
      </c>
      <c r="H17" s="17" t="n">
        <v>128.8402</v>
      </c>
      <c r="I17" s="17" t="n">
        <v>122.393</v>
      </c>
      <c r="J17" s="17" t="n">
        <v>139.8033</v>
      </c>
      <c r="K17" s="17" t="n">
        <v>133.3151</v>
      </c>
      <c r="L17" s="17" t="n">
        <v>123.3552</v>
      </c>
      <c r="M17" s="17" t="n">
        <v>135.0086</v>
      </c>
      <c r="N17" s="17" t="n">
        <v>138.1764</v>
      </c>
      <c r="O17" s="17" t="n">
        <v>119.2603</v>
      </c>
      <c r="P17" s="17" t="n">
        <v>102.3543</v>
      </c>
      <c r="Q17" s="17" t="n">
        <v>113.2866</v>
      </c>
      <c r="R17" s="17" t="n">
        <v>107.1374</v>
      </c>
      <c r="S17" s="17" t="n">
        <v>119.5639</v>
      </c>
      <c r="T17" s="17" t="n">
        <v>113.7899</v>
      </c>
      <c r="U17" s="17" t="n">
        <v>114.2612</v>
      </c>
      <c r="V17" s="17" t="n">
        <v>106.9505</v>
      </c>
      <c r="W17" s="17" t="n">
        <v>98.4907</v>
      </c>
      <c r="X17" s="17" t="n">
        <v>106.0621</v>
      </c>
      <c r="Y17" s="17" t="n">
        <v>106.3346</v>
      </c>
      <c r="Z17" s="17" t="n">
        <v>107.4458</v>
      </c>
      <c r="AA17" s="17" t="n">
        <v>93.6665</v>
      </c>
      <c r="AB17" s="17" t="n">
        <v>88.5992</v>
      </c>
      <c r="AC17" s="17" t="n">
        <v>102.5822</v>
      </c>
      <c r="AD17" s="17" t="n">
        <v>89.1285</v>
      </c>
      <c r="AE17" s="17" t="n">
        <v>87.8733</v>
      </c>
      <c r="AF17" s="17" t="n">
        <v>84.0782</v>
      </c>
      <c r="AG17" s="17" t="n">
        <v>81.6748</v>
      </c>
      <c r="AH17" s="17" t="n">
        <v>85.20010000000001</v>
      </c>
      <c r="AI17" s="17" t="n">
        <v>97.2568</v>
      </c>
      <c r="AJ17" s="17" t="n">
        <v>89.5262</v>
      </c>
      <c r="AK17" s="17" t="n">
        <v>93.17959999999999</v>
      </c>
      <c r="AL17" s="17" t="n">
        <v>87.0086</v>
      </c>
      <c r="AM17" s="17" t="n">
        <v>88.6378</v>
      </c>
      <c r="AN17" s="17" t="n">
        <v>87.9213</v>
      </c>
      <c r="AO17" s="17" t="n">
        <v>86.23739999999999</v>
      </c>
      <c r="AP17" s="17" t="n">
        <v>91.5086</v>
      </c>
      <c r="AQ17" s="17" t="n">
        <v>97.58150000000001</v>
      </c>
      <c r="AR17" s="17" t="n">
        <v>100.9873</v>
      </c>
      <c r="AS17" s="17" t="n">
        <v>86.8865</v>
      </c>
      <c r="AT17" s="17" t="n">
        <v>84.7941</v>
      </c>
      <c r="AU17" s="17" t="n">
        <v>70.1157</v>
      </c>
      <c r="AV17" s="17" t="n">
        <v>69.5761</v>
      </c>
      <c r="AW17" s="17" t="n">
        <v>64.32170000000001</v>
      </c>
      <c r="AX17" s="17" t="n">
        <v>61.6718</v>
      </c>
      <c r="AY17" s="17" t="n">
        <v>67.3108</v>
      </c>
      <c r="AZ17" s="17" t="n">
        <v>63.5895</v>
      </c>
      <c r="BA17" s="17" t="n">
        <v>65.6632</v>
      </c>
      <c r="BB17" s="17" t="n">
        <v>72.664</v>
      </c>
      <c r="BC17" s="17" t="n">
        <v>77.4145</v>
      </c>
      <c r="BD17" s="17" t="n">
        <v>65.5566</v>
      </c>
      <c r="BE17" s="17" t="n">
        <v>61.0314</v>
      </c>
      <c r="BF17" s="17" t="n">
        <v>61.8713</v>
      </c>
      <c r="BG17" s="17" t="n">
        <v>70.7265</v>
      </c>
      <c r="BH17" s="17" t="n">
        <v>66.4457</v>
      </c>
      <c r="BI17" s="17" t="n">
        <v>71</v>
      </c>
    </row>
    <row r="18">
      <c r="A18" s="10" t="inlineStr">
        <is>
          <t>Credit BBB only</t>
        </is>
      </c>
      <c r="B18" s="17" t="n">
        <v>171.1303</v>
      </c>
      <c r="C18" s="17" t="n">
        <v>185.1559</v>
      </c>
      <c r="D18" s="17" t="n">
        <v>164.3605</v>
      </c>
      <c r="E18" s="17" t="n">
        <v>188.7779</v>
      </c>
      <c r="F18" s="17" t="n">
        <v>291.3481</v>
      </c>
      <c r="G18" s="17" t="n">
        <v>176.8176</v>
      </c>
      <c r="H18" s="17" t="n">
        <v>201.028</v>
      </c>
      <c r="I18" s="17" t="n">
        <v>196.0145</v>
      </c>
      <c r="J18" s="17" t="n">
        <v>232.3965</v>
      </c>
      <c r="K18" s="17" t="n">
        <v>218.5036</v>
      </c>
      <c r="L18" s="17" t="n">
        <v>202.8641</v>
      </c>
      <c r="M18" s="17" t="n">
        <v>241.7344</v>
      </c>
      <c r="N18" s="17" t="n">
        <v>224.1847</v>
      </c>
      <c r="O18" s="17" t="n">
        <v>183.0224</v>
      </c>
      <c r="P18" s="17" t="n">
        <v>167.7298</v>
      </c>
      <c r="Q18" s="17" t="n">
        <v>173.711</v>
      </c>
      <c r="R18" s="17" t="n">
        <v>162.5978</v>
      </c>
      <c r="S18" s="17" t="n">
        <v>184.6939</v>
      </c>
      <c r="T18" s="17" t="n">
        <v>173.7119</v>
      </c>
      <c r="U18" s="17" t="n">
        <v>172.2678</v>
      </c>
      <c r="V18" s="17" t="n">
        <v>155.2956</v>
      </c>
      <c r="W18" s="17" t="n">
        <v>140.2074</v>
      </c>
      <c r="X18" s="17" t="n">
        <v>147.0228</v>
      </c>
      <c r="Y18" s="17" t="n">
        <v>153.5601</v>
      </c>
      <c r="Z18" s="17" t="n">
        <v>154.9019</v>
      </c>
      <c r="AA18" s="17" t="n">
        <v>148.0698</v>
      </c>
      <c r="AB18" s="17" t="n">
        <v>141.0801</v>
      </c>
      <c r="AC18" s="17" t="n">
        <v>159.0844</v>
      </c>
      <c r="AD18" s="17" t="n">
        <v>148.7517</v>
      </c>
      <c r="AE18" s="17" t="n">
        <v>141.2797</v>
      </c>
      <c r="AF18" s="17" t="n">
        <v>137.7139</v>
      </c>
      <c r="AG18" s="17" t="n">
        <v>133.7685</v>
      </c>
      <c r="AH18" s="17" t="n">
        <v>137.1517</v>
      </c>
      <c r="AI18" s="17" t="n">
        <v>147.1587</v>
      </c>
      <c r="AJ18" s="17" t="n">
        <v>140.2095</v>
      </c>
      <c r="AK18" s="17" t="n">
        <v>138.7672</v>
      </c>
      <c r="AL18" s="17" t="n">
        <v>140.4831</v>
      </c>
      <c r="AM18" s="17" t="n">
        <v>151.3306</v>
      </c>
      <c r="AN18" s="17" t="n">
        <v>149.7952</v>
      </c>
      <c r="AO18" s="17" t="n">
        <v>151.4222</v>
      </c>
      <c r="AP18" s="17" t="n">
        <v>157.9224</v>
      </c>
      <c r="AQ18" s="17" t="n">
        <v>166.292</v>
      </c>
      <c r="AR18" s="17" t="n">
        <v>174.2479</v>
      </c>
      <c r="AS18" s="17" t="n">
        <v>152.5755</v>
      </c>
      <c r="AT18" s="17" t="n">
        <v>145.0108</v>
      </c>
      <c r="AU18" s="17" t="n">
        <v>125.256</v>
      </c>
      <c r="AV18" s="17" t="n">
        <v>121.5346</v>
      </c>
      <c r="AW18" s="17" t="n">
        <v>111.9314</v>
      </c>
      <c r="AX18" s="17" t="n">
        <v>107.144</v>
      </c>
      <c r="AY18" s="17" t="n">
        <v>119.6295</v>
      </c>
      <c r="AZ18" s="17" t="n">
        <v>109.1071</v>
      </c>
      <c r="BA18" s="17" t="n">
        <v>110.6102</v>
      </c>
      <c r="BB18" s="17" t="n">
        <v>118.7969</v>
      </c>
      <c r="BC18" s="17" t="n">
        <v>130.6813</v>
      </c>
      <c r="BD18" s="17" t="n">
        <v>104.5166</v>
      </c>
      <c r="BE18" s="17" t="n">
        <v>102.4755</v>
      </c>
      <c r="BF18" s="17" t="n">
        <v>101.5006</v>
      </c>
      <c r="BG18" s="17" t="n">
        <v>110.0072</v>
      </c>
      <c r="BH18" s="17" t="n">
        <v>103.2804</v>
      </c>
      <c r="BI18" s="17" t="n">
        <v>107</v>
      </c>
    </row>
    <row r="19">
      <c r="A19" s="10" t="inlineStr">
        <is>
          <t>Credit BB only</t>
        </is>
      </c>
      <c r="B19" s="17" t="n">
        <v>348.3815</v>
      </c>
      <c r="C19" s="17" t="n">
        <v>386.405</v>
      </c>
      <c r="D19" s="17" t="n">
        <v>351.3964</v>
      </c>
      <c r="E19" s="17" t="n">
        <v>361.2516</v>
      </c>
      <c r="F19" s="17" t="n">
        <v>400.6822</v>
      </c>
      <c r="G19" s="17" t="n">
        <v>345.4899</v>
      </c>
      <c r="H19" s="17" t="n">
        <v>371.4913</v>
      </c>
      <c r="I19" s="17" t="n">
        <v>371.1991</v>
      </c>
      <c r="J19" s="17" t="n">
        <v>467.1632</v>
      </c>
      <c r="K19" s="17" t="n">
        <v>410.7177</v>
      </c>
      <c r="L19" s="17" t="n">
        <v>394.9431</v>
      </c>
      <c r="M19" s="17" t="n">
        <v>431.9652</v>
      </c>
      <c r="N19" s="17" t="n">
        <v>386.5923</v>
      </c>
      <c r="O19" s="17" t="n">
        <v>346.8595</v>
      </c>
      <c r="P19" s="17" t="n">
        <v>328.2901</v>
      </c>
      <c r="Q19" s="17" t="n">
        <v>328.4802</v>
      </c>
      <c r="R19" s="17" t="n">
        <v>325.2886</v>
      </c>
      <c r="S19" s="17" t="n">
        <v>349.2716</v>
      </c>
      <c r="T19" s="17" t="n">
        <v>355.6859</v>
      </c>
      <c r="U19" s="17" t="n">
        <v>361.393</v>
      </c>
      <c r="V19" s="17" t="n">
        <v>328.1285</v>
      </c>
      <c r="W19" s="17" t="n">
        <v>259.1238</v>
      </c>
      <c r="X19" s="17" t="n">
        <v>273.8987</v>
      </c>
      <c r="Y19" s="17" t="n">
        <v>275.8753</v>
      </c>
      <c r="Z19" s="17" t="n">
        <v>262.9353</v>
      </c>
      <c r="AA19" s="17" t="n">
        <v>245.0281</v>
      </c>
      <c r="AB19" s="17" t="n">
        <v>229.0214</v>
      </c>
      <c r="AC19" s="17" t="n">
        <v>256.2115</v>
      </c>
      <c r="AD19" s="17" t="n">
        <v>236.9134</v>
      </c>
      <c r="AE19" s="17" t="n">
        <v>229.674</v>
      </c>
      <c r="AF19" s="17" t="n">
        <v>224.7979</v>
      </c>
      <c r="AG19" s="17" t="n">
        <v>226.0809</v>
      </c>
      <c r="AH19" s="17" t="n">
        <v>231.5055</v>
      </c>
      <c r="AI19" s="17" t="n">
        <v>240.0776</v>
      </c>
      <c r="AJ19" s="17" t="n">
        <v>227.2805</v>
      </c>
      <c r="AK19" s="17" t="n">
        <v>224.5735</v>
      </c>
      <c r="AL19" s="17" t="n">
        <v>222.7124</v>
      </c>
      <c r="AM19" s="17" t="n">
        <v>233.6931</v>
      </c>
      <c r="AN19" s="17" t="n">
        <v>234.8714</v>
      </c>
      <c r="AO19" s="17" t="n">
        <v>230.0665</v>
      </c>
      <c r="AP19" s="17" t="n">
        <v>246.1678</v>
      </c>
      <c r="AQ19" s="17" t="n">
        <v>260.6026</v>
      </c>
      <c r="AR19" s="17" t="n">
        <v>282.6551</v>
      </c>
      <c r="AS19" s="17" t="n">
        <v>251.1451</v>
      </c>
      <c r="AT19" s="17" t="n">
        <v>243.2726</v>
      </c>
      <c r="AU19" s="17" t="n">
        <v>227.6297</v>
      </c>
      <c r="AV19" s="17" t="n">
        <v>229.2643</v>
      </c>
      <c r="AW19" s="17" t="n">
        <v>211.1976</v>
      </c>
      <c r="AX19" s="17" t="n">
        <v>203.7328</v>
      </c>
      <c r="AY19" s="17" t="n">
        <v>217.1554</v>
      </c>
      <c r="AZ19" s="17" t="n">
        <v>202.9079</v>
      </c>
      <c r="BA19" s="17" t="n">
        <v>205.5867</v>
      </c>
      <c r="BB19" s="17" t="n">
        <v>223.819</v>
      </c>
      <c r="BC19" s="17" t="n">
        <v>244.0162</v>
      </c>
      <c r="BD19" s="17" t="n">
        <v>202.8891</v>
      </c>
      <c r="BE19" s="17" t="n">
        <v>192.8787</v>
      </c>
      <c r="BF19" s="17" t="n">
        <v>181.3163</v>
      </c>
      <c r="BG19" s="17" t="n">
        <v>187.6809</v>
      </c>
      <c r="BH19" s="17" t="n">
        <v>176.6045</v>
      </c>
      <c r="BI19" s="17" t="n">
        <v>181</v>
      </c>
    </row>
    <row r="20">
      <c r="A20" s="10" t="inlineStr">
        <is>
          <t>Credit B only</t>
        </is>
      </c>
      <c r="B20" s="17" t="n">
        <v>585.963</v>
      </c>
      <c r="C20" s="17" t="n">
        <v>662.8162</v>
      </c>
      <c r="D20" s="17" t="n">
        <v>644.1499</v>
      </c>
      <c r="E20" s="17" t="n">
        <v>656.5987</v>
      </c>
      <c r="F20" s="17" t="n">
        <v>795.0044</v>
      </c>
      <c r="G20" s="17" t="n">
        <v>606.6665</v>
      </c>
      <c r="H20" s="17" t="n">
        <v>650.2308</v>
      </c>
      <c r="I20" s="17" t="n">
        <v>690.5989</v>
      </c>
      <c r="J20" s="17" t="n">
        <v>872.5606</v>
      </c>
      <c r="K20" s="17" t="n">
        <v>929.5007000000001</v>
      </c>
      <c r="L20" s="17" t="n">
        <v>781.0021</v>
      </c>
      <c r="M20" s="17" t="n">
        <v>870.4258</v>
      </c>
      <c r="N20" s="17" t="n">
        <v>739.1367</v>
      </c>
      <c r="O20" s="17" t="n">
        <v>628.2459</v>
      </c>
      <c r="P20" s="17" t="n">
        <v>604.2659</v>
      </c>
      <c r="Q20" s="17" t="n">
        <v>608.9664</v>
      </c>
      <c r="R20" s="17" t="n">
        <v>633.1249</v>
      </c>
      <c r="S20" s="17" t="n">
        <v>722.1032</v>
      </c>
      <c r="T20" s="17" t="n">
        <v>743.8469</v>
      </c>
      <c r="U20" s="17" t="n">
        <v>726.8976</v>
      </c>
      <c r="V20" s="17" t="n">
        <v>661.6002</v>
      </c>
      <c r="W20" s="17" t="n">
        <v>600.7434</v>
      </c>
      <c r="X20" s="17" t="n">
        <v>564.2652</v>
      </c>
      <c r="Y20" s="17" t="n">
        <v>562.2565</v>
      </c>
      <c r="Z20" s="17" t="n">
        <v>584.5017</v>
      </c>
      <c r="AA20" s="17" t="n">
        <v>534.8718</v>
      </c>
      <c r="AB20" s="17" t="n">
        <v>499.1215</v>
      </c>
      <c r="AC20" s="17" t="n">
        <v>534.4580999999999</v>
      </c>
      <c r="AD20" s="17" t="n">
        <v>447.8951</v>
      </c>
      <c r="AE20" s="17" t="n">
        <v>437.6096</v>
      </c>
      <c r="AF20" s="17" t="n">
        <v>425.4481</v>
      </c>
      <c r="AG20" s="17" t="n">
        <v>425.6222</v>
      </c>
      <c r="AH20" s="17" t="n">
        <v>458.487</v>
      </c>
      <c r="AI20" s="17" t="n">
        <v>473.4896</v>
      </c>
      <c r="AJ20" s="17" t="n">
        <v>466.4998</v>
      </c>
      <c r="AK20" s="17" t="n">
        <v>449.3414</v>
      </c>
      <c r="AL20" s="17" t="n">
        <v>424.0104</v>
      </c>
      <c r="AM20" s="17" t="n">
        <v>471.4563</v>
      </c>
      <c r="AN20" s="17" t="n">
        <v>463.5264</v>
      </c>
      <c r="AO20" s="17" t="n">
        <v>453.4246</v>
      </c>
      <c r="AP20" s="17" t="n">
        <v>476.4673</v>
      </c>
      <c r="AQ20" s="17" t="n">
        <v>519.5744</v>
      </c>
      <c r="AR20" s="17" t="n">
        <v>579.9714</v>
      </c>
      <c r="AS20" s="17" t="n">
        <v>499.7986</v>
      </c>
      <c r="AT20" s="17" t="n">
        <v>469.7966</v>
      </c>
      <c r="AU20" s="17" t="n">
        <v>425.3983</v>
      </c>
      <c r="AV20" s="17" t="n">
        <v>420.207</v>
      </c>
      <c r="AW20" s="17" t="n">
        <v>387.1651</v>
      </c>
      <c r="AX20" s="17" t="n">
        <v>367.5703</v>
      </c>
      <c r="AY20" s="17" t="n">
        <v>385.6614</v>
      </c>
      <c r="AZ20" s="17" t="n">
        <v>346.2155</v>
      </c>
      <c r="BA20" s="17" t="n">
        <v>343.1422</v>
      </c>
      <c r="BB20" s="17" t="n">
        <v>373.0124</v>
      </c>
      <c r="BC20" s="17" t="n">
        <v>423.5716</v>
      </c>
      <c r="BD20" s="17" t="n">
        <v>348.5895</v>
      </c>
      <c r="BE20" s="17" t="n">
        <v>326.55</v>
      </c>
      <c r="BF20" s="17" t="n">
        <v>338.0714</v>
      </c>
      <c r="BG20" s="17" t="n">
        <v>340.0771</v>
      </c>
      <c r="BH20" s="17" t="n">
        <v>333.049</v>
      </c>
      <c r="BI20" s="17" t="n">
        <v>330</v>
      </c>
    </row>
    <row r="21">
      <c r="A21" s="10" t="inlineStr">
        <is>
          <t>Credit C only</t>
        </is>
      </c>
      <c r="B21" s="17" t="n">
        <v>1899.97</v>
      </c>
      <c r="C21" s="17" t="n">
        <v>2150.4557</v>
      </c>
      <c r="D21" s="17" t="n">
        <v>2064.9023</v>
      </c>
      <c r="E21" s="17" t="n">
        <v>2534.4245</v>
      </c>
      <c r="F21" s="17" t="n">
        <v>2538.4096</v>
      </c>
      <c r="G21" s="17" t="n">
        <v>2566.623</v>
      </c>
      <c r="H21" s="17" t="n">
        <v>2907.5259</v>
      </c>
      <c r="I21" s="17" t="n">
        <v>3066.8625</v>
      </c>
      <c r="J21" s="17" t="n">
        <v>4108.5405</v>
      </c>
      <c r="K21" s="17" t="n">
        <v>4320.0147</v>
      </c>
      <c r="L21" s="17" t="n">
        <v>3546.0862</v>
      </c>
      <c r="M21" s="17" t="n">
        <v>3903.4391</v>
      </c>
      <c r="N21" s="17" t="n">
        <v>4143.7821</v>
      </c>
      <c r="O21" s="17" t="n">
        <v>3464.518</v>
      </c>
      <c r="P21" s="17" t="n">
        <v>3623.6336</v>
      </c>
      <c r="Q21" s="17" t="n">
        <v>2834.1446</v>
      </c>
      <c r="R21" s="17" t="n">
        <v>2919.3874</v>
      </c>
      <c r="S21" s="17" t="n">
        <v>3255.6742</v>
      </c>
      <c r="T21" s="17" t="n">
        <v>3411.2141</v>
      </c>
      <c r="U21" s="17" t="n">
        <v>3876.626</v>
      </c>
      <c r="V21" s="17" t="n">
        <v>3223.1183</v>
      </c>
      <c r="W21" s="17" t="n">
        <v>2969.3188</v>
      </c>
      <c r="X21" s="17" t="n">
        <v>2932.2385</v>
      </c>
      <c r="Y21" s="17" t="n">
        <v>2920.3766</v>
      </c>
      <c r="Z21" s="17" t="n">
        <v>2941.5812</v>
      </c>
      <c r="AA21" s="17" t="n">
        <v>2834.7426</v>
      </c>
      <c r="AB21" s="17" t="n">
        <v>2838.3118</v>
      </c>
      <c r="AC21" s="17" t="n">
        <v>2823.0785</v>
      </c>
      <c r="AD21" s="17" t="n">
        <v>2592.0173</v>
      </c>
      <c r="AE21" s="17" t="n">
        <v>2209.6463</v>
      </c>
      <c r="AF21" s="17" t="n">
        <v>2498.0898</v>
      </c>
      <c r="AG21" s="17" t="n">
        <v>2598.1779</v>
      </c>
      <c r="AH21" s="17" t="n">
        <v>2685.0789</v>
      </c>
      <c r="AI21" s="17" t="n">
        <v>2713.0231</v>
      </c>
      <c r="AJ21" s="17" t="n">
        <v>2735.4223</v>
      </c>
      <c r="AK21" s="17" t="n">
        <v>2149.2873</v>
      </c>
      <c r="AL21" s="17" t="n">
        <v>1872.3065</v>
      </c>
      <c r="AM21" s="17" t="n">
        <v>1843.2303</v>
      </c>
      <c r="AN21" s="17" t="n">
        <v>1538.6444</v>
      </c>
      <c r="AO21" s="17" t="n">
        <v>1420.4879</v>
      </c>
      <c r="AP21" s="17" t="n">
        <v>1525.7862</v>
      </c>
      <c r="AQ21" s="17" t="n">
        <v>1716.736</v>
      </c>
      <c r="AR21" s="17" t="n">
        <v>1736.9717</v>
      </c>
      <c r="AS21" s="17" t="n">
        <v>1609.9564</v>
      </c>
      <c r="AT21" s="17" t="n">
        <v>1526.375</v>
      </c>
      <c r="AU21" s="17" t="n">
        <v>1572.7772</v>
      </c>
      <c r="AV21" s="17" t="n">
        <v>1581.1263</v>
      </c>
      <c r="AW21" s="17" t="n">
        <v>1697.3176</v>
      </c>
      <c r="AX21" s="17" t="n">
        <v>1392.4459</v>
      </c>
      <c r="AY21" s="17" t="n">
        <v>1620.4869</v>
      </c>
      <c r="AZ21" s="17" t="n">
        <v>1555.3418</v>
      </c>
      <c r="BA21" s="17" t="n">
        <v>1255.5527</v>
      </c>
      <c r="BB21" s="17" t="n">
        <v>1297.4487</v>
      </c>
      <c r="BC21" s="17" t="n">
        <v>1439.413</v>
      </c>
      <c r="BD21" s="17" t="n">
        <v>1272.4889</v>
      </c>
      <c r="BE21" s="17" t="n">
        <v>1159.9363</v>
      </c>
      <c r="BF21" s="17" t="n">
        <v>1589.1978</v>
      </c>
      <c r="BG21" s="17" t="n">
        <v>1556.4321</v>
      </c>
      <c r="BH21" s="17" t="n">
        <v>1526.8402</v>
      </c>
      <c r="BI21" s="17" t="n">
        <v>496</v>
      </c>
    </row>
    <row r="22">
      <c r="A22" s="10" t="inlineStr">
        <is>
          <t>Credit IG only</t>
        </is>
      </c>
      <c r="B22" s="17" t="n">
        <v>150.4906</v>
      </c>
      <c r="C22" s="17" t="n">
        <v>160.1742</v>
      </c>
      <c r="D22" s="17" t="n">
        <v>143.2993</v>
      </c>
      <c r="E22" s="17" t="n">
        <v>160.3576</v>
      </c>
      <c r="F22" s="17" t="n">
        <v>224.5271</v>
      </c>
      <c r="G22" s="17" t="n">
        <v>149.5888</v>
      </c>
      <c r="H22" s="17" t="n">
        <v>165.4109</v>
      </c>
      <c r="I22" s="17" t="n">
        <v>159.981</v>
      </c>
      <c r="J22" s="17" t="n">
        <v>189.1008</v>
      </c>
      <c r="K22" s="17" t="n">
        <v>176.5584</v>
      </c>
      <c r="L22" s="17" t="n">
        <v>162.5374</v>
      </c>
      <c r="M22" s="17" t="n">
        <v>190.8625</v>
      </c>
      <c r="N22" s="17" t="n">
        <v>181.3819</v>
      </c>
      <c r="O22" s="17" t="n">
        <v>151.7948</v>
      </c>
      <c r="P22" s="17" t="n">
        <v>134.3084</v>
      </c>
      <c r="Q22" s="17" t="n">
        <v>144.2395</v>
      </c>
      <c r="R22" s="17" t="n">
        <v>135.4246</v>
      </c>
      <c r="S22" s="17" t="n">
        <v>153.43</v>
      </c>
      <c r="T22" s="17" t="n">
        <v>143.6726</v>
      </c>
      <c r="U22" s="17" t="n">
        <v>143.2781</v>
      </c>
      <c r="V22" s="17" t="n">
        <v>130.7055</v>
      </c>
      <c r="W22" s="17" t="n">
        <v>118.1894</v>
      </c>
      <c r="X22" s="17" t="n">
        <v>125.4004</v>
      </c>
      <c r="Y22" s="17" t="n">
        <v>127.9514</v>
      </c>
      <c r="Z22" s="17" t="n">
        <v>130.0254</v>
      </c>
      <c r="AA22" s="17" t="n">
        <v>123.246</v>
      </c>
      <c r="AB22" s="17" t="n">
        <v>116.3937</v>
      </c>
      <c r="AC22" s="17" t="n">
        <v>133.944</v>
      </c>
      <c r="AD22" s="17" t="n">
        <v>121.6243</v>
      </c>
      <c r="AE22" s="17" t="n">
        <v>115.7929</v>
      </c>
      <c r="AF22" s="17" t="n">
        <v>111.9209</v>
      </c>
      <c r="AG22" s="17" t="n">
        <v>108.5543</v>
      </c>
      <c r="AH22" s="17" t="n">
        <v>110.8662</v>
      </c>
      <c r="AI22" s="17" t="n">
        <v>121.8862</v>
      </c>
      <c r="AJ22" s="17" t="n">
        <v>113.9842</v>
      </c>
      <c r="AK22" s="17" t="n">
        <v>115.4309</v>
      </c>
      <c r="AL22" s="17" t="n">
        <v>113.9335</v>
      </c>
      <c r="AM22" s="17" t="n">
        <v>121.8589</v>
      </c>
      <c r="AN22" s="17" t="n">
        <v>119.2753</v>
      </c>
      <c r="AO22" s="17" t="n">
        <v>120.2489</v>
      </c>
      <c r="AP22" s="17" t="n">
        <v>127.2323</v>
      </c>
      <c r="AQ22" s="17" t="n">
        <v>133.8202</v>
      </c>
      <c r="AR22" s="17" t="n">
        <v>139.4226</v>
      </c>
      <c r="AS22" s="17" t="n">
        <v>121.719</v>
      </c>
      <c r="AT22" s="17" t="n">
        <v>118.2207</v>
      </c>
      <c r="AU22" s="17" t="n">
        <v>102.5007</v>
      </c>
      <c r="AV22" s="17" t="n">
        <v>101.3021</v>
      </c>
      <c r="AW22" s="17" t="n">
        <v>93.2444</v>
      </c>
      <c r="AX22" s="17" t="n">
        <v>89.0746</v>
      </c>
      <c r="AY22" s="17" t="n">
        <v>99.5625</v>
      </c>
      <c r="AZ22" s="17" t="n">
        <v>91.6033</v>
      </c>
      <c r="BA22" s="17" t="n">
        <v>93.9562</v>
      </c>
      <c r="BB22" s="17" t="n">
        <v>102.0937</v>
      </c>
      <c r="BC22" s="17" t="n">
        <v>113.1985</v>
      </c>
      <c r="BD22" s="17" t="n">
        <v>91.7067</v>
      </c>
      <c r="BE22" s="17" t="n">
        <v>89.25020000000001</v>
      </c>
      <c r="BF22" s="17" t="n">
        <v>89.3792</v>
      </c>
      <c r="BG22" s="17" t="n">
        <v>98.0194</v>
      </c>
      <c r="BH22" s="17" t="n">
        <v>92.063</v>
      </c>
      <c r="BI22" s="17" t="n">
        <v>96</v>
      </c>
    </row>
    <row r="23">
      <c r="A23" s="10" t="inlineStr">
        <is>
          <t>Credit Non-IG</t>
        </is>
      </c>
      <c r="B23" s="17" t="n">
        <v>600.1143</v>
      </c>
      <c r="C23" s="17" t="n">
        <v>671.825</v>
      </c>
      <c r="D23" s="17" t="n">
        <v>639.6273</v>
      </c>
      <c r="E23" s="17" t="n">
        <v>652.1902</v>
      </c>
      <c r="F23" s="17" t="n">
        <v>759.4079</v>
      </c>
      <c r="G23" s="17" t="n">
        <v>684.0659000000001</v>
      </c>
      <c r="H23" s="17" t="n">
        <v>743.7373</v>
      </c>
      <c r="I23" s="17" t="n">
        <v>774.8456</v>
      </c>
      <c r="J23" s="17" t="n">
        <v>966.7631</v>
      </c>
      <c r="K23" s="17" t="n">
        <v>961.3858</v>
      </c>
      <c r="L23" s="17" t="n">
        <v>900.634</v>
      </c>
      <c r="M23" s="17" t="n">
        <v>992.5852</v>
      </c>
      <c r="N23" s="17" t="n">
        <v>957.1935999999999</v>
      </c>
      <c r="O23" s="17" t="n">
        <v>834.7713</v>
      </c>
      <c r="P23" s="17" t="n">
        <v>823.0536</v>
      </c>
      <c r="Q23" s="17" t="n">
        <v>778.8055000000001</v>
      </c>
      <c r="R23" s="17" t="n">
        <v>794.8623</v>
      </c>
      <c r="S23" s="17" t="n">
        <v>865.2752</v>
      </c>
      <c r="T23" s="17" t="n">
        <v>885.5225</v>
      </c>
      <c r="U23" s="17" t="n">
        <v>895.0993999999999</v>
      </c>
      <c r="V23" s="17" t="n">
        <v>802.3894</v>
      </c>
      <c r="W23" s="17" t="n">
        <v>734.0257</v>
      </c>
      <c r="X23" s="17" t="n">
        <v>780.0031</v>
      </c>
      <c r="Y23" s="17" t="n">
        <v>788.9978</v>
      </c>
      <c r="Z23" s="17" t="n">
        <v>791.891</v>
      </c>
      <c r="AA23" s="17" t="n">
        <v>734.2073</v>
      </c>
      <c r="AB23" s="17" t="n">
        <v>700.73</v>
      </c>
      <c r="AC23" s="17" t="n">
        <v>723.1468</v>
      </c>
      <c r="AD23" s="17" t="n">
        <v>654.7813</v>
      </c>
      <c r="AE23" s="17" t="n">
        <v>607.0513999999999</v>
      </c>
      <c r="AF23" s="17" t="n">
        <v>680.5226</v>
      </c>
      <c r="AG23" s="17" t="n">
        <v>707.9076</v>
      </c>
      <c r="AH23" s="17" t="n">
        <v>731.1135</v>
      </c>
      <c r="AI23" s="17" t="n">
        <v>738.8284</v>
      </c>
      <c r="AJ23" s="17" t="n">
        <v>725.9484</v>
      </c>
      <c r="AK23" s="17" t="n">
        <v>659.5948</v>
      </c>
      <c r="AL23" s="17" t="n">
        <v>609.0512</v>
      </c>
      <c r="AM23" s="17" t="n">
        <v>589.4704</v>
      </c>
      <c r="AN23" s="17" t="n">
        <v>558.7322</v>
      </c>
      <c r="AO23" s="17" t="n">
        <v>537.5291</v>
      </c>
      <c r="AP23" s="17" t="n">
        <v>558.7114</v>
      </c>
      <c r="AQ23" s="17" t="n">
        <v>596.9862000000001</v>
      </c>
      <c r="AR23" s="17" t="n">
        <v>634.2592</v>
      </c>
      <c r="AS23" s="17" t="n">
        <v>575.7517</v>
      </c>
      <c r="AT23" s="17" t="n">
        <v>549.4684999999999</v>
      </c>
      <c r="AU23" s="17" t="n">
        <v>532.8847</v>
      </c>
      <c r="AV23" s="17" t="n">
        <v>525.0037</v>
      </c>
      <c r="AW23" s="17" t="n">
        <v>508.5171</v>
      </c>
      <c r="AX23" s="17" t="n">
        <v>466.0622</v>
      </c>
      <c r="AY23" s="17" t="n">
        <v>466.4076</v>
      </c>
      <c r="AZ23" s="17" t="n">
        <v>439.7291</v>
      </c>
      <c r="BA23" s="17" t="n">
        <v>422.3399</v>
      </c>
      <c r="BB23" s="17" t="n">
        <v>442.6489</v>
      </c>
      <c r="BC23" s="17" t="n">
        <v>490.883</v>
      </c>
      <c r="BD23" s="17" t="n">
        <v>422.1841</v>
      </c>
      <c r="BE23" s="17" t="n">
        <v>397.0004</v>
      </c>
      <c r="BF23" s="17" t="n">
        <v>391.7167</v>
      </c>
      <c r="BG23" s="17" t="n">
        <v>397.6058</v>
      </c>
      <c r="BH23" s="17" t="n">
        <v>384.1345</v>
      </c>
      <c r="BI23" s="17" t="n">
        <v>261</v>
      </c>
    </row>
    <row r="25">
      <c r="A25" s="2" t="inlineStr">
        <is>
          <t>COUNTRY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</row>
    <row r="26">
      <c r="A26" s="10" t="inlineStr">
        <is>
          <t>Angola</t>
        </is>
      </c>
      <c r="B26" s="17" t="n">
        <v>715.1856</v>
      </c>
      <c r="C26" s="17" t="n">
        <v>830.5574</v>
      </c>
      <c r="D26" s="17" t="n">
        <v>722.4915</v>
      </c>
      <c r="E26" s="17" t="n">
        <v>685.8638999999999</v>
      </c>
      <c r="F26" s="17" t="n">
        <v>703.4267</v>
      </c>
      <c r="G26" s="17" t="n">
        <v>614.7287</v>
      </c>
      <c r="H26" s="17" t="n">
        <v>665.6402</v>
      </c>
      <c r="I26" s="17" t="n">
        <v>672.1958</v>
      </c>
      <c r="J26" s="17" t="n">
        <v>936.583</v>
      </c>
      <c r="K26" s="17" t="n">
        <v>923.1626</v>
      </c>
      <c r="L26" s="17" t="n">
        <v>841.5494</v>
      </c>
      <c r="M26" s="17" t="n">
        <v>952.9872</v>
      </c>
      <c r="N26" s="17" t="n">
        <v>778.9549</v>
      </c>
      <c r="O26" s="17" t="n">
        <v>666.0988</v>
      </c>
      <c r="P26" s="17" t="n">
        <v>696.8931</v>
      </c>
      <c r="Q26" s="17" t="n">
        <v>622.0622</v>
      </c>
      <c r="R26" s="17" t="n">
        <v>626.2188</v>
      </c>
      <c r="S26" s="17" t="n">
        <v>772.2224</v>
      </c>
      <c r="T26" s="17" t="n">
        <v>813.7242</v>
      </c>
      <c r="U26" s="17" t="n">
        <v>780.8642</v>
      </c>
      <c r="V26" s="17" t="n">
        <v>748.2155</v>
      </c>
      <c r="W26" s="17" t="n">
        <v>669.0416</v>
      </c>
      <c r="X26" s="17" t="n">
        <v>770.2693</v>
      </c>
      <c r="Y26" s="17" t="n">
        <v>764.7682</v>
      </c>
      <c r="Z26" s="17" t="n">
        <v>781.1844</v>
      </c>
      <c r="AA26" s="17" t="n">
        <v>739.5791</v>
      </c>
      <c r="AB26" s="17" t="n">
        <v>684.5513</v>
      </c>
      <c r="AC26" s="17" t="n">
        <v>732.4952</v>
      </c>
      <c r="AD26" s="17" t="n">
        <v>662.0124</v>
      </c>
      <c r="AE26" s="17" t="n">
        <v>586.7254</v>
      </c>
      <c r="AF26" s="17" t="n">
        <v>567.8618</v>
      </c>
      <c r="AG26" s="17" t="n">
        <v>596.2953</v>
      </c>
      <c r="AH26" s="17" t="n">
        <v>625.044</v>
      </c>
      <c r="AI26" s="17" t="n">
        <v>648.9271</v>
      </c>
      <c r="AJ26" s="17" t="n">
        <v>641.8527</v>
      </c>
      <c r="AK26" s="17" t="n">
        <v>683.1749</v>
      </c>
      <c r="AL26" s="17" t="n">
        <v>620.0589</v>
      </c>
      <c r="AM26" s="17" t="n">
        <v>652.7406999999999</v>
      </c>
      <c r="AN26" s="17" t="n">
        <v>648.962</v>
      </c>
      <c r="AO26" s="17" t="n">
        <v>643.7998</v>
      </c>
      <c r="AP26" s="17" t="n">
        <v>667.4066</v>
      </c>
      <c r="AQ26" s="17" t="n">
        <v>735.1215999999999</v>
      </c>
      <c r="AR26" s="17" t="n">
        <v>969.7274</v>
      </c>
      <c r="AS26" s="17" t="n">
        <v>820.8549</v>
      </c>
      <c r="AT26" s="17" t="n">
        <v>710.5462</v>
      </c>
      <c r="AU26" s="17" t="n">
        <v>649.6441</v>
      </c>
      <c r="AV26" s="17" t="n">
        <v>635.2362000000001</v>
      </c>
      <c r="AW26" s="17" t="n">
        <v>586.9918</v>
      </c>
      <c r="AX26" s="17" t="n">
        <v>611.7430000000001</v>
      </c>
      <c r="AY26" s="17" t="n">
        <v>598.2868999999999</v>
      </c>
      <c r="AZ26" s="17" t="n">
        <v>560.3601</v>
      </c>
      <c r="BA26" s="17" t="n">
        <v>547.7074</v>
      </c>
      <c r="BB26" s="17" t="n">
        <v>552.6826</v>
      </c>
      <c r="BC26" s="17" t="n">
        <v>544.2441</v>
      </c>
      <c r="BD26" s="17" t="n">
        <v>421.3499</v>
      </c>
      <c r="BE26" s="17" t="n">
        <v>431.9046</v>
      </c>
      <c r="BF26" s="17" t="n">
        <v>451.6184</v>
      </c>
      <c r="BG26" s="17" t="n">
        <v>418.7158</v>
      </c>
      <c r="BH26" s="17" t="n">
        <v>411.9603</v>
      </c>
      <c r="BI26" s="17" t="n">
        <v>392</v>
      </c>
    </row>
    <row r="27">
      <c r="A27" s="10" t="inlineStr">
        <is>
          <t>Argentina</t>
        </is>
      </c>
      <c r="B27" s="17" t="n">
        <v>1712.1385</v>
      </c>
      <c r="C27" s="17" t="n">
        <v>1913.6114</v>
      </c>
      <c r="D27" s="17" t="n">
        <v>1687.7948</v>
      </c>
      <c r="E27" s="17" t="n">
        <v>1722.9907</v>
      </c>
      <c r="F27" s="17" t="n">
        <v>1815.5363</v>
      </c>
      <c r="G27" s="17" t="n">
        <v>1718.1292</v>
      </c>
      <c r="H27" s="17" t="n">
        <v>1801.401</v>
      </c>
      <c r="I27" s="17" t="n">
        <v>1917.5386</v>
      </c>
      <c r="J27" s="17" t="n">
        <v>2428.234</v>
      </c>
      <c r="K27" s="17" t="n">
        <v>2398.101</v>
      </c>
      <c r="L27" s="17" t="n">
        <v>2384.8974</v>
      </c>
      <c r="M27" s="17" t="n">
        <v>2800.5387</v>
      </c>
      <c r="N27" s="17" t="n">
        <v>2624.3871</v>
      </c>
      <c r="O27" s="17" t="n">
        <v>2247.9629</v>
      </c>
      <c r="P27" s="17" t="n">
        <v>2195.8222</v>
      </c>
      <c r="Q27" s="17" t="n">
        <v>1820.6747</v>
      </c>
      <c r="R27" s="17" t="n">
        <v>1958.1977</v>
      </c>
      <c r="S27" s="17" t="n">
        <v>2300.0814</v>
      </c>
      <c r="T27" s="17" t="n">
        <v>2681.3703</v>
      </c>
      <c r="U27" s="17" t="n">
        <v>2594.583</v>
      </c>
      <c r="V27" s="17" t="n">
        <v>2037.0473</v>
      </c>
      <c r="W27" s="17" t="n">
        <v>1982.2987</v>
      </c>
      <c r="X27" s="17" t="n">
        <v>2096.607</v>
      </c>
      <c r="Y27" s="17" t="n">
        <v>2538.6507</v>
      </c>
      <c r="Z27" s="17" t="n">
        <v>2575.6119</v>
      </c>
      <c r="AA27" s="17" t="n">
        <v>1984.3862</v>
      </c>
      <c r="AB27" s="17" t="n">
        <v>1907.3283</v>
      </c>
      <c r="AC27" s="17" t="n">
        <v>1963.5837</v>
      </c>
      <c r="AD27" s="17" t="n">
        <v>1702.3499</v>
      </c>
      <c r="AE27" s="17" t="n">
        <v>1452.3576</v>
      </c>
      <c r="AF27" s="17" t="n">
        <v>1215.4486</v>
      </c>
      <c r="AG27" s="17" t="n">
        <v>1340.6779</v>
      </c>
      <c r="AH27" s="17" t="n">
        <v>1455.2481</v>
      </c>
      <c r="AI27" s="17" t="n">
        <v>1510.4132</v>
      </c>
      <c r="AJ27" s="17" t="n">
        <v>1433.2091</v>
      </c>
      <c r="AK27" s="17" t="n">
        <v>1283.6628</v>
      </c>
      <c r="AL27" s="17" t="n">
        <v>983.9679</v>
      </c>
      <c r="AM27" s="17" t="n">
        <v>754.7496</v>
      </c>
      <c r="AN27" s="17" t="n">
        <v>634.9773</v>
      </c>
      <c r="AO27" s="17" t="n">
        <v>624.5923</v>
      </c>
      <c r="AP27" s="17" t="n">
        <v>784.1164</v>
      </c>
      <c r="AQ27" s="17" t="n">
        <v>819.4018</v>
      </c>
      <c r="AR27" s="17" t="n">
        <v>722.2536</v>
      </c>
      <c r="AS27" s="17" t="n">
        <v>677.6842</v>
      </c>
      <c r="AT27" s="17" t="n">
        <v>700.9739</v>
      </c>
      <c r="AU27" s="17" t="n">
        <v>729.5615</v>
      </c>
      <c r="AV27" s="17" t="n">
        <v>828.5319</v>
      </c>
      <c r="AW27" s="17" t="n">
        <v>1221.8445</v>
      </c>
      <c r="AX27" s="17" t="n">
        <v>661.5792</v>
      </c>
      <c r="AY27" s="17" t="n">
        <v>645.3842</v>
      </c>
      <c r="AZ27" s="17" t="n">
        <v>560.5453</v>
      </c>
      <c r="BA27" s="17" t="n">
        <v>491.6939</v>
      </c>
      <c r="BB27" s="17" t="n">
        <v>576.0062</v>
      </c>
      <c r="BC27" s="17" t="n">
        <v>616.4815</v>
      </c>
      <c r="BD27" s="17" t="n">
        <v>555.6202</v>
      </c>
      <c r="BE27" s="17" t="n">
        <v>494.167</v>
      </c>
      <c r="BF27" s="17" t="n">
        <v>424.4025</v>
      </c>
      <c r="BG27" s="17" t="n">
        <v>433.6833</v>
      </c>
      <c r="BH27" s="17" t="n">
        <v>514.0199</v>
      </c>
      <c r="BI27" s="17" t="n">
        <v>497</v>
      </c>
    </row>
    <row r="28">
      <c r="A28" s="10" t="inlineStr">
        <is>
          <t>Armenia</t>
        </is>
      </c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  <c r="P28" s="17" t="inlineStr"/>
      <c r="Q28" s="17" t="inlineStr"/>
      <c r="R28" s="17" t="inlineStr"/>
      <c r="S28" s="17" t="inlineStr"/>
      <c r="T28" s="17" t="inlineStr"/>
      <c r="U28" s="17" t="inlineStr"/>
      <c r="V28" s="17" t="inlineStr"/>
      <c r="W28" s="17" t="inlineStr"/>
      <c r="X28" s="17" t="inlineStr"/>
      <c r="Y28" s="17" t="inlineStr"/>
      <c r="Z28" s="17" t="inlineStr"/>
      <c r="AA28" s="17" t="inlineStr"/>
      <c r="AB28" s="17" t="inlineStr"/>
      <c r="AC28" s="17" t="inlineStr"/>
      <c r="AD28" s="17" t="inlineStr"/>
      <c r="AE28" s="17" t="inlineStr"/>
      <c r="AF28" s="17" t="inlineStr"/>
      <c r="AG28" s="17" t="inlineStr"/>
      <c r="AH28" s="17" t="inlineStr"/>
      <c r="AI28" s="17" t="inlineStr"/>
      <c r="AJ28" s="17" t="inlineStr"/>
      <c r="AK28" s="17" t="inlineStr"/>
      <c r="AL28" s="17" t="inlineStr"/>
      <c r="AM28" s="17" t="inlineStr"/>
      <c r="AN28" s="17" t="inlineStr"/>
      <c r="AO28" s="17" t="inlineStr"/>
      <c r="AP28" s="17" t="inlineStr"/>
      <c r="AQ28" s="17" t="inlineStr"/>
      <c r="AR28" s="17" t="inlineStr"/>
      <c r="AS28" s="17" t="inlineStr"/>
      <c r="AT28" s="17" t="inlineStr"/>
      <c r="AU28" s="17" t="inlineStr"/>
      <c r="AV28" s="17" t="inlineStr"/>
      <c r="AW28" s="17" t="inlineStr"/>
      <c r="AX28" s="17" t="inlineStr"/>
      <c r="AY28" s="17" t="inlineStr"/>
      <c r="AZ28" s="17" t="inlineStr"/>
      <c r="BA28" s="17" t="inlineStr"/>
      <c r="BB28" s="17" t="inlineStr"/>
      <c r="BC28" s="17" t="inlineStr"/>
      <c r="BD28" s="17" t="inlineStr"/>
      <c r="BE28" s="17" t="inlineStr"/>
      <c r="BF28" s="17" t="inlineStr"/>
      <c r="BG28" s="17" t="inlineStr"/>
      <c r="BH28" s="17" t="inlineStr"/>
      <c r="BI28" s="17" t="n">
        <v>148</v>
      </c>
    </row>
    <row r="29">
      <c r="A29" s="10" t="inlineStr">
        <is>
          <t>Azerbaijan</t>
        </is>
      </c>
      <c r="B29" s="17" t="n">
        <v>162.5923</v>
      </c>
      <c r="C29" s="17" t="n">
        <v>207.4234</v>
      </c>
      <c r="D29" s="17" t="n">
        <v>182.8305</v>
      </c>
      <c r="E29" s="17" t="n">
        <v>168.5362</v>
      </c>
      <c r="F29" s="17" t="n">
        <v>212.7778</v>
      </c>
      <c r="G29" s="17" t="n">
        <v>195.2996</v>
      </c>
      <c r="H29" s="17" t="n">
        <v>215.5297</v>
      </c>
      <c r="I29" s="17" t="n">
        <v>270.4652</v>
      </c>
      <c r="J29" s="17" t="n">
        <v>373.7464</v>
      </c>
      <c r="K29" s="17" t="n">
        <v>292.9149</v>
      </c>
      <c r="L29" s="17" t="n">
        <v>204.1012</v>
      </c>
      <c r="M29" s="17" t="n">
        <v>281.1488</v>
      </c>
      <c r="N29" s="17" t="n">
        <v>260.3086</v>
      </c>
      <c r="O29" s="17" t="n">
        <v>205.7334</v>
      </c>
      <c r="P29" s="17" t="n">
        <v>181.2041</v>
      </c>
      <c r="Q29" s="17" t="n">
        <v>188.828</v>
      </c>
      <c r="R29" s="17" t="n">
        <v>163.8661</v>
      </c>
      <c r="S29" s="17" t="n">
        <v>225.5633</v>
      </c>
      <c r="T29" s="17" t="n">
        <v>198.2672</v>
      </c>
      <c r="U29" s="17" t="n">
        <v>198.6222</v>
      </c>
      <c r="V29" s="17" t="n">
        <v>170.4437</v>
      </c>
      <c r="W29" s="17" t="n">
        <v>159.5674</v>
      </c>
      <c r="X29" s="17" t="n">
        <v>178.5676</v>
      </c>
      <c r="Y29" s="17" t="n">
        <v>191.6879</v>
      </c>
      <c r="Z29" s="17" t="n">
        <v>230.5975</v>
      </c>
      <c r="AA29" s="17" t="n">
        <v>191.5156</v>
      </c>
      <c r="AB29" s="17" t="n">
        <v>173.1012</v>
      </c>
      <c r="AC29" s="17" t="n">
        <v>199.1863</v>
      </c>
      <c r="AD29" s="17" t="n">
        <v>173.0769</v>
      </c>
      <c r="AE29" s="17" t="n">
        <v>173.6875</v>
      </c>
      <c r="AF29" s="17" t="n">
        <v>165.3405</v>
      </c>
      <c r="AG29" s="17" t="n">
        <v>162.8533</v>
      </c>
      <c r="AH29" s="17" t="n">
        <v>164.0715</v>
      </c>
      <c r="AI29" s="17" t="n">
        <v>181.549</v>
      </c>
      <c r="AJ29" s="17" t="n">
        <v>156.7636</v>
      </c>
      <c r="AK29" s="17" t="n">
        <v>157.2464</v>
      </c>
      <c r="AL29" s="17" t="n">
        <v>145.8612</v>
      </c>
      <c r="AM29" s="17" t="n">
        <v>152.4822</v>
      </c>
      <c r="AN29" s="17" t="n">
        <v>165.1196</v>
      </c>
      <c r="AO29" s="17" t="n">
        <v>156.9419</v>
      </c>
      <c r="AP29" s="17" t="n">
        <v>163.383</v>
      </c>
      <c r="AQ29" s="17" t="n">
        <v>169.0626</v>
      </c>
      <c r="AR29" s="17" t="n">
        <v>194.0582</v>
      </c>
      <c r="AS29" s="17" t="n">
        <v>164.6781</v>
      </c>
      <c r="AT29" s="17" t="n">
        <v>144.8068</v>
      </c>
      <c r="AU29" s="17" t="n">
        <v>108.3135</v>
      </c>
      <c r="AV29" s="17" t="n">
        <v>117.6541</v>
      </c>
      <c r="AW29" s="17" t="n">
        <v>107.8454</v>
      </c>
      <c r="AX29" s="17" t="n">
        <v>100.2674</v>
      </c>
      <c r="AY29" s="17" t="n">
        <v>112.1165</v>
      </c>
      <c r="AZ29" s="17" t="n">
        <v>87.3695</v>
      </c>
      <c r="BA29" s="17" t="n">
        <v>93.61360000000001</v>
      </c>
      <c r="BB29" s="17" t="n">
        <v>110.8105</v>
      </c>
      <c r="BC29" s="17" t="n">
        <v>107.8073</v>
      </c>
      <c r="BD29" s="17" t="n">
        <v>65.5067</v>
      </c>
      <c r="BE29" s="17" t="n">
        <v>58.8103</v>
      </c>
      <c r="BF29" s="17" t="n">
        <v>62.3121</v>
      </c>
      <c r="BG29" s="17" t="n">
        <v>71.86879999999999</v>
      </c>
      <c r="BH29" s="17" t="n">
        <v>53.9437</v>
      </c>
      <c r="BI29" s="17" t="n">
        <v>50</v>
      </c>
    </row>
    <row r="30">
      <c r="A30" s="10" t="inlineStr">
        <is>
          <t>Bahrain</t>
        </is>
      </c>
      <c r="B30" s="17" t="n">
        <v>381.2545</v>
      </c>
      <c r="C30" s="17" t="n">
        <v>414.4931</v>
      </c>
      <c r="D30" s="17" t="n">
        <v>393.1719</v>
      </c>
      <c r="E30" s="17" t="n">
        <v>391.7344</v>
      </c>
      <c r="F30" s="17" t="n">
        <v>411.7578</v>
      </c>
      <c r="G30" s="17" t="n">
        <v>324.3574</v>
      </c>
      <c r="H30" s="17" t="n">
        <v>324.9949</v>
      </c>
      <c r="I30" s="17" t="n">
        <v>338.8949</v>
      </c>
      <c r="J30" s="17" t="n">
        <v>405.1731</v>
      </c>
      <c r="K30" s="17" t="n">
        <v>439.339</v>
      </c>
      <c r="L30" s="17" t="n">
        <v>359.9936</v>
      </c>
      <c r="M30" s="17" t="n">
        <v>367.5396</v>
      </c>
      <c r="N30" s="17" t="n">
        <v>349.6892</v>
      </c>
      <c r="O30" s="17" t="n">
        <v>309.447</v>
      </c>
      <c r="P30" s="17" t="n">
        <v>277.3058</v>
      </c>
      <c r="Q30" s="17" t="n">
        <v>284.2487</v>
      </c>
      <c r="R30" s="17" t="n">
        <v>253.2273</v>
      </c>
      <c r="S30" s="17" t="n">
        <v>310.6074</v>
      </c>
      <c r="T30" s="17" t="n">
        <v>319.6593</v>
      </c>
      <c r="U30" s="17" t="n">
        <v>327.9121</v>
      </c>
      <c r="V30" s="17" t="n">
        <v>285.4403</v>
      </c>
      <c r="W30" s="17" t="n">
        <v>253.0105</v>
      </c>
      <c r="X30" s="17" t="n">
        <v>261.1105</v>
      </c>
      <c r="Y30" s="17" t="n">
        <v>249.8408</v>
      </c>
      <c r="Z30" s="17" t="n">
        <v>270.6948</v>
      </c>
      <c r="AA30" s="17" t="n">
        <v>252.582</v>
      </c>
      <c r="AB30" s="17" t="n">
        <v>258.6567</v>
      </c>
      <c r="AC30" s="17" t="n">
        <v>276.2266</v>
      </c>
      <c r="AD30" s="17" t="n">
        <v>246.6208</v>
      </c>
      <c r="AE30" s="17" t="n">
        <v>233.458</v>
      </c>
      <c r="AF30" s="17" t="n">
        <v>220.7035</v>
      </c>
      <c r="AG30" s="17" t="n">
        <v>206.6763</v>
      </c>
      <c r="AH30" s="17" t="n">
        <v>221.9324</v>
      </c>
      <c r="AI30" s="17" t="n">
        <v>241.7961</v>
      </c>
      <c r="AJ30" s="17" t="n">
        <v>232.3469</v>
      </c>
      <c r="AK30" s="17" t="n">
        <v>220.2931</v>
      </c>
      <c r="AL30" s="17" t="n">
        <v>208.4872</v>
      </c>
      <c r="AM30" s="17" t="n">
        <v>219.9641</v>
      </c>
      <c r="AN30" s="17" t="n">
        <v>208.7418</v>
      </c>
      <c r="AO30" s="17" t="n">
        <v>202.2741</v>
      </c>
      <c r="AP30" s="17" t="n">
        <v>225.5462</v>
      </c>
      <c r="AQ30" s="17" t="n">
        <v>229.3991</v>
      </c>
      <c r="AR30" s="17" t="n">
        <v>261.308</v>
      </c>
      <c r="AS30" s="17" t="n">
        <v>236.7101</v>
      </c>
      <c r="AT30" s="17" t="n">
        <v>248.4858</v>
      </c>
      <c r="AU30" s="17" t="n">
        <v>205.9729</v>
      </c>
      <c r="AV30" s="17" t="n">
        <v>204.7792</v>
      </c>
      <c r="AW30" s="17" t="n">
        <v>179.1115</v>
      </c>
      <c r="AX30" s="17" t="n">
        <v>180.5871</v>
      </c>
      <c r="AY30" s="17" t="n">
        <v>207.2993</v>
      </c>
      <c r="AZ30" s="17" t="n">
        <v>202.3012</v>
      </c>
      <c r="BA30" s="17" t="n">
        <v>226.6951</v>
      </c>
      <c r="BB30" s="17" t="n">
        <v>245.3208</v>
      </c>
      <c r="BC30" s="17" t="n">
        <v>314.7187</v>
      </c>
      <c r="BD30" s="17" t="n">
        <v>253.9236</v>
      </c>
      <c r="BE30" s="17" t="n">
        <v>230.2122</v>
      </c>
      <c r="BF30" s="17" t="n">
        <v>249.6608</v>
      </c>
      <c r="BG30" s="17" t="n">
        <v>283.9627</v>
      </c>
      <c r="BH30" s="17" t="n">
        <v>258.5788</v>
      </c>
      <c r="BI30" s="17" t="n">
        <v>268</v>
      </c>
    </row>
    <row r="31">
      <c r="A31" s="10" t="inlineStr">
        <is>
          <t>Barbados</t>
        </is>
      </c>
      <c r="B31" s="17" t="n">
        <v>494.5488</v>
      </c>
      <c r="C31" s="17" t="n">
        <v>492.7577</v>
      </c>
      <c r="D31" s="17" t="n">
        <v>499.3767</v>
      </c>
      <c r="E31" s="17" t="n">
        <v>466.0488</v>
      </c>
      <c r="F31" s="17" t="n">
        <v>500.6607</v>
      </c>
      <c r="G31" s="17" t="n">
        <v>470.1609</v>
      </c>
      <c r="H31" s="17" t="n">
        <v>432.2838</v>
      </c>
      <c r="I31" s="17" t="n">
        <v>451.2213</v>
      </c>
      <c r="J31" s="17" t="n">
        <v>418.8715</v>
      </c>
      <c r="K31" s="17" t="n">
        <v>466.3189</v>
      </c>
      <c r="L31" s="17" t="n">
        <v>423.0487</v>
      </c>
      <c r="M31" s="17" t="n">
        <v>409.9355</v>
      </c>
      <c r="N31" s="17" t="n">
        <v>415.4718</v>
      </c>
      <c r="O31" s="17" t="n">
        <v>432.0248</v>
      </c>
      <c r="P31" s="17" t="n">
        <v>417.1238</v>
      </c>
      <c r="Q31" s="17" t="n">
        <v>437.9228</v>
      </c>
      <c r="R31" s="17" t="n">
        <v>397.0175</v>
      </c>
      <c r="S31" s="17" t="n">
        <v>455.8062</v>
      </c>
      <c r="T31" s="17" t="n">
        <v>456.8037</v>
      </c>
      <c r="U31" s="17" t="n">
        <v>436.3512</v>
      </c>
      <c r="V31" s="17" t="n">
        <v>389.1445</v>
      </c>
      <c r="W31" s="17" t="n">
        <v>387.0971</v>
      </c>
      <c r="X31" s="17" t="n">
        <v>389.7097</v>
      </c>
      <c r="Y31" s="17" t="n">
        <v>365.1422</v>
      </c>
      <c r="Z31" s="17" t="n">
        <v>354.2742</v>
      </c>
      <c r="AA31" s="17" t="n">
        <v>380.5947</v>
      </c>
      <c r="AB31" s="17" t="n">
        <v>390.4764</v>
      </c>
      <c r="AC31" s="17" t="n">
        <v>400.3729</v>
      </c>
      <c r="AD31" s="17" t="n">
        <v>367.7602</v>
      </c>
      <c r="AE31" s="17" t="n">
        <v>380.0811</v>
      </c>
      <c r="AF31" s="17" t="n">
        <v>347.7316</v>
      </c>
      <c r="AG31" s="17" t="n">
        <v>350.445</v>
      </c>
      <c r="AH31" s="17" t="n">
        <v>383.6666</v>
      </c>
      <c r="AI31" s="17" t="n">
        <v>415.5831</v>
      </c>
      <c r="AJ31" s="17" t="n">
        <v>418.8139</v>
      </c>
      <c r="AK31" s="17" t="n">
        <v>452.56</v>
      </c>
      <c r="AL31" s="17" t="n">
        <v>383.1797</v>
      </c>
      <c r="AM31" s="17" t="n">
        <v>328.7623</v>
      </c>
      <c r="AN31" s="17" t="n">
        <v>278.5232</v>
      </c>
      <c r="AO31" s="17" t="n">
        <v>313.5519</v>
      </c>
      <c r="AP31" s="17" t="n">
        <v>333.966</v>
      </c>
      <c r="AQ31" s="17" t="inlineStr"/>
      <c r="AR31" s="17" t="inlineStr"/>
      <c r="AS31" s="17" t="inlineStr"/>
      <c r="AT31" s="17" t="n">
        <v>375.6352</v>
      </c>
      <c r="AU31" s="17" t="n">
        <v>372.2235</v>
      </c>
      <c r="AV31" s="17" t="n">
        <v>376.6152</v>
      </c>
      <c r="AW31" s="17" t="n">
        <v>318.9603</v>
      </c>
      <c r="AX31" s="17" t="n">
        <v>316.9828</v>
      </c>
      <c r="AY31" s="17" t="n">
        <v>321.6991</v>
      </c>
      <c r="AZ31" s="17" t="n">
        <v>297.1131</v>
      </c>
      <c r="BA31" s="17" t="n">
        <v>258.9182</v>
      </c>
      <c r="BB31" s="17" t="n">
        <v>291.8984</v>
      </c>
      <c r="BC31" s="17" t="n">
        <v>334.5349</v>
      </c>
      <c r="BD31" s="17" t="n">
        <v>242.0047</v>
      </c>
      <c r="BE31" s="17" t="n">
        <v>248.4951</v>
      </c>
      <c r="BF31" s="17" t="n">
        <v>226.4675</v>
      </c>
      <c r="BG31" s="17" t="n">
        <v>212.5364</v>
      </c>
      <c r="BH31" s="17" t="n">
        <v>217.8706</v>
      </c>
      <c r="BI31" s="17" t="n">
        <v>212</v>
      </c>
    </row>
    <row r="32">
      <c r="A32" s="10" t="inlineStr">
        <is>
          <t>Belarus</t>
        </is>
      </c>
      <c r="B32" s="17" t="n">
        <v>689.5625</v>
      </c>
      <c r="C32" s="17" t="n">
        <v>783.3502</v>
      </c>
      <c r="D32" s="17" t="n">
        <v>828.9129</v>
      </c>
      <c r="E32" s="17" t="n">
        <v>954.5219</v>
      </c>
      <c r="F32" s="17" t="n">
        <v>3234.7389</v>
      </c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  <c r="S32" s="17" t="inlineStr"/>
      <c r="T32" s="17" t="inlineStr"/>
      <c r="U32" s="17" t="inlineStr"/>
      <c r="V32" s="17" t="inlineStr"/>
      <c r="W32" s="17" t="inlineStr"/>
      <c r="X32" s="17" t="inlineStr"/>
      <c r="Y32" s="17" t="inlineStr"/>
      <c r="Z32" s="17" t="inlineStr"/>
      <c r="AA32" s="17" t="inlineStr"/>
      <c r="AB32" s="17" t="inlineStr"/>
      <c r="AC32" s="17" t="inlineStr"/>
      <c r="AD32" s="17" t="inlineStr"/>
      <c r="AE32" s="17" t="inlineStr"/>
      <c r="AF32" s="17" t="inlineStr"/>
      <c r="AG32" s="17" t="inlineStr"/>
      <c r="AH32" s="17" t="inlineStr"/>
      <c r="AI32" s="17" t="inlineStr"/>
      <c r="AJ32" s="17" t="inlineStr"/>
      <c r="AK32" s="17" t="inlineStr"/>
      <c r="AL32" s="17" t="inlineStr"/>
      <c r="AM32" s="17" t="inlineStr"/>
      <c r="AN32" s="17" t="inlineStr"/>
      <c r="AO32" s="17" t="inlineStr"/>
      <c r="AP32" s="17" t="inlineStr"/>
      <c r="AQ32" s="17" t="inlineStr"/>
      <c r="AR32" s="17" t="inlineStr"/>
      <c r="AS32" s="17" t="inlineStr"/>
      <c r="AT32" s="17" t="inlineStr"/>
      <c r="AU32" s="17" t="inlineStr"/>
      <c r="AV32" s="17" t="inlineStr"/>
      <c r="AW32" s="17" t="inlineStr"/>
      <c r="AX32" s="17" t="inlineStr"/>
      <c r="AY32" s="17" t="inlineStr"/>
      <c r="AZ32" s="17" t="inlineStr"/>
      <c r="BA32" s="17" t="inlineStr"/>
      <c r="BB32" s="17" t="inlineStr"/>
      <c r="BC32" s="17" t="inlineStr"/>
      <c r="BD32" s="17" t="inlineStr"/>
      <c r="BE32" s="17" t="inlineStr"/>
      <c r="BF32" s="17" t="inlineStr"/>
      <c r="BG32" s="17" t="inlineStr"/>
      <c r="BH32" s="17" t="inlineStr"/>
      <c r="BI32" s="17" t="n">
        <v>0</v>
      </c>
    </row>
    <row r="33">
      <c r="A33" s="10" t="inlineStr">
        <is>
          <t>Benin</t>
        </is>
      </c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  <c r="P33" s="17" t="inlineStr"/>
      <c r="Q33" s="17" t="inlineStr"/>
      <c r="R33" s="17" t="inlineStr"/>
      <c r="S33" s="17" t="inlineStr"/>
      <c r="T33" s="17" t="inlineStr"/>
      <c r="U33" s="17" t="inlineStr"/>
      <c r="V33" s="17" t="inlineStr"/>
      <c r="W33" s="17" t="inlineStr"/>
      <c r="X33" s="17" t="inlineStr"/>
      <c r="Y33" s="17" t="inlineStr"/>
      <c r="Z33" s="17" t="inlineStr"/>
      <c r="AA33" s="17" t="inlineStr"/>
      <c r="AB33" s="17" t="inlineStr"/>
      <c r="AC33" s="17" t="inlineStr"/>
      <c r="AD33" s="17" t="n">
        <v>395.1436</v>
      </c>
      <c r="AE33" s="17" t="n">
        <v>394.9044</v>
      </c>
      <c r="AF33" s="17" t="n">
        <v>385.1679</v>
      </c>
      <c r="AG33" s="17" t="n">
        <v>412.2561</v>
      </c>
      <c r="AH33" s="17" t="n">
        <v>435.3726</v>
      </c>
      <c r="AI33" s="17" t="n">
        <v>463.1529</v>
      </c>
      <c r="AJ33" s="17" t="n">
        <v>444.7749</v>
      </c>
      <c r="AK33" s="17" t="n">
        <v>410.8894</v>
      </c>
      <c r="AL33" s="17" t="n">
        <v>379.6143</v>
      </c>
      <c r="AM33" s="17" t="n">
        <v>398.6057</v>
      </c>
      <c r="AN33" s="17" t="n">
        <v>401.422</v>
      </c>
      <c r="AO33" s="17" t="n">
        <v>403.3814</v>
      </c>
      <c r="AP33" s="17" t="n">
        <v>442.1644</v>
      </c>
      <c r="AQ33" s="17" t="n">
        <v>453.2031</v>
      </c>
      <c r="AR33" s="17" t="n">
        <v>505.4647</v>
      </c>
      <c r="AS33" s="17" t="n">
        <v>460.2899</v>
      </c>
      <c r="AT33" s="17" t="n">
        <v>432.4974</v>
      </c>
      <c r="AU33" s="17" t="n">
        <v>389.916</v>
      </c>
      <c r="AV33" s="17" t="n">
        <v>381.4784</v>
      </c>
      <c r="AW33" s="17" t="n">
        <v>338.7903</v>
      </c>
      <c r="AX33" s="17" t="n">
        <v>322.4553</v>
      </c>
      <c r="AY33" s="17" t="n">
        <v>361.6009</v>
      </c>
      <c r="AZ33" s="17" t="n">
        <v>322.4481</v>
      </c>
      <c r="BA33" s="17" t="n">
        <v>292.0972</v>
      </c>
      <c r="BB33" s="17" t="n">
        <v>319.0598</v>
      </c>
      <c r="BC33" s="17" t="n">
        <v>377.1053</v>
      </c>
      <c r="BD33" s="17" t="n">
        <v>311.9776</v>
      </c>
      <c r="BE33" s="17" t="n">
        <v>272.8509</v>
      </c>
      <c r="BF33" s="17" t="n">
        <v>261.5318</v>
      </c>
      <c r="BG33" s="17" t="n">
        <v>264.7219</v>
      </c>
      <c r="BH33" s="17" t="n">
        <v>231.0932</v>
      </c>
      <c r="BI33" s="17" t="n">
        <v>235</v>
      </c>
    </row>
    <row r="34">
      <c r="A34" s="10" t="inlineStr">
        <is>
          <t>Bolivia</t>
        </is>
      </c>
      <c r="B34" s="17" t="n">
        <v>471.5792</v>
      </c>
      <c r="C34" s="17" t="n">
        <v>487.0751</v>
      </c>
      <c r="D34" s="17" t="n">
        <v>411.766</v>
      </c>
      <c r="E34" s="17" t="n">
        <v>473.7565</v>
      </c>
      <c r="F34" s="17" t="n">
        <v>466.0538</v>
      </c>
      <c r="G34" s="17" t="n">
        <v>508.6327</v>
      </c>
      <c r="H34" s="17" t="n">
        <v>487.266</v>
      </c>
      <c r="I34" s="17" t="n">
        <v>595.3414</v>
      </c>
      <c r="J34" s="17" t="n">
        <v>665.8794</v>
      </c>
      <c r="K34" s="17" t="n">
        <v>641.1594</v>
      </c>
      <c r="L34" s="17" t="n">
        <v>622.3924</v>
      </c>
      <c r="M34" s="17" t="n">
        <v>575.939</v>
      </c>
      <c r="N34" s="17" t="n">
        <v>596.9743999999999</v>
      </c>
      <c r="O34" s="17" t="n">
        <v>672.9696</v>
      </c>
      <c r="P34" s="17" t="n">
        <v>563.1154</v>
      </c>
      <c r="Q34" s="17" t="n">
        <v>684.0359</v>
      </c>
      <c r="R34" s="17" t="n">
        <v>741.6509</v>
      </c>
      <c r="S34" s="17" t="n">
        <v>1561.249</v>
      </c>
      <c r="T34" s="17" t="n">
        <v>1424.6011</v>
      </c>
      <c r="U34" s="17" t="n">
        <v>1294.511</v>
      </c>
      <c r="V34" s="17" t="n">
        <v>1109.7515</v>
      </c>
      <c r="W34" s="17" t="n">
        <v>908.2817</v>
      </c>
      <c r="X34" s="17" t="n">
        <v>1194.3278</v>
      </c>
      <c r="Y34" s="17" t="n">
        <v>1462.7007</v>
      </c>
      <c r="Z34" s="17" t="n">
        <v>1599.2085</v>
      </c>
      <c r="AA34" s="17" t="n">
        <v>2044.3826</v>
      </c>
      <c r="AB34" s="17" t="n">
        <v>2232.7192</v>
      </c>
      <c r="AC34" s="17" t="n">
        <v>1959.4391</v>
      </c>
      <c r="AD34" s="17" t="n">
        <v>1795.6255</v>
      </c>
      <c r="AE34" s="17" t="n">
        <v>1796.4393</v>
      </c>
      <c r="AF34" s="17" t="n">
        <v>1916.9407</v>
      </c>
      <c r="AG34" s="17" t="n">
        <v>1962.478</v>
      </c>
      <c r="AH34" s="17" t="n">
        <v>2065.0634</v>
      </c>
      <c r="AI34" s="17" t="n">
        <v>2142.4634</v>
      </c>
      <c r="AJ34" s="17" t="n">
        <v>2295.1118</v>
      </c>
      <c r="AK34" s="17" t="n">
        <v>2281.4601</v>
      </c>
      <c r="AL34" s="17" t="n">
        <v>1853.3284</v>
      </c>
      <c r="AM34" s="17" t="n">
        <v>2002.7204</v>
      </c>
      <c r="AN34" s="17" t="n">
        <v>2087.2182</v>
      </c>
      <c r="AO34" s="17" t="n">
        <v>2036.3999</v>
      </c>
      <c r="AP34" s="17" t="n">
        <v>2037.1951</v>
      </c>
      <c r="AQ34" s="17" t="n">
        <v>1890.8229</v>
      </c>
      <c r="AR34" s="17" t="n">
        <v>2108.8208</v>
      </c>
      <c r="AS34" s="17" t="n">
        <v>2002.278</v>
      </c>
      <c r="AT34" s="17" t="n">
        <v>1876.7342</v>
      </c>
      <c r="AU34" s="17" t="n">
        <v>1468.5301</v>
      </c>
      <c r="AV34" s="17" t="n">
        <v>1327.3712</v>
      </c>
      <c r="AW34" s="17" t="n">
        <v>1394.3419</v>
      </c>
      <c r="AX34" s="17" t="n">
        <v>1209.9833</v>
      </c>
      <c r="AY34" s="17" t="n">
        <v>665.6554</v>
      </c>
      <c r="AZ34" s="17" t="n">
        <v>672.7968</v>
      </c>
      <c r="BA34" s="17" t="n">
        <v>575.6583000000001</v>
      </c>
      <c r="BB34" s="17" t="n">
        <v>468.3518</v>
      </c>
      <c r="BC34" s="17" t="n">
        <v>561.2332</v>
      </c>
      <c r="BD34" s="17" t="n">
        <v>407.8573</v>
      </c>
      <c r="BE34" s="17" t="n">
        <v>576.1811</v>
      </c>
      <c r="BF34" s="17" t="n">
        <v>423.174</v>
      </c>
      <c r="BG34" s="17" t="n">
        <v>428.0195</v>
      </c>
      <c r="BH34" s="17" t="n">
        <v>396.2874</v>
      </c>
      <c r="BI34" s="17" t="n">
        <v>460</v>
      </c>
    </row>
    <row r="35">
      <c r="A35" s="10" t="inlineStr">
        <is>
          <t>Brazil</t>
        </is>
      </c>
      <c r="B35" s="17" t="n">
        <v>337.8188</v>
      </c>
      <c r="C35" s="17" t="n">
        <v>344.4473</v>
      </c>
      <c r="D35" s="17" t="n">
        <v>305.738</v>
      </c>
      <c r="E35" s="17" t="n">
        <v>316.3189</v>
      </c>
      <c r="F35" s="17" t="n">
        <v>321.0834</v>
      </c>
      <c r="G35" s="17" t="n">
        <v>279.8925</v>
      </c>
      <c r="H35" s="17" t="n">
        <v>290.8389</v>
      </c>
      <c r="I35" s="17" t="n">
        <v>291.0526</v>
      </c>
      <c r="J35" s="17" t="n">
        <v>357.0472</v>
      </c>
      <c r="K35" s="17" t="n">
        <v>309.2859</v>
      </c>
      <c r="L35" s="17" t="n">
        <v>294.5089</v>
      </c>
      <c r="M35" s="17" t="n">
        <v>295.2436</v>
      </c>
      <c r="N35" s="17" t="n">
        <v>269.3679</v>
      </c>
      <c r="O35" s="17" t="n">
        <v>249.4743</v>
      </c>
      <c r="P35" s="17" t="n">
        <v>257.9345</v>
      </c>
      <c r="Q35" s="17" t="n">
        <v>256.5752</v>
      </c>
      <c r="R35" s="17" t="n">
        <v>243.7574</v>
      </c>
      <c r="S35" s="17" t="n">
        <v>253.9559</v>
      </c>
      <c r="T35" s="17" t="n">
        <v>257.6397</v>
      </c>
      <c r="U35" s="17" t="n">
        <v>247.5745</v>
      </c>
      <c r="V35" s="17" t="n">
        <v>229.8609</v>
      </c>
      <c r="W35" s="17" t="n">
        <v>197.3549</v>
      </c>
      <c r="X35" s="17" t="n">
        <v>211.2701</v>
      </c>
      <c r="Y35" s="17" t="n">
        <v>205.6582</v>
      </c>
      <c r="Z35" s="17" t="n">
        <v>200.3162</v>
      </c>
      <c r="AA35" s="17" t="n">
        <v>195.7345</v>
      </c>
      <c r="AB35" s="17" t="n">
        <v>199.5326</v>
      </c>
      <c r="AC35" s="17" t="n">
        <v>224.259</v>
      </c>
      <c r="AD35" s="17" t="n">
        <v>201.9293</v>
      </c>
      <c r="AE35" s="17" t="n">
        <v>201.1454</v>
      </c>
      <c r="AF35" s="17" t="n">
        <v>201.9307</v>
      </c>
      <c r="AG35" s="17" t="n">
        <v>202.3559</v>
      </c>
      <c r="AH35" s="17" t="n">
        <v>220.0216</v>
      </c>
      <c r="AI35" s="17" t="n">
        <v>222.4165</v>
      </c>
      <c r="AJ35" s="17" t="n">
        <v>213.8882</v>
      </c>
      <c r="AK35" s="17" t="n">
        <v>210.9449</v>
      </c>
      <c r="AL35" s="17" t="n">
        <v>200.8709</v>
      </c>
      <c r="AM35" s="17" t="n">
        <v>217.5525</v>
      </c>
      <c r="AN35" s="17" t="n">
        <v>245.531</v>
      </c>
      <c r="AO35" s="17" t="n">
        <v>224.492</v>
      </c>
      <c r="AP35" s="17" t="n">
        <v>234.7301</v>
      </c>
      <c r="AQ35" s="17" t="n">
        <v>231.1669</v>
      </c>
      <c r="AR35" s="17" t="n">
        <v>229.9937</v>
      </c>
      <c r="AS35" s="17" t="n">
        <v>219.6916</v>
      </c>
      <c r="AT35" s="17" t="n">
        <v>213.9198</v>
      </c>
      <c r="AU35" s="17" t="n">
        <v>203.8065</v>
      </c>
      <c r="AV35" s="17" t="n">
        <v>192.7529</v>
      </c>
      <c r="AW35" s="17" t="n">
        <v>184.3009</v>
      </c>
      <c r="AX35" s="17" t="n">
        <v>187.5223</v>
      </c>
      <c r="AY35" s="17" t="n">
        <v>200.7432</v>
      </c>
      <c r="AZ35" s="17" t="n">
        <v>196.5863</v>
      </c>
      <c r="BA35" s="17" t="n">
        <v>185.988</v>
      </c>
      <c r="BB35" s="17" t="n">
        <v>199.6119</v>
      </c>
      <c r="BC35" s="17" t="n">
        <v>196.9032</v>
      </c>
      <c r="BD35" s="17" t="n">
        <v>174.6941</v>
      </c>
      <c r="BE35" s="17" t="n">
        <v>175.6487</v>
      </c>
      <c r="BF35" s="17" t="n">
        <v>177.388</v>
      </c>
      <c r="BG35" s="17" t="n">
        <v>176.9792</v>
      </c>
      <c r="BH35" s="17" t="n">
        <v>174.8254</v>
      </c>
      <c r="BI35" s="17" t="n">
        <v>170</v>
      </c>
    </row>
    <row r="36">
      <c r="A36" s="10" t="inlineStr">
        <is>
          <t>Bulgaria</t>
        </is>
      </c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17" t="inlineStr"/>
      <c r="N36" s="17" t="inlineStr"/>
      <c r="O36" s="17" t="inlineStr"/>
      <c r="P36" s="17" t="inlineStr"/>
      <c r="Q36" s="17" t="inlineStr"/>
      <c r="R36" s="17" t="inlineStr"/>
      <c r="S36" s="17" t="inlineStr"/>
      <c r="T36" s="17" t="inlineStr"/>
      <c r="U36" s="17" t="inlineStr"/>
      <c r="V36" s="17" t="inlineStr"/>
      <c r="W36" s="17" t="inlineStr"/>
      <c r="X36" s="17" t="inlineStr"/>
      <c r="Y36" s="17" t="inlineStr"/>
      <c r="Z36" s="17" t="inlineStr"/>
      <c r="AA36" s="17" t="inlineStr"/>
      <c r="AB36" s="17" t="inlineStr"/>
      <c r="AC36" s="17" t="inlineStr"/>
      <c r="AD36" s="17" t="inlineStr"/>
      <c r="AE36" s="17" t="inlineStr"/>
      <c r="AF36" s="17" t="inlineStr"/>
      <c r="AG36" s="17" t="inlineStr"/>
      <c r="AH36" s="17" t="inlineStr"/>
      <c r="AI36" s="17" t="inlineStr"/>
      <c r="AJ36" s="17" t="inlineStr"/>
      <c r="AK36" s="17" t="inlineStr"/>
      <c r="AL36" s="17" t="n">
        <v>104.0583</v>
      </c>
      <c r="AM36" s="17" t="n">
        <v>122.6399</v>
      </c>
      <c r="AN36" s="17" t="n">
        <v>103.7484</v>
      </c>
      <c r="AO36" s="17" t="n">
        <v>102.5134</v>
      </c>
      <c r="AP36" s="17" t="n">
        <v>102.366</v>
      </c>
      <c r="AQ36" s="17" t="n">
        <v>102.2219</v>
      </c>
      <c r="AR36" s="17" t="n">
        <v>105.9752</v>
      </c>
      <c r="AS36" s="17" t="n">
        <v>85.63030000000001</v>
      </c>
      <c r="AT36" s="17" t="n">
        <v>84.706</v>
      </c>
      <c r="AU36" s="17" t="n">
        <v>75.8192</v>
      </c>
      <c r="AV36" s="17" t="n">
        <v>78.4238</v>
      </c>
      <c r="AW36" s="17" t="n">
        <v>68.32899999999999</v>
      </c>
      <c r="AX36" s="17" t="n">
        <v>76.10290000000001</v>
      </c>
      <c r="AY36" s="17" t="n">
        <v>80.8291</v>
      </c>
      <c r="AZ36" s="17" t="n">
        <v>78.84699999999999</v>
      </c>
      <c r="BA36" s="17" t="n">
        <v>80.8661</v>
      </c>
      <c r="BB36" s="17" t="n">
        <v>83.8081</v>
      </c>
      <c r="BC36" s="17" t="n">
        <v>100.6297</v>
      </c>
      <c r="BD36" s="17" t="n">
        <v>84.2539</v>
      </c>
      <c r="BE36" s="17" t="n">
        <v>75.39700000000001</v>
      </c>
      <c r="BF36" s="17" t="n">
        <v>75.5457</v>
      </c>
      <c r="BG36" s="17" t="n">
        <v>79.51519999999999</v>
      </c>
      <c r="BH36" s="17" t="n">
        <v>74.92319999999999</v>
      </c>
      <c r="BI36" s="17" t="n">
        <v>78</v>
      </c>
    </row>
    <row r="37">
      <c r="A37" s="10" t="inlineStr">
        <is>
          <t>Cameroon</t>
        </is>
      </c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  <c r="M37" s="17" t="inlineStr"/>
      <c r="N37" s="17" t="inlineStr"/>
      <c r="O37" s="17" t="inlineStr"/>
      <c r="P37" s="17" t="inlineStr"/>
      <c r="Q37" s="17" t="inlineStr"/>
      <c r="R37" s="17" t="inlineStr"/>
      <c r="S37" s="17" t="inlineStr"/>
      <c r="T37" s="17" t="inlineStr"/>
      <c r="U37" s="17" t="inlineStr"/>
      <c r="V37" s="17" t="inlineStr"/>
      <c r="W37" s="17" t="inlineStr"/>
      <c r="X37" s="17" t="inlineStr"/>
      <c r="Y37" s="17" t="inlineStr"/>
      <c r="Z37" s="17" t="inlineStr"/>
      <c r="AA37" s="17" t="inlineStr"/>
      <c r="AB37" s="17" t="inlineStr"/>
      <c r="AC37" s="17" t="inlineStr"/>
      <c r="AD37" s="17" t="inlineStr"/>
      <c r="AE37" s="17" t="inlineStr"/>
      <c r="AF37" s="17" t="inlineStr"/>
      <c r="AG37" s="17" t="inlineStr"/>
      <c r="AH37" s="17" t="inlineStr"/>
      <c r="AI37" s="17" t="inlineStr"/>
      <c r="AJ37" s="17" t="inlineStr"/>
      <c r="AK37" s="17" t="n">
        <v>624.1332</v>
      </c>
      <c r="AL37" s="17" t="n">
        <v>626.5998</v>
      </c>
      <c r="AM37" s="17" t="n">
        <v>649.4232</v>
      </c>
      <c r="AN37" s="17" t="n">
        <v>640.9521</v>
      </c>
      <c r="AO37" s="17" t="n">
        <v>629.2093</v>
      </c>
      <c r="AP37" s="17" t="n">
        <v>653.1660000000001</v>
      </c>
      <c r="AQ37" s="17" t="n">
        <v>714.4915999999999</v>
      </c>
      <c r="AR37" s="17" t="n">
        <v>933.9027</v>
      </c>
      <c r="AS37" s="17" t="n">
        <v>795.9217</v>
      </c>
      <c r="AT37" s="17" t="n">
        <v>774.1992</v>
      </c>
      <c r="AU37" s="17" t="n">
        <v>726.0972</v>
      </c>
      <c r="AV37" s="17" t="n">
        <v>714.8535000000001</v>
      </c>
      <c r="AW37" s="17" t="n">
        <v>681.1029</v>
      </c>
      <c r="AX37" s="17" t="n">
        <v>730.71</v>
      </c>
      <c r="AY37" s="17" t="n">
        <v>711.6981</v>
      </c>
      <c r="AZ37" s="17" t="n">
        <v>568.8086</v>
      </c>
      <c r="BA37" s="17" t="n">
        <v>547.8513</v>
      </c>
      <c r="BB37" s="17" t="n">
        <v>592.8108</v>
      </c>
      <c r="BC37" s="17" t="n">
        <v>631.3826</v>
      </c>
      <c r="BD37" s="17" t="n">
        <v>493.8278</v>
      </c>
      <c r="BE37" s="17" t="n">
        <v>431.1309</v>
      </c>
      <c r="BF37" s="17" t="n">
        <v>480.9885</v>
      </c>
      <c r="BG37" s="17" t="n">
        <v>505.2931</v>
      </c>
      <c r="BH37" s="17" t="n">
        <v>435.382</v>
      </c>
      <c r="BI37" s="17" t="n">
        <v>430</v>
      </c>
    </row>
    <row r="38">
      <c r="A38" s="10" t="inlineStr">
        <is>
          <t>Chile</t>
        </is>
      </c>
      <c r="B38" s="17" t="n">
        <v>160.9551</v>
      </c>
      <c r="C38" s="17" t="n">
        <v>165.6187</v>
      </c>
      <c r="D38" s="17" t="n">
        <v>152.9753</v>
      </c>
      <c r="E38" s="17" t="n">
        <v>167.3918</v>
      </c>
      <c r="F38" s="17" t="n">
        <v>195.347</v>
      </c>
      <c r="G38" s="17" t="n">
        <v>158.3767</v>
      </c>
      <c r="H38" s="17" t="n">
        <v>181.9</v>
      </c>
      <c r="I38" s="17" t="n">
        <v>166.394</v>
      </c>
      <c r="J38" s="17" t="n">
        <v>195.5134</v>
      </c>
      <c r="K38" s="17" t="n">
        <v>189.476</v>
      </c>
      <c r="L38" s="17" t="n">
        <v>198.3837</v>
      </c>
      <c r="M38" s="17" t="n">
        <v>208.2814</v>
      </c>
      <c r="N38" s="17" t="n">
        <v>193.2173</v>
      </c>
      <c r="O38" s="17" t="n">
        <v>156.6863</v>
      </c>
      <c r="P38" s="17" t="n">
        <v>139.5808</v>
      </c>
      <c r="Q38" s="17" t="n">
        <v>145.7564</v>
      </c>
      <c r="R38" s="17" t="n">
        <v>144.5596</v>
      </c>
      <c r="S38" s="17" t="n">
        <v>153.1872</v>
      </c>
      <c r="T38" s="17" t="n">
        <v>142.5826</v>
      </c>
      <c r="U38" s="17" t="n">
        <v>144.5664</v>
      </c>
      <c r="V38" s="17" t="n">
        <v>132.3222</v>
      </c>
      <c r="W38" s="17" t="n">
        <v>118.8811</v>
      </c>
      <c r="X38" s="17" t="n">
        <v>130.9802</v>
      </c>
      <c r="Y38" s="17" t="n">
        <v>134.6032</v>
      </c>
      <c r="Z38" s="17" t="n">
        <v>146.8551</v>
      </c>
      <c r="AA38" s="17" t="n">
        <v>134.1772</v>
      </c>
      <c r="AB38" s="17" t="n">
        <v>132.2166</v>
      </c>
      <c r="AC38" s="17" t="n">
        <v>142.7752</v>
      </c>
      <c r="AD38" s="17" t="n">
        <v>134.4027</v>
      </c>
      <c r="AE38" s="17" t="n">
        <v>126.6468</v>
      </c>
      <c r="AF38" s="17" t="n">
        <v>121.4383</v>
      </c>
      <c r="AG38" s="17" t="n">
        <v>115.4945</v>
      </c>
      <c r="AH38" s="17" t="n">
        <v>117.8805</v>
      </c>
      <c r="AI38" s="17" t="n">
        <v>128.6235</v>
      </c>
      <c r="AJ38" s="17" t="n">
        <v>119.425</v>
      </c>
      <c r="AK38" s="17" t="n">
        <v>115.3765</v>
      </c>
      <c r="AL38" s="17" t="n">
        <v>113.3735</v>
      </c>
      <c r="AM38" s="17" t="n">
        <v>120.923</v>
      </c>
      <c r="AN38" s="17" t="n">
        <v>114.3272</v>
      </c>
      <c r="AO38" s="17" t="n">
        <v>122.4939</v>
      </c>
      <c r="AP38" s="17" t="n">
        <v>127.8453</v>
      </c>
      <c r="AQ38" s="17" t="n">
        <v>129.6562</v>
      </c>
      <c r="AR38" s="17" t="n">
        <v>130.8016</v>
      </c>
      <c r="AS38" s="17" t="n">
        <v>119.4193</v>
      </c>
      <c r="AT38" s="17" t="n">
        <v>115.3372</v>
      </c>
      <c r="AU38" s="17" t="n">
        <v>103.5638</v>
      </c>
      <c r="AV38" s="17" t="n">
        <v>100.3849</v>
      </c>
      <c r="AW38" s="17" t="n">
        <v>93.15170000000001</v>
      </c>
      <c r="AX38" s="17" t="n">
        <v>88.9529</v>
      </c>
      <c r="AY38" s="17" t="n">
        <v>96.3322</v>
      </c>
      <c r="AZ38" s="17" t="n">
        <v>85.82850000000001</v>
      </c>
      <c r="BA38" s="17" t="n">
        <v>84.71599999999999</v>
      </c>
      <c r="BB38" s="17" t="n">
        <v>91.7582</v>
      </c>
      <c r="BC38" s="17" t="n">
        <v>98.90689999999999</v>
      </c>
      <c r="BD38" s="17" t="n">
        <v>79.687</v>
      </c>
      <c r="BE38" s="17" t="n">
        <v>82.85039999999999</v>
      </c>
      <c r="BF38" s="17" t="n">
        <v>80.8313</v>
      </c>
      <c r="BG38" s="17" t="n">
        <v>90.6767</v>
      </c>
      <c r="BH38" s="17" t="n">
        <v>83.3489</v>
      </c>
      <c r="BI38" s="17" t="n">
        <v>88</v>
      </c>
    </row>
    <row r="39">
      <c r="A39" s="10" t="inlineStr">
        <is>
          <t>China</t>
        </is>
      </c>
      <c r="B39" s="17" t="n">
        <v>82.2418</v>
      </c>
      <c r="C39" s="17" t="n">
        <v>79.3848</v>
      </c>
      <c r="D39" s="17" t="n">
        <v>78.8409</v>
      </c>
      <c r="E39" s="17" t="n">
        <v>80.4166</v>
      </c>
      <c r="F39" s="17" t="n">
        <v>88.72199999999999</v>
      </c>
      <c r="G39" s="17" t="n">
        <v>95.86369999999999</v>
      </c>
      <c r="H39" s="17" t="n">
        <v>92.12860000000001</v>
      </c>
      <c r="I39" s="17" t="n">
        <v>93.3394</v>
      </c>
      <c r="J39" s="17" t="n">
        <v>82.85469999999999</v>
      </c>
      <c r="K39" s="17" t="n">
        <v>94.6007</v>
      </c>
      <c r="L39" s="17" t="n">
        <v>81.5707</v>
      </c>
      <c r="M39" s="17" t="n">
        <v>78.0304</v>
      </c>
      <c r="N39" s="17" t="n">
        <v>98.5694</v>
      </c>
      <c r="O39" s="17" t="n">
        <v>94.7315</v>
      </c>
      <c r="P39" s="17" t="n">
        <v>80.68380000000001</v>
      </c>
      <c r="Q39" s="17" t="n">
        <v>78.33499999999999</v>
      </c>
      <c r="R39" s="17" t="n">
        <v>66.6095</v>
      </c>
      <c r="S39" s="17" t="n">
        <v>79.0941</v>
      </c>
      <c r="T39" s="17" t="n">
        <v>76.9562</v>
      </c>
      <c r="U39" s="17" t="n">
        <v>73.4183</v>
      </c>
      <c r="V39" s="17" t="n">
        <v>64.72580000000001</v>
      </c>
      <c r="W39" s="17" t="n">
        <v>63.0508</v>
      </c>
      <c r="X39" s="17" t="n">
        <v>71.5167</v>
      </c>
      <c r="Y39" s="17" t="n">
        <v>64.5848</v>
      </c>
      <c r="Z39" s="17" t="n">
        <v>64.75660000000001</v>
      </c>
      <c r="AA39" s="17" t="n">
        <v>56.4834</v>
      </c>
      <c r="AB39" s="17" t="n">
        <v>56.5616</v>
      </c>
      <c r="AC39" s="17" t="n">
        <v>59.9743</v>
      </c>
      <c r="AD39" s="17" t="n">
        <v>45.1921</v>
      </c>
      <c r="AE39" s="17" t="n">
        <v>41.1937</v>
      </c>
      <c r="AF39" s="17" t="n">
        <v>36.1713</v>
      </c>
      <c r="AG39" s="17" t="n">
        <v>35.6551</v>
      </c>
      <c r="AH39" s="17" t="n">
        <v>37.7179</v>
      </c>
      <c r="AI39" s="17" t="n">
        <v>38.0141</v>
      </c>
      <c r="AJ39" s="17" t="n">
        <v>41.8742</v>
      </c>
      <c r="AK39" s="17" t="n">
        <v>40.3466</v>
      </c>
      <c r="AL39" s="17" t="n">
        <v>27.5609</v>
      </c>
      <c r="AM39" s="17" t="n">
        <v>21.5086</v>
      </c>
      <c r="AN39" s="17" t="n">
        <v>23.4127</v>
      </c>
      <c r="AO39" s="17" t="n">
        <v>19.258</v>
      </c>
      <c r="AP39" s="17" t="n">
        <v>15.0842</v>
      </c>
      <c r="AQ39" s="17" t="n">
        <v>19.1398</v>
      </c>
      <c r="AR39" s="17" t="n">
        <v>31.6305</v>
      </c>
      <c r="AS39" s="17" t="n">
        <v>17.0173</v>
      </c>
      <c r="AT39" s="17" t="n">
        <v>14.9688</v>
      </c>
      <c r="AU39" s="17" t="n">
        <v>6.3812</v>
      </c>
      <c r="AV39" s="17" t="n">
        <v>5.386</v>
      </c>
      <c r="AW39" s="17" t="n">
        <v>5.405</v>
      </c>
      <c r="AX39" s="17" t="n">
        <v>1.7178</v>
      </c>
      <c r="AY39" s="17" t="n">
        <v>7.0201</v>
      </c>
      <c r="AZ39" s="17" t="n">
        <v>4.3627</v>
      </c>
      <c r="BA39" s="17" t="n">
        <v>4.1505</v>
      </c>
      <c r="BB39" s="17" t="n">
        <v>9.117000000000001</v>
      </c>
      <c r="BC39" s="17" t="n">
        <v>2.6397</v>
      </c>
      <c r="BD39" s="17" t="n">
        <v>0.9008</v>
      </c>
      <c r="BE39" s="17" t="n">
        <v>-0.7612</v>
      </c>
      <c r="BF39" s="17" t="n">
        <v>-1.0765</v>
      </c>
      <c r="BG39" s="17" t="n">
        <v>-0.2924</v>
      </c>
      <c r="BH39" s="17" t="n">
        <v>0.5046</v>
      </c>
      <c r="BI39" s="17" t="n">
        <v>2</v>
      </c>
    </row>
    <row r="40">
      <c r="A40" s="10" t="inlineStr">
        <is>
          <t>Colombia</t>
        </is>
      </c>
      <c r="B40" s="17" t="n">
        <v>302.1884</v>
      </c>
      <c r="C40" s="17" t="n">
        <v>359.7998</v>
      </c>
      <c r="D40" s="17" t="n">
        <v>353.5715</v>
      </c>
      <c r="E40" s="17" t="n">
        <v>374.0716</v>
      </c>
      <c r="F40" s="17" t="n">
        <v>386.1167</v>
      </c>
      <c r="G40" s="17" t="n">
        <v>338.3463</v>
      </c>
      <c r="H40" s="17" t="n">
        <v>374.5494</v>
      </c>
      <c r="I40" s="17" t="n">
        <v>337.3504</v>
      </c>
      <c r="J40" s="17" t="n">
        <v>446.203</v>
      </c>
      <c r="K40" s="17" t="n">
        <v>402.7073</v>
      </c>
      <c r="L40" s="17" t="n">
        <v>424.4619</v>
      </c>
      <c r="M40" s="17" t="n">
        <v>459.7177</v>
      </c>
      <c r="N40" s="17" t="n">
        <v>455.8938</v>
      </c>
      <c r="O40" s="17" t="n">
        <v>404.4221</v>
      </c>
      <c r="P40" s="17" t="n">
        <v>369.1939</v>
      </c>
      <c r="Q40" s="17" t="n">
        <v>375.6081</v>
      </c>
      <c r="R40" s="17" t="n">
        <v>393.1886</v>
      </c>
      <c r="S40" s="17" t="n">
        <v>381.9695</v>
      </c>
      <c r="T40" s="17" t="n">
        <v>422.1117</v>
      </c>
      <c r="U40" s="17" t="n">
        <v>406.0353</v>
      </c>
      <c r="V40" s="17" t="n">
        <v>365.5389</v>
      </c>
      <c r="W40" s="17" t="n">
        <v>312.9936</v>
      </c>
      <c r="X40" s="17" t="n">
        <v>321.2071</v>
      </c>
      <c r="Y40" s="17" t="n">
        <v>335.3174</v>
      </c>
      <c r="Z40" s="17" t="n">
        <v>323.4063</v>
      </c>
      <c r="AA40" s="17" t="n">
        <v>303.6702</v>
      </c>
      <c r="AB40" s="17" t="n">
        <v>271.5635</v>
      </c>
      <c r="AC40" s="17" t="n">
        <v>309.4384</v>
      </c>
      <c r="AD40" s="17" t="n">
        <v>299.1443</v>
      </c>
      <c r="AE40" s="17" t="n">
        <v>291.8646</v>
      </c>
      <c r="AF40" s="17" t="n">
        <v>302.8438</v>
      </c>
      <c r="AG40" s="17" t="n">
        <v>302.0552</v>
      </c>
      <c r="AH40" s="17" t="n">
        <v>305.2873</v>
      </c>
      <c r="AI40" s="17" t="n">
        <v>315.0519</v>
      </c>
      <c r="AJ40" s="17" t="n">
        <v>313.2805</v>
      </c>
      <c r="AK40" s="17" t="n">
        <v>316.988</v>
      </c>
      <c r="AL40" s="17" t="n">
        <v>336.7259</v>
      </c>
      <c r="AM40" s="17" t="n">
        <v>330.3392</v>
      </c>
      <c r="AN40" s="17" t="n">
        <v>329.9087</v>
      </c>
      <c r="AO40" s="17" t="n">
        <v>326.6723</v>
      </c>
      <c r="AP40" s="17" t="n">
        <v>336.036</v>
      </c>
      <c r="AQ40" s="17" t="n">
        <v>356.3147</v>
      </c>
      <c r="AR40" s="17" t="n">
        <v>388.7183</v>
      </c>
      <c r="AS40" s="17" t="n">
        <v>344.2038</v>
      </c>
      <c r="AT40" s="17" t="n">
        <v>349.5926</v>
      </c>
      <c r="AU40" s="17" t="n">
        <v>306.4925</v>
      </c>
      <c r="AV40" s="17" t="n">
        <v>281.5887</v>
      </c>
      <c r="AW40" s="17" t="n">
        <v>262.4409</v>
      </c>
      <c r="AX40" s="17" t="n">
        <v>250.9408</v>
      </c>
      <c r="AY40" s="17" t="n">
        <v>276.5168</v>
      </c>
      <c r="AZ40" s="17" t="n">
        <v>274.5937</v>
      </c>
      <c r="BA40" s="17" t="n">
        <v>261.7247</v>
      </c>
      <c r="BB40" s="17" t="n">
        <v>293.7998</v>
      </c>
      <c r="BC40" s="17" t="n">
        <v>281.7548</v>
      </c>
      <c r="BD40" s="17" t="n">
        <v>231.9144</v>
      </c>
      <c r="BE40" s="17" t="n">
        <v>239.6637</v>
      </c>
      <c r="BF40" s="17" t="n">
        <v>189.5977</v>
      </c>
      <c r="BG40" s="17" t="n">
        <v>194.8784</v>
      </c>
      <c r="BH40" s="17" t="n">
        <v>188.733</v>
      </c>
      <c r="BI40" s="17" t="n">
        <v>202</v>
      </c>
    </row>
    <row r="41">
      <c r="A41" s="10" t="inlineStr">
        <is>
          <t>Costa Rica</t>
        </is>
      </c>
      <c r="B41" s="17" t="n">
        <v>492.9977</v>
      </c>
      <c r="C41" s="17" t="n">
        <v>535.0285</v>
      </c>
      <c r="D41" s="17" t="n">
        <v>503.9815</v>
      </c>
      <c r="E41" s="17" t="n">
        <v>521.4557</v>
      </c>
      <c r="F41" s="17" t="n">
        <v>488.4145</v>
      </c>
      <c r="G41" s="17" t="n">
        <v>427.448</v>
      </c>
      <c r="H41" s="17" t="n">
        <v>395.5499</v>
      </c>
      <c r="I41" s="17" t="n">
        <v>419.8423</v>
      </c>
      <c r="J41" s="17" t="n">
        <v>477.5886</v>
      </c>
      <c r="K41" s="17" t="n">
        <v>489.3827</v>
      </c>
      <c r="L41" s="17" t="n">
        <v>449.6806</v>
      </c>
      <c r="M41" s="17" t="n">
        <v>442.8348</v>
      </c>
      <c r="N41" s="17" t="n">
        <v>397.3834</v>
      </c>
      <c r="O41" s="17" t="n">
        <v>356.1186</v>
      </c>
      <c r="P41" s="17" t="n">
        <v>326.9162</v>
      </c>
      <c r="Q41" s="17" t="n">
        <v>341.7919</v>
      </c>
      <c r="R41" s="17" t="n">
        <v>315.6524</v>
      </c>
      <c r="S41" s="17" t="n">
        <v>328.8769</v>
      </c>
      <c r="T41" s="17" t="n">
        <v>311.3006</v>
      </c>
      <c r="U41" s="17" t="n">
        <v>296.7486</v>
      </c>
      <c r="V41" s="17" t="n">
        <v>289.2442</v>
      </c>
      <c r="W41" s="17" t="n">
        <v>261.9305</v>
      </c>
      <c r="X41" s="17" t="n">
        <v>252.2945</v>
      </c>
      <c r="Y41" s="17" t="n">
        <v>247.3736</v>
      </c>
      <c r="Z41" s="17" t="n">
        <v>244.1647</v>
      </c>
      <c r="AA41" s="17" t="n">
        <v>232.1161</v>
      </c>
      <c r="AB41" s="17" t="n">
        <v>234.4946</v>
      </c>
      <c r="AC41" s="17" t="n">
        <v>250.9749</v>
      </c>
      <c r="AD41" s="17" t="n">
        <v>219.6732</v>
      </c>
      <c r="AE41" s="17" t="n">
        <v>209.9617</v>
      </c>
      <c r="AF41" s="17" t="n">
        <v>192.7155</v>
      </c>
      <c r="AG41" s="17" t="n">
        <v>200.9911</v>
      </c>
      <c r="AH41" s="17" t="n">
        <v>212.4233</v>
      </c>
      <c r="AI41" s="17" t="n">
        <v>222.7422</v>
      </c>
      <c r="AJ41" s="17" t="n">
        <v>221.0057</v>
      </c>
      <c r="AK41" s="17" t="n">
        <v>217.5091</v>
      </c>
      <c r="AL41" s="17" t="n">
        <v>207.1905</v>
      </c>
      <c r="AM41" s="17" t="n">
        <v>218.534</v>
      </c>
      <c r="AN41" s="17" t="n">
        <v>197.4892</v>
      </c>
      <c r="AO41" s="17" t="n">
        <v>192.7455</v>
      </c>
      <c r="AP41" s="17" t="n">
        <v>217.0269</v>
      </c>
      <c r="AQ41" s="17" t="n">
        <v>226.1095</v>
      </c>
      <c r="AR41" s="17" t="n">
        <v>233.0752</v>
      </c>
      <c r="AS41" s="17" t="n">
        <v>202.7809</v>
      </c>
      <c r="AT41" s="17" t="n">
        <v>205.642</v>
      </c>
      <c r="AU41" s="17" t="n">
        <v>191.8579</v>
      </c>
      <c r="AV41" s="17" t="n">
        <v>180.7355</v>
      </c>
      <c r="AW41" s="17" t="n">
        <v>171.1804</v>
      </c>
      <c r="AX41" s="17" t="n">
        <v>161.1085</v>
      </c>
      <c r="AY41" s="17" t="n">
        <v>170.7942</v>
      </c>
      <c r="AZ41" s="17" t="n">
        <v>140.7577</v>
      </c>
      <c r="BA41" s="17" t="n">
        <v>142.0308</v>
      </c>
      <c r="BB41" s="17" t="n">
        <v>155.4944</v>
      </c>
      <c r="BC41" s="17" t="n">
        <v>164.3303</v>
      </c>
      <c r="BD41" s="17" t="n">
        <v>128.6287</v>
      </c>
      <c r="BE41" s="17" t="n">
        <v>133.1054</v>
      </c>
      <c r="BF41" s="17" t="n">
        <v>125.9343</v>
      </c>
      <c r="BG41" s="17" t="n">
        <v>126.1261</v>
      </c>
      <c r="BH41" s="17" t="n">
        <v>126.7209</v>
      </c>
      <c r="BI41" s="17" t="n">
        <v>130</v>
      </c>
    </row>
    <row r="42">
      <c r="A42" s="10" t="inlineStr">
        <is>
          <t>Cote d Ivoire</t>
        </is>
      </c>
      <c r="B42" s="17" t="n">
        <v>367.7188</v>
      </c>
      <c r="C42" s="17" t="n">
        <v>420.3795</v>
      </c>
      <c r="D42" s="17" t="n">
        <v>366.8728</v>
      </c>
      <c r="E42" s="17" t="n">
        <v>369.2324</v>
      </c>
      <c r="F42" s="17" t="n">
        <v>448.286</v>
      </c>
      <c r="G42" s="17" t="n">
        <v>383.7937</v>
      </c>
      <c r="H42" s="17" t="n">
        <v>397.1087</v>
      </c>
      <c r="I42" s="17" t="n">
        <v>446.885</v>
      </c>
      <c r="J42" s="17" t="n">
        <v>626.9160000000001</v>
      </c>
      <c r="K42" s="17" t="n">
        <v>605.9372</v>
      </c>
      <c r="L42" s="17" t="n">
        <v>490.3136</v>
      </c>
      <c r="M42" s="17" t="n">
        <v>565.7349</v>
      </c>
      <c r="N42" s="17" t="n">
        <v>501.9227</v>
      </c>
      <c r="O42" s="17" t="n">
        <v>356.0973</v>
      </c>
      <c r="P42" s="17" t="n">
        <v>346.2786</v>
      </c>
      <c r="Q42" s="17" t="n">
        <v>388.1177</v>
      </c>
      <c r="R42" s="17" t="n">
        <v>391.9198</v>
      </c>
      <c r="S42" s="17" t="n">
        <v>427.2183</v>
      </c>
      <c r="T42" s="17" t="n">
        <v>467.7726</v>
      </c>
      <c r="U42" s="17" t="n">
        <v>419.1284</v>
      </c>
      <c r="V42" s="17" t="n">
        <v>378.5009</v>
      </c>
      <c r="W42" s="17" t="n">
        <v>329.5876</v>
      </c>
      <c r="X42" s="17" t="n">
        <v>404.9787</v>
      </c>
      <c r="Y42" s="17" t="n">
        <v>410.4017</v>
      </c>
      <c r="Z42" s="17" t="n">
        <v>403.2455</v>
      </c>
      <c r="AA42" s="17" t="n">
        <v>341.6745</v>
      </c>
      <c r="AB42" s="17" t="n">
        <v>325.4126</v>
      </c>
      <c r="AC42" s="17" t="n">
        <v>389.8745</v>
      </c>
      <c r="AD42" s="17" t="n">
        <v>388.0841</v>
      </c>
      <c r="AE42" s="17" t="n">
        <v>352.3987</v>
      </c>
      <c r="AF42" s="17" t="n">
        <v>362.0185</v>
      </c>
      <c r="AG42" s="17" t="n">
        <v>356.1634</v>
      </c>
      <c r="AH42" s="17" t="n">
        <v>381.579</v>
      </c>
      <c r="AI42" s="17" t="n">
        <v>409.4421</v>
      </c>
      <c r="AJ42" s="17" t="n">
        <v>381.9203</v>
      </c>
      <c r="AK42" s="17" t="n">
        <v>355.2131</v>
      </c>
      <c r="AL42" s="17" t="n">
        <v>356.7342</v>
      </c>
      <c r="AM42" s="17" t="n">
        <v>357.5566</v>
      </c>
      <c r="AN42" s="17" t="n">
        <v>360.2535</v>
      </c>
      <c r="AO42" s="17" t="n">
        <v>361.1074</v>
      </c>
      <c r="AP42" s="17" t="n">
        <v>392.6247</v>
      </c>
      <c r="AQ42" s="17" t="n">
        <v>409.4323</v>
      </c>
      <c r="AR42" s="17" t="n">
        <v>494.6303</v>
      </c>
      <c r="AS42" s="17" t="n">
        <v>429.1711</v>
      </c>
      <c r="AT42" s="17" t="n">
        <v>414.237</v>
      </c>
      <c r="AU42" s="17" t="n">
        <v>367.6341</v>
      </c>
      <c r="AV42" s="17" t="n">
        <v>377.4423</v>
      </c>
      <c r="AW42" s="17" t="n">
        <v>320.0436</v>
      </c>
      <c r="AX42" s="17" t="n">
        <v>301.0334</v>
      </c>
      <c r="AY42" s="17" t="n">
        <v>327.2697</v>
      </c>
      <c r="AZ42" s="17" t="n">
        <v>254.4525</v>
      </c>
      <c r="BA42" s="17" t="n">
        <v>264.5114</v>
      </c>
      <c r="BB42" s="17" t="n">
        <v>287.0577</v>
      </c>
      <c r="BC42" s="17" t="n">
        <v>343.6686</v>
      </c>
      <c r="BD42" s="17" t="n">
        <v>274.0329</v>
      </c>
      <c r="BE42" s="17" t="n">
        <v>228.8278</v>
      </c>
      <c r="BF42" s="17" t="n">
        <v>215.705</v>
      </c>
      <c r="BG42" s="17" t="n">
        <v>233.0595</v>
      </c>
      <c r="BH42" s="17" t="n">
        <v>205.4461</v>
      </c>
      <c r="BI42" s="17" t="n">
        <v>215</v>
      </c>
    </row>
    <row r="43">
      <c r="A43" s="10" t="inlineStr">
        <is>
          <t>Democratic Republic of Congo</t>
        </is>
      </c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  <c r="M43" s="17" t="inlineStr"/>
      <c r="N43" s="17" t="inlineStr"/>
      <c r="O43" s="17" t="inlineStr"/>
      <c r="P43" s="17" t="inlineStr"/>
      <c r="Q43" s="17" t="inlineStr"/>
      <c r="R43" s="17" t="inlineStr"/>
      <c r="S43" s="17" t="inlineStr"/>
      <c r="T43" s="17" t="inlineStr"/>
      <c r="U43" s="17" t="inlineStr"/>
      <c r="V43" s="17" t="inlineStr"/>
      <c r="W43" s="17" t="inlineStr"/>
      <c r="X43" s="17" t="inlineStr"/>
      <c r="Y43" s="17" t="inlineStr"/>
      <c r="Z43" s="17" t="inlineStr"/>
      <c r="AA43" s="17" t="inlineStr"/>
      <c r="AB43" s="17" t="inlineStr"/>
      <c r="AC43" s="17" t="inlineStr"/>
      <c r="AD43" s="17" t="inlineStr"/>
      <c r="AE43" s="17" t="inlineStr"/>
      <c r="AF43" s="17" t="inlineStr"/>
      <c r="AG43" s="17" t="inlineStr"/>
      <c r="AH43" s="17" t="inlineStr"/>
      <c r="AI43" s="17" t="inlineStr"/>
      <c r="AJ43" s="17" t="inlineStr"/>
      <c r="AK43" s="17" t="inlineStr"/>
      <c r="AL43" s="17" t="inlineStr"/>
      <c r="AM43" s="17" t="inlineStr"/>
      <c r="AN43" s="17" t="inlineStr"/>
      <c r="AO43" s="17" t="inlineStr"/>
      <c r="AP43" s="17" t="inlineStr"/>
      <c r="AQ43" s="17" t="inlineStr"/>
      <c r="AR43" s="17" t="inlineStr"/>
      <c r="AS43" s="17" t="inlineStr"/>
      <c r="AT43" s="17" t="inlineStr"/>
      <c r="AU43" s="17" t="inlineStr"/>
      <c r="AV43" s="17" t="inlineStr"/>
      <c r="AW43" s="17" t="inlineStr"/>
      <c r="AX43" s="17" t="inlineStr"/>
      <c r="AY43" s="17" t="inlineStr"/>
      <c r="AZ43" s="17" t="inlineStr"/>
      <c r="BA43" s="17" t="inlineStr"/>
      <c r="BB43" s="17" t="inlineStr"/>
      <c r="BC43" s="17" t="inlineStr"/>
      <c r="BD43" s="17" t="n">
        <v>456.322</v>
      </c>
      <c r="BE43" s="17" t="n">
        <v>454.4855</v>
      </c>
      <c r="BF43" s="17" t="n">
        <v>407.7999</v>
      </c>
      <c r="BG43" s="17" t="n">
        <v>384.2929</v>
      </c>
      <c r="BH43" s="17" t="n">
        <v>374.9359</v>
      </c>
      <c r="BI43" s="17" t="n">
        <v>375</v>
      </c>
    </row>
    <row r="44">
      <c r="A44" s="10" t="inlineStr">
        <is>
          <t>Dominican Republic</t>
        </is>
      </c>
      <c r="B44" s="17" t="n">
        <v>365.2631</v>
      </c>
      <c r="C44" s="17" t="n">
        <v>396.3495</v>
      </c>
      <c r="D44" s="17" t="n">
        <v>365.7464</v>
      </c>
      <c r="E44" s="17" t="n">
        <v>378.017</v>
      </c>
      <c r="F44" s="17" t="n">
        <v>437.1987</v>
      </c>
      <c r="G44" s="17" t="n">
        <v>393.9334</v>
      </c>
      <c r="H44" s="17" t="n">
        <v>417.388</v>
      </c>
      <c r="I44" s="17" t="n">
        <v>410.754</v>
      </c>
      <c r="J44" s="17" t="n">
        <v>512.0962</v>
      </c>
      <c r="K44" s="17" t="n">
        <v>447.9367</v>
      </c>
      <c r="L44" s="17" t="n">
        <v>441.1846</v>
      </c>
      <c r="M44" s="17" t="n">
        <v>473.8549</v>
      </c>
      <c r="N44" s="17" t="n">
        <v>431.2515</v>
      </c>
      <c r="O44" s="17" t="n">
        <v>374.2519</v>
      </c>
      <c r="P44" s="17" t="n">
        <v>357.9277</v>
      </c>
      <c r="Q44" s="17" t="n">
        <v>352.847</v>
      </c>
      <c r="R44" s="17" t="n">
        <v>336.9769</v>
      </c>
      <c r="S44" s="17" t="n">
        <v>369.2286</v>
      </c>
      <c r="T44" s="17" t="n">
        <v>359.5628</v>
      </c>
      <c r="U44" s="17" t="n">
        <v>366.2607</v>
      </c>
      <c r="V44" s="17" t="n">
        <v>330.2746</v>
      </c>
      <c r="W44" s="17" t="n">
        <v>296.758</v>
      </c>
      <c r="X44" s="17" t="n">
        <v>312.4604</v>
      </c>
      <c r="Y44" s="17" t="n">
        <v>318.6801</v>
      </c>
      <c r="Z44" s="17" t="n">
        <v>297.0158</v>
      </c>
      <c r="AA44" s="17" t="n">
        <v>266.3286</v>
      </c>
      <c r="AB44" s="17" t="n">
        <v>246.9827</v>
      </c>
      <c r="AC44" s="17" t="n">
        <v>256.0263</v>
      </c>
      <c r="AD44" s="17" t="n">
        <v>232.5909</v>
      </c>
      <c r="AE44" s="17" t="n">
        <v>230.5335</v>
      </c>
      <c r="AF44" s="17" t="n">
        <v>219.7858</v>
      </c>
      <c r="AG44" s="17" t="n">
        <v>208.761</v>
      </c>
      <c r="AH44" s="17" t="n">
        <v>217.3123</v>
      </c>
      <c r="AI44" s="17" t="n">
        <v>222.4712</v>
      </c>
      <c r="AJ44" s="17" t="n">
        <v>200.7941</v>
      </c>
      <c r="AK44" s="17" t="n">
        <v>197.0488</v>
      </c>
      <c r="AL44" s="17" t="n">
        <v>203.7034</v>
      </c>
      <c r="AM44" s="17" t="n">
        <v>206.0237</v>
      </c>
      <c r="AN44" s="17" t="n">
        <v>206.4596</v>
      </c>
      <c r="AO44" s="17" t="n">
        <v>197.9993</v>
      </c>
      <c r="AP44" s="17" t="n">
        <v>218.1954</v>
      </c>
      <c r="AQ44" s="17" t="n">
        <v>233.9462</v>
      </c>
      <c r="AR44" s="17" t="n">
        <v>253.4906</v>
      </c>
      <c r="AS44" s="17" t="n">
        <v>220.0296</v>
      </c>
      <c r="AT44" s="17" t="n">
        <v>217.18</v>
      </c>
      <c r="AU44" s="17" t="n">
        <v>195.6406</v>
      </c>
      <c r="AV44" s="17" t="n">
        <v>186.9144</v>
      </c>
      <c r="AW44" s="17" t="n">
        <v>174.586</v>
      </c>
      <c r="AX44" s="17" t="n">
        <v>173.1459</v>
      </c>
      <c r="AY44" s="17" t="n">
        <v>191.8355</v>
      </c>
      <c r="AZ44" s="17" t="n">
        <v>168.8477</v>
      </c>
      <c r="BA44" s="17" t="n">
        <v>164.0029</v>
      </c>
      <c r="BB44" s="17" t="n">
        <v>188.745</v>
      </c>
      <c r="BC44" s="17" t="n">
        <v>221.0536</v>
      </c>
      <c r="BD44" s="17" t="n">
        <v>181.9095</v>
      </c>
      <c r="BE44" s="17" t="n">
        <v>169.9581</v>
      </c>
      <c r="BF44" s="17" t="n">
        <v>162.4579</v>
      </c>
      <c r="BG44" s="17" t="n">
        <v>171.3089</v>
      </c>
      <c r="BH44" s="17" t="n">
        <v>158.0677</v>
      </c>
      <c r="BI44" s="17" t="n">
        <v>162</v>
      </c>
    </row>
    <row r="45">
      <c r="A45" s="10" t="inlineStr">
        <is>
          <t>Ecuador</t>
        </is>
      </c>
      <c r="B45" s="17" t="n">
        <v>847.3809</v>
      </c>
      <c r="C45" s="17" t="n">
        <v>890.9644</v>
      </c>
      <c r="D45" s="17" t="n">
        <v>869.0700000000001</v>
      </c>
      <c r="E45" s="17" t="n">
        <v>767.5338</v>
      </c>
      <c r="F45" s="17" t="n">
        <v>755.1052</v>
      </c>
      <c r="G45" s="17" t="n">
        <v>810.3845</v>
      </c>
      <c r="H45" s="17" t="n">
        <v>815.5533</v>
      </c>
      <c r="I45" s="17" t="n">
        <v>801.9481</v>
      </c>
      <c r="J45" s="17" t="n">
        <v>1164.954</v>
      </c>
      <c r="K45" s="17" t="n">
        <v>1335.874</v>
      </c>
      <c r="L45" s="17" t="n">
        <v>1550.0471</v>
      </c>
      <c r="M45" s="17" t="n">
        <v>1753.1033</v>
      </c>
      <c r="N45" s="17" t="n">
        <v>1569.9788</v>
      </c>
      <c r="O45" s="17" t="n">
        <v>1333.0986</v>
      </c>
      <c r="P45" s="17" t="n">
        <v>1250.2056</v>
      </c>
      <c r="Q45" s="17" t="n">
        <v>1215.6582</v>
      </c>
      <c r="R45" s="17" t="n">
        <v>1764.6343</v>
      </c>
      <c r="S45" s="17" t="n">
        <v>1916.7678</v>
      </c>
      <c r="T45" s="17" t="n">
        <v>1757.0163</v>
      </c>
      <c r="U45" s="17" t="n">
        <v>1911.186</v>
      </c>
      <c r="V45" s="17" t="n">
        <v>1902.3873</v>
      </c>
      <c r="W45" s="17" t="n">
        <v>1933.7812</v>
      </c>
      <c r="X45" s="17" t="n">
        <v>1850.245</v>
      </c>
      <c r="Y45" s="17" t="n">
        <v>1788.6734</v>
      </c>
      <c r="Z45" s="17" t="n">
        <v>1755.3052</v>
      </c>
      <c r="AA45" s="17" t="n">
        <v>2016.0712</v>
      </c>
      <c r="AB45" s="17" t="n">
        <v>2054.6948</v>
      </c>
      <c r="AC45" s="17" t="n">
        <v>1786.0249</v>
      </c>
      <c r="AD45" s="17" t="n">
        <v>1420.2585</v>
      </c>
      <c r="AE45" s="17" t="n">
        <v>1232.5602</v>
      </c>
      <c r="AF45" s="17" t="n">
        <v>1120.4702</v>
      </c>
      <c r="AG45" s="17" t="n">
        <v>1273.6731</v>
      </c>
      <c r="AH45" s="17" t="n">
        <v>1391.1762</v>
      </c>
      <c r="AI45" s="17" t="n">
        <v>1305.2982</v>
      </c>
      <c r="AJ45" s="17" t="n">
        <v>1239.8208</v>
      </c>
      <c r="AK45" s="17" t="n">
        <v>1211.146</v>
      </c>
      <c r="AL45" s="17" t="n">
        <v>1250.1486</v>
      </c>
      <c r="AM45" s="17" t="n">
        <v>1286.4981</v>
      </c>
      <c r="AN45" s="17" t="n">
        <v>1199.5469</v>
      </c>
      <c r="AO45" s="17" t="n">
        <v>940.8744</v>
      </c>
      <c r="AP45" s="17" t="n">
        <v>1378.2249</v>
      </c>
      <c r="AQ45" s="17" t="n">
        <v>1630.1469</v>
      </c>
      <c r="AR45" s="17" t="n">
        <v>1189.0787</v>
      </c>
      <c r="AS45" s="17" t="n">
        <v>1098.2438</v>
      </c>
      <c r="AT45" s="17" t="n">
        <v>813.9272999999999</v>
      </c>
      <c r="AU45" s="17" t="n">
        <v>786.8984</v>
      </c>
      <c r="AV45" s="17" t="n">
        <v>756.2027</v>
      </c>
      <c r="AW45" s="17" t="n">
        <v>776.989</v>
      </c>
      <c r="AX45" s="17" t="n">
        <v>733.0404</v>
      </c>
      <c r="AY45" s="17" t="n">
        <v>554.1849999999999</v>
      </c>
      <c r="AZ45" s="17" t="n">
        <v>491.9928</v>
      </c>
      <c r="BA45" s="17" t="n">
        <v>438.9501</v>
      </c>
      <c r="BB45" s="17" t="n">
        <v>483.5637</v>
      </c>
      <c r="BC45" s="17" t="n">
        <v>505.7406</v>
      </c>
      <c r="BD45" s="17" t="n">
        <v>410.5654</v>
      </c>
      <c r="BE45" s="17" t="n">
        <v>415.1456</v>
      </c>
      <c r="BF45" s="17" t="n">
        <v>414.8234</v>
      </c>
      <c r="BG45" s="17" t="n">
        <v>435.583</v>
      </c>
      <c r="BH45" s="17" t="n">
        <v>409.6832</v>
      </c>
      <c r="BI45" s="17" t="n">
        <v>424</v>
      </c>
    </row>
    <row r="46">
      <c r="A46" s="10" t="inlineStr">
        <is>
          <t>Egypt</t>
        </is>
      </c>
      <c r="B46" s="17" t="n">
        <v>664.0485</v>
      </c>
      <c r="C46" s="17" t="n">
        <v>746.0962</v>
      </c>
      <c r="D46" s="17" t="n">
        <v>680.9263999999999</v>
      </c>
      <c r="E46" s="17" t="n">
        <v>712.3347</v>
      </c>
      <c r="F46" s="17" t="n">
        <v>798.5353</v>
      </c>
      <c r="G46" s="17" t="n">
        <v>662.6988</v>
      </c>
      <c r="H46" s="17" t="n">
        <v>806.6017000000001</v>
      </c>
      <c r="I46" s="17" t="n">
        <v>784.8226</v>
      </c>
      <c r="J46" s="17" t="n">
        <v>1064.5009</v>
      </c>
      <c r="K46" s="17" t="n">
        <v>1161.4047</v>
      </c>
      <c r="L46" s="17" t="n">
        <v>914.0469000000001</v>
      </c>
      <c r="M46" s="17" t="n">
        <v>1100.6658</v>
      </c>
      <c r="N46" s="17" t="n">
        <v>960.2747000000001</v>
      </c>
      <c r="O46" s="17" t="n">
        <v>793.8511</v>
      </c>
      <c r="P46" s="17" t="n">
        <v>796.6135</v>
      </c>
      <c r="Q46" s="17" t="n">
        <v>788.8636</v>
      </c>
      <c r="R46" s="17" t="n">
        <v>864.0663</v>
      </c>
      <c r="S46" s="17" t="n">
        <v>1106.8931</v>
      </c>
      <c r="T46" s="17" t="n">
        <v>1373.6002</v>
      </c>
      <c r="U46" s="17" t="n">
        <v>1328.1111</v>
      </c>
      <c r="V46" s="17" t="n">
        <v>1216.688</v>
      </c>
      <c r="W46" s="17" t="n">
        <v>1020.4174</v>
      </c>
      <c r="X46" s="17" t="n">
        <v>1220.0157</v>
      </c>
      <c r="Y46" s="17" t="n">
        <v>1175.8784</v>
      </c>
      <c r="Z46" s="17" t="n">
        <v>1197.4202</v>
      </c>
      <c r="AA46" s="17" t="n">
        <v>1042.7561</v>
      </c>
      <c r="AB46" s="17" t="n">
        <v>942.0377999999999</v>
      </c>
      <c r="AC46" s="17" t="n">
        <v>977.634</v>
      </c>
      <c r="AD46" s="17" t="n">
        <v>595.8617</v>
      </c>
      <c r="AE46" s="17" t="n">
        <v>581.6844</v>
      </c>
      <c r="AF46" s="17" t="n">
        <v>587.6031</v>
      </c>
      <c r="AG46" s="17" t="n">
        <v>563.0698</v>
      </c>
      <c r="AH46" s="17" t="n">
        <v>640.4448</v>
      </c>
      <c r="AI46" s="17" t="n">
        <v>641.7173</v>
      </c>
      <c r="AJ46" s="17" t="n">
        <v>633.5979</v>
      </c>
      <c r="AK46" s="17" t="n">
        <v>594.3667</v>
      </c>
      <c r="AL46" s="17" t="n">
        <v>573.5714</v>
      </c>
      <c r="AM46" s="17" t="n">
        <v>564.1279</v>
      </c>
      <c r="AN46" s="17" t="n">
        <v>569.8558</v>
      </c>
      <c r="AO46" s="17" t="n">
        <v>543.6509</v>
      </c>
      <c r="AP46" s="17" t="n">
        <v>582.1318</v>
      </c>
      <c r="AQ46" s="17" t="n">
        <v>642.2607</v>
      </c>
      <c r="AR46" s="17" t="n">
        <v>681.3166</v>
      </c>
      <c r="AS46" s="17" t="n">
        <v>576.4864</v>
      </c>
      <c r="AT46" s="17" t="n">
        <v>533.1817</v>
      </c>
      <c r="AU46" s="17" t="n">
        <v>514.4869</v>
      </c>
      <c r="AV46" s="17" t="n">
        <v>506.8782</v>
      </c>
      <c r="AW46" s="17" t="n">
        <v>458.8217</v>
      </c>
      <c r="AX46" s="17" t="n">
        <v>411.377</v>
      </c>
      <c r="AY46" s="17" t="n">
        <v>402.8904</v>
      </c>
      <c r="AZ46" s="17" t="n">
        <v>337.1013</v>
      </c>
      <c r="BA46" s="17" t="n">
        <v>360.0955</v>
      </c>
      <c r="BB46" s="17" t="n">
        <v>395.0311</v>
      </c>
      <c r="BC46" s="17" t="n">
        <v>470.0124</v>
      </c>
      <c r="BD46" s="17" t="n">
        <v>406.945</v>
      </c>
      <c r="BE46" s="17" t="n">
        <v>354.6888</v>
      </c>
      <c r="BF46" s="17" t="n">
        <v>340.076</v>
      </c>
      <c r="BG46" s="17" t="n">
        <v>349.9766</v>
      </c>
      <c r="BH46" s="17" t="n">
        <v>324.2498</v>
      </c>
      <c r="BI46" s="17" t="n">
        <v>329</v>
      </c>
    </row>
    <row r="47">
      <c r="A47" s="10" t="inlineStr">
        <is>
          <t>El Salvador</t>
        </is>
      </c>
      <c r="B47" s="17" t="n">
        <v>1007.4891</v>
      </c>
      <c r="C47" s="17" t="n">
        <v>1314.7314</v>
      </c>
      <c r="D47" s="17" t="n">
        <v>1490.8709</v>
      </c>
      <c r="E47" s="17" t="n">
        <v>1571.1831</v>
      </c>
      <c r="F47" s="17" t="n">
        <v>1609.51</v>
      </c>
      <c r="G47" s="17" t="n">
        <v>1773.512</v>
      </c>
      <c r="H47" s="17" t="n">
        <v>2200.5471</v>
      </c>
      <c r="I47" s="17" t="n">
        <v>2288.7017</v>
      </c>
      <c r="J47" s="17" t="n">
        <v>2703.8206</v>
      </c>
      <c r="K47" s="17" t="n">
        <v>2428.0092</v>
      </c>
      <c r="L47" s="17" t="n">
        <v>2300.6888</v>
      </c>
      <c r="M47" s="17" t="n">
        <v>2255.5031</v>
      </c>
      <c r="N47" s="17" t="n">
        <v>2071.6682</v>
      </c>
      <c r="O47" s="17" t="n">
        <v>1960.4105</v>
      </c>
      <c r="P47" s="17" t="n">
        <v>1839.4402</v>
      </c>
      <c r="Q47" s="17" t="n">
        <v>1481.5926</v>
      </c>
      <c r="R47" s="17" t="n">
        <v>1512.8857</v>
      </c>
      <c r="S47" s="17" t="n">
        <v>1521.3528</v>
      </c>
      <c r="T47" s="17" t="n">
        <v>1366.6814</v>
      </c>
      <c r="U47" s="17" t="n">
        <v>1305.7151</v>
      </c>
      <c r="V47" s="17" t="n">
        <v>1100.1061</v>
      </c>
      <c r="W47" s="17" t="n">
        <v>934.5265000000001</v>
      </c>
      <c r="X47" s="17" t="n">
        <v>791.6616</v>
      </c>
      <c r="Y47" s="17" t="n">
        <v>736.8476000000001</v>
      </c>
      <c r="Z47" s="17" t="n">
        <v>739.2056</v>
      </c>
      <c r="AA47" s="17" t="n">
        <v>709.8218000000001</v>
      </c>
      <c r="AB47" s="17" t="n">
        <v>683.9225</v>
      </c>
      <c r="AC47" s="17" t="n">
        <v>663.7347</v>
      </c>
      <c r="AD47" s="17" t="n">
        <v>691.2549</v>
      </c>
      <c r="AE47" s="17" t="n">
        <v>677.6375</v>
      </c>
      <c r="AF47" s="17" t="n">
        <v>703.225</v>
      </c>
      <c r="AG47" s="17" t="n">
        <v>746.5293</v>
      </c>
      <c r="AH47" s="17" t="n">
        <v>750.9376999999999</v>
      </c>
      <c r="AI47" s="17" t="n">
        <v>727.9032</v>
      </c>
      <c r="AJ47" s="17" t="n">
        <v>674.9173</v>
      </c>
      <c r="AK47" s="17" t="n">
        <v>569.2265</v>
      </c>
      <c r="AL47" s="17" t="n">
        <v>522.793</v>
      </c>
      <c r="AM47" s="17" t="n">
        <v>432.7274</v>
      </c>
      <c r="AN47" s="17" t="n">
        <v>387.9095</v>
      </c>
      <c r="AO47" s="17" t="n">
        <v>380.9381</v>
      </c>
      <c r="AP47" s="17" t="n">
        <v>410.9255</v>
      </c>
      <c r="AQ47" s="17" t="n">
        <v>464.1953</v>
      </c>
      <c r="AR47" s="17" t="n">
        <v>469.7847</v>
      </c>
      <c r="AS47" s="17" t="n">
        <v>430.4111</v>
      </c>
      <c r="AT47" s="17" t="n">
        <v>413.1653</v>
      </c>
      <c r="AU47" s="17" t="n">
        <v>417.8832</v>
      </c>
      <c r="AV47" s="17" t="n">
        <v>399.6571</v>
      </c>
      <c r="AW47" s="17" t="n">
        <v>375.4704</v>
      </c>
      <c r="AX47" s="17" t="n">
        <v>347.8351</v>
      </c>
      <c r="AY47" s="17" t="n">
        <v>356.58</v>
      </c>
      <c r="AZ47" s="17" t="n">
        <v>325.7104</v>
      </c>
      <c r="BA47" s="17" t="n">
        <v>317.6485</v>
      </c>
      <c r="BB47" s="17" t="n">
        <v>350.4372</v>
      </c>
      <c r="BC47" s="17" t="n">
        <v>384.6174</v>
      </c>
      <c r="BD47" s="17" t="n">
        <v>317.0362</v>
      </c>
      <c r="BE47" s="17" t="n">
        <v>312.8946</v>
      </c>
      <c r="BF47" s="17" t="n">
        <v>299.1402</v>
      </c>
      <c r="BG47" s="17" t="n">
        <v>274.0503</v>
      </c>
      <c r="BH47" s="17" t="n">
        <v>270.6828</v>
      </c>
      <c r="BI47" s="17" t="n">
        <v>265</v>
      </c>
    </row>
    <row r="48">
      <c r="A48" s="10" t="inlineStr">
        <is>
          <t>Ethiopia</t>
        </is>
      </c>
      <c r="B48" s="17" t="n">
        <v>1285.8083</v>
      </c>
      <c r="C48" s="17" t="n">
        <v>2107.784</v>
      </c>
      <c r="D48" s="17" t="n">
        <v>2029.6891</v>
      </c>
      <c r="E48" s="17" t="n">
        <v>1575.0108</v>
      </c>
      <c r="F48" s="17" t="n">
        <v>1630.127</v>
      </c>
      <c r="G48" s="17" t="n">
        <v>1727.3696</v>
      </c>
      <c r="H48" s="17" t="n">
        <v>1914.204</v>
      </c>
      <c r="I48" s="17" t="n">
        <v>2482.7377</v>
      </c>
      <c r="J48" s="17" t="n">
        <v>3021.4782</v>
      </c>
      <c r="K48" s="17" t="n">
        <v>3486.4998</v>
      </c>
      <c r="L48" s="17" t="n">
        <v>3121.2384</v>
      </c>
      <c r="M48" s="17" t="n">
        <v>3849.8373</v>
      </c>
      <c r="N48" s="17" t="n">
        <v>3838.3014</v>
      </c>
      <c r="O48" s="17" t="n">
        <v>2828.3944</v>
      </c>
      <c r="P48" s="17" t="n">
        <v>2957.8695</v>
      </c>
      <c r="Q48" s="17" t="n">
        <v>1444.4221</v>
      </c>
      <c r="R48" s="17" t="n">
        <v>1370.3315</v>
      </c>
      <c r="S48" s="17" t="n">
        <v>1378.3821</v>
      </c>
      <c r="T48" s="17" t="n">
        <v>1410.7724</v>
      </c>
      <c r="U48" s="17" t="n">
        <v>2910.6762</v>
      </c>
      <c r="V48" s="17" t="n">
        <v>2947.4732</v>
      </c>
      <c r="W48" s="17" t="n">
        <v>3191.9967</v>
      </c>
      <c r="X48" s="17" t="n">
        <v>3757.1894</v>
      </c>
      <c r="Y48" s="17" t="n">
        <v>4256.0351</v>
      </c>
      <c r="Z48" s="17" t="n">
        <v>4751.9054</v>
      </c>
      <c r="AA48" s="17" t="n">
        <v>5511.8803</v>
      </c>
      <c r="AB48" s="17" t="n">
        <v>4945.7517</v>
      </c>
      <c r="AC48" s="17" t="n">
        <v>5316.2454</v>
      </c>
      <c r="AD48" s="17" t="n">
        <v>6030.7486</v>
      </c>
      <c r="AE48" s="17" t="n">
        <v>5715.505</v>
      </c>
      <c r="AF48" s="17" t="n">
        <v>7387.5049</v>
      </c>
      <c r="AG48" s="17" t="n">
        <v>2974.8981</v>
      </c>
      <c r="AH48" s="17" t="n">
        <v>2614.2735</v>
      </c>
      <c r="AI48" s="17" t="n">
        <v>2073.4658</v>
      </c>
      <c r="AJ48" s="17" t="n">
        <v>2558.1396</v>
      </c>
      <c r="AK48" s="17" t="n">
        <v>2773.555</v>
      </c>
      <c r="AL48" s="17" t="n">
        <v>3000.4576</v>
      </c>
      <c r="AM48" s="17" t="n">
        <v>3185.4781</v>
      </c>
      <c r="AN48" s="17" t="n">
        <v>2910.9809</v>
      </c>
      <c r="AO48" s="17" t="n">
        <v>2792.7661</v>
      </c>
      <c r="AP48" s="17" t="n">
        <v>2474.5342</v>
      </c>
      <c r="AQ48" s="17" t="n">
        <v>2936.3746</v>
      </c>
      <c r="AR48" s="17" t="n">
        <v>3812.8663</v>
      </c>
      <c r="AS48" s="17" t="n">
        <v>1238.7352</v>
      </c>
      <c r="AT48" s="17" t="n">
        <v>772.4986</v>
      </c>
      <c r="AU48" s="17" t="n">
        <v>920.5139</v>
      </c>
      <c r="AV48" s="17" t="n">
        <v>1036.9403</v>
      </c>
      <c r="AW48" s="17" t="n">
        <v>787.5405</v>
      </c>
      <c r="AX48" s="17" t="n">
        <v>-20.526</v>
      </c>
      <c r="AY48" s="17" t="n">
        <v>-225.3386</v>
      </c>
      <c r="AZ48" s="17" t="n">
        <v>-501.659</v>
      </c>
      <c r="BA48" s="17" t="n">
        <v>-336.4839</v>
      </c>
      <c r="BB48" s="17" t="n">
        <v>-88.05200000000001</v>
      </c>
      <c r="BC48" s="17" t="n">
        <v>147.4844</v>
      </c>
      <c r="BD48" s="17" t="n">
        <v>138.3274</v>
      </c>
      <c r="BE48" s="17" t="n">
        <v>76.1983</v>
      </c>
      <c r="BF48" s="17" t="n">
        <v>-362.1459</v>
      </c>
      <c r="BG48" s="17" t="n">
        <v>-310.3288</v>
      </c>
      <c r="BH48" s="17" t="n">
        <v>-334.8415</v>
      </c>
      <c r="BI48" s="17" t="n">
        <v>-401</v>
      </c>
    </row>
    <row r="49">
      <c r="A49" s="10" t="inlineStr">
        <is>
          <t>Gabon</t>
        </is>
      </c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  <c r="M49" s="17" t="inlineStr"/>
      <c r="N49" s="17" t="inlineStr"/>
      <c r="O49" s="17" t="inlineStr"/>
      <c r="P49" s="17" t="inlineStr"/>
      <c r="Q49" s="17" t="inlineStr"/>
      <c r="R49" s="17" t="inlineStr"/>
      <c r="S49" s="17" t="inlineStr"/>
      <c r="T49" s="17" t="inlineStr"/>
      <c r="U49" s="17" t="inlineStr"/>
      <c r="V49" s="17" t="inlineStr"/>
      <c r="W49" s="17" t="inlineStr"/>
      <c r="X49" s="17" t="inlineStr"/>
      <c r="Y49" s="17" t="inlineStr"/>
      <c r="Z49" s="17" t="inlineStr"/>
      <c r="AA49" s="17" t="inlineStr"/>
      <c r="AB49" s="17" t="inlineStr"/>
      <c r="AC49" s="17" t="inlineStr"/>
      <c r="AD49" s="17" t="inlineStr"/>
      <c r="AE49" s="17" t="inlineStr"/>
      <c r="AF49" s="17" t="inlineStr"/>
      <c r="AG49" s="17" t="inlineStr"/>
      <c r="AH49" s="17" t="inlineStr"/>
      <c r="AI49" s="17" t="inlineStr"/>
      <c r="AJ49" s="17" t="inlineStr"/>
      <c r="AK49" s="17" t="inlineStr"/>
      <c r="AL49" s="17" t="inlineStr"/>
      <c r="AM49" s="17" t="inlineStr"/>
      <c r="AN49" s="17" t="inlineStr"/>
      <c r="AO49" s="17" t="inlineStr"/>
      <c r="AP49" s="17" t="inlineStr"/>
      <c r="AQ49" s="17" t="inlineStr"/>
      <c r="AR49" s="17" t="inlineStr"/>
      <c r="AS49" s="17" t="inlineStr"/>
      <c r="AT49" s="17" t="inlineStr"/>
      <c r="AU49" s="17" t="inlineStr"/>
      <c r="AV49" s="17" t="inlineStr"/>
      <c r="AW49" s="17" t="inlineStr"/>
      <c r="AX49" s="17" t="inlineStr"/>
      <c r="AY49" s="17" t="inlineStr"/>
      <c r="AZ49" s="17" t="inlineStr"/>
      <c r="BA49" s="17" t="inlineStr"/>
      <c r="BB49" s="17" t="inlineStr"/>
      <c r="BC49" s="17" t="inlineStr"/>
      <c r="BD49" s="17" t="inlineStr"/>
      <c r="BE49" s="17" t="inlineStr"/>
      <c r="BF49" s="17" t="inlineStr"/>
      <c r="BG49" s="17" t="inlineStr"/>
      <c r="BH49" s="17" t="inlineStr"/>
      <c r="BI49" s="17" t="n">
        <v>696</v>
      </c>
    </row>
    <row r="50">
      <c r="A50" s="10" t="inlineStr">
        <is>
          <t>Georgia</t>
        </is>
      </c>
      <c r="B50" s="17" t="n">
        <v>194.2774</v>
      </c>
      <c r="C50" s="17" t="n">
        <v>223.8833</v>
      </c>
      <c r="D50" s="17" t="n">
        <v>209.5334</v>
      </c>
      <c r="E50" s="17" t="n">
        <v>210.7514</v>
      </c>
      <c r="F50" s="17" t="n">
        <v>358.6062</v>
      </c>
      <c r="G50" s="17" t="n">
        <v>450.7199</v>
      </c>
      <c r="H50" s="17" t="n">
        <v>363.3669</v>
      </c>
      <c r="I50" s="17" t="n">
        <v>388.6007</v>
      </c>
      <c r="J50" s="17" t="n">
        <v>519.0076</v>
      </c>
      <c r="K50" s="17" t="n">
        <v>427.9776</v>
      </c>
      <c r="L50" s="17" t="n">
        <v>358.113</v>
      </c>
      <c r="M50" s="17" t="n">
        <v>399.2142</v>
      </c>
      <c r="N50" s="17" t="n">
        <v>425.4141</v>
      </c>
      <c r="O50" s="17" t="n">
        <v>309.9762</v>
      </c>
      <c r="P50" s="17" t="n">
        <v>212.1026</v>
      </c>
      <c r="Q50" s="17" t="n">
        <v>229.1262</v>
      </c>
      <c r="R50" s="17" t="n">
        <v>195.7491</v>
      </c>
      <c r="S50" s="17" t="n">
        <v>322.3765</v>
      </c>
      <c r="T50" s="17" t="n">
        <v>329.4639</v>
      </c>
      <c r="U50" s="17" t="n">
        <v>312.2579</v>
      </c>
      <c r="V50" s="17" t="n">
        <v>268.7922</v>
      </c>
      <c r="W50" s="17" t="n">
        <v>250.2481</v>
      </c>
      <c r="X50" s="17" t="n">
        <v>263.7398</v>
      </c>
      <c r="Y50" s="17" t="n">
        <v>244.7673</v>
      </c>
      <c r="Z50" s="17" t="n">
        <v>276.3055</v>
      </c>
      <c r="AA50" s="17" t="n">
        <v>272.2058</v>
      </c>
      <c r="AB50" s="17" t="n">
        <v>177.9489</v>
      </c>
      <c r="AC50" s="17" t="n">
        <v>196.636</v>
      </c>
      <c r="AD50" s="17" t="n">
        <v>180.5606</v>
      </c>
      <c r="AE50" s="17" t="n">
        <v>186.9949</v>
      </c>
      <c r="AF50" s="17" t="n">
        <v>170.4859</v>
      </c>
      <c r="AG50" s="17" t="n">
        <v>253.7695</v>
      </c>
      <c r="AH50" s="17" t="n">
        <v>281.39</v>
      </c>
      <c r="AI50" s="17" t="n">
        <v>303.2294</v>
      </c>
      <c r="AJ50" s="17" t="n">
        <v>277.7502</v>
      </c>
      <c r="AK50" s="17" t="n">
        <v>285.33</v>
      </c>
      <c r="AL50" s="17" t="n">
        <v>304.1879</v>
      </c>
      <c r="AM50" s="17" t="n">
        <v>295.8476</v>
      </c>
      <c r="AN50" s="17" t="n">
        <v>336.4041</v>
      </c>
      <c r="AO50" s="17" t="n">
        <v>339.1171</v>
      </c>
      <c r="AP50" s="17" t="n">
        <v>346.4131</v>
      </c>
      <c r="AQ50" s="17" t="n">
        <v>357.5327</v>
      </c>
      <c r="AR50" s="17" t="n">
        <v>389.7348</v>
      </c>
      <c r="AS50" s="17" t="n">
        <v>361.0138</v>
      </c>
      <c r="AT50" s="17" t="n">
        <v>327.0881</v>
      </c>
      <c r="AU50" s="17" t="n">
        <v>260.2325</v>
      </c>
      <c r="AV50" s="17" t="n">
        <v>274.927</v>
      </c>
      <c r="AW50" s="17" t="n">
        <v>272.3254</v>
      </c>
      <c r="AX50" s="17" t="n">
        <v>282.9939</v>
      </c>
      <c r="AY50" s="17" t="n">
        <v>298.6485</v>
      </c>
      <c r="AZ50" s="17" t="n">
        <v>280.3714</v>
      </c>
      <c r="BA50" s="17" t="n">
        <v>184.3092</v>
      </c>
      <c r="BB50" s="17" t="n">
        <v>203.2327</v>
      </c>
      <c r="BC50" s="17" t="n">
        <v>207.8959</v>
      </c>
      <c r="BD50" s="17" t="n">
        <v>172.499</v>
      </c>
      <c r="BE50" s="17" t="n">
        <v>158.6822</v>
      </c>
      <c r="BF50" s="17" t="n">
        <v>146.5728</v>
      </c>
      <c r="BG50" s="17" t="n">
        <v>150.0573</v>
      </c>
      <c r="BH50" s="17" t="n">
        <v>137.9566</v>
      </c>
      <c r="BI50" s="17" t="n">
        <v>151</v>
      </c>
    </row>
    <row r="51">
      <c r="A51" s="10" t="inlineStr">
        <is>
          <t>Ghana</t>
        </is>
      </c>
      <c r="B51" s="17" t="n">
        <v>858.6248000000001</v>
      </c>
      <c r="C51" s="17" t="n">
        <v>1023.9583</v>
      </c>
      <c r="D51" s="17" t="n">
        <v>955.2077</v>
      </c>
      <c r="E51" s="17" t="n">
        <v>1031.5595</v>
      </c>
      <c r="F51" s="17" t="n">
        <v>1271.9936</v>
      </c>
      <c r="G51" s="17" t="n">
        <v>1080.137</v>
      </c>
      <c r="H51" s="17" t="n">
        <v>1310.8613</v>
      </c>
      <c r="I51" s="17" t="n">
        <v>1595.1993</v>
      </c>
      <c r="J51" s="17" t="n">
        <v>1755.624</v>
      </c>
      <c r="K51" s="17" t="n">
        <v>1996.8997</v>
      </c>
      <c r="L51" s="17" t="n">
        <v>2433.4546</v>
      </c>
      <c r="M51" s="17" t="n">
        <v>2456.3166</v>
      </c>
      <c r="N51" s="17" t="n">
        <v>3399.5487</v>
      </c>
      <c r="O51" s="17" t="n">
        <v>2755.8507</v>
      </c>
      <c r="P51" s="17" t="n">
        <v>2936.1207</v>
      </c>
      <c r="Q51" s="17" t="n">
        <v>2915.1174</v>
      </c>
      <c r="R51" s="17" t="n">
        <v>2865.67</v>
      </c>
      <c r="S51" s="17" t="n">
        <v>3230.8871</v>
      </c>
      <c r="T51" s="17" t="n">
        <v>3039.4845</v>
      </c>
      <c r="U51" s="17" t="n">
        <v>2837.633</v>
      </c>
      <c r="V51" s="17" t="n">
        <v>2650.5296</v>
      </c>
      <c r="W51" s="17" t="n">
        <v>2402.6111</v>
      </c>
      <c r="X51" s="17" t="n">
        <v>2619.0206</v>
      </c>
      <c r="Y51" s="17" t="n">
        <v>2559.6816</v>
      </c>
      <c r="Z51" s="17" t="n">
        <v>2656.968</v>
      </c>
      <c r="AA51" s="17" t="n">
        <v>2717.7749</v>
      </c>
      <c r="AB51" s="17" t="n">
        <v>2787.9864</v>
      </c>
      <c r="AC51" s="17" t="n">
        <v>2763.4957</v>
      </c>
      <c r="AD51" s="17" t="n">
        <v>2950.2626</v>
      </c>
      <c r="AE51" s="17" t="n">
        <v>2265.1513</v>
      </c>
      <c r="AF51" s="17" t="n">
        <v>2455.5424</v>
      </c>
      <c r="AG51" s="17" t="n">
        <v>2290.115</v>
      </c>
      <c r="AH51" s="17" t="n">
        <v>2362.105</v>
      </c>
      <c r="AI51" s="17" t="n">
        <v>2450.283</v>
      </c>
      <c r="AJ51" s="17" t="n">
        <v>2323.1991</v>
      </c>
      <c r="AK51" s="17" t="n">
        <v>2173.5902</v>
      </c>
      <c r="AL51" s="17" t="n">
        <v>688.3851</v>
      </c>
      <c r="AM51" s="17" t="n">
        <v>645.7782999999999</v>
      </c>
      <c r="AN51" s="17" t="n">
        <v>658.9275</v>
      </c>
      <c r="AO51" s="17" t="n">
        <v>590.3963</v>
      </c>
      <c r="AP51" s="17" t="n">
        <v>616.2368</v>
      </c>
      <c r="AQ51" s="17" t="n">
        <v>708.9701</v>
      </c>
      <c r="AR51" s="17" t="n">
        <v>842.8579999999999</v>
      </c>
      <c r="AS51" s="17" t="n">
        <v>597.5463</v>
      </c>
      <c r="AT51" s="17" t="n">
        <v>534.8265</v>
      </c>
      <c r="AU51" s="17" t="n">
        <v>455.5345</v>
      </c>
      <c r="AV51" s="17" t="n">
        <v>453.343</v>
      </c>
      <c r="AW51" s="17" t="n">
        <v>405.6174</v>
      </c>
      <c r="AX51" s="17" t="n">
        <v>383.8925</v>
      </c>
      <c r="AY51" s="17" t="n">
        <v>353.6163</v>
      </c>
      <c r="AZ51" s="17" t="n">
        <v>294.5214</v>
      </c>
      <c r="BA51" s="17" t="n">
        <v>302.5434</v>
      </c>
      <c r="BB51" s="17" t="n">
        <v>343.9005</v>
      </c>
      <c r="BC51" s="17" t="n">
        <v>422.5376</v>
      </c>
      <c r="BD51" s="17" t="n">
        <v>288.9596</v>
      </c>
      <c r="BE51" s="17" t="n">
        <v>231.2637</v>
      </c>
      <c r="BF51" s="17" t="n">
        <v>250.6109</v>
      </c>
      <c r="BG51" s="17" t="n">
        <v>263.113</v>
      </c>
      <c r="BH51" s="17" t="n">
        <v>219.2453</v>
      </c>
      <c r="BI51" s="17" t="n">
        <v>224</v>
      </c>
    </row>
    <row r="52">
      <c r="A52" s="10" t="inlineStr">
        <is>
          <t>Guatemala</t>
        </is>
      </c>
      <c r="B52" s="17" t="n">
        <v>258.8804</v>
      </c>
      <c r="C52" s="17" t="n">
        <v>293.9928</v>
      </c>
      <c r="D52" s="17" t="n">
        <v>271.149</v>
      </c>
      <c r="E52" s="17" t="n">
        <v>280.2972</v>
      </c>
      <c r="F52" s="17" t="n">
        <v>323.3797</v>
      </c>
      <c r="G52" s="17" t="n">
        <v>259.8775</v>
      </c>
      <c r="H52" s="17" t="n">
        <v>267.1358</v>
      </c>
      <c r="I52" s="17" t="n">
        <v>302.2699</v>
      </c>
      <c r="J52" s="17" t="n">
        <v>360.9906</v>
      </c>
      <c r="K52" s="17" t="n">
        <v>292.3523</v>
      </c>
      <c r="L52" s="17" t="n">
        <v>278.3888</v>
      </c>
      <c r="M52" s="17" t="n">
        <v>332.6867</v>
      </c>
      <c r="N52" s="17" t="n">
        <v>263.0264</v>
      </c>
      <c r="O52" s="17" t="n">
        <v>243.6642</v>
      </c>
      <c r="P52" s="17" t="n">
        <v>210.3668</v>
      </c>
      <c r="Q52" s="17" t="n">
        <v>224.9243</v>
      </c>
      <c r="R52" s="17" t="n">
        <v>208.0737</v>
      </c>
      <c r="S52" s="17" t="n">
        <v>236.663</v>
      </c>
      <c r="T52" s="17" t="n">
        <v>240.5441</v>
      </c>
      <c r="U52" s="17" t="n">
        <v>260.6969</v>
      </c>
      <c r="V52" s="17" t="n">
        <v>241.3025</v>
      </c>
      <c r="W52" s="17" t="n">
        <v>219.8318</v>
      </c>
      <c r="X52" s="17" t="n">
        <v>220.9033</v>
      </c>
      <c r="Y52" s="17" t="n">
        <v>228.4839</v>
      </c>
      <c r="Z52" s="17" t="n">
        <v>248.0667</v>
      </c>
      <c r="AA52" s="17" t="n">
        <v>249.3641</v>
      </c>
      <c r="AB52" s="17" t="n">
        <v>209.6804</v>
      </c>
      <c r="AC52" s="17" t="n">
        <v>225.589</v>
      </c>
      <c r="AD52" s="17" t="n">
        <v>199.7351</v>
      </c>
      <c r="AE52" s="17" t="n">
        <v>192.8829</v>
      </c>
      <c r="AF52" s="17" t="n">
        <v>201.7826</v>
      </c>
      <c r="AG52" s="17" t="n">
        <v>190.6214</v>
      </c>
      <c r="AH52" s="17" t="n">
        <v>199.4058</v>
      </c>
      <c r="AI52" s="17" t="n">
        <v>213.301</v>
      </c>
      <c r="AJ52" s="17" t="n">
        <v>198.5614</v>
      </c>
      <c r="AK52" s="17" t="n">
        <v>206.7011</v>
      </c>
      <c r="AL52" s="17" t="n">
        <v>198.9171</v>
      </c>
      <c r="AM52" s="17" t="n">
        <v>209.8658</v>
      </c>
      <c r="AN52" s="17" t="n">
        <v>202.5666</v>
      </c>
      <c r="AO52" s="17" t="n">
        <v>202.4525</v>
      </c>
      <c r="AP52" s="17" t="n">
        <v>208.0745</v>
      </c>
      <c r="AQ52" s="17" t="n">
        <v>212.1193</v>
      </c>
      <c r="AR52" s="17" t="n">
        <v>224.8466</v>
      </c>
      <c r="AS52" s="17" t="n">
        <v>195.3441</v>
      </c>
      <c r="AT52" s="17" t="n">
        <v>196.3218</v>
      </c>
      <c r="AU52" s="17" t="n">
        <v>178.303</v>
      </c>
      <c r="AV52" s="17" t="n">
        <v>166.569</v>
      </c>
      <c r="AW52" s="17" t="n">
        <v>153.1928</v>
      </c>
      <c r="AX52" s="17" t="n">
        <v>142.3537</v>
      </c>
      <c r="AY52" s="17" t="n">
        <v>161.6322</v>
      </c>
      <c r="AZ52" s="17" t="n">
        <v>141.2001</v>
      </c>
      <c r="BA52" s="17" t="n">
        <v>136.1081</v>
      </c>
      <c r="BB52" s="17" t="n">
        <v>141.8103</v>
      </c>
      <c r="BC52" s="17" t="n">
        <v>155.3808</v>
      </c>
      <c r="BD52" s="17" t="n">
        <v>117.8647</v>
      </c>
      <c r="BE52" s="17" t="n">
        <v>116.4325</v>
      </c>
      <c r="BF52" s="17" t="n">
        <v>113.0967</v>
      </c>
      <c r="BG52" s="17" t="n">
        <v>122.2621</v>
      </c>
      <c r="BH52" s="17" t="n">
        <v>110.1685</v>
      </c>
      <c r="BI52" s="17" t="n">
        <v>116</v>
      </c>
    </row>
    <row r="53">
      <c r="A53" s="10" t="inlineStr">
        <is>
          <t>Honduras</t>
        </is>
      </c>
      <c r="B53" s="17" t="n">
        <v>390.9143</v>
      </c>
      <c r="C53" s="17" t="n">
        <v>391.2134</v>
      </c>
      <c r="D53" s="17" t="n">
        <v>311.8626</v>
      </c>
      <c r="E53" s="17" t="n">
        <v>422.4825</v>
      </c>
      <c r="F53" s="17" t="n">
        <v>613.6614</v>
      </c>
      <c r="G53" s="17" t="n">
        <v>466.4073</v>
      </c>
      <c r="H53" s="17" t="n">
        <v>629.6949</v>
      </c>
      <c r="I53" s="17" t="n">
        <v>796.2707</v>
      </c>
      <c r="J53" s="17" t="n">
        <v>898.602</v>
      </c>
      <c r="K53" s="17" t="n">
        <v>763.1889</v>
      </c>
      <c r="L53" s="17" t="n">
        <v>672.8376</v>
      </c>
      <c r="M53" s="17" t="n">
        <v>697.0203</v>
      </c>
      <c r="N53" s="17" t="n">
        <v>799.7868</v>
      </c>
      <c r="O53" s="17" t="n">
        <v>645.0434</v>
      </c>
      <c r="P53" s="17" t="n">
        <v>529.2941</v>
      </c>
      <c r="Q53" s="17" t="n">
        <v>552.4826</v>
      </c>
      <c r="R53" s="17" t="n">
        <v>538.1404</v>
      </c>
      <c r="S53" s="17" t="n">
        <v>585.3551</v>
      </c>
      <c r="T53" s="17" t="n">
        <v>584.5594</v>
      </c>
      <c r="U53" s="17" t="n">
        <v>546.0792</v>
      </c>
      <c r="V53" s="17" t="n">
        <v>495.8035</v>
      </c>
      <c r="W53" s="17" t="n">
        <v>471.3443</v>
      </c>
      <c r="X53" s="17" t="n">
        <v>371.8222</v>
      </c>
      <c r="Y53" s="17" t="n">
        <v>354.8467</v>
      </c>
      <c r="Z53" s="17" t="n">
        <v>373.0728</v>
      </c>
      <c r="AA53" s="17" t="n">
        <v>393.4558</v>
      </c>
      <c r="AB53" s="17" t="n">
        <v>362.199</v>
      </c>
      <c r="AC53" s="17" t="n">
        <v>399.8003</v>
      </c>
      <c r="AD53" s="17" t="n">
        <v>355.5252</v>
      </c>
      <c r="AE53" s="17" t="n">
        <v>326.0016</v>
      </c>
      <c r="AF53" s="17" t="n">
        <v>355.8268</v>
      </c>
      <c r="AG53" s="17" t="n">
        <v>349.8135</v>
      </c>
      <c r="AH53" s="17" t="n">
        <v>401.0284</v>
      </c>
      <c r="AI53" s="17" t="n">
        <v>412.0618</v>
      </c>
      <c r="AJ53" s="17" t="n">
        <v>393.3056</v>
      </c>
      <c r="AK53" s="17" t="n">
        <v>426.971</v>
      </c>
      <c r="AL53" s="17" t="n">
        <v>335.2596</v>
      </c>
      <c r="AM53" s="17" t="n">
        <v>404.9595</v>
      </c>
      <c r="AN53" s="17" t="n">
        <v>377.385</v>
      </c>
      <c r="AO53" s="17" t="n">
        <v>421.4902</v>
      </c>
      <c r="AP53" s="17" t="n">
        <v>417.2443</v>
      </c>
      <c r="AQ53" s="17" t="n">
        <v>403.187</v>
      </c>
      <c r="AR53" s="17" t="n">
        <v>413.3761</v>
      </c>
      <c r="AS53" s="17" t="n">
        <v>357.7215</v>
      </c>
      <c r="AT53" s="17" t="n">
        <v>325.3242</v>
      </c>
      <c r="AU53" s="17" t="n">
        <v>312.7295</v>
      </c>
      <c r="AV53" s="17" t="n">
        <v>298.7476</v>
      </c>
      <c r="AW53" s="17" t="n">
        <v>255.3281</v>
      </c>
      <c r="AX53" s="17" t="n">
        <v>298.7673</v>
      </c>
      <c r="AY53" s="17" t="n">
        <v>282.2033</v>
      </c>
      <c r="AZ53" s="17" t="n">
        <v>232.109</v>
      </c>
      <c r="BA53" s="17" t="n">
        <v>192.1189</v>
      </c>
      <c r="BB53" s="17" t="n">
        <v>201.7445</v>
      </c>
      <c r="BC53" s="17" t="n">
        <v>219.7382</v>
      </c>
      <c r="BD53" s="17" t="n">
        <v>187.2727</v>
      </c>
      <c r="BE53" s="17" t="n">
        <v>186.988</v>
      </c>
      <c r="BF53" s="17" t="n">
        <v>164.1653</v>
      </c>
      <c r="BG53" s="17" t="n">
        <v>162.7597</v>
      </c>
      <c r="BH53" s="17" t="n">
        <v>147.3055</v>
      </c>
      <c r="BI53" s="17" t="n">
        <v>149</v>
      </c>
    </row>
    <row r="54">
      <c r="A54" s="10" t="inlineStr">
        <is>
          <t>Hungary</t>
        </is>
      </c>
      <c r="B54" s="17" t="n">
        <v>113.1294</v>
      </c>
      <c r="C54" s="17" t="n">
        <v>132.1904</v>
      </c>
      <c r="D54" s="17" t="n">
        <v>110.3312</v>
      </c>
      <c r="E54" s="17" t="n">
        <v>117.8671</v>
      </c>
      <c r="F54" s="17" t="n">
        <v>163.9811</v>
      </c>
      <c r="G54" s="17" t="n">
        <v>131.9568</v>
      </c>
      <c r="H54" s="17" t="n">
        <v>191.0876</v>
      </c>
      <c r="I54" s="17" t="n">
        <v>201.6147</v>
      </c>
      <c r="J54" s="17" t="n">
        <v>230.0814</v>
      </c>
      <c r="K54" s="17" t="n">
        <v>202.8212</v>
      </c>
      <c r="L54" s="17" t="n">
        <v>253.0575</v>
      </c>
      <c r="M54" s="17" t="n">
        <v>313.251</v>
      </c>
      <c r="N54" s="17" t="n">
        <v>257.5699</v>
      </c>
      <c r="O54" s="17" t="n">
        <v>221.9115</v>
      </c>
      <c r="P54" s="17" t="n">
        <v>213.0457</v>
      </c>
      <c r="Q54" s="17" t="n">
        <v>213.0383</v>
      </c>
      <c r="R54" s="17" t="n">
        <v>197.7037</v>
      </c>
      <c r="S54" s="17" t="n">
        <v>233.0261</v>
      </c>
      <c r="T54" s="17" t="n">
        <v>222.0358</v>
      </c>
      <c r="U54" s="17" t="n">
        <v>230.8788</v>
      </c>
      <c r="V54" s="17" t="n">
        <v>201.2971</v>
      </c>
      <c r="W54" s="17" t="n">
        <v>179.846</v>
      </c>
      <c r="X54" s="17" t="n">
        <v>191.1795</v>
      </c>
      <c r="Y54" s="17" t="n">
        <v>196.1457</v>
      </c>
      <c r="Z54" s="17" t="n">
        <v>189.7495</v>
      </c>
      <c r="AA54" s="17" t="n">
        <v>166.2065</v>
      </c>
      <c r="AB54" s="17" t="n">
        <v>143.668</v>
      </c>
      <c r="AC54" s="17" t="n">
        <v>168.6732</v>
      </c>
      <c r="AD54" s="17" t="n">
        <v>155.1066</v>
      </c>
      <c r="AE54" s="17" t="n">
        <v>147.3795</v>
      </c>
      <c r="AF54" s="17" t="n">
        <v>144.3444</v>
      </c>
      <c r="AG54" s="17" t="n">
        <v>138.8683</v>
      </c>
      <c r="AH54" s="17" t="n">
        <v>141.0305</v>
      </c>
      <c r="AI54" s="17" t="n">
        <v>155.9026</v>
      </c>
      <c r="AJ54" s="17" t="n">
        <v>142.7779</v>
      </c>
      <c r="AK54" s="17" t="n">
        <v>147.5922</v>
      </c>
      <c r="AL54" s="17" t="n">
        <v>149.0054</v>
      </c>
      <c r="AM54" s="17" t="n">
        <v>162.3104</v>
      </c>
      <c r="AN54" s="17" t="n">
        <v>153.7039</v>
      </c>
      <c r="AO54" s="17" t="n">
        <v>144.3581</v>
      </c>
      <c r="AP54" s="17" t="n">
        <v>146.4727</v>
      </c>
      <c r="AQ54" s="17" t="n">
        <v>167.4543</v>
      </c>
      <c r="AR54" s="17" t="n">
        <v>183.2837</v>
      </c>
      <c r="AS54" s="17" t="n">
        <v>155.4479</v>
      </c>
      <c r="AT54" s="17" t="n">
        <v>160.2727</v>
      </c>
      <c r="AU54" s="17" t="n">
        <v>138.0167</v>
      </c>
      <c r="AV54" s="17" t="n">
        <v>132.4016</v>
      </c>
      <c r="AW54" s="17" t="n">
        <v>117.9147</v>
      </c>
      <c r="AX54" s="17" t="n">
        <v>115.4369</v>
      </c>
      <c r="AY54" s="17" t="n">
        <v>136.5525</v>
      </c>
      <c r="AZ54" s="17" t="n">
        <v>127.6232</v>
      </c>
      <c r="BA54" s="17" t="n">
        <v>125.7562</v>
      </c>
      <c r="BB54" s="17" t="n">
        <v>129.3196</v>
      </c>
      <c r="BC54" s="17" t="n">
        <v>146.8064</v>
      </c>
      <c r="BD54" s="17" t="n">
        <v>102.0413</v>
      </c>
      <c r="BE54" s="17" t="n">
        <v>99.67270000000001</v>
      </c>
      <c r="BF54" s="17" t="n">
        <v>90.33029999999999</v>
      </c>
      <c r="BG54" s="17" t="n">
        <v>98.5266</v>
      </c>
      <c r="BH54" s="17" t="n">
        <v>90.4472</v>
      </c>
      <c r="BI54" s="17" t="n">
        <v>95</v>
      </c>
    </row>
    <row r="55">
      <c r="A55" s="10" t="inlineStr">
        <is>
          <t>India</t>
        </is>
      </c>
      <c r="B55" s="17" t="n">
        <v>127.4184</v>
      </c>
      <c r="C55" s="17" t="n">
        <v>137.3346</v>
      </c>
      <c r="D55" s="17" t="n">
        <v>129.3387</v>
      </c>
      <c r="E55" s="17" t="n">
        <v>138.7334</v>
      </c>
      <c r="F55" s="17" t="n">
        <v>169.8435</v>
      </c>
      <c r="G55" s="17" t="n">
        <v>153.8447</v>
      </c>
      <c r="H55" s="17" t="n">
        <v>171.9621</v>
      </c>
      <c r="I55" s="17" t="n">
        <v>168.7773</v>
      </c>
      <c r="J55" s="17" t="n">
        <v>193.9899</v>
      </c>
      <c r="K55" s="17" t="n">
        <v>189.3068</v>
      </c>
      <c r="L55" s="17" t="n">
        <v>154.5587</v>
      </c>
      <c r="M55" s="17" t="n">
        <v>188.2745</v>
      </c>
      <c r="N55" s="17" t="n">
        <v>211.4895</v>
      </c>
      <c r="O55" s="17" t="n">
        <v>152.311</v>
      </c>
      <c r="P55" s="17" t="n">
        <v>141.2407</v>
      </c>
      <c r="Q55" s="17" t="n">
        <v>153.9792</v>
      </c>
      <c r="R55" s="17" t="n">
        <v>149.8535</v>
      </c>
      <c r="S55" s="17" t="n">
        <v>166.857</v>
      </c>
      <c r="T55" s="17" t="n">
        <v>156.4975</v>
      </c>
      <c r="U55" s="17" t="n">
        <v>143.1987</v>
      </c>
      <c r="V55" s="17" t="n">
        <v>130.2976</v>
      </c>
      <c r="W55" s="17" t="n">
        <v>130.7695</v>
      </c>
      <c r="X55" s="17" t="n">
        <v>139.1653</v>
      </c>
      <c r="Y55" s="17" t="n">
        <v>136.6717</v>
      </c>
      <c r="Z55" s="17" t="n">
        <v>133.3834</v>
      </c>
      <c r="AA55" s="17" t="n">
        <v>121.4016</v>
      </c>
      <c r="AB55" s="17" t="n">
        <v>111.6936</v>
      </c>
      <c r="AC55" s="17" t="n">
        <v>120.1892</v>
      </c>
      <c r="AD55" s="17" t="n">
        <v>95.80029999999999</v>
      </c>
      <c r="AE55" s="17" t="n">
        <v>103.266</v>
      </c>
      <c r="AF55" s="17" t="n">
        <v>96.9337</v>
      </c>
      <c r="AG55" s="17" t="n">
        <v>87.4372</v>
      </c>
      <c r="AH55" s="17" t="n">
        <v>95.7075</v>
      </c>
      <c r="AI55" s="17" t="n">
        <v>98.94710000000001</v>
      </c>
      <c r="AJ55" s="17" t="n">
        <v>104.6961</v>
      </c>
      <c r="AK55" s="17" t="n">
        <v>96.2157</v>
      </c>
      <c r="AL55" s="17" t="n">
        <v>82.8819</v>
      </c>
      <c r="AM55" s="17" t="n">
        <v>77.8086</v>
      </c>
      <c r="AN55" s="17" t="n">
        <v>81.986</v>
      </c>
      <c r="AO55" s="17" t="n">
        <v>91.4962</v>
      </c>
      <c r="AP55" s="17" t="n">
        <v>93.20699999999999</v>
      </c>
      <c r="AQ55" s="17" t="n">
        <v>106.1657</v>
      </c>
      <c r="AR55" s="17" t="n">
        <v>117.8235</v>
      </c>
      <c r="AS55" s="17" t="n">
        <v>92.79989999999999</v>
      </c>
      <c r="AT55" s="17" t="n">
        <v>87.0514</v>
      </c>
      <c r="AU55" s="17" t="n">
        <v>75.7313</v>
      </c>
      <c r="AV55" s="17" t="n">
        <v>71.3621</v>
      </c>
      <c r="AW55" s="17" t="n">
        <v>72.0043</v>
      </c>
      <c r="AX55" s="17" t="n">
        <v>75.4195</v>
      </c>
      <c r="AY55" s="17" t="n">
        <v>77.9392</v>
      </c>
      <c r="AZ55" s="17" t="n">
        <v>73.60680000000001</v>
      </c>
      <c r="BA55" s="17" t="n">
        <v>73.48009999999999</v>
      </c>
      <c r="BB55" s="17" t="n">
        <v>78.18470000000001</v>
      </c>
      <c r="BC55" s="17" t="n">
        <v>88.0629</v>
      </c>
      <c r="BD55" s="17" t="n">
        <v>79.3934</v>
      </c>
      <c r="BE55" s="17" t="n">
        <v>69.33540000000001</v>
      </c>
      <c r="BF55" s="17" t="n">
        <v>77.9443</v>
      </c>
      <c r="BG55" s="17" t="n">
        <v>83.6122</v>
      </c>
      <c r="BH55" s="17" t="n">
        <v>81.2367</v>
      </c>
      <c r="BI55" s="17" t="n">
        <v>82</v>
      </c>
    </row>
    <row r="56">
      <c r="A56" s="10" t="inlineStr">
        <is>
          <t>Indonesia</t>
        </is>
      </c>
      <c r="B56" s="17" t="n">
        <v>174.3914</v>
      </c>
      <c r="C56" s="17" t="n">
        <v>181.0804</v>
      </c>
      <c r="D56" s="17" t="n">
        <v>160.862</v>
      </c>
      <c r="E56" s="17" t="n">
        <v>182.4867</v>
      </c>
      <c r="F56" s="17" t="n">
        <v>203.5032</v>
      </c>
      <c r="G56" s="17" t="n">
        <v>164.1029</v>
      </c>
      <c r="H56" s="17" t="n">
        <v>185.9999</v>
      </c>
      <c r="I56" s="17" t="n">
        <v>181.5592</v>
      </c>
      <c r="J56" s="17" t="n">
        <v>211.6307</v>
      </c>
      <c r="K56" s="17" t="n">
        <v>191.9901</v>
      </c>
      <c r="L56" s="17" t="n">
        <v>168.1361</v>
      </c>
      <c r="M56" s="17" t="n">
        <v>204.4147</v>
      </c>
      <c r="N56" s="17" t="n">
        <v>194.2982</v>
      </c>
      <c r="O56" s="17" t="n">
        <v>158.7605</v>
      </c>
      <c r="P56" s="17" t="n">
        <v>132.7378</v>
      </c>
      <c r="Q56" s="17" t="n">
        <v>142.661</v>
      </c>
      <c r="R56" s="17" t="n">
        <v>130.5585</v>
      </c>
      <c r="S56" s="17" t="n">
        <v>149.6858</v>
      </c>
      <c r="T56" s="17" t="n">
        <v>141.1568</v>
      </c>
      <c r="U56" s="17" t="n">
        <v>135.3054</v>
      </c>
      <c r="V56" s="17" t="n">
        <v>124.0515</v>
      </c>
      <c r="W56" s="17" t="n">
        <v>109.7736</v>
      </c>
      <c r="X56" s="17" t="n">
        <v>119.1098</v>
      </c>
      <c r="Y56" s="17" t="n">
        <v>121.187</v>
      </c>
      <c r="Z56" s="17" t="n">
        <v>115.7173</v>
      </c>
      <c r="AA56" s="17" t="n">
        <v>98.61199999999999</v>
      </c>
      <c r="AB56" s="17" t="n">
        <v>86.79170000000001</v>
      </c>
      <c r="AC56" s="17" t="n">
        <v>110.7986</v>
      </c>
      <c r="AD56" s="17" t="n">
        <v>99.1571</v>
      </c>
      <c r="AE56" s="17" t="n">
        <v>92.0732</v>
      </c>
      <c r="AF56" s="17" t="n">
        <v>89.91</v>
      </c>
      <c r="AG56" s="17" t="n">
        <v>88.2441</v>
      </c>
      <c r="AH56" s="17" t="n">
        <v>91.4922</v>
      </c>
      <c r="AI56" s="17" t="n">
        <v>104.6255</v>
      </c>
      <c r="AJ56" s="17" t="n">
        <v>90.7816</v>
      </c>
      <c r="AK56" s="17" t="n">
        <v>88.3903</v>
      </c>
      <c r="AL56" s="17" t="n">
        <v>83.1454</v>
      </c>
      <c r="AM56" s="17" t="n">
        <v>97.42749999999999</v>
      </c>
      <c r="AN56" s="17" t="n">
        <v>88.20180000000001</v>
      </c>
      <c r="AO56" s="17" t="n">
        <v>90.0569</v>
      </c>
      <c r="AP56" s="17" t="n">
        <v>100.8038</v>
      </c>
      <c r="AQ56" s="17" t="n">
        <v>117.8817</v>
      </c>
      <c r="AR56" s="17" t="n">
        <v>116.7973</v>
      </c>
      <c r="AS56" s="17" t="n">
        <v>92.836</v>
      </c>
      <c r="AT56" s="17" t="n">
        <v>89.4015</v>
      </c>
      <c r="AU56" s="17" t="n">
        <v>72.4371</v>
      </c>
      <c r="AV56" s="17" t="n">
        <v>72.7015</v>
      </c>
      <c r="AW56" s="17" t="n">
        <v>76.6159</v>
      </c>
      <c r="AX56" s="17" t="n">
        <v>72.21429999999999</v>
      </c>
      <c r="AY56" s="17" t="n">
        <v>82.69329999999999</v>
      </c>
      <c r="AZ56" s="17" t="n">
        <v>72.3056</v>
      </c>
      <c r="BA56" s="17" t="n">
        <v>81.22029999999999</v>
      </c>
      <c r="BB56" s="17" t="n">
        <v>98.7833</v>
      </c>
      <c r="BC56" s="17" t="n">
        <v>106.0619</v>
      </c>
      <c r="BD56" s="17" t="n">
        <v>85.48699999999999</v>
      </c>
      <c r="BE56" s="17" t="n">
        <v>83.72499999999999</v>
      </c>
      <c r="BF56" s="17" t="n">
        <v>88.8974</v>
      </c>
      <c r="BG56" s="17" t="n">
        <v>100.8894</v>
      </c>
      <c r="BH56" s="17" t="n">
        <v>90.1554</v>
      </c>
      <c r="BI56" s="17" t="n">
        <v>93</v>
      </c>
    </row>
    <row r="57">
      <c r="A57" s="10" t="inlineStr">
        <is>
          <t>Iraq</t>
        </is>
      </c>
      <c r="B57" s="17" t="n">
        <v>535.1224</v>
      </c>
      <c r="C57" s="17" t="n">
        <v>761.309</v>
      </c>
      <c r="D57" s="17" t="n">
        <v>574.4262</v>
      </c>
      <c r="E57" s="17" t="n">
        <v>548.4548</v>
      </c>
      <c r="F57" s="17" t="n">
        <v>535.1076</v>
      </c>
      <c r="G57" s="17" t="n">
        <v>397.9338</v>
      </c>
      <c r="H57" s="17" t="n">
        <v>410.9006</v>
      </c>
      <c r="I57" s="17" t="n">
        <v>482.0261</v>
      </c>
      <c r="J57" s="17" t="n">
        <v>696.3502999999999</v>
      </c>
      <c r="K57" s="17" t="n">
        <v>865.226</v>
      </c>
      <c r="L57" s="17" t="n">
        <v>936.9023999999999</v>
      </c>
      <c r="M57" s="17" t="n">
        <v>959.2121</v>
      </c>
      <c r="N57" s="17" t="n">
        <v>808.5312</v>
      </c>
      <c r="O57" s="17" t="n">
        <v>616.6505</v>
      </c>
      <c r="P57" s="17" t="n">
        <v>493.4444</v>
      </c>
      <c r="Q57" s="17" t="n">
        <v>487.3211</v>
      </c>
      <c r="R57" s="17" t="n">
        <v>469.143</v>
      </c>
      <c r="S57" s="17" t="n">
        <v>480.3429</v>
      </c>
      <c r="T57" s="17" t="n">
        <v>480.1983</v>
      </c>
      <c r="U57" s="17" t="n">
        <v>499.1891</v>
      </c>
      <c r="V57" s="17" t="n">
        <v>512.3446</v>
      </c>
      <c r="W57" s="17" t="n">
        <v>427.974</v>
      </c>
      <c r="X57" s="17" t="n">
        <v>478.9118</v>
      </c>
      <c r="Y57" s="17" t="n">
        <v>436.8625</v>
      </c>
      <c r="Z57" s="17" t="n">
        <v>641.7895</v>
      </c>
      <c r="AA57" s="17" t="n">
        <v>517.644</v>
      </c>
      <c r="AB57" s="17" t="n">
        <v>486.8715</v>
      </c>
      <c r="AC57" s="17" t="n">
        <v>473.4531</v>
      </c>
      <c r="AD57" s="17" t="n">
        <v>447.2932</v>
      </c>
      <c r="AE57" s="17" t="n">
        <v>406.8955</v>
      </c>
      <c r="AF57" s="17" t="n">
        <v>443.103</v>
      </c>
      <c r="AG57" s="17" t="n">
        <v>357.8434</v>
      </c>
      <c r="AH57" s="17" t="n">
        <v>464.8049</v>
      </c>
      <c r="AI57" s="17" t="n">
        <v>413.3331</v>
      </c>
      <c r="AJ57" s="17" t="n">
        <v>450.3469</v>
      </c>
      <c r="AK57" s="17" t="n">
        <v>348.056</v>
      </c>
      <c r="AL57" s="17" t="n">
        <v>356.9649</v>
      </c>
      <c r="AM57" s="17" t="n">
        <v>312.6734</v>
      </c>
      <c r="AN57" s="17" t="n">
        <v>280.4998</v>
      </c>
      <c r="AO57" s="17" t="n">
        <v>212.1744</v>
      </c>
      <c r="AP57" s="17" t="n">
        <v>253.2025</v>
      </c>
      <c r="AQ57" s="17" t="n">
        <v>287.6221</v>
      </c>
      <c r="AR57" s="17" t="n">
        <v>403.4993</v>
      </c>
      <c r="AS57" s="17" t="n">
        <v>267.7788</v>
      </c>
      <c r="AT57" s="17" t="n">
        <v>270.002</v>
      </c>
      <c r="AU57" s="17" t="n">
        <v>198.4425</v>
      </c>
      <c r="AV57" s="17" t="n">
        <v>112.7938</v>
      </c>
      <c r="AW57" s="17" t="n">
        <v>217.0669</v>
      </c>
      <c r="AX57" s="17" t="n">
        <v>-176.7227</v>
      </c>
      <c r="AY57" s="17" t="n">
        <v>-21.2994</v>
      </c>
      <c r="AZ57" s="17" t="n">
        <v>-313.8274</v>
      </c>
      <c r="BA57" s="17" t="n">
        <v>51.1858</v>
      </c>
      <c r="BB57" s="17" t="n">
        <v>102.4373</v>
      </c>
      <c r="BC57" s="17" t="n">
        <v>394.2217</v>
      </c>
      <c r="BD57" s="17" t="n">
        <v>368.462</v>
      </c>
      <c r="BE57" s="17" t="n">
        <v>288.3365</v>
      </c>
      <c r="BF57" s="17" t="n">
        <v>217.0816</v>
      </c>
      <c r="BG57" s="17" t="n">
        <v>203.5601</v>
      </c>
      <c r="BH57" s="17" t="n">
        <v>169.8028</v>
      </c>
      <c r="BI57" s="17" t="n">
        <v>232</v>
      </c>
    </row>
    <row r="58">
      <c r="A58" s="10" t="inlineStr">
        <is>
          <t>Jamaica</t>
        </is>
      </c>
      <c r="B58" s="17" t="n">
        <v>285.2213</v>
      </c>
      <c r="C58" s="17" t="n">
        <v>310.7334</v>
      </c>
      <c r="D58" s="17" t="n">
        <v>295.1581</v>
      </c>
      <c r="E58" s="17" t="n">
        <v>273.7033</v>
      </c>
      <c r="F58" s="17" t="n">
        <v>310.3902</v>
      </c>
      <c r="G58" s="17" t="n">
        <v>280.9496</v>
      </c>
      <c r="H58" s="17" t="n">
        <v>263.1291</v>
      </c>
      <c r="I58" s="17" t="n">
        <v>301.432</v>
      </c>
      <c r="J58" s="17" t="n">
        <v>374.2715</v>
      </c>
      <c r="K58" s="17" t="n">
        <v>358.3893</v>
      </c>
      <c r="L58" s="17" t="n">
        <v>268.182</v>
      </c>
      <c r="M58" s="17" t="n">
        <v>284.2394</v>
      </c>
      <c r="N58" s="17" t="n">
        <v>253.7321</v>
      </c>
      <c r="O58" s="17" t="n">
        <v>267.5484</v>
      </c>
      <c r="P58" s="17" t="n">
        <v>226.4459</v>
      </c>
      <c r="Q58" s="17" t="n">
        <v>235.58</v>
      </c>
      <c r="R58" s="17" t="n">
        <v>199.8872</v>
      </c>
      <c r="S58" s="17" t="n">
        <v>236.134</v>
      </c>
      <c r="T58" s="17" t="n">
        <v>233.2339</v>
      </c>
      <c r="U58" s="17" t="n">
        <v>221.5981</v>
      </c>
      <c r="V58" s="17" t="n">
        <v>214.0104</v>
      </c>
      <c r="W58" s="17" t="n">
        <v>184.5838</v>
      </c>
      <c r="X58" s="17" t="n">
        <v>199.4887</v>
      </c>
      <c r="Y58" s="17" t="n">
        <v>186.3758</v>
      </c>
      <c r="Z58" s="17" t="n">
        <v>176.1514</v>
      </c>
      <c r="AA58" s="17" t="n">
        <v>137.1502</v>
      </c>
      <c r="AB58" s="17" t="n">
        <v>151.342</v>
      </c>
      <c r="AC58" s="17" t="n">
        <v>191.9241</v>
      </c>
      <c r="AD58" s="17" t="n">
        <v>177.8948</v>
      </c>
      <c r="AE58" s="17" t="n">
        <v>169.3813</v>
      </c>
      <c r="AF58" s="17" t="n">
        <v>150.1263</v>
      </c>
      <c r="AG58" s="17" t="n">
        <v>157.7327</v>
      </c>
      <c r="AH58" s="17" t="n">
        <v>166.0324</v>
      </c>
      <c r="AI58" s="17" t="n">
        <v>173.2639</v>
      </c>
      <c r="AJ58" s="17" t="n">
        <v>164.6044</v>
      </c>
      <c r="AK58" s="17" t="n">
        <v>158.2208</v>
      </c>
      <c r="AL58" s="17" t="n">
        <v>152.0776</v>
      </c>
      <c r="AM58" s="17" t="n">
        <v>169.2384</v>
      </c>
      <c r="AN58" s="17" t="n">
        <v>150.4244</v>
      </c>
      <c r="AO58" s="17" t="n">
        <v>159.0047</v>
      </c>
      <c r="AP58" s="17" t="n">
        <v>178.5743</v>
      </c>
      <c r="AQ58" s="17" t="n">
        <v>185.7238</v>
      </c>
      <c r="AR58" s="17" t="n">
        <v>205.5317</v>
      </c>
      <c r="AS58" s="17" t="n">
        <v>157.7625</v>
      </c>
      <c r="AT58" s="17" t="n">
        <v>152.2705</v>
      </c>
      <c r="AU58" s="17" t="n">
        <v>141.3195</v>
      </c>
      <c r="AV58" s="17" t="n">
        <v>136.1671</v>
      </c>
      <c r="AW58" s="17" t="n">
        <v>128.1317</v>
      </c>
      <c r="AX58" s="17" t="n">
        <v>138.6641</v>
      </c>
      <c r="AY58" s="17" t="n">
        <v>148.7596</v>
      </c>
      <c r="AZ58" s="17" t="n">
        <v>128.3904</v>
      </c>
      <c r="BA58" s="17" t="n">
        <v>118.7087</v>
      </c>
      <c r="BB58" s="17" t="n">
        <v>145.1457</v>
      </c>
      <c r="BC58" s="17" t="n">
        <v>165.2907</v>
      </c>
      <c r="BD58" s="17" t="n">
        <v>110.3821</v>
      </c>
      <c r="BE58" s="17" t="n">
        <v>121.9681</v>
      </c>
      <c r="BF58" s="17" t="n">
        <v>109.3103</v>
      </c>
      <c r="BG58" s="17" t="n">
        <v>110.9129</v>
      </c>
      <c r="BH58" s="17" t="n">
        <v>106.6463</v>
      </c>
      <c r="BI58" s="17" t="n">
        <v>106</v>
      </c>
    </row>
    <row r="59">
      <c r="A59" s="10" t="inlineStr">
        <is>
          <t>Jordan</t>
        </is>
      </c>
      <c r="B59" s="17" t="n">
        <v>413.3053</v>
      </c>
      <c r="C59" s="17" t="n">
        <v>479.2073</v>
      </c>
      <c r="D59" s="17" t="n">
        <v>431.8537</v>
      </c>
      <c r="E59" s="17" t="n">
        <v>429.2307</v>
      </c>
      <c r="F59" s="17" t="n">
        <v>491.4377</v>
      </c>
      <c r="G59" s="17" t="n">
        <v>449.443</v>
      </c>
      <c r="H59" s="17" t="n">
        <v>477.4369</v>
      </c>
      <c r="I59" s="17" t="n">
        <v>478.8192</v>
      </c>
      <c r="J59" s="17" t="n">
        <v>630.0785</v>
      </c>
      <c r="K59" s="17" t="n">
        <v>567.2106</v>
      </c>
      <c r="L59" s="17" t="n">
        <v>468.1465</v>
      </c>
      <c r="M59" s="17" t="n">
        <v>515.6057</v>
      </c>
      <c r="N59" s="17" t="n">
        <v>452.3909</v>
      </c>
      <c r="O59" s="17" t="n">
        <v>379.3559</v>
      </c>
      <c r="P59" s="17" t="n">
        <v>357.5355</v>
      </c>
      <c r="Q59" s="17" t="n">
        <v>353.1012</v>
      </c>
      <c r="R59" s="17" t="n">
        <v>328.9677</v>
      </c>
      <c r="S59" s="17" t="n">
        <v>414.1611</v>
      </c>
      <c r="T59" s="17" t="n">
        <v>409.0129</v>
      </c>
      <c r="U59" s="17" t="n">
        <v>405.2482</v>
      </c>
      <c r="V59" s="17" t="n">
        <v>345.8953</v>
      </c>
      <c r="W59" s="17" t="n">
        <v>309.7865</v>
      </c>
      <c r="X59" s="17" t="n">
        <v>306.031</v>
      </c>
      <c r="Y59" s="17" t="n">
        <v>330.8562</v>
      </c>
      <c r="Z59" s="17" t="n">
        <v>426.636</v>
      </c>
      <c r="AA59" s="17" t="n">
        <v>319.3715</v>
      </c>
      <c r="AB59" s="17" t="n">
        <v>327.168</v>
      </c>
      <c r="AC59" s="17" t="n">
        <v>389.3992</v>
      </c>
      <c r="AD59" s="17" t="n">
        <v>346.4029</v>
      </c>
      <c r="AE59" s="17" t="n">
        <v>321.9189</v>
      </c>
      <c r="AF59" s="17" t="n">
        <v>319.4225</v>
      </c>
      <c r="AG59" s="17" t="n">
        <v>299.7987</v>
      </c>
      <c r="AH59" s="17" t="n">
        <v>361.0869</v>
      </c>
      <c r="AI59" s="17" t="n">
        <v>360.5624</v>
      </c>
      <c r="AJ59" s="17" t="n">
        <v>335.6263</v>
      </c>
      <c r="AK59" s="17" t="n">
        <v>346.3642</v>
      </c>
      <c r="AL59" s="17" t="n">
        <v>298.462</v>
      </c>
      <c r="AM59" s="17" t="n">
        <v>286.6657</v>
      </c>
      <c r="AN59" s="17" t="n">
        <v>334.1995</v>
      </c>
      <c r="AO59" s="17" t="n">
        <v>316.307</v>
      </c>
      <c r="AP59" s="17" t="n">
        <v>332.8646</v>
      </c>
      <c r="AQ59" s="17" t="n">
        <v>358.2539</v>
      </c>
      <c r="AR59" s="17" t="n">
        <v>383.5811</v>
      </c>
      <c r="AS59" s="17" t="n">
        <v>327.2826</v>
      </c>
      <c r="AT59" s="17" t="n">
        <v>318.5065</v>
      </c>
      <c r="AU59" s="17" t="n">
        <v>276.2966</v>
      </c>
      <c r="AV59" s="17" t="n">
        <v>269.1336</v>
      </c>
      <c r="AW59" s="17" t="n">
        <v>253.42</v>
      </c>
      <c r="AX59" s="17" t="n">
        <v>217.598</v>
      </c>
      <c r="AY59" s="17" t="n">
        <v>234.9511</v>
      </c>
      <c r="AZ59" s="17" t="n">
        <v>216.7742</v>
      </c>
      <c r="BA59" s="17" t="n">
        <v>219.1985</v>
      </c>
      <c r="BB59" s="17" t="n">
        <v>245.3279</v>
      </c>
      <c r="BC59" s="17" t="n">
        <v>262.7206</v>
      </c>
      <c r="BD59" s="17" t="n">
        <v>228.431</v>
      </c>
      <c r="BE59" s="17" t="n">
        <v>200.9334</v>
      </c>
      <c r="BF59" s="17" t="n">
        <v>186.7903</v>
      </c>
      <c r="BG59" s="17" t="n">
        <v>196.8874</v>
      </c>
      <c r="BH59" s="17" t="n">
        <v>182.3873</v>
      </c>
      <c r="BI59" s="17" t="n">
        <v>191</v>
      </c>
    </row>
    <row r="60">
      <c r="A60" s="10" t="inlineStr">
        <is>
          <t>Kazakhstan</t>
        </is>
      </c>
      <c r="B60" s="17" t="n">
        <v>192.1678</v>
      </c>
      <c r="C60" s="17" t="n">
        <v>204.9878</v>
      </c>
      <c r="D60" s="17" t="n">
        <v>184.6169</v>
      </c>
      <c r="E60" s="17" t="n">
        <v>215.9305</v>
      </c>
      <c r="F60" s="17" t="n">
        <v>272.0233</v>
      </c>
      <c r="G60" s="17" t="n">
        <v>314.4792</v>
      </c>
      <c r="H60" s="17" t="n">
        <v>262.6704</v>
      </c>
      <c r="I60" s="17" t="n">
        <v>306.2195</v>
      </c>
      <c r="J60" s="17" t="n">
        <v>354.2337</v>
      </c>
      <c r="K60" s="17" t="n">
        <v>368.5989</v>
      </c>
      <c r="L60" s="17" t="n">
        <v>298.9095</v>
      </c>
      <c r="M60" s="17" t="n">
        <v>351.7766</v>
      </c>
      <c r="N60" s="17" t="n">
        <v>333.8512</v>
      </c>
      <c r="O60" s="17" t="n">
        <v>266.8242</v>
      </c>
      <c r="P60" s="17" t="n">
        <v>237.5161</v>
      </c>
      <c r="Q60" s="17" t="n">
        <v>149.925</v>
      </c>
      <c r="R60" s="17" t="n">
        <v>115.9229</v>
      </c>
      <c r="S60" s="17" t="n">
        <v>174.1899</v>
      </c>
      <c r="T60" s="17" t="n">
        <v>150.6827</v>
      </c>
      <c r="U60" s="17" t="n">
        <v>142.4803</v>
      </c>
      <c r="V60" s="17" t="n">
        <v>123.8178</v>
      </c>
      <c r="W60" s="17" t="n">
        <v>103.5949</v>
      </c>
      <c r="X60" s="17" t="n">
        <v>111.6141</v>
      </c>
      <c r="Y60" s="17" t="n">
        <v>94.3768</v>
      </c>
      <c r="Z60" s="17" t="n">
        <v>100.0969</v>
      </c>
      <c r="AA60" s="17" t="n">
        <v>104.6775</v>
      </c>
      <c r="AB60" s="17" t="n">
        <v>87.2872</v>
      </c>
      <c r="AC60" s="17" t="n">
        <v>103.7064</v>
      </c>
      <c r="AD60" s="17" t="n">
        <v>81.2718</v>
      </c>
      <c r="AE60" s="17" t="n">
        <v>80.086</v>
      </c>
      <c r="AF60" s="17" t="n">
        <v>62.7889</v>
      </c>
      <c r="AG60" s="17" t="n">
        <v>61.5253</v>
      </c>
      <c r="AH60" s="17" t="n">
        <v>54.2974</v>
      </c>
      <c r="AI60" s="17" t="n">
        <v>84.8807</v>
      </c>
      <c r="AJ60" s="17" t="n">
        <v>79.5705</v>
      </c>
      <c r="AK60" s="17" t="n">
        <v>83.63120000000001</v>
      </c>
      <c r="AL60" s="17" t="n">
        <v>85.2176</v>
      </c>
      <c r="AM60" s="17" t="n">
        <v>96.9545</v>
      </c>
      <c r="AN60" s="17" t="n">
        <v>84.79949999999999</v>
      </c>
      <c r="AO60" s="17" t="n">
        <v>89.2664</v>
      </c>
      <c r="AP60" s="17" t="n">
        <v>101.4791</v>
      </c>
      <c r="AQ60" s="17" t="n">
        <v>102.2016</v>
      </c>
      <c r="AR60" s="17" t="n">
        <v>135.0428</v>
      </c>
      <c r="AS60" s="17" t="n">
        <v>109.5042</v>
      </c>
      <c r="AT60" s="17" t="n">
        <v>109.392</v>
      </c>
      <c r="AU60" s="17" t="n">
        <v>88.3454</v>
      </c>
      <c r="AV60" s="17" t="n">
        <v>84.09780000000001</v>
      </c>
      <c r="AW60" s="17" t="n">
        <v>77.0548</v>
      </c>
      <c r="AX60" s="17" t="n">
        <v>86.84050000000001</v>
      </c>
      <c r="AY60" s="17" t="n">
        <v>93.9785</v>
      </c>
      <c r="AZ60" s="17" t="n">
        <v>82.8389</v>
      </c>
      <c r="BA60" s="17" t="n">
        <v>87.4769</v>
      </c>
      <c r="BB60" s="17" t="n">
        <v>98.30670000000001</v>
      </c>
      <c r="BC60" s="17" t="n">
        <v>98.11669999999999</v>
      </c>
      <c r="BD60" s="17" t="n">
        <v>73.9379</v>
      </c>
      <c r="BE60" s="17" t="n">
        <v>73.77419999999999</v>
      </c>
      <c r="BF60" s="17" t="n">
        <v>76.4876</v>
      </c>
      <c r="BG60" s="17" t="n">
        <v>83.5763</v>
      </c>
      <c r="BH60" s="17" t="n">
        <v>67.0702</v>
      </c>
      <c r="BI60" s="17" t="n">
        <v>74</v>
      </c>
    </row>
    <row r="61">
      <c r="A61" s="10" t="inlineStr">
        <is>
          <t>Kenya</t>
        </is>
      </c>
      <c r="B61" s="17" t="n">
        <v>499.5092</v>
      </c>
      <c r="C61" s="17" t="n">
        <v>547.6384</v>
      </c>
      <c r="D61" s="17" t="n">
        <v>503.0614</v>
      </c>
      <c r="E61" s="17" t="n">
        <v>526.8002</v>
      </c>
      <c r="F61" s="17" t="n">
        <v>640.5468</v>
      </c>
      <c r="G61" s="17" t="n">
        <v>583.7577</v>
      </c>
      <c r="H61" s="17" t="n">
        <v>714.5834</v>
      </c>
      <c r="I61" s="17" t="n">
        <v>725.5555000000001</v>
      </c>
      <c r="J61" s="17" t="n">
        <v>1098.3396</v>
      </c>
      <c r="K61" s="17" t="n">
        <v>1107.486</v>
      </c>
      <c r="L61" s="17" t="n">
        <v>916.566</v>
      </c>
      <c r="M61" s="17" t="n">
        <v>1025.5644</v>
      </c>
      <c r="N61" s="17" t="n">
        <v>938.0238000000001</v>
      </c>
      <c r="O61" s="17" t="n">
        <v>641.8271999999999</v>
      </c>
      <c r="P61" s="17" t="n">
        <v>636.7516000000001</v>
      </c>
      <c r="Q61" s="17" t="n">
        <v>661.8972</v>
      </c>
      <c r="R61" s="17" t="n">
        <v>650.487</v>
      </c>
      <c r="S61" s="17" t="n">
        <v>788.9983</v>
      </c>
      <c r="T61" s="17" t="n">
        <v>982.152</v>
      </c>
      <c r="U61" s="17" t="n">
        <v>778.5663</v>
      </c>
      <c r="V61" s="17" t="n">
        <v>660.2306</v>
      </c>
      <c r="W61" s="17" t="n">
        <v>628.6346</v>
      </c>
      <c r="X61" s="17" t="n">
        <v>694.1546</v>
      </c>
      <c r="Y61" s="17" t="n">
        <v>804.8704</v>
      </c>
      <c r="Z61" s="17" t="n">
        <v>712.3797</v>
      </c>
      <c r="AA61" s="17" t="n">
        <v>648.061</v>
      </c>
      <c r="AB61" s="17" t="n">
        <v>566.4525</v>
      </c>
      <c r="AC61" s="17" t="n">
        <v>625.1941</v>
      </c>
      <c r="AD61" s="17" t="n">
        <v>539.9866</v>
      </c>
      <c r="AE61" s="17" t="n">
        <v>481.9754</v>
      </c>
      <c r="AF61" s="17" t="n">
        <v>473.4403</v>
      </c>
      <c r="AG61" s="17" t="n">
        <v>503.3577</v>
      </c>
      <c r="AH61" s="17" t="n">
        <v>609.9166</v>
      </c>
      <c r="AI61" s="17" t="n">
        <v>655.0534</v>
      </c>
      <c r="AJ61" s="17" t="n">
        <v>633.3321</v>
      </c>
      <c r="AK61" s="17" t="n">
        <v>556.4521</v>
      </c>
      <c r="AL61" s="17" t="n">
        <v>514.8529</v>
      </c>
      <c r="AM61" s="17" t="n">
        <v>528.1251999999999</v>
      </c>
      <c r="AN61" s="17" t="n">
        <v>524.579</v>
      </c>
      <c r="AO61" s="17" t="n">
        <v>522.7417</v>
      </c>
      <c r="AP61" s="17" t="n">
        <v>515.3067</v>
      </c>
      <c r="AQ61" s="17" t="n">
        <v>627.0558</v>
      </c>
      <c r="AR61" s="17" t="n">
        <v>709.7396</v>
      </c>
      <c r="AS61" s="17" t="n">
        <v>591.0851</v>
      </c>
      <c r="AT61" s="17" t="n">
        <v>572.5867</v>
      </c>
      <c r="AU61" s="17" t="n">
        <v>517.1871</v>
      </c>
      <c r="AV61" s="17" t="n">
        <v>492.0301</v>
      </c>
      <c r="AW61" s="17" t="n">
        <v>439.3184</v>
      </c>
      <c r="AX61" s="17" t="n">
        <v>452.3922</v>
      </c>
      <c r="AY61" s="17" t="n">
        <v>475.8473</v>
      </c>
      <c r="AZ61" s="17" t="n">
        <v>394.3151</v>
      </c>
      <c r="BA61" s="17" t="n">
        <v>373.0873</v>
      </c>
      <c r="BB61" s="17" t="n">
        <v>441.8739</v>
      </c>
      <c r="BC61" s="17" t="n">
        <v>532.8106</v>
      </c>
      <c r="BD61" s="17" t="n">
        <v>471.7516</v>
      </c>
      <c r="BE61" s="17" t="n">
        <v>397.8085</v>
      </c>
      <c r="BF61" s="17" t="n">
        <v>370.8953</v>
      </c>
      <c r="BG61" s="17" t="n">
        <v>398.5517</v>
      </c>
      <c r="BH61" s="17" t="n">
        <v>356.5227</v>
      </c>
      <c r="BI61" s="17" t="n">
        <v>363</v>
      </c>
    </row>
    <row r="62">
      <c r="A62" s="10" t="inlineStr">
        <is>
          <t>Kuwait</t>
        </is>
      </c>
      <c r="B62" s="17" t="n">
        <v>37.4289</v>
      </c>
      <c r="C62" s="17" t="n">
        <v>50.6735</v>
      </c>
      <c r="D62" s="17" t="n">
        <v>36.6337</v>
      </c>
      <c r="E62" s="17" t="n">
        <v>41.1183</v>
      </c>
      <c r="F62" s="17" t="n">
        <v>48.5481</v>
      </c>
      <c r="G62" s="17" t="n">
        <v>5.0215</v>
      </c>
      <c r="H62" s="17" t="n">
        <v>23.477</v>
      </c>
      <c r="I62" s="17" t="n">
        <v>16.8306</v>
      </c>
      <c r="J62" s="17" t="n">
        <v>43.4931</v>
      </c>
      <c r="K62" s="17" t="n">
        <v>50.8113</v>
      </c>
      <c r="L62" s="17" t="n">
        <v>1.0759</v>
      </c>
      <c r="M62" s="17" t="n">
        <v>37.0139</v>
      </c>
      <c r="N62" s="17" t="n">
        <v>28.6192</v>
      </c>
      <c r="O62" s="17" t="n">
        <v>47.2753</v>
      </c>
      <c r="P62" s="17" t="n">
        <v>8.2524</v>
      </c>
      <c r="Q62" s="17" t="n">
        <v>12.9539</v>
      </c>
      <c r="R62" s="17" t="n">
        <v>7.0145</v>
      </c>
      <c r="S62" s="17" t="n">
        <v>28.9548</v>
      </c>
      <c r="T62" s="17" t="n">
        <v>20.9091</v>
      </c>
      <c r="U62" s="17" t="n">
        <v>13.3826</v>
      </c>
      <c r="V62" s="17" t="n">
        <v>2.3216</v>
      </c>
      <c r="W62" s="17" t="n">
        <v>14.7932</v>
      </c>
      <c r="X62" s="17" t="n">
        <v>29.0747</v>
      </c>
      <c r="Y62" s="17" t="n">
        <v>29.4421</v>
      </c>
      <c r="Z62" s="17" t="n">
        <v>23.6832</v>
      </c>
      <c r="AA62" s="17" t="n">
        <v>22.4377</v>
      </c>
      <c r="AB62" s="17" t="n">
        <v>13.4193</v>
      </c>
      <c r="AC62" s="17" t="n">
        <v>23.2634</v>
      </c>
      <c r="AD62" s="17" t="n">
        <v>7.6245</v>
      </c>
      <c r="AE62" s="17" t="n">
        <v>-2.9468</v>
      </c>
      <c r="AF62" s="17" t="n">
        <v>27.9605</v>
      </c>
      <c r="AG62" s="17" t="n">
        <v>27.9982</v>
      </c>
      <c r="AH62" s="17" t="n">
        <v>31.5581</v>
      </c>
      <c r="AI62" s="17" t="n">
        <v>46.219</v>
      </c>
      <c r="AJ62" s="17" t="n">
        <v>44.1348</v>
      </c>
      <c r="AK62" s="17" t="n">
        <v>30.7649</v>
      </c>
      <c r="AL62" s="17" t="n">
        <v>4.3752</v>
      </c>
      <c r="AM62" s="17" t="n">
        <v>30.1708</v>
      </c>
      <c r="AN62" s="17" t="n">
        <v>48.2976</v>
      </c>
      <c r="AO62" s="17" t="n">
        <v>42.8203</v>
      </c>
      <c r="AP62" s="17" t="n">
        <v>41.4273</v>
      </c>
      <c r="AQ62" s="17" t="n">
        <v>53.923</v>
      </c>
      <c r="AR62" s="17" t="n">
        <v>63.7227</v>
      </c>
      <c r="AS62" s="17" t="n">
        <v>41.7413</v>
      </c>
      <c r="AT62" s="17" t="n">
        <v>49.1631</v>
      </c>
      <c r="AU62" s="17" t="n">
        <v>15.2309</v>
      </c>
      <c r="AV62" s="17" t="inlineStr"/>
      <c r="AW62" s="17" t="inlineStr"/>
      <c r="AX62" s="17" t="inlineStr"/>
      <c r="AY62" s="17" t="inlineStr"/>
      <c r="AZ62" s="17" t="inlineStr"/>
      <c r="BA62" s="17" t="inlineStr"/>
      <c r="BB62" s="17" t="inlineStr"/>
      <c r="BC62" s="17" t="inlineStr"/>
      <c r="BD62" s="17" t="inlineStr"/>
      <c r="BE62" s="17" t="inlineStr"/>
      <c r="BF62" s="17" t="inlineStr"/>
      <c r="BG62" s="17" t="inlineStr"/>
      <c r="BH62" s="17" t="inlineStr"/>
      <c r="BI62" s="17" t="n">
        <v>0</v>
      </c>
    </row>
    <row r="63">
      <c r="A63" s="10" t="inlineStr">
        <is>
          <t>Kyrgyzstan</t>
        </is>
      </c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  <c r="L63" s="17" t="inlineStr"/>
      <c r="M63" s="17" t="inlineStr"/>
      <c r="N63" s="17" t="inlineStr"/>
      <c r="O63" s="17" t="inlineStr"/>
      <c r="P63" s="17" t="inlineStr"/>
      <c r="Q63" s="17" t="inlineStr"/>
      <c r="R63" s="17" t="inlineStr"/>
      <c r="S63" s="17" t="inlineStr"/>
      <c r="T63" s="17" t="inlineStr"/>
      <c r="U63" s="17" t="inlineStr"/>
      <c r="V63" s="17" t="inlineStr"/>
      <c r="W63" s="17" t="inlineStr"/>
      <c r="X63" s="17" t="inlineStr"/>
      <c r="Y63" s="17" t="inlineStr"/>
      <c r="Z63" s="17" t="inlineStr"/>
      <c r="AA63" s="17" t="inlineStr"/>
      <c r="AB63" s="17" t="inlineStr"/>
      <c r="AC63" s="17" t="inlineStr"/>
      <c r="AD63" s="17" t="inlineStr"/>
      <c r="AE63" s="17" t="inlineStr"/>
      <c r="AF63" s="17" t="inlineStr"/>
      <c r="AG63" s="17" t="inlineStr"/>
      <c r="AH63" s="17" t="inlineStr"/>
      <c r="AI63" s="17" t="inlineStr"/>
      <c r="AJ63" s="17" t="inlineStr"/>
      <c r="AK63" s="17" t="inlineStr"/>
      <c r="AL63" s="17" t="inlineStr"/>
      <c r="AM63" s="17" t="inlineStr"/>
      <c r="AN63" s="17" t="inlineStr"/>
      <c r="AO63" s="17" t="inlineStr"/>
      <c r="AP63" s="17" t="inlineStr"/>
      <c r="AQ63" s="17" t="inlineStr"/>
      <c r="AR63" s="17" t="inlineStr"/>
      <c r="AS63" s="17" t="inlineStr"/>
      <c r="AT63" s="17" t="inlineStr"/>
      <c r="AU63" s="17" t="inlineStr"/>
      <c r="AV63" s="17" t="inlineStr"/>
      <c r="AW63" s="17" t="inlineStr"/>
      <c r="AX63" s="17" t="inlineStr"/>
      <c r="AY63" s="17" t="inlineStr"/>
      <c r="AZ63" s="17" t="inlineStr"/>
      <c r="BA63" s="17" t="inlineStr"/>
      <c r="BB63" s="17" t="inlineStr"/>
      <c r="BC63" s="17" t="inlineStr"/>
      <c r="BD63" s="17" t="inlineStr"/>
      <c r="BE63" s="17" t="inlineStr"/>
      <c r="BF63" s="17" t="inlineStr"/>
      <c r="BG63" s="17" t="inlineStr"/>
      <c r="BH63" s="17" t="inlineStr"/>
      <c r="BI63" s="17" t="n">
        <v>320</v>
      </c>
    </row>
    <row r="64">
      <c r="A64" s="10" t="inlineStr">
        <is>
          <t>Latvia</t>
        </is>
      </c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  <c r="M64" s="17" t="inlineStr"/>
      <c r="N64" s="17" t="inlineStr"/>
      <c r="O64" s="17" t="inlineStr"/>
      <c r="P64" s="17" t="inlineStr"/>
      <c r="Q64" s="17" t="inlineStr"/>
      <c r="R64" s="17" t="inlineStr"/>
      <c r="S64" s="17" t="inlineStr"/>
      <c r="T64" s="17" t="inlineStr"/>
      <c r="U64" s="17" t="inlineStr"/>
      <c r="V64" s="17" t="inlineStr"/>
      <c r="W64" s="17" t="inlineStr"/>
      <c r="X64" s="17" t="inlineStr"/>
      <c r="Y64" s="17" t="inlineStr"/>
      <c r="Z64" s="17" t="inlineStr"/>
      <c r="AA64" s="17" t="inlineStr"/>
      <c r="AB64" s="17" t="inlineStr"/>
      <c r="AC64" s="17" t="inlineStr"/>
      <c r="AD64" s="17" t="inlineStr"/>
      <c r="AE64" s="17" t="inlineStr"/>
      <c r="AF64" s="17" t="inlineStr"/>
      <c r="AG64" s="17" t="inlineStr"/>
      <c r="AH64" s="17" t="inlineStr"/>
      <c r="AI64" s="17" t="inlineStr"/>
      <c r="AJ64" s="17" t="inlineStr"/>
      <c r="AK64" s="17" t="inlineStr"/>
      <c r="AL64" s="17" t="inlineStr"/>
      <c r="AM64" s="17" t="inlineStr"/>
      <c r="AN64" s="17" t="inlineStr"/>
      <c r="AO64" s="17" t="inlineStr"/>
      <c r="AP64" s="17" t="inlineStr"/>
      <c r="AQ64" s="17" t="inlineStr"/>
      <c r="AR64" s="17" t="inlineStr"/>
      <c r="AS64" s="17" t="inlineStr"/>
      <c r="AT64" s="17" t="inlineStr"/>
      <c r="AU64" s="17" t="inlineStr"/>
      <c r="AV64" s="17" t="inlineStr"/>
      <c r="AW64" s="17" t="inlineStr"/>
      <c r="AX64" s="17" t="inlineStr"/>
      <c r="AY64" s="17" t="inlineStr"/>
      <c r="AZ64" s="17" t="inlineStr"/>
      <c r="BA64" s="17" t="inlineStr"/>
      <c r="BB64" s="17" t="inlineStr"/>
      <c r="BC64" s="17" t="inlineStr"/>
      <c r="BD64" s="17" t="inlineStr"/>
      <c r="BE64" s="17" t="inlineStr"/>
      <c r="BF64" s="17" t="inlineStr"/>
      <c r="BG64" s="17" t="inlineStr"/>
      <c r="BH64" s="17" t="inlineStr"/>
      <c r="BI64" s="17" t="n">
        <v>69</v>
      </c>
    </row>
    <row r="65">
      <c r="A65" s="10" t="inlineStr">
        <is>
          <t>Lebanon</t>
        </is>
      </c>
      <c r="B65" s="17" t="n">
        <v>20935.2433</v>
      </c>
      <c r="C65" s="17" t="n">
        <v>17625.2557</v>
      </c>
      <c r="D65" s="17" t="n">
        <v>21600.2531</v>
      </c>
      <c r="E65" s="17" t="n">
        <v>23205.8522</v>
      </c>
      <c r="F65" s="17" t="n">
        <v>22657.1177</v>
      </c>
      <c r="G65" s="17" t="n">
        <v>25757.5309</v>
      </c>
      <c r="H65" s="17" t="n">
        <v>20213.8904</v>
      </c>
      <c r="I65" s="17" t="n">
        <v>26276.1267</v>
      </c>
      <c r="J65" s="17" t="n">
        <v>34734.5773</v>
      </c>
      <c r="K65" s="17" t="n">
        <v>40120.5473</v>
      </c>
      <c r="L65" s="17" t="n">
        <v>42051.7941</v>
      </c>
      <c r="M65" s="17" t="n">
        <v>32866.3214</v>
      </c>
      <c r="N65" s="17" t="n">
        <v>33331.1743</v>
      </c>
      <c r="O65" s="17" t="n">
        <v>32886.9193</v>
      </c>
      <c r="P65" s="17" t="n">
        <v>39884.8971</v>
      </c>
      <c r="Q65" s="17" t="n">
        <v>10107.3324</v>
      </c>
      <c r="R65" s="17" t="n">
        <v>9775.2307</v>
      </c>
      <c r="S65" s="17" t="n">
        <v>10124.8424</v>
      </c>
      <c r="T65" s="17" t="n">
        <v>10355.5824</v>
      </c>
      <c r="U65" s="17" t="n">
        <v>45484.3589</v>
      </c>
      <c r="V65" s="17" t="n">
        <v>40591.9044</v>
      </c>
      <c r="W65" s="17" t="n">
        <v>42510.6638</v>
      </c>
      <c r="X65" s="17" t="n">
        <v>47746.2849</v>
      </c>
      <c r="Y65" s="17" t="n">
        <v>26132.9456</v>
      </c>
      <c r="Z65" s="17" t="n">
        <v>32319.4468</v>
      </c>
      <c r="AA65" s="17" t="n">
        <v>39340.3493</v>
      </c>
      <c r="AB65" s="17" t="n">
        <v>44708.7249</v>
      </c>
      <c r="AC65" s="17" t="n">
        <v>56020.1679</v>
      </c>
      <c r="AD65" s="17" t="n">
        <v>60572.5686</v>
      </c>
      <c r="AE65" s="17" t="n">
        <v>34941.3631</v>
      </c>
      <c r="AF65" s="17" t="n">
        <v>36534.9065</v>
      </c>
      <c r="AG65" s="17" t="n">
        <v>40676.7637</v>
      </c>
      <c r="AH65" s="17" t="n">
        <v>40196.2842</v>
      </c>
      <c r="AI65" s="17" t="n">
        <v>40948.9998</v>
      </c>
      <c r="AJ65" s="17" t="n">
        <v>52563.0116</v>
      </c>
      <c r="AK65" s="17" t="n">
        <v>25122.906</v>
      </c>
      <c r="AL65" s="17" t="n">
        <v>26188.8434</v>
      </c>
      <c r="AM65" s="17" t="n">
        <v>25499.4155</v>
      </c>
      <c r="AN65" s="17" t="n">
        <v>21568.1685</v>
      </c>
      <c r="AO65" s="17" t="n">
        <v>19668.7904</v>
      </c>
      <c r="AP65" s="17" t="n">
        <v>18155.1082</v>
      </c>
      <c r="AQ65" s="17" t="n">
        <v>19153.1332</v>
      </c>
      <c r="AR65" s="17" t="n">
        <v>18288.0977</v>
      </c>
      <c r="AS65" s="17" t="n">
        <v>19013.4762</v>
      </c>
      <c r="AT65" s="17" t="n">
        <v>16836.4406</v>
      </c>
      <c r="AU65" s="17" t="n">
        <v>16772.6526</v>
      </c>
      <c r="AV65" s="17" t="n">
        <v>14041.5551</v>
      </c>
      <c r="AW65" s="17" t="n">
        <v>12378.1772</v>
      </c>
      <c r="AX65" s="17" t="n">
        <v>13134.7153</v>
      </c>
      <c r="AY65" s="17" t="n">
        <v>14913.6337</v>
      </c>
      <c r="AZ65" s="17" t="n">
        <v>15146.0987</v>
      </c>
      <c r="BA65" s="17" t="n">
        <v>10541.3947</v>
      </c>
      <c r="BB65" s="17" t="n">
        <v>10935.7074</v>
      </c>
      <c r="BC65" s="17" t="n">
        <v>13133.9745</v>
      </c>
      <c r="BD65" s="17" t="n">
        <v>13348.8355</v>
      </c>
      <c r="BE65" s="17" t="n">
        <v>14277.5162</v>
      </c>
      <c r="BF65" s="17" t="n">
        <v>14860.1988</v>
      </c>
      <c r="BG65" s="17" t="n">
        <v>14181.9536</v>
      </c>
      <c r="BH65" s="17" t="n">
        <v>13267.3947</v>
      </c>
      <c r="BI65" s="17" t="n">
        <v>7781</v>
      </c>
    </row>
    <row r="66">
      <c r="A66" s="10" t="inlineStr">
        <is>
          <t>Malaysia</t>
        </is>
      </c>
      <c r="B66" s="17" t="n">
        <v>117.0838</v>
      </c>
      <c r="C66" s="17" t="n">
        <v>119.2116</v>
      </c>
      <c r="D66" s="17" t="n">
        <v>115.7562</v>
      </c>
      <c r="E66" s="17" t="n">
        <v>120.7018</v>
      </c>
      <c r="F66" s="17" t="n">
        <v>144.2266</v>
      </c>
      <c r="G66" s="17" t="n">
        <v>116.562</v>
      </c>
      <c r="H66" s="17" t="n">
        <v>124.404</v>
      </c>
      <c r="I66" s="17" t="n">
        <v>126.653</v>
      </c>
      <c r="J66" s="17" t="n">
        <v>131.4834</v>
      </c>
      <c r="K66" s="17" t="n">
        <v>131.5691</v>
      </c>
      <c r="L66" s="17" t="n">
        <v>100.5018</v>
      </c>
      <c r="M66" s="17" t="n">
        <v>117.4187</v>
      </c>
      <c r="N66" s="17" t="n">
        <v>129.4286</v>
      </c>
      <c r="O66" s="17" t="n">
        <v>108.9806</v>
      </c>
      <c r="P66" s="17" t="n">
        <v>103.6362</v>
      </c>
      <c r="Q66" s="17" t="n">
        <v>104.9976</v>
      </c>
      <c r="R66" s="17" t="n">
        <v>96.6354</v>
      </c>
      <c r="S66" s="17" t="n">
        <v>101.4706</v>
      </c>
      <c r="T66" s="17" t="n">
        <v>100.6128</v>
      </c>
      <c r="U66" s="17" t="n">
        <v>96.11020000000001</v>
      </c>
      <c r="V66" s="17" t="n">
        <v>88.62090000000001</v>
      </c>
      <c r="W66" s="17" t="n">
        <v>87.0172</v>
      </c>
      <c r="X66" s="17" t="n">
        <v>95.1758</v>
      </c>
      <c r="Y66" s="17" t="n">
        <v>95.8107</v>
      </c>
      <c r="Z66" s="17" t="n">
        <v>97.1919</v>
      </c>
      <c r="AA66" s="17" t="n">
        <v>89.4362</v>
      </c>
      <c r="AB66" s="17" t="n">
        <v>83.3981</v>
      </c>
      <c r="AC66" s="17" t="n">
        <v>92.1878</v>
      </c>
      <c r="AD66" s="17" t="n">
        <v>78.7839</v>
      </c>
      <c r="AE66" s="17" t="n">
        <v>79.7903</v>
      </c>
      <c r="AF66" s="17" t="n">
        <v>78.51260000000001</v>
      </c>
      <c r="AG66" s="17" t="n">
        <v>73.95780000000001</v>
      </c>
      <c r="AH66" s="17" t="n">
        <v>83.6611</v>
      </c>
      <c r="AI66" s="17" t="n">
        <v>83.5026</v>
      </c>
      <c r="AJ66" s="17" t="n">
        <v>83.10120000000001</v>
      </c>
      <c r="AK66" s="17" t="n">
        <v>79.40519999999999</v>
      </c>
      <c r="AL66" s="17" t="n">
        <v>71.76349999999999</v>
      </c>
      <c r="AM66" s="17" t="n">
        <v>68.5667</v>
      </c>
      <c r="AN66" s="17" t="n">
        <v>73.1493</v>
      </c>
      <c r="AO66" s="17" t="n">
        <v>74.9761</v>
      </c>
      <c r="AP66" s="17" t="n">
        <v>79.10509999999999</v>
      </c>
      <c r="AQ66" s="17" t="n">
        <v>89.6159</v>
      </c>
      <c r="AR66" s="17" t="n">
        <v>96.643</v>
      </c>
      <c r="AS66" s="17" t="n">
        <v>82.0441</v>
      </c>
      <c r="AT66" s="17" t="n">
        <v>76.94589999999999</v>
      </c>
      <c r="AU66" s="17" t="n">
        <v>64.8103</v>
      </c>
      <c r="AV66" s="17" t="n">
        <v>60.9553</v>
      </c>
      <c r="AW66" s="17" t="n">
        <v>55.3047</v>
      </c>
      <c r="AX66" s="17" t="n">
        <v>56.4689</v>
      </c>
      <c r="AY66" s="17" t="n">
        <v>59.4595</v>
      </c>
      <c r="AZ66" s="17" t="n">
        <v>55.0477</v>
      </c>
      <c r="BA66" s="17" t="n">
        <v>52.7451</v>
      </c>
      <c r="BB66" s="17" t="n">
        <v>61.5711</v>
      </c>
      <c r="BC66" s="17" t="n">
        <v>57.5792</v>
      </c>
      <c r="BD66" s="17" t="n">
        <v>48.0352</v>
      </c>
      <c r="BE66" s="17" t="n">
        <v>40.8212</v>
      </c>
      <c r="BF66" s="17" t="n">
        <v>46.2404</v>
      </c>
      <c r="BG66" s="17" t="n">
        <v>57.1013</v>
      </c>
      <c r="BH66" s="17" t="n">
        <v>54.8151</v>
      </c>
      <c r="BI66" s="17" t="n">
        <v>57</v>
      </c>
    </row>
    <row r="67">
      <c r="A67" s="10" t="inlineStr">
        <is>
          <t>Mexico</t>
        </is>
      </c>
      <c r="B67" s="17" t="n">
        <v>353.8596</v>
      </c>
      <c r="C67" s="17" t="n">
        <v>389.0662</v>
      </c>
      <c r="D67" s="17" t="n">
        <v>347.7085</v>
      </c>
      <c r="E67" s="17" t="n">
        <v>356.5473</v>
      </c>
      <c r="F67" s="17" t="n">
        <v>382.2554</v>
      </c>
      <c r="G67" s="17" t="n">
        <v>349.424</v>
      </c>
      <c r="H67" s="17" t="n">
        <v>391.3616</v>
      </c>
      <c r="I67" s="17" t="n">
        <v>381.6908</v>
      </c>
      <c r="J67" s="17" t="n">
        <v>473.2636</v>
      </c>
      <c r="K67" s="17" t="n">
        <v>437.3938</v>
      </c>
      <c r="L67" s="17" t="n">
        <v>431.9682</v>
      </c>
      <c r="M67" s="17" t="n">
        <v>482.5408</v>
      </c>
      <c r="N67" s="17" t="n">
        <v>427.6503</v>
      </c>
      <c r="O67" s="17" t="n">
        <v>392.1088</v>
      </c>
      <c r="P67" s="17" t="n">
        <v>385.9562</v>
      </c>
      <c r="Q67" s="17" t="n">
        <v>357.3534</v>
      </c>
      <c r="R67" s="17" t="n">
        <v>367.6504</v>
      </c>
      <c r="S67" s="17" t="n">
        <v>392.761</v>
      </c>
      <c r="T67" s="17" t="n">
        <v>396.4088</v>
      </c>
      <c r="U67" s="17" t="n">
        <v>406.4437</v>
      </c>
      <c r="V67" s="17" t="n">
        <v>372.8911</v>
      </c>
      <c r="W67" s="17" t="n">
        <v>354.0155</v>
      </c>
      <c r="X67" s="17" t="n">
        <v>364.6381</v>
      </c>
      <c r="Y67" s="17" t="n">
        <v>378.2231</v>
      </c>
      <c r="Z67" s="17" t="n">
        <v>379.1581</v>
      </c>
      <c r="AA67" s="17" t="n">
        <v>358.4303</v>
      </c>
      <c r="AB67" s="17" t="n">
        <v>339.8072</v>
      </c>
      <c r="AC67" s="17" t="n">
        <v>340.6779</v>
      </c>
      <c r="AD67" s="17" t="n">
        <v>328.321</v>
      </c>
      <c r="AE67" s="17" t="n">
        <v>313.9164</v>
      </c>
      <c r="AF67" s="17" t="n">
        <v>308.8852</v>
      </c>
      <c r="AG67" s="17" t="n">
        <v>299.1222</v>
      </c>
      <c r="AH67" s="17" t="n">
        <v>318.9031</v>
      </c>
      <c r="AI67" s="17" t="n">
        <v>323.9745</v>
      </c>
      <c r="AJ67" s="17" t="n">
        <v>327.5579</v>
      </c>
      <c r="AK67" s="17" t="n">
        <v>315.5223</v>
      </c>
      <c r="AL67" s="17" t="n">
        <v>306.6993</v>
      </c>
      <c r="AM67" s="17" t="n">
        <v>312.8204</v>
      </c>
      <c r="AN67" s="17" t="n">
        <v>319.0574</v>
      </c>
      <c r="AO67" s="17" t="n">
        <v>319.2745</v>
      </c>
      <c r="AP67" s="17" t="n">
        <v>322.631</v>
      </c>
      <c r="AQ67" s="17" t="n">
        <v>326.0968</v>
      </c>
      <c r="AR67" s="17" t="n">
        <v>351.5047</v>
      </c>
      <c r="AS67" s="17" t="n">
        <v>314.7131</v>
      </c>
      <c r="AT67" s="17" t="n">
        <v>287.4016</v>
      </c>
      <c r="AU67" s="17" t="n">
        <v>255.7979</v>
      </c>
      <c r="AV67" s="17" t="n">
        <v>245.5327</v>
      </c>
      <c r="AW67" s="17" t="n">
        <v>213.3083</v>
      </c>
      <c r="AX67" s="17" t="n">
        <v>211.8561</v>
      </c>
      <c r="AY67" s="17" t="n">
        <v>229.9335</v>
      </c>
      <c r="AZ67" s="17" t="n">
        <v>222.0313</v>
      </c>
      <c r="BA67" s="17" t="n">
        <v>214.4731</v>
      </c>
      <c r="BB67" s="17" t="n">
        <v>226.5654</v>
      </c>
      <c r="BC67" s="17" t="n">
        <v>233.3419</v>
      </c>
      <c r="BD67" s="17" t="n">
        <v>204.4266</v>
      </c>
      <c r="BE67" s="17" t="n">
        <v>204.9151</v>
      </c>
      <c r="BF67" s="17" t="n">
        <v>202.3161</v>
      </c>
      <c r="BG67" s="17" t="n">
        <v>209.4862</v>
      </c>
      <c r="BH67" s="17" t="n">
        <v>196.3707</v>
      </c>
      <c r="BI67" s="17" t="n">
        <v>198</v>
      </c>
    </row>
    <row r="68">
      <c r="A68" s="10" t="inlineStr">
        <is>
          <t>Mongolia</t>
        </is>
      </c>
      <c r="B68" s="17" t="n">
        <v>291.267</v>
      </c>
      <c r="C68" s="17" t="n">
        <v>336.4434</v>
      </c>
      <c r="D68" s="17" t="n">
        <v>323.6244</v>
      </c>
      <c r="E68" s="17" t="n">
        <v>313.2411</v>
      </c>
      <c r="F68" s="17" t="n">
        <v>354.6468</v>
      </c>
      <c r="G68" s="17" t="n">
        <v>301.9989</v>
      </c>
      <c r="H68" s="17" t="n">
        <v>373.5278</v>
      </c>
      <c r="I68" s="17" t="n">
        <v>418.1234</v>
      </c>
      <c r="J68" s="17" t="n">
        <v>515.2844</v>
      </c>
      <c r="K68" s="17" t="n">
        <v>579.0255</v>
      </c>
      <c r="L68" s="17" t="n">
        <v>423.3411</v>
      </c>
      <c r="M68" s="17" t="n">
        <v>815.5877</v>
      </c>
      <c r="N68" s="17" t="n">
        <v>812.8275</v>
      </c>
      <c r="O68" s="17" t="n">
        <v>692.3579999999999</v>
      </c>
      <c r="P68" s="17" t="n">
        <v>521.8083</v>
      </c>
      <c r="Q68" s="17" t="n">
        <v>335.349</v>
      </c>
      <c r="R68" s="17" t="n">
        <v>357.1918</v>
      </c>
      <c r="S68" s="17" t="n">
        <v>519.1837</v>
      </c>
      <c r="T68" s="17" t="n">
        <v>456.0281</v>
      </c>
      <c r="U68" s="17" t="n">
        <v>498.4292</v>
      </c>
      <c r="V68" s="17" t="n">
        <v>376.2568</v>
      </c>
      <c r="W68" s="17" t="n">
        <v>330.5607</v>
      </c>
      <c r="X68" s="17" t="n">
        <v>394.1104</v>
      </c>
      <c r="Y68" s="17" t="n">
        <v>364.8965</v>
      </c>
      <c r="Z68" s="17" t="n">
        <v>357.4912</v>
      </c>
      <c r="AA68" s="17" t="n">
        <v>300.9997</v>
      </c>
      <c r="AB68" s="17" t="n">
        <v>281.4676</v>
      </c>
      <c r="AC68" s="17" t="n">
        <v>304.1184</v>
      </c>
      <c r="AD68" s="17" t="n">
        <v>280.7574</v>
      </c>
      <c r="AE68" s="17" t="n">
        <v>249.3047</v>
      </c>
      <c r="AF68" s="17" t="n">
        <v>246.4513</v>
      </c>
      <c r="AG68" s="17" t="n">
        <v>232.4607</v>
      </c>
      <c r="AH68" s="17" t="n">
        <v>251.2934</v>
      </c>
      <c r="AI68" s="17" t="n">
        <v>272.8393</v>
      </c>
      <c r="AJ68" s="17" t="n">
        <v>281.7372</v>
      </c>
      <c r="AK68" s="17" t="n">
        <v>255.7819</v>
      </c>
      <c r="AL68" s="17" t="n">
        <v>209.4921</v>
      </c>
      <c r="AM68" s="17" t="n">
        <v>239.1668</v>
      </c>
      <c r="AN68" s="17" t="n">
        <v>232.4976</v>
      </c>
      <c r="AO68" s="17" t="n">
        <v>227.942</v>
      </c>
      <c r="AP68" s="17" t="n">
        <v>272.5383</v>
      </c>
      <c r="AQ68" s="17" t="n">
        <v>314.1613</v>
      </c>
      <c r="AR68" s="17" t="n">
        <v>364.6734</v>
      </c>
      <c r="AS68" s="17" t="n">
        <v>303.2873</v>
      </c>
      <c r="AT68" s="17" t="n">
        <v>302.2359</v>
      </c>
      <c r="AU68" s="17" t="n">
        <v>242.9424</v>
      </c>
      <c r="AV68" s="17" t="n">
        <v>293.6511</v>
      </c>
      <c r="AW68" s="17" t="n">
        <v>258.1726</v>
      </c>
      <c r="AX68" s="17" t="n">
        <v>242.4438</v>
      </c>
      <c r="AY68" s="17" t="n">
        <v>246.8971</v>
      </c>
      <c r="AZ68" s="17" t="n">
        <v>231.3207</v>
      </c>
      <c r="BA68" s="17" t="n">
        <v>183.1763</v>
      </c>
      <c r="BB68" s="17" t="n">
        <v>199.523</v>
      </c>
      <c r="BC68" s="17" t="n">
        <v>241.499</v>
      </c>
      <c r="BD68" s="17" t="n">
        <v>179.7568</v>
      </c>
      <c r="BE68" s="17" t="n">
        <v>162.9167</v>
      </c>
      <c r="BF68" s="17" t="n">
        <v>159.1288</v>
      </c>
      <c r="BG68" s="17" t="n">
        <v>194.4079</v>
      </c>
      <c r="BH68" s="17" t="n">
        <v>176.76</v>
      </c>
      <c r="BI68" s="17" t="n">
        <v>178</v>
      </c>
    </row>
    <row r="69">
      <c r="A69" s="10" t="inlineStr">
        <is>
          <t>Montenegro</t>
        </is>
      </c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  <c r="L69" s="17" t="inlineStr"/>
      <c r="M69" s="17" t="inlineStr"/>
      <c r="N69" s="17" t="inlineStr"/>
      <c r="O69" s="17" t="inlineStr"/>
      <c r="P69" s="17" t="inlineStr"/>
      <c r="Q69" s="17" t="inlineStr"/>
      <c r="R69" s="17" t="inlineStr"/>
      <c r="S69" s="17" t="inlineStr"/>
      <c r="T69" s="17" t="inlineStr"/>
      <c r="U69" s="17" t="inlineStr"/>
      <c r="V69" s="17" t="inlineStr"/>
      <c r="W69" s="17" t="inlineStr"/>
      <c r="X69" s="17" t="inlineStr"/>
      <c r="Y69" s="17" t="inlineStr"/>
      <c r="Z69" s="17" t="inlineStr"/>
      <c r="AA69" s="17" t="inlineStr"/>
      <c r="AB69" s="17" t="inlineStr"/>
      <c r="AC69" s="17" t="inlineStr"/>
      <c r="AD69" s="17" t="inlineStr"/>
      <c r="AE69" s="17" t="n">
        <v>264.6928</v>
      </c>
      <c r="AF69" s="17" t="n">
        <v>241.6879</v>
      </c>
      <c r="AG69" s="17" t="n">
        <v>252.9443</v>
      </c>
      <c r="AH69" s="17" t="n">
        <v>272.001</v>
      </c>
      <c r="AI69" s="17" t="n">
        <v>284.6734</v>
      </c>
      <c r="AJ69" s="17" t="n">
        <v>273.6381</v>
      </c>
      <c r="AK69" s="17" t="n">
        <v>270.6096</v>
      </c>
      <c r="AL69" s="17" t="n">
        <v>218.9807</v>
      </c>
      <c r="AM69" s="17" t="n">
        <v>228.5219</v>
      </c>
      <c r="AN69" s="17" t="n">
        <v>218.7445</v>
      </c>
      <c r="AO69" s="17" t="n">
        <v>220.3031</v>
      </c>
      <c r="AP69" s="17" t="n">
        <v>234.8393</v>
      </c>
      <c r="AQ69" s="17" t="n">
        <v>267.8256</v>
      </c>
      <c r="AR69" s="17" t="n">
        <v>318.7204</v>
      </c>
      <c r="AS69" s="17" t="n">
        <v>253.7169</v>
      </c>
      <c r="AT69" s="17" t="n">
        <v>251.9256</v>
      </c>
      <c r="AU69" s="17" t="n">
        <v>226.8174</v>
      </c>
      <c r="AV69" s="17" t="n">
        <v>220.0143</v>
      </c>
      <c r="AW69" s="17" t="n">
        <v>198.3217</v>
      </c>
      <c r="AX69" s="17" t="n">
        <v>176.6122</v>
      </c>
      <c r="AY69" s="17" t="n">
        <v>190.9757</v>
      </c>
      <c r="AZ69" s="17" t="n">
        <v>187.2492</v>
      </c>
      <c r="BA69" s="17" t="n">
        <v>189.5767</v>
      </c>
      <c r="BB69" s="17" t="n">
        <v>196.442</v>
      </c>
      <c r="BC69" s="17" t="n">
        <v>230.4101</v>
      </c>
      <c r="BD69" s="17" t="n">
        <v>195.3304</v>
      </c>
      <c r="BE69" s="17" t="n">
        <v>168.6882</v>
      </c>
      <c r="BF69" s="17" t="n">
        <v>148.8852</v>
      </c>
      <c r="BG69" s="17" t="n">
        <v>151.1316</v>
      </c>
      <c r="BH69" s="17" t="n">
        <v>152.8025</v>
      </c>
      <c r="BI69" s="17" t="n">
        <v>159</v>
      </c>
    </row>
    <row r="70">
      <c r="A70" s="10" t="inlineStr">
        <is>
          <t>Morocco</t>
        </is>
      </c>
      <c r="B70" s="17" t="n">
        <v>241.9215</v>
      </c>
      <c r="C70" s="17" t="n">
        <v>268.5954</v>
      </c>
      <c r="D70" s="17" t="n">
        <v>238.8681</v>
      </c>
      <c r="E70" s="17" t="n">
        <v>245.2254</v>
      </c>
      <c r="F70" s="17" t="n">
        <v>294.8157</v>
      </c>
      <c r="G70" s="17" t="n">
        <v>258.048</v>
      </c>
      <c r="H70" s="17" t="n">
        <v>298.3766</v>
      </c>
      <c r="I70" s="17" t="n">
        <v>312.3356</v>
      </c>
      <c r="J70" s="17" t="n">
        <v>428.3994</v>
      </c>
      <c r="K70" s="17" t="n">
        <v>335.3162</v>
      </c>
      <c r="L70" s="17" t="n">
        <v>320.1056</v>
      </c>
      <c r="M70" s="17" t="n">
        <v>354.4955</v>
      </c>
      <c r="N70" s="17" t="n">
        <v>303.2404</v>
      </c>
      <c r="O70" s="17" t="n">
        <v>239.4117</v>
      </c>
      <c r="P70" s="17" t="n">
        <v>216.6778</v>
      </c>
      <c r="Q70" s="17" t="n">
        <v>249.1454</v>
      </c>
      <c r="R70" s="17" t="n">
        <v>262.8093</v>
      </c>
      <c r="S70" s="17" t="n">
        <v>241.7673</v>
      </c>
      <c r="T70" s="17" t="n">
        <v>238.1431</v>
      </c>
      <c r="U70" s="17" t="n">
        <v>242.5195</v>
      </c>
      <c r="V70" s="17" t="n">
        <v>220.0327</v>
      </c>
      <c r="W70" s="17" t="n">
        <v>199.532</v>
      </c>
      <c r="X70" s="17" t="n">
        <v>216.4493</v>
      </c>
      <c r="Y70" s="17" t="n">
        <v>205.4812</v>
      </c>
      <c r="Z70" s="17" t="n">
        <v>201.9058</v>
      </c>
      <c r="AA70" s="17" t="n">
        <v>188.0128</v>
      </c>
      <c r="AB70" s="17" t="n">
        <v>177.3287</v>
      </c>
      <c r="AC70" s="17" t="n">
        <v>198.2699</v>
      </c>
      <c r="AD70" s="17" t="n">
        <v>184.8386</v>
      </c>
      <c r="AE70" s="17" t="n">
        <v>178.7696</v>
      </c>
      <c r="AF70" s="17" t="n">
        <v>169.2332</v>
      </c>
      <c r="AG70" s="17" t="n">
        <v>164.1793</v>
      </c>
      <c r="AH70" s="17" t="n">
        <v>165.4763</v>
      </c>
      <c r="AI70" s="17" t="n">
        <v>177.3962</v>
      </c>
      <c r="AJ70" s="17" t="n">
        <v>160.6261</v>
      </c>
      <c r="AK70" s="17" t="n">
        <v>155.6711</v>
      </c>
      <c r="AL70" s="17" t="n">
        <v>159.33</v>
      </c>
      <c r="AM70" s="17" t="n">
        <v>165.5158</v>
      </c>
      <c r="AN70" s="17" t="n">
        <v>152.1958</v>
      </c>
      <c r="AO70" s="17" t="n">
        <v>152.251</v>
      </c>
      <c r="AP70" s="17" t="n">
        <v>168.0715</v>
      </c>
      <c r="AQ70" s="17" t="n">
        <v>177.2316</v>
      </c>
      <c r="AR70" s="17" t="n">
        <v>195.6542</v>
      </c>
      <c r="AS70" s="17" t="n">
        <v>167.7278</v>
      </c>
      <c r="AT70" s="17" t="n">
        <v>158.2642</v>
      </c>
      <c r="AU70" s="17" t="n">
        <v>137.2278</v>
      </c>
      <c r="AV70" s="17" t="n">
        <v>130.9809</v>
      </c>
      <c r="AW70" s="17" t="n">
        <v>104.0016</v>
      </c>
      <c r="AX70" s="17" t="n">
        <v>107.754</v>
      </c>
      <c r="AY70" s="17" t="n">
        <v>129.6064</v>
      </c>
      <c r="AZ70" s="17" t="n">
        <v>113.5121</v>
      </c>
      <c r="BA70" s="17" t="n">
        <v>120.2436</v>
      </c>
      <c r="BB70" s="17" t="n">
        <v>125.7495</v>
      </c>
      <c r="BC70" s="17" t="n">
        <v>143.0822</v>
      </c>
      <c r="BD70" s="17" t="n">
        <v>113.4232</v>
      </c>
      <c r="BE70" s="17" t="n">
        <v>111.9587</v>
      </c>
      <c r="BF70" s="17" t="n">
        <v>105.1407</v>
      </c>
      <c r="BG70" s="17" t="n">
        <v>110.7238</v>
      </c>
      <c r="BH70" s="17" t="n">
        <v>103.2181</v>
      </c>
      <c r="BI70" s="17" t="n">
        <v>111</v>
      </c>
    </row>
    <row r="71">
      <c r="A71" s="10" t="inlineStr">
        <is>
          <t>Mozambique</t>
        </is>
      </c>
      <c r="B71" s="17" t="n">
        <v>891.2910000000001</v>
      </c>
      <c r="C71" s="17" t="n">
        <v>926.643</v>
      </c>
      <c r="D71" s="17" t="n">
        <v>925.4036</v>
      </c>
      <c r="E71" s="17" t="n">
        <v>896.4635</v>
      </c>
      <c r="F71" s="17" t="n">
        <v>870.5051</v>
      </c>
      <c r="G71" s="17" t="n">
        <v>791.9503</v>
      </c>
      <c r="H71" s="17" t="n">
        <v>726.5599</v>
      </c>
      <c r="I71" s="17" t="n">
        <v>825.5780999999999</v>
      </c>
      <c r="J71" s="17" t="n">
        <v>1041.1637</v>
      </c>
      <c r="K71" s="17" t="n">
        <v>1234.0403</v>
      </c>
      <c r="L71" s="17" t="n">
        <v>1105.7643</v>
      </c>
      <c r="M71" s="17" t="n">
        <v>1110.9433</v>
      </c>
      <c r="N71" s="17" t="n">
        <v>1144.117</v>
      </c>
      <c r="O71" s="17" t="n">
        <v>978.3058</v>
      </c>
      <c r="P71" s="17" t="n">
        <v>932.9565</v>
      </c>
      <c r="Q71" s="17" t="n">
        <v>901.4309</v>
      </c>
      <c r="R71" s="17" t="n">
        <v>944.8704</v>
      </c>
      <c r="S71" s="17" t="n">
        <v>1157.8451</v>
      </c>
      <c r="T71" s="17" t="n">
        <v>1236.129</v>
      </c>
      <c r="U71" s="17" t="n">
        <v>1189.8605</v>
      </c>
      <c r="V71" s="17" t="n">
        <v>1027.7973</v>
      </c>
      <c r="W71" s="17" t="n">
        <v>946.1455</v>
      </c>
      <c r="X71" s="17" t="n">
        <v>1057.4765</v>
      </c>
      <c r="Y71" s="17" t="n">
        <v>948.639</v>
      </c>
      <c r="Z71" s="17" t="n">
        <v>957.7509</v>
      </c>
      <c r="AA71" s="17" t="n">
        <v>946.2795</v>
      </c>
      <c r="AB71" s="17" t="n">
        <v>852.2495</v>
      </c>
      <c r="AC71" s="17" t="n">
        <v>819.0322</v>
      </c>
      <c r="AD71" s="17" t="n">
        <v>857.8106</v>
      </c>
      <c r="AE71" s="17" t="n">
        <v>807.2182</v>
      </c>
      <c r="AF71" s="17" t="n">
        <v>812.5267</v>
      </c>
      <c r="AG71" s="17" t="n">
        <v>887.6684</v>
      </c>
      <c r="AH71" s="17" t="n">
        <v>892.7674</v>
      </c>
      <c r="AI71" s="17" t="n">
        <v>875.7847</v>
      </c>
      <c r="AJ71" s="17" t="n">
        <v>928.1856</v>
      </c>
      <c r="AK71" s="17" t="n">
        <v>876.6776</v>
      </c>
      <c r="AL71" s="17" t="n">
        <v>915.5821999999999</v>
      </c>
      <c r="AM71" s="17" t="n">
        <v>947.5684</v>
      </c>
      <c r="AN71" s="17" t="n">
        <v>1082.2151</v>
      </c>
      <c r="AO71" s="17" t="n">
        <v>1004.6335</v>
      </c>
      <c r="AP71" s="17" t="n">
        <v>1035.391</v>
      </c>
      <c r="AQ71" s="17" t="n">
        <v>1054.7955</v>
      </c>
      <c r="AR71" s="17" t="n">
        <v>1256.4613</v>
      </c>
      <c r="AS71" s="17" t="n">
        <v>1063.3569</v>
      </c>
      <c r="AT71" s="17" t="n">
        <v>1057.586</v>
      </c>
      <c r="AU71" s="17" t="n">
        <v>880.4952</v>
      </c>
      <c r="AV71" s="17" t="n">
        <v>857.4434</v>
      </c>
      <c r="AW71" s="17" t="n">
        <v>845.6153</v>
      </c>
      <c r="AX71" s="17" t="n">
        <v>931.9162</v>
      </c>
      <c r="AY71" s="17" t="n">
        <v>1010.0884</v>
      </c>
      <c r="AZ71" s="17" t="n">
        <v>1008.9023</v>
      </c>
      <c r="BA71" s="17" t="n">
        <v>959.701</v>
      </c>
      <c r="BB71" s="17" t="n">
        <v>1063.9808</v>
      </c>
      <c r="BC71" s="17" t="n">
        <v>1467.4474</v>
      </c>
      <c r="BD71" s="17" t="n">
        <v>1164.2124</v>
      </c>
      <c r="BE71" s="17" t="n">
        <v>937.6059</v>
      </c>
      <c r="BF71" s="17" t="n">
        <v>910.035</v>
      </c>
      <c r="BG71" s="17" t="n">
        <v>800.1165</v>
      </c>
      <c r="BH71" s="17" t="n">
        <v>758.573</v>
      </c>
      <c r="BI71" s="17" t="n">
        <v>763</v>
      </c>
    </row>
    <row r="72">
      <c r="A72" s="10" t="inlineStr">
        <is>
          <t>Nigeria</t>
        </is>
      </c>
      <c r="B72" s="17" t="n">
        <v>595.8636</v>
      </c>
      <c r="C72" s="17" t="n">
        <v>693.1202</v>
      </c>
      <c r="D72" s="17" t="n">
        <v>637.5587</v>
      </c>
      <c r="E72" s="17" t="n">
        <v>625.1676</v>
      </c>
      <c r="F72" s="17" t="n">
        <v>689.2854</v>
      </c>
      <c r="G72" s="17" t="n">
        <v>622.4927</v>
      </c>
      <c r="H72" s="17" t="n">
        <v>724.0311</v>
      </c>
      <c r="I72" s="17" t="n">
        <v>770.5162</v>
      </c>
      <c r="J72" s="17" t="n">
        <v>1000.4651</v>
      </c>
      <c r="K72" s="17" t="n">
        <v>1012.3629</v>
      </c>
      <c r="L72" s="17" t="n">
        <v>942.3501</v>
      </c>
      <c r="M72" s="17" t="n">
        <v>1043.5106</v>
      </c>
      <c r="N72" s="17" t="n">
        <v>1021.3695</v>
      </c>
      <c r="O72" s="17" t="n">
        <v>800.6444</v>
      </c>
      <c r="P72" s="17" t="n">
        <v>796.2331</v>
      </c>
      <c r="Q72" s="17" t="n">
        <v>829.8592</v>
      </c>
      <c r="R72" s="17" t="n">
        <v>766.1568</v>
      </c>
      <c r="S72" s="17" t="n">
        <v>862.2333</v>
      </c>
      <c r="T72" s="17" t="n">
        <v>894.471</v>
      </c>
      <c r="U72" s="17" t="n">
        <v>781.7038</v>
      </c>
      <c r="V72" s="17" t="n">
        <v>667.5295</v>
      </c>
      <c r="W72" s="17" t="n">
        <v>587.8478</v>
      </c>
      <c r="X72" s="17" t="n">
        <v>689.5078</v>
      </c>
      <c r="Y72" s="17" t="n">
        <v>702.5617</v>
      </c>
      <c r="Z72" s="17" t="n">
        <v>641.8638999999999</v>
      </c>
      <c r="AA72" s="17" t="n">
        <v>612.3222</v>
      </c>
      <c r="AB72" s="17" t="n">
        <v>562.0655</v>
      </c>
      <c r="AC72" s="17" t="n">
        <v>606.5229</v>
      </c>
      <c r="AD72" s="17" t="n">
        <v>550.8389</v>
      </c>
      <c r="AE72" s="17" t="n">
        <v>517.9862000000001</v>
      </c>
      <c r="AF72" s="17" t="n">
        <v>525.8209000000001</v>
      </c>
      <c r="AG72" s="17" t="n">
        <v>534.7427</v>
      </c>
      <c r="AH72" s="17" t="n">
        <v>578.924</v>
      </c>
      <c r="AI72" s="17" t="n">
        <v>613.4462</v>
      </c>
      <c r="AJ72" s="17" t="n">
        <v>588.9949</v>
      </c>
      <c r="AK72" s="17" t="n">
        <v>589.9983</v>
      </c>
      <c r="AL72" s="17" t="n">
        <v>549.3275</v>
      </c>
      <c r="AM72" s="17" t="n">
        <v>555.1146</v>
      </c>
      <c r="AN72" s="17" t="n">
        <v>522.7994</v>
      </c>
      <c r="AO72" s="17" t="n">
        <v>501.8563</v>
      </c>
      <c r="AP72" s="17" t="n">
        <v>503.0583</v>
      </c>
      <c r="AQ72" s="17" t="n">
        <v>583.3477</v>
      </c>
      <c r="AR72" s="17" t="n">
        <v>684.5605</v>
      </c>
      <c r="AS72" s="17" t="n">
        <v>557.9614</v>
      </c>
      <c r="AT72" s="17" t="n">
        <v>496.5201</v>
      </c>
      <c r="AU72" s="17" t="n">
        <v>442.3265</v>
      </c>
      <c r="AV72" s="17" t="n">
        <v>428.7187</v>
      </c>
      <c r="AW72" s="17" t="n">
        <v>419.4788</v>
      </c>
      <c r="AX72" s="17" t="n">
        <v>403.4502</v>
      </c>
      <c r="AY72" s="17" t="n">
        <v>372.646</v>
      </c>
      <c r="AZ72" s="17" t="n">
        <v>327.0535</v>
      </c>
      <c r="BA72" s="17" t="n">
        <v>326.8143</v>
      </c>
      <c r="BB72" s="17" t="n">
        <v>344.078</v>
      </c>
      <c r="BC72" s="17" t="n">
        <v>358.2678</v>
      </c>
      <c r="BD72" s="17" t="n">
        <v>283.4769</v>
      </c>
      <c r="BE72" s="17" t="n">
        <v>267.2059</v>
      </c>
      <c r="BF72" s="17" t="n">
        <v>284.176</v>
      </c>
      <c r="BG72" s="17" t="n">
        <v>254.6613</v>
      </c>
      <c r="BH72" s="17" t="n">
        <v>253.0579</v>
      </c>
      <c r="BI72" s="17" t="n">
        <v>251</v>
      </c>
    </row>
    <row r="73">
      <c r="A73" s="10" t="inlineStr">
        <is>
          <t>Oman</t>
        </is>
      </c>
      <c r="B73" s="17" t="n">
        <v>374.6547</v>
      </c>
      <c r="C73" s="17" t="n">
        <v>417.4543</v>
      </c>
      <c r="D73" s="17" t="n">
        <v>368.8693</v>
      </c>
      <c r="E73" s="17" t="n">
        <v>367.6433</v>
      </c>
      <c r="F73" s="17" t="n">
        <v>385.4092</v>
      </c>
      <c r="G73" s="17" t="n">
        <v>310.7689</v>
      </c>
      <c r="H73" s="17" t="n">
        <v>305.9251</v>
      </c>
      <c r="I73" s="17" t="n">
        <v>314.3033</v>
      </c>
      <c r="J73" s="17" t="n">
        <v>368.0159</v>
      </c>
      <c r="K73" s="17" t="n">
        <v>359.8002</v>
      </c>
      <c r="L73" s="17" t="n">
        <v>302.4365</v>
      </c>
      <c r="M73" s="17" t="n">
        <v>344.2635</v>
      </c>
      <c r="N73" s="17" t="n">
        <v>285.4823</v>
      </c>
      <c r="O73" s="17" t="n">
        <v>269.5443</v>
      </c>
      <c r="P73" s="17" t="n">
        <v>234.4396</v>
      </c>
      <c r="Q73" s="17" t="n">
        <v>229.1509</v>
      </c>
      <c r="R73" s="17" t="n">
        <v>212.7255</v>
      </c>
      <c r="S73" s="17" t="n">
        <v>260.2008</v>
      </c>
      <c r="T73" s="17" t="n">
        <v>241.4843</v>
      </c>
      <c r="U73" s="17" t="n">
        <v>244.7718</v>
      </c>
      <c r="V73" s="17" t="n">
        <v>220.5641</v>
      </c>
      <c r="W73" s="17" t="n">
        <v>191.8624</v>
      </c>
      <c r="X73" s="17" t="n">
        <v>197.1278</v>
      </c>
      <c r="Y73" s="17" t="n">
        <v>190.8193</v>
      </c>
      <c r="Z73" s="17" t="n">
        <v>188.8556</v>
      </c>
      <c r="AA73" s="17" t="n">
        <v>172.1839</v>
      </c>
      <c r="AB73" s="17" t="n">
        <v>168.9064</v>
      </c>
      <c r="AC73" s="17" t="n">
        <v>187.7336</v>
      </c>
      <c r="AD73" s="17" t="n">
        <v>168.4215</v>
      </c>
      <c r="AE73" s="17" t="n">
        <v>156.2893</v>
      </c>
      <c r="AF73" s="17" t="n">
        <v>144.2397</v>
      </c>
      <c r="AG73" s="17" t="n">
        <v>147.3242</v>
      </c>
      <c r="AH73" s="17" t="n">
        <v>150.8235</v>
      </c>
      <c r="AI73" s="17" t="n">
        <v>163.3383</v>
      </c>
      <c r="AJ73" s="17" t="n">
        <v>149.0823</v>
      </c>
      <c r="AK73" s="17" t="n">
        <v>153.6881</v>
      </c>
      <c r="AL73" s="17" t="n">
        <v>144.0003</v>
      </c>
      <c r="AM73" s="17" t="n">
        <v>147.6079</v>
      </c>
      <c r="AN73" s="17" t="n">
        <v>138.6511</v>
      </c>
      <c r="AO73" s="17" t="n">
        <v>139.1182</v>
      </c>
      <c r="AP73" s="17" t="n">
        <v>150.8201</v>
      </c>
      <c r="AQ73" s="17" t="n">
        <v>156.154</v>
      </c>
      <c r="AR73" s="17" t="n">
        <v>170.9281</v>
      </c>
      <c r="AS73" s="17" t="n">
        <v>147.8526</v>
      </c>
      <c r="AT73" s="17" t="n">
        <v>136.682</v>
      </c>
      <c r="AU73" s="17" t="n">
        <v>96.25839999999999</v>
      </c>
      <c r="AV73" s="17" t="n">
        <v>106.2404</v>
      </c>
      <c r="AW73" s="17" t="n">
        <v>98.017</v>
      </c>
      <c r="AX73" s="17" t="n">
        <v>90.08320000000001</v>
      </c>
      <c r="AY73" s="17" t="n">
        <v>105.1493</v>
      </c>
      <c r="AZ73" s="17" t="n">
        <v>97.2985</v>
      </c>
      <c r="BA73" s="17" t="n">
        <v>105.0284</v>
      </c>
      <c r="BB73" s="17" t="n">
        <v>114.3856</v>
      </c>
      <c r="BC73" s="17" t="n">
        <v>126.183</v>
      </c>
      <c r="BD73" s="17" t="n">
        <v>84.4417</v>
      </c>
      <c r="BE73" s="17" t="n">
        <v>83.8467</v>
      </c>
      <c r="BF73" s="17" t="n">
        <v>82.16030000000001</v>
      </c>
      <c r="BG73" s="17" t="n">
        <v>94.1331</v>
      </c>
      <c r="BH73" s="17" t="n">
        <v>88.85850000000001</v>
      </c>
      <c r="BI73" s="17" t="n">
        <v>96</v>
      </c>
    </row>
    <row r="74">
      <c r="A74" s="10" t="inlineStr">
        <is>
          <t>Pakistan</t>
        </is>
      </c>
      <c r="B74" s="17" t="n">
        <v>558.6374</v>
      </c>
      <c r="C74" s="17" t="n">
        <v>606.3539</v>
      </c>
      <c r="D74" s="17" t="n">
        <v>570.1692</v>
      </c>
      <c r="E74" s="17" t="n">
        <v>612.9895</v>
      </c>
      <c r="F74" s="17" t="n">
        <v>716.1881</v>
      </c>
      <c r="G74" s="17" t="n">
        <v>965.3387</v>
      </c>
      <c r="H74" s="17" t="n">
        <v>858.4619</v>
      </c>
      <c r="I74" s="17" t="n">
        <v>1113.5077</v>
      </c>
      <c r="J74" s="17" t="n">
        <v>1253.4493</v>
      </c>
      <c r="K74" s="17" t="n">
        <v>1912.4594</v>
      </c>
      <c r="L74" s="17" t="n">
        <v>1461.5292</v>
      </c>
      <c r="M74" s="17" t="n">
        <v>2660.0122</v>
      </c>
      <c r="N74" s="17" t="n">
        <v>3328.586</v>
      </c>
      <c r="O74" s="17" t="n">
        <v>2623.4211</v>
      </c>
      <c r="P74" s="17" t="n">
        <v>2746.5112</v>
      </c>
      <c r="Q74" s="17" t="n">
        <v>2467.4411</v>
      </c>
      <c r="R74" s="17" t="n">
        <v>2429.3601</v>
      </c>
      <c r="S74" s="17" t="n">
        <v>3331.7692</v>
      </c>
      <c r="T74" s="17" t="n">
        <v>3378.8423</v>
      </c>
      <c r="U74" s="17" t="n">
        <v>3211.8552</v>
      </c>
      <c r="V74" s="17" t="n">
        <v>2243.0051</v>
      </c>
      <c r="W74" s="17" t="n">
        <v>1948.0065</v>
      </c>
      <c r="X74" s="17" t="n">
        <v>2101.4235</v>
      </c>
      <c r="Y74" s="17" t="n">
        <v>1975.4577</v>
      </c>
      <c r="Z74" s="17" t="n">
        <v>1853.703</v>
      </c>
      <c r="AA74" s="17" t="n">
        <v>1339.6882</v>
      </c>
      <c r="AB74" s="17" t="n">
        <v>1316.6199</v>
      </c>
      <c r="AC74" s="17" t="n">
        <v>1157.5379</v>
      </c>
      <c r="AD74" s="17" t="n">
        <v>989.1328</v>
      </c>
      <c r="AE74" s="17" t="n">
        <v>733.5694</v>
      </c>
      <c r="AF74" s="17" t="n">
        <v>677.3522</v>
      </c>
      <c r="AG74" s="17" t="n">
        <v>658.6871</v>
      </c>
      <c r="AH74" s="17" t="n">
        <v>729.2883</v>
      </c>
      <c r="AI74" s="17" t="n">
        <v>757.5653</v>
      </c>
      <c r="AJ74" s="17" t="n">
        <v>777.2712</v>
      </c>
      <c r="AK74" s="17" t="n">
        <v>676.2089999999999</v>
      </c>
      <c r="AL74" s="17" t="n">
        <v>642.6843</v>
      </c>
      <c r="AM74" s="17" t="n">
        <v>678.6309</v>
      </c>
      <c r="AN74" s="17" t="n">
        <v>654.1802</v>
      </c>
      <c r="AO74" s="17" t="n">
        <v>588.4831</v>
      </c>
      <c r="AP74" s="17" t="n">
        <v>612.0026</v>
      </c>
      <c r="AQ74" s="17" t="n">
        <v>680.15</v>
      </c>
      <c r="AR74" s="17" t="n">
        <v>853.1365</v>
      </c>
      <c r="AS74" s="17" t="n">
        <v>649.6374</v>
      </c>
      <c r="AT74" s="17" t="n">
        <v>594.3549</v>
      </c>
      <c r="AU74" s="17" t="n">
        <v>467.053</v>
      </c>
      <c r="AV74" s="17" t="n">
        <v>472.7019</v>
      </c>
      <c r="AW74" s="17" t="n">
        <v>427.6367</v>
      </c>
      <c r="AX74" s="17" t="n">
        <v>416.646</v>
      </c>
      <c r="AY74" s="17" t="n">
        <v>424.3189</v>
      </c>
      <c r="AZ74" s="17" t="n">
        <v>385.5343</v>
      </c>
      <c r="BA74" s="17" t="n">
        <v>349.1434</v>
      </c>
      <c r="BB74" s="17" t="n">
        <v>402.5321</v>
      </c>
      <c r="BC74" s="17" t="n">
        <v>500.0775</v>
      </c>
      <c r="BD74" s="17" t="n">
        <v>403.6659</v>
      </c>
      <c r="BE74" s="17" t="n">
        <v>377.7557</v>
      </c>
      <c r="BF74" s="17" t="n">
        <v>319.9006</v>
      </c>
      <c r="BG74" s="17" t="n">
        <v>334.3124</v>
      </c>
      <c r="BH74" s="17" t="n">
        <v>293.7866</v>
      </c>
      <c r="BI74" s="17" t="n">
        <v>316</v>
      </c>
    </row>
    <row r="75">
      <c r="A75" s="10" t="inlineStr">
        <is>
          <t>Panama</t>
        </is>
      </c>
      <c r="B75" s="17" t="n">
        <v>190.0041</v>
      </c>
      <c r="C75" s="17" t="n">
        <v>214.122</v>
      </c>
      <c r="D75" s="17" t="n">
        <v>186.7215</v>
      </c>
      <c r="E75" s="17" t="n">
        <v>207.4773</v>
      </c>
      <c r="F75" s="17" t="n">
        <v>237.765</v>
      </c>
      <c r="G75" s="17" t="n">
        <v>191.8515</v>
      </c>
      <c r="H75" s="17" t="n">
        <v>222.8148</v>
      </c>
      <c r="I75" s="17" t="n">
        <v>213.2937</v>
      </c>
      <c r="J75" s="17" t="n">
        <v>246.4071</v>
      </c>
      <c r="K75" s="17" t="n">
        <v>253.9885</v>
      </c>
      <c r="L75" s="17" t="n">
        <v>243.8753</v>
      </c>
      <c r="M75" s="17" t="n">
        <v>286.2959</v>
      </c>
      <c r="N75" s="17" t="n">
        <v>274.3676</v>
      </c>
      <c r="O75" s="17" t="n">
        <v>224.014</v>
      </c>
      <c r="P75" s="17" t="n">
        <v>214.7181</v>
      </c>
      <c r="Q75" s="17" t="n">
        <v>223.5204</v>
      </c>
      <c r="R75" s="17" t="n">
        <v>216.7205</v>
      </c>
      <c r="S75" s="17" t="n">
        <v>247.0752</v>
      </c>
      <c r="T75" s="17" t="n">
        <v>235.0184</v>
      </c>
      <c r="U75" s="17" t="n">
        <v>226.8413</v>
      </c>
      <c r="V75" s="17" t="n">
        <v>214.2719</v>
      </c>
      <c r="W75" s="17" t="n">
        <v>194.6241</v>
      </c>
      <c r="X75" s="17" t="n">
        <v>203.4648</v>
      </c>
      <c r="Y75" s="17" t="n">
        <v>221.1418</v>
      </c>
      <c r="Z75" s="17" t="n">
        <v>259.3358</v>
      </c>
      <c r="AA75" s="17" t="n">
        <v>284.6172</v>
      </c>
      <c r="AB75" s="17" t="n">
        <v>282.3898</v>
      </c>
      <c r="AC75" s="17" t="n">
        <v>310.5438</v>
      </c>
      <c r="AD75" s="17" t="n">
        <v>303.9427</v>
      </c>
      <c r="AE75" s="17" t="n">
        <v>283.0684</v>
      </c>
      <c r="AF75" s="17" t="n">
        <v>272.9422</v>
      </c>
      <c r="AG75" s="17" t="n">
        <v>261.4313</v>
      </c>
      <c r="AH75" s="17" t="n">
        <v>259.9396</v>
      </c>
      <c r="AI75" s="17" t="n">
        <v>262.6918</v>
      </c>
      <c r="AJ75" s="17" t="n">
        <v>253.8598</v>
      </c>
      <c r="AK75" s="17" t="n">
        <v>237.696</v>
      </c>
      <c r="AL75" s="17" t="n">
        <v>268.921</v>
      </c>
      <c r="AM75" s="17" t="n">
        <v>272.1429</v>
      </c>
      <c r="AN75" s="17" t="n">
        <v>303.3916</v>
      </c>
      <c r="AO75" s="17" t="n">
        <v>289.3408</v>
      </c>
      <c r="AP75" s="17" t="n">
        <v>290.9817</v>
      </c>
      <c r="AQ75" s="17" t="n">
        <v>303.4513</v>
      </c>
      <c r="AR75" s="17" t="n">
        <v>303.6512</v>
      </c>
      <c r="AS75" s="17" t="n">
        <v>280.0021</v>
      </c>
      <c r="AT75" s="17" t="n">
        <v>255.0187</v>
      </c>
      <c r="AU75" s="17" t="n">
        <v>231.0893</v>
      </c>
      <c r="AV75" s="17" t="n">
        <v>205.7073</v>
      </c>
      <c r="AW75" s="17" t="n">
        <v>176.3734</v>
      </c>
      <c r="AX75" s="17" t="n">
        <v>157.3321</v>
      </c>
      <c r="AY75" s="17" t="n">
        <v>178.8622</v>
      </c>
      <c r="AZ75" s="17" t="n">
        <v>155.0309</v>
      </c>
      <c r="BA75" s="17" t="n">
        <v>156.0062</v>
      </c>
      <c r="BB75" s="17" t="n">
        <v>151.8603</v>
      </c>
      <c r="BC75" s="17" t="n">
        <v>158.7334</v>
      </c>
      <c r="BD75" s="17" t="n">
        <v>112.647</v>
      </c>
      <c r="BE75" s="17" t="n">
        <v>114.5881</v>
      </c>
      <c r="BF75" s="17" t="n">
        <v>114.9334</v>
      </c>
      <c r="BG75" s="17" t="n">
        <v>123.1756</v>
      </c>
      <c r="BH75" s="17" t="n">
        <v>119.0196</v>
      </c>
      <c r="BI75" s="17" t="n">
        <v>123</v>
      </c>
    </row>
    <row r="76">
      <c r="A76" s="10" t="inlineStr">
        <is>
          <t>Papua New Guinea</t>
        </is>
      </c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  <c r="L76" s="17" t="inlineStr"/>
      <c r="M76" s="17" t="inlineStr"/>
      <c r="N76" s="17" t="inlineStr"/>
      <c r="O76" s="17" t="inlineStr"/>
      <c r="P76" s="17" t="inlineStr"/>
      <c r="Q76" s="17" t="inlineStr"/>
      <c r="R76" s="17" t="inlineStr"/>
      <c r="S76" s="17" t="inlineStr"/>
      <c r="T76" s="17" t="inlineStr"/>
      <c r="U76" s="17" t="inlineStr"/>
      <c r="V76" s="17" t="inlineStr"/>
      <c r="W76" s="17" t="inlineStr"/>
      <c r="X76" s="17" t="inlineStr"/>
      <c r="Y76" s="17" t="inlineStr"/>
      <c r="Z76" s="17" t="inlineStr"/>
      <c r="AA76" s="17" t="inlineStr"/>
      <c r="AB76" s="17" t="inlineStr"/>
      <c r="AC76" s="17" t="inlineStr"/>
      <c r="AD76" s="17" t="inlineStr"/>
      <c r="AE76" s="17" t="inlineStr"/>
      <c r="AF76" s="17" t="inlineStr"/>
      <c r="AG76" s="17" t="inlineStr"/>
      <c r="AH76" s="17" t="inlineStr"/>
      <c r="AI76" s="17" t="inlineStr"/>
      <c r="AJ76" s="17" t="inlineStr"/>
      <c r="AK76" s="17" t="inlineStr"/>
      <c r="AL76" s="17" t="inlineStr"/>
      <c r="AM76" s="17" t="inlineStr"/>
      <c r="AN76" s="17" t="inlineStr"/>
      <c r="AO76" s="17" t="inlineStr"/>
      <c r="AP76" s="17" t="inlineStr"/>
      <c r="AQ76" s="17" t="inlineStr"/>
      <c r="AR76" s="17" t="inlineStr"/>
      <c r="AS76" s="17" t="inlineStr"/>
      <c r="AT76" s="17" t="inlineStr"/>
      <c r="AU76" s="17" t="inlineStr"/>
      <c r="AV76" s="17" t="inlineStr"/>
      <c r="AW76" s="17" t="inlineStr"/>
      <c r="AX76" s="17" t="inlineStr"/>
      <c r="AY76" s="17" t="inlineStr"/>
      <c r="AZ76" s="17" t="inlineStr"/>
      <c r="BA76" s="17" t="inlineStr"/>
      <c r="BB76" s="17" t="inlineStr"/>
      <c r="BC76" s="17" t="inlineStr"/>
      <c r="BD76" s="17" t="inlineStr"/>
      <c r="BE76" s="17" t="inlineStr"/>
      <c r="BF76" s="17" t="inlineStr"/>
      <c r="BG76" s="17" t="inlineStr"/>
      <c r="BH76" s="17" t="inlineStr"/>
      <c r="BI76" s="17" t="n">
        <v>148</v>
      </c>
    </row>
    <row r="77">
      <c r="A77" s="10" t="inlineStr">
        <is>
          <t>Paraguay</t>
        </is>
      </c>
      <c r="B77" s="17" t="n">
        <v>244.5913</v>
      </c>
      <c r="C77" s="17" t="n">
        <v>266.3645</v>
      </c>
      <c r="D77" s="17" t="n">
        <v>228.3518</v>
      </c>
      <c r="E77" s="17" t="n">
        <v>242.3134</v>
      </c>
      <c r="F77" s="17" t="n">
        <v>300.066</v>
      </c>
      <c r="G77" s="17" t="n">
        <v>238.7037</v>
      </c>
      <c r="H77" s="17" t="n">
        <v>277.756</v>
      </c>
      <c r="I77" s="17" t="n">
        <v>294.1199</v>
      </c>
      <c r="J77" s="17" t="n">
        <v>357.1816</v>
      </c>
      <c r="K77" s="17" t="n">
        <v>282.3894</v>
      </c>
      <c r="L77" s="17" t="n">
        <v>281.5295</v>
      </c>
      <c r="M77" s="17" t="n">
        <v>330.1526</v>
      </c>
      <c r="N77" s="17" t="n">
        <v>267.6925</v>
      </c>
      <c r="O77" s="17" t="n">
        <v>233.3994</v>
      </c>
      <c r="P77" s="17" t="n">
        <v>200.1718</v>
      </c>
      <c r="Q77" s="17" t="n">
        <v>219.5419</v>
      </c>
      <c r="R77" s="17" t="n">
        <v>226.9399</v>
      </c>
      <c r="S77" s="17" t="n">
        <v>237.9465</v>
      </c>
      <c r="T77" s="17" t="n">
        <v>245.7332</v>
      </c>
      <c r="U77" s="17" t="n">
        <v>242.1423</v>
      </c>
      <c r="V77" s="17" t="n">
        <v>215.8626</v>
      </c>
      <c r="W77" s="17" t="n">
        <v>202.4382</v>
      </c>
      <c r="X77" s="17" t="n">
        <v>212.4452</v>
      </c>
      <c r="Y77" s="17" t="n">
        <v>211.7982</v>
      </c>
      <c r="Z77" s="17" t="n">
        <v>216.9664</v>
      </c>
      <c r="AA77" s="17" t="n">
        <v>201.0807</v>
      </c>
      <c r="AB77" s="17" t="n">
        <v>185.7234</v>
      </c>
      <c r="AC77" s="17" t="n">
        <v>204.4742</v>
      </c>
      <c r="AD77" s="17" t="n">
        <v>180.7821</v>
      </c>
      <c r="AE77" s="17" t="n">
        <v>170.1003</v>
      </c>
      <c r="AF77" s="17" t="n">
        <v>169.2633</v>
      </c>
      <c r="AG77" s="17" t="n">
        <v>164.3516</v>
      </c>
      <c r="AH77" s="17" t="n">
        <v>169.3734</v>
      </c>
      <c r="AI77" s="17" t="n">
        <v>168.0567</v>
      </c>
      <c r="AJ77" s="17" t="n">
        <v>160.264</v>
      </c>
      <c r="AK77" s="17" t="n">
        <v>157.8172</v>
      </c>
      <c r="AL77" s="17" t="n">
        <v>153.1215</v>
      </c>
      <c r="AM77" s="17" t="n">
        <v>159.1577</v>
      </c>
      <c r="AN77" s="17" t="n">
        <v>161.0282</v>
      </c>
      <c r="AO77" s="17" t="n">
        <v>162.6301</v>
      </c>
      <c r="AP77" s="17" t="n">
        <v>167.6783</v>
      </c>
      <c r="AQ77" s="17" t="n">
        <v>185.7945</v>
      </c>
      <c r="AR77" s="17" t="n">
        <v>184.7394</v>
      </c>
      <c r="AS77" s="17" t="n">
        <v>168.4919</v>
      </c>
      <c r="AT77" s="17" t="n">
        <v>162.6546</v>
      </c>
      <c r="AU77" s="17" t="n">
        <v>142.4124</v>
      </c>
      <c r="AV77" s="17" t="n">
        <v>134.7555</v>
      </c>
      <c r="AW77" s="17" t="n">
        <v>118.3062</v>
      </c>
      <c r="AX77" s="17" t="n">
        <v>116.0196</v>
      </c>
      <c r="AY77" s="17" t="n">
        <v>127.9333</v>
      </c>
      <c r="AZ77" s="17" t="n">
        <v>100.8006</v>
      </c>
      <c r="BA77" s="17" t="n">
        <v>108.467</v>
      </c>
      <c r="BB77" s="17" t="n">
        <v>118.1208</v>
      </c>
      <c r="BC77" s="17" t="n">
        <v>129.3418</v>
      </c>
      <c r="BD77" s="17" t="n">
        <v>107.7933</v>
      </c>
      <c r="BE77" s="17" t="n">
        <v>103.8819</v>
      </c>
      <c r="BF77" s="17" t="n">
        <v>97.837</v>
      </c>
      <c r="BG77" s="17" t="n">
        <v>105.5454</v>
      </c>
      <c r="BH77" s="17" t="n">
        <v>106.6436</v>
      </c>
      <c r="BI77" s="17" t="n">
        <v>115</v>
      </c>
    </row>
    <row r="78">
      <c r="A78" s="10" t="inlineStr">
        <is>
          <t>Peru</t>
        </is>
      </c>
      <c r="B78" s="17" t="n">
        <v>180.7921</v>
      </c>
      <c r="C78" s="17" t="n">
        <v>194.3809</v>
      </c>
      <c r="D78" s="17" t="n">
        <v>170.0151</v>
      </c>
      <c r="E78" s="17" t="n">
        <v>185.5419</v>
      </c>
      <c r="F78" s="17" t="n">
        <v>212.9399</v>
      </c>
      <c r="G78" s="17" t="n">
        <v>171.1896</v>
      </c>
      <c r="H78" s="17" t="n">
        <v>218.2629</v>
      </c>
      <c r="I78" s="17" t="n">
        <v>194.2521</v>
      </c>
      <c r="J78" s="17" t="n">
        <v>234.6869</v>
      </c>
      <c r="K78" s="17" t="n">
        <v>218.8237</v>
      </c>
      <c r="L78" s="17" t="n">
        <v>217.571</v>
      </c>
      <c r="M78" s="17" t="n">
        <v>246.3211</v>
      </c>
      <c r="N78" s="17" t="n">
        <v>227.954</v>
      </c>
      <c r="O78" s="17" t="n">
        <v>192.7964</v>
      </c>
      <c r="P78" s="17" t="n">
        <v>193.8948</v>
      </c>
      <c r="Q78" s="17" t="n">
        <v>205.9432</v>
      </c>
      <c r="R78" s="17" t="n">
        <v>190.5286</v>
      </c>
      <c r="S78" s="17" t="n">
        <v>208.6011</v>
      </c>
      <c r="T78" s="17" t="n">
        <v>193.2021</v>
      </c>
      <c r="U78" s="17" t="n">
        <v>199.5678</v>
      </c>
      <c r="V78" s="17" t="n">
        <v>172.2959</v>
      </c>
      <c r="W78" s="17" t="n">
        <v>162.8527</v>
      </c>
      <c r="X78" s="17" t="n">
        <v>163.5184</v>
      </c>
      <c r="Y78" s="17" t="n">
        <v>174.0876</v>
      </c>
      <c r="Z78" s="17" t="n">
        <v>176.3782</v>
      </c>
      <c r="AA78" s="17" t="n">
        <v>160.4871</v>
      </c>
      <c r="AB78" s="17" t="n">
        <v>159.7091</v>
      </c>
      <c r="AC78" s="17" t="n">
        <v>167.4196</v>
      </c>
      <c r="AD78" s="17" t="n">
        <v>152.5522</v>
      </c>
      <c r="AE78" s="17" t="n">
        <v>152.3601</v>
      </c>
      <c r="AF78" s="17" t="n">
        <v>160.095</v>
      </c>
      <c r="AG78" s="17" t="n">
        <v>158.7921</v>
      </c>
      <c r="AH78" s="17" t="n">
        <v>153.639</v>
      </c>
      <c r="AI78" s="17" t="n">
        <v>164.4024</v>
      </c>
      <c r="AJ78" s="17" t="n">
        <v>156.536</v>
      </c>
      <c r="AK78" s="17" t="n">
        <v>153.5601</v>
      </c>
      <c r="AL78" s="17" t="n">
        <v>155.5105</v>
      </c>
      <c r="AM78" s="17" t="n">
        <v>156.9437</v>
      </c>
      <c r="AN78" s="17" t="n">
        <v>157.4843</v>
      </c>
      <c r="AO78" s="17" t="n">
        <v>158.5477</v>
      </c>
      <c r="AP78" s="17" t="n">
        <v>163.8528</v>
      </c>
      <c r="AQ78" s="17" t="n">
        <v>170.1749</v>
      </c>
      <c r="AR78" s="17" t="n">
        <v>176.1823</v>
      </c>
      <c r="AS78" s="17" t="n">
        <v>157.5314</v>
      </c>
      <c r="AT78" s="17" t="n">
        <v>154.2717</v>
      </c>
      <c r="AU78" s="17" t="n">
        <v>140.1609</v>
      </c>
      <c r="AV78" s="17" t="n">
        <v>131.6334</v>
      </c>
      <c r="AW78" s="17" t="n">
        <v>119.454</v>
      </c>
      <c r="AX78" s="17" t="n">
        <v>120.3781</v>
      </c>
      <c r="AY78" s="17" t="n">
        <v>128.5554</v>
      </c>
      <c r="AZ78" s="17" t="n">
        <v>134.7697</v>
      </c>
      <c r="BA78" s="17" t="n">
        <v>128.8181</v>
      </c>
      <c r="BB78" s="17" t="n">
        <v>143.4028</v>
      </c>
      <c r="BC78" s="17" t="n">
        <v>138.8509</v>
      </c>
      <c r="BD78" s="17" t="n">
        <v>119.7062</v>
      </c>
      <c r="BE78" s="17" t="n">
        <v>112.6728</v>
      </c>
      <c r="BF78" s="17" t="n">
        <v>109.3321</v>
      </c>
      <c r="BG78" s="17" t="n">
        <v>112.8521</v>
      </c>
      <c r="BH78" s="17" t="n">
        <v>105.6037</v>
      </c>
      <c r="BI78" s="17" t="n">
        <v>107</v>
      </c>
    </row>
    <row r="79">
      <c r="A79" s="10" t="inlineStr">
        <is>
          <t>Philippines</t>
        </is>
      </c>
      <c r="B79" s="17" t="n">
        <v>109.8182</v>
      </c>
      <c r="C79" s="17" t="n">
        <v>115.9218</v>
      </c>
      <c r="D79" s="17" t="n">
        <v>93.35469999999999</v>
      </c>
      <c r="E79" s="17" t="n">
        <v>111.0688</v>
      </c>
      <c r="F79" s="17" t="n">
        <v>153.3074</v>
      </c>
      <c r="G79" s="17" t="n">
        <v>105.2828</v>
      </c>
      <c r="H79" s="17" t="n">
        <v>133.8745</v>
      </c>
      <c r="I79" s="17" t="n">
        <v>119.2679</v>
      </c>
      <c r="J79" s="17" t="n">
        <v>151.7589</v>
      </c>
      <c r="K79" s="17" t="n">
        <v>122.8656</v>
      </c>
      <c r="L79" s="17" t="n">
        <v>107.2264</v>
      </c>
      <c r="M79" s="17" t="n">
        <v>145.4175</v>
      </c>
      <c r="N79" s="17" t="n">
        <v>145.2084</v>
      </c>
      <c r="O79" s="17" t="n">
        <v>118.5779</v>
      </c>
      <c r="P79" s="17" t="n">
        <v>84.7848</v>
      </c>
      <c r="Q79" s="17" t="n">
        <v>110.2367</v>
      </c>
      <c r="R79" s="17" t="n">
        <v>105.0829</v>
      </c>
      <c r="S79" s="17" t="n">
        <v>117.8394</v>
      </c>
      <c r="T79" s="17" t="n">
        <v>108.9839</v>
      </c>
      <c r="U79" s="17" t="n">
        <v>102.5191</v>
      </c>
      <c r="V79" s="17" t="n">
        <v>96.32259999999999</v>
      </c>
      <c r="W79" s="17" t="n">
        <v>81.30670000000001</v>
      </c>
      <c r="X79" s="17" t="n">
        <v>90.4709</v>
      </c>
      <c r="Y79" s="17" t="n">
        <v>93.4731</v>
      </c>
      <c r="Z79" s="17" t="n">
        <v>88.8267</v>
      </c>
      <c r="AA79" s="17" t="n">
        <v>73.81019999999999</v>
      </c>
      <c r="AB79" s="17" t="n">
        <v>67.3707</v>
      </c>
      <c r="AC79" s="17" t="n">
        <v>90.505</v>
      </c>
      <c r="AD79" s="17" t="n">
        <v>76.4521</v>
      </c>
      <c r="AE79" s="17" t="n">
        <v>75.32129999999999</v>
      </c>
      <c r="AF79" s="17" t="n">
        <v>73.0775</v>
      </c>
      <c r="AG79" s="17" t="n">
        <v>76.66589999999999</v>
      </c>
      <c r="AH79" s="17" t="n">
        <v>72.9813</v>
      </c>
      <c r="AI79" s="17" t="n">
        <v>81.7559</v>
      </c>
      <c r="AJ79" s="17" t="n">
        <v>77.5326</v>
      </c>
      <c r="AK79" s="17" t="n">
        <v>73.1662</v>
      </c>
      <c r="AL79" s="17" t="n">
        <v>68.81789999999999</v>
      </c>
      <c r="AM79" s="17" t="n">
        <v>80.3747</v>
      </c>
      <c r="AN79" s="17" t="n">
        <v>73.4774</v>
      </c>
      <c r="AO79" s="17" t="n">
        <v>80.7362</v>
      </c>
      <c r="AP79" s="17" t="n">
        <v>92.73569999999999</v>
      </c>
      <c r="AQ79" s="17" t="n">
        <v>91.2878</v>
      </c>
      <c r="AR79" s="17" t="n">
        <v>90.8775</v>
      </c>
      <c r="AS79" s="17" t="n">
        <v>73.5955</v>
      </c>
      <c r="AT79" s="17" t="n">
        <v>74.2028</v>
      </c>
      <c r="AU79" s="17" t="n">
        <v>52.262</v>
      </c>
      <c r="AV79" s="17" t="n">
        <v>55.7266</v>
      </c>
      <c r="AW79" s="17" t="n">
        <v>51.1618</v>
      </c>
      <c r="AX79" s="17" t="n">
        <v>55.6903</v>
      </c>
      <c r="AY79" s="17" t="n">
        <v>66.6494</v>
      </c>
      <c r="AZ79" s="17" t="n">
        <v>58.8211</v>
      </c>
      <c r="BA79" s="17" t="n">
        <v>65.37569999999999</v>
      </c>
      <c r="BB79" s="17" t="n">
        <v>76.5311</v>
      </c>
      <c r="BC79" s="17" t="n">
        <v>86.4443</v>
      </c>
      <c r="BD79" s="17" t="n">
        <v>71.9922</v>
      </c>
      <c r="BE79" s="17" t="n">
        <v>72.91289999999999</v>
      </c>
      <c r="BF79" s="17" t="n">
        <v>68.01049999999999</v>
      </c>
      <c r="BG79" s="17" t="n">
        <v>78.76519999999999</v>
      </c>
      <c r="BH79" s="17" t="n">
        <v>74.44929999999999</v>
      </c>
      <c r="BI79" s="17" t="n">
        <v>78</v>
      </c>
    </row>
    <row r="80">
      <c r="A80" s="10" t="inlineStr">
        <is>
          <t>Poland</t>
        </is>
      </c>
      <c r="B80" s="17" t="n">
        <v>39.4623</v>
      </c>
      <c r="C80" s="17" t="n">
        <v>56.4175</v>
      </c>
      <c r="D80" s="17" t="n">
        <v>24.1222</v>
      </c>
      <c r="E80" s="17" t="n">
        <v>7.1451</v>
      </c>
      <c r="F80" s="17" t="n">
        <v>62.3741</v>
      </c>
      <c r="G80" s="17" t="n">
        <v>17.0697</v>
      </c>
      <c r="H80" s="17" t="n">
        <v>6.6913</v>
      </c>
      <c r="I80" s="17" t="n">
        <v>10.7039</v>
      </c>
      <c r="J80" s="17" t="n">
        <v>93.6448</v>
      </c>
      <c r="K80" s="17" t="n">
        <v>19.8643</v>
      </c>
      <c r="L80" s="17" t="n">
        <v>22.2937</v>
      </c>
      <c r="M80" s="17" t="n">
        <v>73.0514</v>
      </c>
      <c r="N80" s="17" t="n">
        <v>59.5799</v>
      </c>
      <c r="O80" s="17" t="n">
        <v>93.077</v>
      </c>
      <c r="P80" s="17" t="n">
        <v>73.67610000000001</v>
      </c>
      <c r="Q80" s="17" t="n">
        <v>82.2285</v>
      </c>
      <c r="R80" s="17" t="n">
        <v>74.9122</v>
      </c>
      <c r="S80" s="17" t="n">
        <v>80.4255</v>
      </c>
      <c r="T80" s="17" t="n">
        <v>121.598</v>
      </c>
      <c r="U80" s="17" t="n">
        <v>130.2503</v>
      </c>
      <c r="V80" s="17" t="n">
        <v>128.2035</v>
      </c>
      <c r="W80" s="17" t="n">
        <v>109.0645</v>
      </c>
      <c r="X80" s="17" t="n">
        <v>119.0087</v>
      </c>
      <c r="Y80" s="17" t="n">
        <v>123.3446</v>
      </c>
      <c r="Z80" s="17" t="n">
        <v>104.9038</v>
      </c>
      <c r="AA80" s="17" t="n">
        <v>100.0358</v>
      </c>
      <c r="AB80" s="17" t="n">
        <v>91.7098</v>
      </c>
      <c r="AC80" s="17" t="n">
        <v>102.9325</v>
      </c>
      <c r="AD80" s="17" t="n">
        <v>88.6581</v>
      </c>
      <c r="AE80" s="17" t="n">
        <v>98.15130000000001</v>
      </c>
      <c r="AF80" s="17" t="n">
        <v>91.36750000000001</v>
      </c>
      <c r="AG80" s="17" t="n">
        <v>93.77209999999999</v>
      </c>
      <c r="AH80" s="17" t="n">
        <v>93.8884</v>
      </c>
      <c r="AI80" s="17" t="n">
        <v>114.8426</v>
      </c>
      <c r="AJ80" s="17" t="n">
        <v>103.0934</v>
      </c>
      <c r="AK80" s="17" t="n">
        <v>112.1483</v>
      </c>
      <c r="AL80" s="17" t="n">
        <v>111.5651</v>
      </c>
      <c r="AM80" s="17" t="n">
        <v>119.8237</v>
      </c>
      <c r="AN80" s="17" t="n">
        <v>115.029</v>
      </c>
      <c r="AO80" s="17" t="n">
        <v>110.029</v>
      </c>
      <c r="AP80" s="17" t="n">
        <v>114.5461</v>
      </c>
      <c r="AQ80" s="17" t="n">
        <v>119.3589</v>
      </c>
      <c r="AR80" s="17" t="n">
        <v>117.6519</v>
      </c>
      <c r="AS80" s="17" t="n">
        <v>110.539</v>
      </c>
      <c r="AT80" s="17" t="n">
        <v>107.4663</v>
      </c>
      <c r="AU80" s="17" t="n">
        <v>89.8026</v>
      </c>
      <c r="AV80" s="17" t="n">
        <v>92.8703</v>
      </c>
      <c r="AW80" s="17" t="n">
        <v>85.5615</v>
      </c>
      <c r="AX80" s="17" t="n">
        <v>82.07559999999999</v>
      </c>
      <c r="AY80" s="17" t="n">
        <v>89.6764</v>
      </c>
      <c r="AZ80" s="17" t="n">
        <v>85.0552</v>
      </c>
      <c r="BA80" s="17" t="n">
        <v>85.759</v>
      </c>
      <c r="BB80" s="17" t="n">
        <v>88.5484</v>
      </c>
      <c r="BC80" s="17" t="n">
        <v>98.4474</v>
      </c>
      <c r="BD80" s="17" t="n">
        <v>88.30500000000001</v>
      </c>
      <c r="BE80" s="17" t="n">
        <v>89.24639999999999</v>
      </c>
      <c r="BF80" s="17" t="n">
        <v>78.71129999999999</v>
      </c>
      <c r="BG80" s="17" t="n">
        <v>88.0133</v>
      </c>
      <c r="BH80" s="17" t="n">
        <v>86.73609999999999</v>
      </c>
      <c r="BI80" s="17" t="n">
        <v>92</v>
      </c>
    </row>
    <row r="81">
      <c r="A81" s="10" t="inlineStr">
        <is>
          <t>Qatar</t>
        </is>
      </c>
      <c r="B81" s="17" t="n">
        <v>118.818</v>
      </c>
      <c r="C81" s="17" t="n">
        <v>124.1094</v>
      </c>
      <c r="D81" s="17" t="n">
        <v>107.6467</v>
      </c>
      <c r="E81" s="17" t="n">
        <v>111.9553</v>
      </c>
      <c r="F81" s="17" t="n">
        <v>121.1217</v>
      </c>
      <c r="G81" s="17" t="n">
        <v>104.1494</v>
      </c>
      <c r="H81" s="17" t="n">
        <v>107.5372</v>
      </c>
      <c r="I81" s="17" t="n">
        <v>98.431</v>
      </c>
      <c r="J81" s="17" t="n">
        <v>125.2092</v>
      </c>
      <c r="K81" s="17" t="n">
        <v>105.6095</v>
      </c>
      <c r="L81" s="17" t="n">
        <v>96.7268</v>
      </c>
      <c r="M81" s="17" t="n">
        <v>118.8054</v>
      </c>
      <c r="N81" s="17" t="n">
        <v>111.6594</v>
      </c>
      <c r="O81" s="17" t="n">
        <v>104.5871</v>
      </c>
      <c r="P81" s="17" t="n">
        <v>78.9198</v>
      </c>
      <c r="Q81" s="17" t="n">
        <v>94.27290000000001</v>
      </c>
      <c r="R81" s="17" t="n">
        <v>91.8954</v>
      </c>
      <c r="S81" s="17" t="n">
        <v>104.7053</v>
      </c>
      <c r="T81" s="17" t="n">
        <v>95.1861</v>
      </c>
      <c r="U81" s="17" t="n">
        <v>100.573</v>
      </c>
      <c r="V81" s="17" t="n">
        <v>90.9062</v>
      </c>
      <c r="W81" s="17" t="n">
        <v>79.3142</v>
      </c>
      <c r="X81" s="17" t="n">
        <v>85.8278</v>
      </c>
      <c r="Y81" s="17" t="n">
        <v>80.6474</v>
      </c>
      <c r="Z81" s="17" t="n">
        <v>87.8989</v>
      </c>
      <c r="AA81" s="17" t="n">
        <v>85.4846</v>
      </c>
      <c r="AB81" s="17" t="n">
        <v>73.1502</v>
      </c>
      <c r="AC81" s="17" t="n">
        <v>94.2449</v>
      </c>
      <c r="AD81" s="17" t="n">
        <v>74.50279999999999</v>
      </c>
      <c r="AE81" s="17" t="n">
        <v>71.2206</v>
      </c>
      <c r="AF81" s="17" t="n">
        <v>66.8877</v>
      </c>
      <c r="AG81" s="17" t="n">
        <v>64.8865</v>
      </c>
      <c r="AH81" s="17" t="n">
        <v>59.6599</v>
      </c>
      <c r="AI81" s="17" t="n">
        <v>72.0056</v>
      </c>
      <c r="AJ81" s="17" t="n">
        <v>59.5351</v>
      </c>
      <c r="AK81" s="17" t="n">
        <v>64.1661</v>
      </c>
      <c r="AL81" s="17" t="n">
        <v>56.4348</v>
      </c>
      <c r="AM81" s="17" t="n">
        <v>67.7379</v>
      </c>
      <c r="AN81" s="17" t="n">
        <v>58.4529</v>
      </c>
      <c r="AO81" s="17" t="n">
        <v>58.8754</v>
      </c>
      <c r="AP81" s="17" t="n">
        <v>72.7748</v>
      </c>
      <c r="AQ81" s="17" t="n">
        <v>73.2099</v>
      </c>
      <c r="AR81" s="17" t="n">
        <v>76.23569999999999</v>
      </c>
      <c r="AS81" s="17" t="n">
        <v>62.7588</v>
      </c>
      <c r="AT81" s="17" t="n">
        <v>69.124</v>
      </c>
      <c r="AU81" s="17" t="n">
        <v>47.986</v>
      </c>
      <c r="AV81" s="17" t="inlineStr"/>
      <c r="AW81" s="17" t="inlineStr"/>
      <c r="AX81" s="17" t="inlineStr"/>
      <c r="AY81" s="17" t="inlineStr"/>
      <c r="AZ81" s="17" t="inlineStr"/>
      <c r="BA81" s="17" t="inlineStr"/>
      <c r="BB81" s="17" t="inlineStr"/>
      <c r="BC81" s="17" t="inlineStr"/>
      <c r="BD81" s="17" t="inlineStr"/>
      <c r="BE81" s="17" t="inlineStr"/>
      <c r="BF81" s="17" t="inlineStr"/>
      <c r="BG81" s="17" t="inlineStr"/>
      <c r="BH81" s="17" t="inlineStr"/>
      <c r="BI81" s="17" t="n">
        <v>0</v>
      </c>
    </row>
    <row r="82">
      <c r="A82" s="10" t="inlineStr">
        <is>
          <t>Republic of Congo</t>
        </is>
      </c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  <c r="L82" s="17" t="inlineStr"/>
      <c r="M82" s="17" t="inlineStr"/>
      <c r="N82" s="17" t="inlineStr"/>
      <c r="O82" s="17" t="inlineStr"/>
      <c r="P82" s="17" t="inlineStr"/>
      <c r="Q82" s="17" t="inlineStr"/>
      <c r="R82" s="17" t="inlineStr"/>
      <c r="S82" s="17" t="inlineStr"/>
      <c r="T82" s="17" t="inlineStr"/>
      <c r="U82" s="17" t="inlineStr"/>
      <c r="V82" s="17" t="inlineStr"/>
      <c r="W82" s="17" t="inlineStr"/>
      <c r="X82" s="17" t="inlineStr"/>
      <c r="Y82" s="17" t="inlineStr"/>
      <c r="Z82" s="17" t="inlineStr"/>
      <c r="AA82" s="17" t="inlineStr"/>
      <c r="AB82" s="17" t="inlineStr"/>
      <c r="AC82" s="17" t="inlineStr"/>
      <c r="AD82" s="17" t="inlineStr"/>
      <c r="AE82" s="17" t="inlineStr"/>
      <c r="AF82" s="17" t="inlineStr"/>
      <c r="AG82" s="17" t="inlineStr"/>
      <c r="AH82" s="17" t="inlineStr"/>
      <c r="AI82" s="17" t="inlineStr"/>
      <c r="AJ82" s="17" t="inlineStr"/>
      <c r="AK82" s="17" t="inlineStr"/>
      <c r="AL82" s="17" t="inlineStr"/>
      <c r="AM82" s="17" t="inlineStr"/>
      <c r="AN82" s="17" t="inlineStr"/>
      <c r="AO82" s="17" t="inlineStr"/>
      <c r="AP82" s="17" t="inlineStr"/>
      <c r="AQ82" s="17" t="inlineStr"/>
      <c r="AR82" s="17" t="inlineStr"/>
      <c r="AS82" s="17" t="inlineStr"/>
      <c r="AT82" s="17" t="inlineStr"/>
      <c r="AU82" s="17" t="inlineStr"/>
      <c r="AV82" s="17" t="inlineStr"/>
      <c r="AW82" s="17" t="inlineStr"/>
      <c r="AX82" s="17" t="inlineStr"/>
      <c r="AY82" s="17" t="inlineStr"/>
      <c r="AZ82" s="17" t="inlineStr"/>
      <c r="BA82" s="17" t="inlineStr"/>
      <c r="BB82" s="17" t="inlineStr"/>
      <c r="BC82" s="17" t="n">
        <v>747.0343</v>
      </c>
      <c r="BD82" s="17" t="n">
        <v>593.1733</v>
      </c>
      <c r="BE82" s="17" t="n">
        <v>494.8271</v>
      </c>
      <c r="BF82" s="17" t="n">
        <v>553.6962</v>
      </c>
      <c r="BG82" s="17" t="n">
        <v>565.5927</v>
      </c>
      <c r="BH82" s="17" t="n">
        <v>515.4942</v>
      </c>
      <c r="BI82" s="17" t="n">
        <v>514</v>
      </c>
    </row>
    <row r="83">
      <c r="A83" s="10" t="inlineStr">
        <is>
          <t>Romania</t>
        </is>
      </c>
      <c r="B83" s="17" t="n">
        <v>196.7307</v>
      </c>
      <c r="C83" s="17" t="n">
        <v>220.6626</v>
      </c>
      <c r="D83" s="17" t="n">
        <v>192.417</v>
      </c>
      <c r="E83" s="17" t="n">
        <v>201.4991</v>
      </c>
      <c r="F83" s="17" t="n">
        <v>252.5455</v>
      </c>
      <c r="G83" s="17" t="n">
        <v>204.4057</v>
      </c>
      <c r="H83" s="17" t="n">
        <v>241.3548</v>
      </c>
      <c r="I83" s="17" t="n">
        <v>247.2383</v>
      </c>
      <c r="J83" s="17" t="n">
        <v>344.1302</v>
      </c>
      <c r="K83" s="17" t="n">
        <v>310.3098</v>
      </c>
      <c r="L83" s="17" t="n">
        <v>283.0077</v>
      </c>
      <c r="M83" s="17" t="n">
        <v>372.8562</v>
      </c>
      <c r="N83" s="17" t="n">
        <v>323.1376</v>
      </c>
      <c r="O83" s="17" t="n">
        <v>258.7245</v>
      </c>
      <c r="P83" s="17" t="n">
        <v>247.3904</v>
      </c>
      <c r="Q83" s="17" t="n">
        <v>252.7495</v>
      </c>
      <c r="R83" s="17" t="n">
        <v>230.9316</v>
      </c>
      <c r="S83" s="17" t="n">
        <v>259.1075</v>
      </c>
      <c r="T83" s="17" t="n">
        <v>254.5872</v>
      </c>
      <c r="U83" s="17" t="n">
        <v>251.9529</v>
      </c>
      <c r="V83" s="17" t="n">
        <v>220.2618</v>
      </c>
      <c r="W83" s="17" t="n">
        <v>192.1445</v>
      </c>
      <c r="X83" s="17" t="n">
        <v>207.9412</v>
      </c>
      <c r="Y83" s="17" t="n">
        <v>206.0035</v>
      </c>
      <c r="Z83" s="17" t="n">
        <v>207.6429</v>
      </c>
      <c r="AA83" s="17" t="n">
        <v>208.9182</v>
      </c>
      <c r="AB83" s="17" t="n">
        <v>198.6073</v>
      </c>
      <c r="AC83" s="17" t="n">
        <v>195.4248</v>
      </c>
      <c r="AD83" s="17" t="n">
        <v>192.1385</v>
      </c>
      <c r="AE83" s="17" t="n">
        <v>178.1136</v>
      </c>
      <c r="AF83" s="17" t="n">
        <v>176.1986</v>
      </c>
      <c r="AG83" s="17" t="n">
        <v>171.659</v>
      </c>
      <c r="AH83" s="17" t="n">
        <v>181.2663</v>
      </c>
      <c r="AI83" s="17" t="n">
        <v>190.8801</v>
      </c>
      <c r="AJ83" s="17" t="n">
        <v>192.0891</v>
      </c>
      <c r="AK83" s="17" t="n">
        <v>191.7838</v>
      </c>
      <c r="AL83" s="17" t="n">
        <v>197.9717</v>
      </c>
      <c r="AM83" s="17" t="n">
        <v>233.3519</v>
      </c>
      <c r="AN83" s="17" t="n">
        <v>234.6006</v>
      </c>
      <c r="AO83" s="17" t="n">
        <v>237.6636</v>
      </c>
      <c r="AP83" s="17" t="n">
        <v>248.8602</v>
      </c>
      <c r="AQ83" s="17" t="n">
        <v>263.9629</v>
      </c>
      <c r="AR83" s="17" t="n">
        <v>294.0755</v>
      </c>
      <c r="AS83" s="17" t="n">
        <v>259.7342</v>
      </c>
      <c r="AT83" s="17" t="n">
        <v>236.8575</v>
      </c>
      <c r="AU83" s="17" t="n">
        <v>195.4781</v>
      </c>
      <c r="AV83" s="17" t="n">
        <v>207.1258</v>
      </c>
      <c r="AW83" s="17" t="n">
        <v>196.7612</v>
      </c>
      <c r="AX83" s="17" t="n">
        <v>181.4774</v>
      </c>
      <c r="AY83" s="17" t="n">
        <v>186.3589</v>
      </c>
      <c r="AZ83" s="17" t="n">
        <v>165.2906</v>
      </c>
      <c r="BA83" s="17" t="n">
        <v>152.565</v>
      </c>
      <c r="BB83" s="17" t="n">
        <v>156.4062</v>
      </c>
      <c r="BC83" s="17" t="n">
        <v>214.4309</v>
      </c>
      <c r="BD83" s="17" t="n">
        <v>186.1315</v>
      </c>
      <c r="BE83" s="17" t="n">
        <v>168.5928</v>
      </c>
      <c r="BF83" s="17" t="n">
        <v>167.4123</v>
      </c>
      <c r="BG83" s="17" t="n">
        <v>167.8035</v>
      </c>
      <c r="BH83" s="17" t="n">
        <v>166.7118</v>
      </c>
      <c r="BI83" s="17" t="n">
        <v>173</v>
      </c>
    </row>
    <row r="84">
      <c r="A84" s="10" t="inlineStr">
        <is>
          <t>Russia</t>
        </is>
      </c>
      <c r="B84" s="17" t="n">
        <v>156.4837</v>
      </c>
      <c r="C84" s="17" t="n">
        <v>172.1997</v>
      </c>
      <c r="D84" s="17" t="n">
        <v>167.4014</v>
      </c>
      <c r="E84" s="17" t="n">
        <v>267.2541</v>
      </c>
      <c r="F84" s="17" t="n">
        <v>2360.3013</v>
      </c>
      <c r="G84" s="17" t="inlineStr"/>
      <c r="H84" s="17" t="inlineStr"/>
      <c r="I84" s="17" t="inlineStr"/>
      <c r="J84" s="17" t="inlineStr"/>
      <c r="K84" s="17" t="inlineStr"/>
      <c r="L84" s="17" t="inlineStr"/>
      <c r="M84" s="17" t="inlineStr"/>
      <c r="N84" s="17" t="inlineStr"/>
      <c r="O84" s="17" t="inlineStr"/>
      <c r="P84" s="17" t="inlineStr"/>
      <c r="Q84" s="17" t="inlineStr"/>
      <c r="R84" s="17" t="inlineStr"/>
      <c r="S84" s="17" t="inlineStr"/>
      <c r="T84" s="17" t="inlineStr"/>
      <c r="U84" s="17" t="inlineStr"/>
      <c r="V84" s="17" t="inlineStr"/>
      <c r="W84" s="17" t="inlineStr"/>
      <c r="X84" s="17" t="inlineStr"/>
      <c r="Y84" s="17" t="inlineStr"/>
      <c r="Z84" s="17" t="inlineStr"/>
      <c r="AA84" s="17" t="inlineStr"/>
      <c r="AB84" s="17" t="inlineStr"/>
      <c r="AC84" s="17" t="inlineStr"/>
      <c r="AD84" s="17" t="inlineStr"/>
      <c r="AE84" s="17" t="inlineStr"/>
      <c r="AF84" s="17" t="inlineStr"/>
      <c r="AG84" s="17" t="inlineStr"/>
      <c r="AH84" s="17" t="inlineStr"/>
      <c r="AI84" s="17" t="inlineStr"/>
      <c r="AJ84" s="17" t="inlineStr"/>
      <c r="AK84" s="17" t="inlineStr"/>
      <c r="AL84" s="17" t="inlineStr"/>
      <c r="AM84" s="17" t="inlineStr"/>
      <c r="AN84" s="17" t="inlineStr"/>
      <c r="AO84" s="17" t="inlineStr"/>
      <c r="AP84" s="17" t="inlineStr"/>
      <c r="AQ84" s="17" t="inlineStr"/>
      <c r="AR84" s="17" t="inlineStr"/>
      <c r="AS84" s="17" t="inlineStr"/>
      <c r="AT84" s="17" t="inlineStr"/>
      <c r="AU84" s="17" t="inlineStr"/>
      <c r="AV84" s="17" t="inlineStr"/>
      <c r="AW84" s="17" t="inlineStr"/>
      <c r="AX84" s="17" t="inlineStr"/>
      <c r="AY84" s="17" t="inlineStr"/>
      <c r="AZ84" s="17" t="inlineStr"/>
      <c r="BA84" s="17" t="inlineStr"/>
      <c r="BB84" s="17" t="inlineStr"/>
      <c r="BC84" s="17" t="inlineStr"/>
      <c r="BD84" s="17" t="inlineStr"/>
      <c r="BE84" s="17" t="inlineStr"/>
      <c r="BF84" s="17" t="inlineStr"/>
      <c r="BG84" s="17" t="inlineStr"/>
      <c r="BH84" s="17" t="inlineStr"/>
      <c r="BI84" s="17" t="n">
        <v>0</v>
      </c>
    </row>
    <row r="85">
      <c r="A85" s="10" t="inlineStr">
        <is>
          <t>Rwanda</t>
        </is>
      </c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  <c r="L85" s="17" t="inlineStr"/>
      <c r="M85" s="17" t="inlineStr"/>
      <c r="N85" s="17" t="inlineStr"/>
      <c r="O85" s="17" t="inlineStr"/>
      <c r="P85" s="17" t="inlineStr"/>
      <c r="Q85" s="17" t="inlineStr"/>
      <c r="R85" s="17" t="inlineStr"/>
      <c r="S85" s="17" t="inlineStr"/>
      <c r="T85" s="17" t="inlineStr"/>
      <c r="U85" s="17" t="inlineStr"/>
      <c r="V85" s="17" t="inlineStr"/>
      <c r="W85" s="17" t="inlineStr"/>
      <c r="X85" s="17" t="inlineStr"/>
      <c r="Y85" s="17" t="inlineStr"/>
      <c r="Z85" s="17" t="inlineStr"/>
      <c r="AA85" s="17" t="inlineStr"/>
      <c r="AB85" s="17" t="inlineStr"/>
      <c r="AC85" s="17" t="inlineStr"/>
      <c r="AD85" s="17" t="inlineStr"/>
      <c r="AE85" s="17" t="inlineStr"/>
      <c r="AF85" s="17" t="inlineStr"/>
      <c r="AG85" s="17" t="inlineStr"/>
      <c r="AH85" s="17" t="inlineStr"/>
      <c r="AI85" s="17" t="inlineStr"/>
      <c r="AJ85" s="17" t="inlineStr"/>
      <c r="AK85" s="17" t="inlineStr"/>
      <c r="AL85" s="17" t="inlineStr"/>
      <c r="AM85" s="17" t="inlineStr"/>
      <c r="AN85" s="17" t="inlineStr"/>
      <c r="AO85" s="17" t="inlineStr"/>
      <c r="AP85" s="17" t="inlineStr"/>
      <c r="AQ85" s="17" t="inlineStr"/>
      <c r="AR85" s="17" t="inlineStr"/>
      <c r="AS85" s="17" t="inlineStr"/>
      <c r="AT85" s="17" t="inlineStr"/>
      <c r="AU85" s="17" t="inlineStr"/>
      <c r="AV85" s="17" t="inlineStr"/>
      <c r="AW85" s="17" t="inlineStr"/>
      <c r="AX85" s="17" t="inlineStr"/>
      <c r="AY85" s="17" t="inlineStr"/>
      <c r="AZ85" s="17" t="inlineStr"/>
      <c r="BA85" s="17" t="inlineStr"/>
      <c r="BB85" s="17" t="inlineStr"/>
      <c r="BC85" s="17" t="inlineStr"/>
      <c r="BD85" s="17" t="inlineStr"/>
      <c r="BE85" s="17" t="inlineStr"/>
      <c r="BF85" s="17" t="inlineStr"/>
      <c r="BG85" s="17" t="inlineStr"/>
      <c r="BH85" s="17" t="inlineStr"/>
      <c r="BI85" s="17" t="n">
        <v>182</v>
      </c>
    </row>
    <row r="86">
      <c r="A86" s="10" t="inlineStr">
        <is>
          <t>Saudi Arabia</t>
        </is>
      </c>
      <c r="B86" s="17" t="n">
        <v>137.2068</v>
      </c>
      <c r="C86" s="17" t="n">
        <v>141.2188</v>
      </c>
      <c r="D86" s="17" t="n">
        <v>126.2748</v>
      </c>
      <c r="E86" s="17" t="n">
        <v>130.1798</v>
      </c>
      <c r="F86" s="17" t="n">
        <v>142.4692</v>
      </c>
      <c r="G86" s="17" t="n">
        <v>123.4957</v>
      </c>
      <c r="H86" s="17" t="n">
        <v>123.4019</v>
      </c>
      <c r="I86" s="17" t="n">
        <v>116.2444</v>
      </c>
      <c r="J86" s="17" t="n">
        <v>144.7819</v>
      </c>
      <c r="K86" s="17" t="n">
        <v>125.451</v>
      </c>
      <c r="L86" s="17" t="n">
        <v>112.1089</v>
      </c>
      <c r="M86" s="17" t="n">
        <v>130.0742</v>
      </c>
      <c r="N86" s="17" t="n">
        <v>139.027</v>
      </c>
      <c r="O86" s="17" t="n">
        <v>121.0823</v>
      </c>
      <c r="P86" s="17" t="n">
        <v>94.3009</v>
      </c>
      <c r="Q86" s="17" t="n">
        <v>119.9967</v>
      </c>
      <c r="R86" s="17" t="n">
        <v>115.1118</v>
      </c>
      <c r="S86" s="17" t="n">
        <v>136.2689</v>
      </c>
      <c r="T86" s="17" t="n">
        <v>122.8612</v>
      </c>
      <c r="U86" s="17" t="n">
        <v>124.805</v>
      </c>
      <c r="V86" s="17" t="n">
        <v>118.9954</v>
      </c>
      <c r="W86" s="17" t="n">
        <v>108.0546</v>
      </c>
      <c r="X86" s="17" t="n">
        <v>114.316</v>
      </c>
      <c r="Y86" s="17" t="n">
        <v>109.295</v>
      </c>
      <c r="Z86" s="17" t="n">
        <v>111.64</v>
      </c>
      <c r="AA86" s="17" t="n">
        <v>107.6948</v>
      </c>
      <c r="AB86" s="17" t="n">
        <v>97.97239999999999</v>
      </c>
      <c r="AC86" s="17" t="n">
        <v>125.1002</v>
      </c>
      <c r="AD86" s="17" t="n">
        <v>109.5187</v>
      </c>
      <c r="AE86" s="17" t="n">
        <v>101.9696</v>
      </c>
      <c r="AF86" s="17" t="n">
        <v>98.2561</v>
      </c>
      <c r="AG86" s="17" t="n">
        <v>94.9485</v>
      </c>
      <c r="AH86" s="17" t="n">
        <v>97.5694</v>
      </c>
      <c r="AI86" s="17" t="n">
        <v>114.1423</v>
      </c>
      <c r="AJ86" s="17" t="n">
        <v>99.7445</v>
      </c>
      <c r="AK86" s="17" t="n">
        <v>109.9831</v>
      </c>
      <c r="AL86" s="17" t="n">
        <v>103.0244</v>
      </c>
      <c r="AM86" s="17" t="n">
        <v>103.0743</v>
      </c>
      <c r="AN86" s="17" t="n">
        <v>104.0368</v>
      </c>
      <c r="AO86" s="17" t="n">
        <v>99.1464</v>
      </c>
      <c r="AP86" s="17" t="n">
        <v>108.3646</v>
      </c>
      <c r="AQ86" s="17" t="n">
        <v>116.0479</v>
      </c>
      <c r="AR86" s="17" t="n">
        <v>120.0301</v>
      </c>
      <c r="AS86" s="17" t="n">
        <v>99.87430000000001</v>
      </c>
      <c r="AT86" s="17" t="n">
        <v>101.5004</v>
      </c>
      <c r="AU86" s="17" t="n">
        <v>81.789</v>
      </c>
      <c r="AV86" s="17" t="n">
        <v>81.6317</v>
      </c>
      <c r="AW86" s="17" t="n">
        <v>74.4761</v>
      </c>
      <c r="AX86" s="17" t="n">
        <v>71.571</v>
      </c>
      <c r="AY86" s="17" t="n">
        <v>80.52249999999999</v>
      </c>
      <c r="AZ86" s="17" t="n">
        <v>79.7146</v>
      </c>
      <c r="BA86" s="17" t="n">
        <v>86.57080000000001</v>
      </c>
      <c r="BB86" s="17" t="n">
        <v>94.4308</v>
      </c>
      <c r="BC86" s="17" t="n">
        <v>107.8676</v>
      </c>
      <c r="BD86" s="17" t="n">
        <v>89.00409999999999</v>
      </c>
      <c r="BE86" s="17" t="n">
        <v>78.37350000000001</v>
      </c>
      <c r="BF86" s="17" t="n">
        <v>85.7199</v>
      </c>
      <c r="BG86" s="17" t="n">
        <v>94.7617</v>
      </c>
      <c r="BH86" s="17" t="n">
        <v>85.4803</v>
      </c>
      <c r="BI86" s="17" t="n">
        <v>92</v>
      </c>
    </row>
    <row r="87">
      <c r="A87" s="10" t="inlineStr">
        <is>
          <t>Senegal</t>
        </is>
      </c>
      <c r="B87" s="17" t="n">
        <v>471.6272</v>
      </c>
      <c r="C87" s="17" t="n">
        <v>499.4499</v>
      </c>
      <c r="D87" s="17" t="n">
        <v>473.6354</v>
      </c>
      <c r="E87" s="17" t="n">
        <v>483.4331</v>
      </c>
      <c r="F87" s="17" t="n">
        <v>571.717</v>
      </c>
      <c r="G87" s="17" t="n">
        <v>507.4212</v>
      </c>
      <c r="H87" s="17" t="n">
        <v>523.3162</v>
      </c>
      <c r="I87" s="17" t="n">
        <v>555.8595</v>
      </c>
      <c r="J87" s="17" t="n">
        <v>734.7147</v>
      </c>
      <c r="K87" s="17" t="n">
        <v>671.9156</v>
      </c>
      <c r="L87" s="17" t="n">
        <v>617.4569</v>
      </c>
      <c r="M87" s="17" t="n">
        <v>679.2842000000001</v>
      </c>
      <c r="N87" s="17" t="n">
        <v>643.7633</v>
      </c>
      <c r="O87" s="17" t="n">
        <v>541.9897</v>
      </c>
      <c r="P87" s="17" t="n">
        <v>540.7373</v>
      </c>
      <c r="Q87" s="17" t="n">
        <v>515.902</v>
      </c>
      <c r="R87" s="17" t="n">
        <v>542.9799</v>
      </c>
      <c r="S87" s="17" t="n">
        <v>622.8603000000001</v>
      </c>
      <c r="T87" s="17" t="n">
        <v>646.7208000000001</v>
      </c>
      <c r="U87" s="17" t="n">
        <v>625.7113000000001</v>
      </c>
      <c r="V87" s="17" t="n">
        <v>535.5218</v>
      </c>
      <c r="W87" s="17" t="n">
        <v>479.1211</v>
      </c>
      <c r="X87" s="17" t="n">
        <v>541.3912</v>
      </c>
      <c r="Y87" s="17" t="n">
        <v>530.7784</v>
      </c>
      <c r="Z87" s="17" t="n">
        <v>512.2109</v>
      </c>
      <c r="AA87" s="17" t="n">
        <v>504.0932</v>
      </c>
      <c r="AB87" s="17" t="n">
        <v>442.0076</v>
      </c>
      <c r="AC87" s="17" t="n">
        <v>487.2495</v>
      </c>
      <c r="AD87" s="17" t="n">
        <v>499.0086</v>
      </c>
      <c r="AE87" s="17" t="n">
        <v>478.4728</v>
      </c>
      <c r="AF87" s="17" t="n">
        <v>441.5107</v>
      </c>
      <c r="AG87" s="17" t="n">
        <v>467.8013</v>
      </c>
      <c r="AH87" s="17" t="n">
        <v>493.9845</v>
      </c>
      <c r="AI87" s="17" t="n">
        <v>509.4955</v>
      </c>
      <c r="AJ87" s="17" t="n">
        <v>490.7858</v>
      </c>
      <c r="AK87" s="17" t="n">
        <v>520.1161</v>
      </c>
      <c r="AL87" s="17" t="n">
        <v>537.7102</v>
      </c>
      <c r="AM87" s="17" t="n">
        <v>514.0382</v>
      </c>
      <c r="AN87" s="17" t="n">
        <v>561.2859</v>
      </c>
      <c r="AO87" s="17" t="n">
        <v>524.7375</v>
      </c>
      <c r="AP87" s="17" t="n">
        <v>636.1983</v>
      </c>
      <c r="AQ87" s="17" t="n">
        <v>714.9015000000001</v>
      </c>
      <c r="AR87" s="17" t="n">
        <v>856.641</v>
      </c>
      <c r="AS87" s="17" t="n">
        <v>769.6083</v>
      </c>
      <c r="AT87" s="17" t="n">
        <v>940.1681</v>
      </c>
      <c r="AU87" s="17" t="n">
        <v>731.5081</v>
      </c>
      <c r="AV87" s="17" t="n">
        <v>755.0932</v>
      </c>
      <c r="AW87" s="17" t="n">
        <v>810.8145</v>
      </c>
      <c r="AX87" s="17" t="n">
        <v>835.8206</v>
      </c>
      <c r="AY87" s="17" t="n">
        <v>1168.9016</v>
      </c>
      <c r="AZ87" s="17" t="n">
        <v>1309.8755</v>
      </c>
      <c r="BA87" s="17" t="n">
        <v>1301.6716</v>
      </c>
      <c r="BB87" s="17" t="n">
        <v>1176.8496</v>
      </c>
      <c r="BC87" s="17" t="n">
        <v>1461.9033</v>
      </c>
      <c r="BD87" s="17" t="n">
        <v>1346.3296</v>
      </c>
      <c r="BE87" s="17" t="n">
        <v>1545.0459</v>
      </c>
      <c r="BF87" s="17" t="n">
        <v>1525.663</v>
      </c>
      <c r="BG87" s="17" t="n">
        <v>1539.8282</v>
      </c>
      <c r="BH87" s="17" t="n">
        <v>1650.6116</v>
      </c>
      <c r="BI87" s="17" t="n">
        <v>1405</v>
      </c>
    </row>
    <row r="88">
      <c r="A88" s="10" t="inlineStr">
        <is>
          <t>Serbia</t>
        </is>
      </c>
      <c r="B88" s="17" t="n">
        <v>137.4659</v>
      </c>
      <c r="C88" s="17" t="n">
        <v>179.4288</v>
      </c>
      <c r="D88" s="17" t="n">
        <v>139.3735</v>
      </c>
      <c r="E88" s="17" t="n">
        <v>166.2659</v>
      </c>
      <c r="F88" s="17" t="n">
        <v>254.2092</v>
      </c>
      <c r="G88" s="17" t="n">
        <v>194.8654</v>
      </c>
      <c r="H88" s="17" t="n">
        <v>291.8735</v>
      </c>
      <c r="I88" s="17" t="n">
        <v>256.0528</v>
      </c>
      <c r="J88" s="17" t="n">
        <v>312.3068</v>
      </c>
      <c r="K88" s="17" t="n">
        <v>346.734</v>
      </c>
      <c r="L88" s="17" t="n">
        <v>317.0621</v>
      </c>
      <c r="M88" s="17" t="n">
        <v>386.9292</v>
      </c>
      <c r="N88" s="17" t="n">
        <v>294.3121</v>
      </c>
      <c r="O88" s="17" t="n">
        <v>257.6371</v>
      </c>
      <c r="P88" s="17" t="n">
        <v>269.7031</v>
      </c>
      <c r="Q88" s="17" t="n">
        <v>253.0195</v>
      </c>
      <c r="R88" s="17" t="n">
        <v>243.741</v>
      </c>
      <c r="S88" s="17" t="n">
        <v>266.8998</v>
      </c>
      <c r="T88" s="17" t="n">
        <v>242.9703</v>
      </c>
      <c r="U88" s="17" t="n">
        <v>281.5014</v>
      </c>
      <c r="V88" s="17" t="n">
        <v>239.5274</v>
      </c>
      <c r="W88" s="17" t="n">
        <v>207.4465</v>
      </c>
      <c r="X88" s="17" t="n">
        <v>220.2987</v>
      </c>
      <c r="Y88" s="17" t="n">
        <v>225.6748</v>
      </c>
      <c r="Z88" s="17" t="n">
        <v>213.585</v>
      </c>
      <c r="AA88" s="17" t="n">
        <v>195.309</v>
      </c>
      <c r="AB88" s="17" t="n">
        <v>187.5565</v>
      </c>
      <c r="AC88" s="17" t="n">
        <v>190.1732</v>
      </c>
      <c r="AD88" s="17" t="n">
        <v>167.0067</v>
      </c>
      <c r="AE88" s="17" t="n">
        <v>167.5549</v>
      </c>
      <c r="AF88" s="17" t="n">
        <v>155.8674</v>
      </c>
      <c r="AG88" s="17" t="n">
        <v>158.7428</v>
      </c>
      <c r="AH88" s="17" t="n">
        <v>167.6154</v>
      </c>
      <c r="AI88" s="17" t="n">
        <v>178.6755</v>
      </c>
      <c r="AJ88" s="17" t="n">
        <v>178.1531</v>
      </c>
      <c r="AK88" s="17" t="n">
        <v>165.9389</v>
      </c>
      <c r="AL88" s="17" t="n">
        <v>146.1053</v>
      </c>
      <c r="AM88" s="17" t="n">
        <v>158.5233</v>
      </c>
      <c r="AN88" s="17" t="n">
        <v>146.7982</v>
      </c>
      <c r="AO88" s="17" t="n">
        <v>141.7027</v>
      </c>
      <c r="AP88" s="17" t="n">
        <v>161.5001</v>
      </c>
      <c r="AQ88" s="17" t="n">
        <v>181.331</v>
      </c>
      <c r="AR88" s="17" t="n">
        <v>188.1689</v>
      </c>
      <c r="AS88" s="17" t="n">
        <v>164.9708</v>
      </c>
      <c r="AT88" s="17" t="n">
        <v>156.434</v>
      </c>
      <c r="AU88" s="17" t="n">
        <v>125.9042</v>
      </c>
      <c r="AV88" s="17" t="n">
        <v>139.7895</v>
      </c>
      <c r="AW88" s="17" t="n">
        <v>116.5266</v>
      </c>
      <c r="AX88" s="17" t="n">
        <v>111.3005</v>
      </c>
      <c r="AY88" s="17" t="n">
        <v>134.8307</v>
      </c>
      <c r="AZ88" s="17" t="n">
        <v>130.9459</v>
      </c>
      <c r="BA88" s="17" t="n">
        <v>115.4475</v>
      </c>
      <c r="BB88" s="17" t="n">
        <v>121.5391</v>
      </c>
      <c r="BC88" s="17" t="n">
        <v>157.6865</v>
      </c>
      <c r="BD88" s="17" t="n">
        <v>119.3448</v>
      </c>
      <c r="BE88" s="17" t="n">
        <v>123.25</v>
      </c>
      <c r="BF88" s="17" t="n">
        <v>117.307</v>
      </c>
      <c r="BG88" s="17" t="n">
        <v>128.9627</v>
      </c>
      <c r="BH88" s="17" t="n">
        <v>121.8853</v>
      </c>
      <c r="BI88" s="17" t="n">
        <v>128</v>
      </c>
    </row>
    <row r="89">
      <c r="A89" s="10" t="inlineStr">
        <is>
          <t>South Africa</t>
        </is>
      </c>
      <c r="B89" s="17" t="n">
        <v>363.8528</v>
      </c>
      <c r="C89" s="17" t="n">
        <v>393.5126</v>
      </c>
      <c r="D89" s="17" t="n">
        <v>352.6079</v>
      </c>
      <c r="E89" s="17" t="n">
        <v>362.2968</v>
      </c>
      <c r="F89" s="17" t="n">
        <v>404.6419</v>
      </c>
      <c r="G89" s="17" t="n">
        <v>354.2035</v>
      </c>
      <c r="H89" s="17" t="n">
        <v>389.15</v>
      </c>
      <c r="I89" s="17" t="n">
        <v>379.7262</v>
      </c>
      <c r="J89" s="17" t="n">
        <v>518.8514</v>
      </c>
      <c r="K89" s="17" t="n">
        <v>434.5912</v>
      </c>
      <c r="L89" s="17" t="n">
        <v>429.2879</v>
      </c>
      <c r="M89" s="17" t="n">
        <v>481.2935</v>
      </c>
      <c r="N89" s="17" t="n">
        <v>409.601</v>
      </c>
      <c r="O89" s="17" t="n">
        <v>345.9891</v>
      </c>
      <c r="P89" s="17" t="n">
        <v>354.9743</v>
      </c>
      <c r="Q89" s="17" t="n">
        <v>352.972</v>
      </c>
      <c r="R89" s="17" t="n">
        <v>354.8473</v>
      </c>
      <c r="S89" s="17" t="n">
        <v>388.0543</v>
      </c>
      <c r="T89" s="17" t="n">
        <v>402.7086</v>
      </c>
      <c r="U89" s="17" t="n">
        <v>447.5506</v>
      </c>
      <c r="V89" s="17" t="n">
        <v>392.933</v>
      </c>
      <c r="W89" s="17" t="n">
        <v>334.1299</v>
      </c>
      <c r="X89" s="17" t="n">
        <v>369.3001</v>
      </c>
      <c r="Y89" s="17" t="n">
        <v>379.8207</v>
      </c>
      <c r="Z89" s="17" t="n">
        <v>365.797</v>
      </c>
      <c r="AA89" s="17" t="n">
        <v>328.5557</v>
      </c>
      <c r="AB89" s="17" t="n">
        <v>296.4528</v>
      </c>
      <c r="AC89" s="17" t="n">
        <v>343.8926</v>
      </c>
      <c r="AD89" s="17" t="n">
        <v>335.4295</v>
      </c>
      <c r="AE89" s="17" t="n">
        <v>347.2766</v>
      </c>
      <c r="AF89" s="17" t="n">
        <v>323.7345</v>
      </c>
      <c r="AG89" s="17" t="n">
        <v>326.3033</v>
      </c>
      <c r="AH89" s="17" t="n">
        <v>298.059</v>
      </c>
      <c r="AI89" s="17" t="n">
        <v>303.3844</v>
      </c>
      <c r="AJ89" s="17" t="n">
        <v>281.1907</v>
      </c>
      <c r="AK89" s="17" t="n">
        <v>264.6377</v>
      </c>
      <c r="AL89" s="17" t="n">
        <v>275.5956</v>
      </c>
      <c r="AM89" s="17" t="n">
        <v>284.2706</v>
      </c>
      <c r="AN89" s="17" t="n">
        <v>290.877</v>
      </c>
      <c r="AO89" s="17" t="n">
        <v>292.8545</v>
      </c>
      <c r="AP89" s="17" t="n">
        <v>312.5558</v>
      </c>
      <c r="AQ89" s="17" t="n">
        <v>333.0518</v>
      </c>
      <c r="AR89" s="17" t="n">
        <v>362.1822</v>
      </c>
      <c r="AS89" s="17" t="n">
        <v>316.0871</v>
      </c>
      <c r="AT89" s="17" t="n">
        <v>299.619</v>
      </c>
      <c r="AU89" s="17" t="n">
        <v>285.7595</v>
      </c>
      <c r="AV89" s="17" t="n">
        <v>279.3364</v>
      </c>
      <c r="AW89" s="17" t="n">
        <v>249.3114</v>
      </c>
      <c r="AX89" s="17" t="n">
        <v>218.7526</v>
      </c>
      <c r="AY89" s="17" t="n">
        <v>220.8318</v>
      </c>
      <c r="AZ89" s="17" t="n">
        <v>211.9505</v>
      </c>
      <c r="BA89" s="17" t="n">
        <v>225.077</v>
      </c>
      <c r="BB89" s="17" t="n">
        <v>232.8943</v>
      </c>
      <c r="BC89" s="17" t="n">
        <v>268.6342</v>
      </c>
      <c r="BD89" s="17" t="n">
        <v>233.171</v>
      </c>
      <c r="BE89" s="17" t="n">
        <v>197.247</v>
      </c>
      <c r="BF89" s="17" t="n">
        <v>193.2397</v>
      </c>
      <c r="BG89" s="17" t="n">
        <v>197.9774</v>
      </c>
      <c r="BH89" s="17" t="n">
        <v>177.4017</v>
      </c>
      <c r="BI89" s="17" t="n">
        <v>186</v>
      </c>
    </row>
    <row r="90">
      <c r="A90" s="10" t="inlineStr">
        <is>
          <t>Sri Lanka</t>
        </is>
      </c>
      <c r="B90" s="17" t="n">
        <v>1754.3747</v>
      </c>
      <c r="C90" s="17" t="n">
        <v>2201.4238</v>
      </c>
      <c r="D90" s="17" t="n">
        <v>2422.9498</v>
      </c>
      <c r="E90" s="17" t="n">
        <v>2545.7053</v>
      </c>
      <c r="F90" s="17" t="n">
        <v>2840.7668</v>
      </c>
      <c r="G90" s="17" t="n">
        <v>2687.7667</v>
      </c>
      <c r="H90" s="17" t="n">
        <v>3270.7064</v>
      </c>
      <c r="I90" s="17" t="n">
        <v>3797.8959</v>
      </c>
      <c r="J90" s="17" t="n">
        <v>5344.6249</v>
      </c>
      <c r="K90" s="17" t="n">
        <v>5467.8299</v>
      </c>
      <c r="L90" s="17" t="n">
        <v>4997.8923</v>
      </c>
      <c r="M90" s="17" t="n">
        <v>6145.6711</v>
      </c>
      <c r="N90" s="17" t="n">
        <v>6912.6178</v>
      </c>
      <c r="O90" s="17" t="n">
        <v>5090.1634</v>
      </c>
      <c r="P90" s="17" t="n">
        <v>5400.8265</v>
      </c>
      <c r="Q90" s="17" t="n">
        <v>3889.6778</v>
      </c>
      <c r="R90" s="17" t="n">
        <v>3674.2151</v>
      </c>
      <c r="S90" s="17" t="n">
        <v>3861.5266</v>
      </c>
      <c r="T90" s="17" t="n">
        <v>4171.8184</v>
      </c>
      <c r="U90" s="17" t="n">
        <v>5075.6263</v>
      </c>
      <c r="V90" s="17" t="n">
        <v>4003.8893</v>
      </c>
      <c r="W90" s="17" t="n">
        <v>4107.3139</v>
      </c>
      <c r="X90" s="17" t="n">
        <v>3979.3413</v>
      </c>
      <c r="Y90" s="17" t="n">
        <v>3535.1148</v>
      </c>
      <c r="Z90" s="17" t="n">
        <v>3202.177</v>
      </c>
      <c r="AA90" s="17" t="n">
        <v>3193.2439</v>
      </c>
      <c r="AB90" s="17" t="n">
        <v>3385.7945</v>
      </c>
      <c r="AC90" s="17" t="n">
        <v>3443.713</v>
      </c>
      <c r="AD90" s="17" t="n">
        <v>3301.397</v>
      </c>
      <c r="AE90" s="17" t="n">
        <v>2816.7772</v>
      </c>
      <c r="AF90" s="17" t="n">
        <v>3071.8615</v>
      </c>
      <c r="AG90" s="17" t="n">
        <v>3010.2189</v>
      </c>
      <c r="AH90" s="17" t="n">
        <v>3191.6862</v>
      </c>
      <c r="AI90" s="17" t="n">
        <v>3677.6576</v>
      </c>
      <c r="AJ90" s="17" t="n">
        <v>4126.9634</v>
      </c>
      <c r="AK90" s="17" t="n">
        <v>3497.1861</v>
      </c>
      <c r="AL90" s="17" t="n">
        <v>2825.2703</v>
      </c>
      <c r="AM90" s="17" t="n">
        <v>2313.8103</v>
      </c>
      <c r="AN90" s="17" t="n">
        <v>366.4978</v>
      </c>
      <c r="AO90" s="17" t="n">
        <v>331.6506</v>
      </c>
      <c r="AP90" s="17" t="n">
        <v>361.3638</v>
      </c>
      <c r="AQ90" s="17" t="n">
        <v>408.3333</v>
      </c>
      <c r="AR90" s="17" t="n">
        <v>547.8364</v>
      </c>
      <c r="AS90" s="17" t="n">
        <v>405.8787</v>
      </c>
      <c r="AT90" s="17" t="n">
        <v>379.2292</v>
      </c>
      <c r="AU90" s="17" t="n">
        <v>337.8855</v>
      </c>
      <c r="AV90" s="17" t="n">
        <v>343.6357</v>
      </c>
      <c r="AW90" s="17" t="n">
        <v>303.6065</v>
      </c>
      <c r="AX90" s="17" t="n">
        <v>271.018</v>
      </c>
      <c r="AY90" s="17" t="n">
        <v>295.422</v>
      </c>
      <c r="AZ90" s="17" t="n">
        <v>291.4777</v>
      </c>
      <c r="BA90" s="17" t="n">
        <v>178.8826</v>
      </c>
      <c r="BB90" s="17" t="n">
        <v>202.2459</v>
      </c>
      <c r="BC90" s="17" t="n">
        <v>315.3938</v>
      </c>
      <c r="BD90" s="17" t="n">
        <v>239.0589</v>
      </c>
      <c r="BE90" s="17" t="n">
        <v>187.089</v>
      </c>
      <c r="BF90" s="17" t="n">
        <v>126.5253</v>
      </c>
      <c r="BG90" s="17" t="n">
        <v>118.8662</v>
      </c>
      <c r="BH90" s="17" t="n">
        <v>94.5395</v>
      </c>
      <c r="BI90" s="17" t="n">
        <v>91</v>
      </c>
    </row>
    <row r="91">
      <c r="A91" s="10" t="inlineStr">
        <is>
          <t>Suriname</t>
        </is>
      </c>
      <c r="B91" s="17" t="n">
        <v>1696.4623</v>
      </c>
      <c r="C91" s="17" t="n">
        <v>1637.351</v>
      </c>
      <c r="D91" s="17" t="n">
        <v>1695.4958</v>
      </c>
      <c r="E91" s="17" t="n">
        <v>1511.9663</v>
      </c>
      <c r="F91" s="17" t="n">
        <v>1726.6757</v>
      </c>
      <c r="G91" s="17" t="n">
        <v>1689.6042</v>
      </c>
      <c r="H91" s="17" t="n">
        <v>1495.1648</v>
      </c>
      <c r="I91" s="17" t="n">
        <v>1566.1754</v>
      </c>
      <c r="J91" s="17" t="n">
        <v>1664.5853</v>
      </c>
      <c r="K91" s="17" t="n">
        <v>1761.1934</v>
      </c>
      <c r="L91" s="17" t="n">
        <v>1763.6222</v>
      </c>
      <c r="M91" s="17" t="n">
        <v>1322.9513</v>
      </c>
      <c r="N91" s="17" t="n">
        <v>1536.2122</v>
      </c>
      <c r="O91" s="17" t="n">
        <v>1626.844</v>
      </c>
      <c r="P91" s="17" t="n">
        <v>1656.5685</v>
      </c>
      <c r="Q91" s="17" t="n">
        <v>1812.0784</v>
      </c>
      <c r="R91" s="17" t="n">
        <v>1956.0896</v>
      </c>
      <c r="S91" s="17" t="n">
        <v>2209.3072</v>
      </c>
      <c r="T91" s="17" t="n">
        <v>2137.7911</v>
      </c>
      <c r="U91" s="17" t="n">
        <v>1587.5698</v>
      </c>
      <c r="V91" s="17" t="n">
        <v>1611.7085</v>
      </c>
      <c r="W91" s="17" t="n">
        <v>1264.2102</v>
      </c>
      <c r="X91" s="17" t="n">
        <v>1286.7755</v>
      </c>
      <c r="Y91" s="17" t="n">
        <v>1151.0564</v>
      </c>
      <c r="Z91" s="17" t="n">
        <v>725.8206</v>
      </c>
      <c r="AA91" s="17" t="n">
        <v>783.2495</v>
      </c>
      <c r="AB91" s="17" t="n">
        <v>655.2296</v>
      </c>
      <c r="AC91" s="17" t="n">
        <v>704.6102</v>
      </c>
      <c r="AD91" s="17" t="n">
        <v>604.3518</v>
      </c>
      <c r="AE91" s="17" t="n">
        <v>538.6565000000001</v>
      </c>
      <c r="AF91" s="17" t="n">
        <v>469.9314</v>
      </c>
      <c r="AG91" s="17" t="n">
        <v>483.9738</v>
      </c>
      <c r="AH91" s="17" t="n">
        <v>484.8586</v>
      </c>
      <c r="AI91" s="17" t="n">
        <v>448.3393</v>
      </c>
      <c r="AJ91" s="17" t="n">
        <v>470.5174</v>
      </c>
      <c r="AK91" s="17" t="n">
        <v>489.6696</v>
      </c>
      <c r="AL91" s="17" t="n">
        <v>497.5246</v>
      </c>
      <c r="AM91" s="17" t="n">
        <v>550.0928</v>
      </c>
      <c r="AN91" s="17" t="n">
        <v>585.579</v>
      </c>
      <c r="AO91" s="17" t="n">
        <v>446.308</v>
      </c>
      <c r="AP91" s="17" t="n">
        <v>446.2332</v>
      </c>
      <c r="AQ91" s="17" t="n">
        <v>491.4973</v>
      </c>
      <c r="AR91" s="17" t="n">
        <v>611.0394</v>
      </c>
      <c r="AS91" s="17" t="n">
        <v>512.5167</v>
      </c>
      <c r="AT91" s="17" t="n">
        <v>-80.7654</v>
      </c>
      <c r="AU91" s="17" t="n">
        <v>69.0107</v>
      </c>
      <c r="AV91" s="17" t="n">
        <v>325.4928</v>
      </c>
      <c r="AW91" s="17" t="n">
        <v>409.3347</v>
      </c>
      <c r="AX91" s="17" t="n">
        <v>13.2857</v>
      </c>
      <c r="AY91" s="17" t="n">
        <v>332.6979</v>
      </c>
      <c r="AZ91" s="17" t="n">
        <v>313.0603</v>
      </c>
      <c r="BA91" s="17" t="n">
        <v>304.0771</v>
      </c>
      <c r="BB91" s="17" t="n">
        <v>349.0346</v>
      </c>
      <c r="BC91" s="17" t="n">
        <v>359.3143</v>
      </c>
      <c r="BD91" s="17" t="n">
        <v>270.8913</v>
      </c>
      <c r="BE91" s="17" t="n">
        <v>289.5043</v>
      </c>
      <c r="BF91" s="17" t="n">
        <v>257.7592</v>
      </c>
      <c r="BG91" s="17" t="n">
        <v>256.1988</v>
      </c>
      <c r="BH91" s="17" t="n">
        <v>248.4666</v>
      </c>
      <c r="BI91" s="17" t="n">
        <v>247</v>
      </c>
    </row>
    <row r="92">
      <c r="A92" s="10" t="inlineStr">
        <is>
          <t>Trinidad &amp; Tobago</t>
        </is>
      </c>
      <c r="B92" s="17" t="n">
        <v>255.113</v>
      </c>
      <c r="C92" s="17" t="n">
        <v>299.7472</v>
      </c>
      <c r="D92" s="17" t="n">
        <v>285.3019</v>
      </c>
      <c r="E92" s="17" t="n">
        <v>302.0046</v>
      </c>
      <c r="F92" s="17" t="n">
        <v>325.1401</v>
      </c>
      <c r="G92" s="17" t="n">
        <v>274.4413</v>
      </c>
      <c r="H92" s="17" t="n">
        <v>262.3699</v>
      </c>
      <c r="I92" s="17" t="n">
        <v>340.4009</v>
      </c>
      <c r="J92" s="17" t="n">
        <v>332.8575</v>
      </c>
      <c r="K92" s="17" t="n">
        <v>325.0563</v>
      </c>
      <c r="L92" s="17" t="n">
        <v>210.7371</v>
      </c>
      <c r="M92" s="17" t="n">
        <v>190.8096</v>
      </c>
      <c r="N92" s="17" t="n">
        <v>183.2242</v>
      </c>
      <c r="O92" s="17" t="n">
        <v>185.9658</v>
      </c>
      <c r="P92" s="17" t="n">
        <v>156.9791</v>
      </c>
      <c r="Q92" s="17" t="n">
        <v>182.7637</v>
      </c>
      <c r="R92" s="17" t="n">
        <v>142.2806</v>
      </c>
      <c r="S92" s="17" t="n">
        <v>196.6937</v>
      </c>
      <c r="T92" s="17" t="n">
        <v>186.0093</v>
      </c>
      <c r="U92" s="17" t="n">
        <v>181.2868</v>
      </c>
      <c r="V92" s="17" t="n">
        <v>158.8327</v>
      </c>
      <c r="W92" s="17" t="n">
        <v>152.0128</v>
      </c>
      <c r="X92" s="17" t="n">
        <v>161.998</v>
      </c>
      <c r="Y92" s="17" t="n">
        <v>153.32</v>
      </c>
      <c r="Z92" s="17" t="n">
        <v>154.1701</v>
      </c>
      <c r="AA92" s="17" t="n">
        <v>155.1713</v>
      </c>
      <c r="AB92" s="17" t="n">
        <v>130.8508</v>
      </c>
      <c r="AC92" s="17" t="n">
        <v>164.4982</v>
      </c>
      <c r="AD92" s="17" t="n">
        <v>154.4486</v>
      </c>
      <c r="AE92" s="17" t="n">
        <v>152.4412</v>
      </c>
      <c r="AF92" s="17" t="n">
        <v>142.4298</v>
      </c>
      <c r="AG92" s="17" t="n">
        <v>147.3369</v>
      </c>
      <c r="AH92" s="17" t="n">
        <v>177.2035</v>
      </c>
      <c r="AI92" s="17" t="n">
        <v>195.0867</v>
      </c>
      <c r="AJ92" s="17" t="n">
        <v>201.5197</v>
      </c>
      <c r="AK92" s="17" t="n">
        <v>203.0505</v>
      </c>
      <c r="AL92" s="17" t="n">
        <v>174.6939</v>
      </c>
      <c r="AM92" s="17" t="n">
        <v>212.4922</v>
      </c>
      <c r="AN92" s="17" t="n">
        <v>186.7304</v>
      </c>
      <c r="AO92" s="17" t="n">
        <v>180.5419</v>
      </c>
      <c r="AP92" s="17" t="n">
        <v>221.8031</v>
      </c>
      <c r="AQ92" s="17" t="n">
        <v>234.3224</v>
      </c>
      <c r="AR92" s="17" t="n">
        <v>301.8921</v>
      </c>
      <c r="AS92" s="17" t="n">
        <v>251.2082</v>
      </c>
      <c r="AT92" s="17" t="n">
        <v>238.6712</v>
      </c>
      <c r="AU92" s="17" t="n">
        <v>214.9451</v>
      </c>
      <c r="AV92" s="17" t="n">
        <v>208.3459</v>
      </c>
      <c r="AW92" s="17" t="n">
        <v>187.9201</v>
      </c>
      <c r="AX92" s="17" t="n">
        <v>236.106</v>
      </c>
      <c r="AY92" s="17" t="n">
        <v>227.4445</v>
      </c>
      <c r="AZ92" s="17" t="n">
        <v>213.183</v>
      </c>
      <c r="BA92" s="17" t="n">
        <v>214.8832</v>
      </c>
      <c r="BB92" s="17" t="n">
        <v>226.2524</v>
      </c>
      <c r="BC92" s="17" t="n">
        <v>221.7819</v>
      </c>
      <c r="BD92" s="17" t="n">
        <v>174.5196</v>
      </c>
      <c r="BE92" s="17" t="n">
        <v>156.9821</v>
      </c>
      <c r="BF92" s="17" t="n">
        <v>160.6928</v>
      </c>
      <c r="BG92" s="17" t="n">
        <v>159.4625</v>
      </c>
      <c r="BH92" s="17" t="n">
        <v>150.2857</v>
      </c>
      <c r="BI92" s="17" t="n">
        <v>153</v>
      </c>
    </row>
    <row r="93">
      <c r="A93" s="10" t="inlineStr">
        <is>
          <t>Turkey</t>
        </is>
      </c>
      <c r="B93" s="17" t="n">
        <v>514.5505000000001</v>
      </c>
      <c r="C93" s="17" t="n">
        <v>565.1289</v>
      </c>
      <c r="D93" s="17" t="n">
        <v>579.3469</v>
      </c>
      <c r="E93" s="17" t="n">
        <v>554.9422</v>
      </c>
      <c r="F93" s="17" t="n">
        <v>592.9452</v>
      </c>
      <c r="G93" s="17" t="n">
        <v>522.0307</v>
      </c>
      <c r="H93" s="17" t="n">
        <v>510.7449</v>
      </c>
      <c r="I93" s="17" t="n">
        <v>581.7289</v>
      </c>
      <c r="J93" s="17" t="n">
        <v>706.7759</v>
      </c>
      <c r="K93" s="17" t="n">
        <v>720.6014</v>
      </c>
      <c r="L93" s="17" t="n">
        <v>643.6345</v>
      </c>
      <c r="M93" s="17" t="n">
        <v>600.8255</v>
      </c>
      <c r="N93" s="17" t="n">
        <v>528.0333000000001</v>
      </c>
      <c r="O93" s="17" t="n">
        <v>451.5114</v>
      </c>
      <c r="P93" s="17" t="n">
        <v>426.76</v>
      </c>
      <c r="Q93" s="17" t="n">
        <v>493.5286</v>
      </c>
      <c r="R93" s="17" t="n">
        <v>475.7659</v>
      </c>
      <c r="S93" s="17" t="n">
        <v>463.7509</v>
      </c>
      <c r="T93" s="17" t="n">
        <v>487.5896</v>
      </c>
      <c r="U93" s="17" t="n">
        <v>548.2204</v>
      </c>
      <c r="V93" s="17" t="n">
        <v>459.9821</v>
      </c>
      <c r="W93" s="17" t="n">
        <v>366.7397</v>
      </c>
      <c r="X93" s="17" t="n">
        <v>377.86</v>
      </c>
      <c r="Y93" s="17" t="n">
        <v>375.2265</v>
      </c>
      <c r="Z93" s="17" t="n">
        <v>368.583</v>
      </c>
      <c r="AA93" s="17" t="n">
        <v>344.3987</v>
      </c>
      <c r="AB93" s="17" t="n">
        <v>299.6155</v>
      </c>
      <c r="AC93" s="17" t="n">
        <v>354.4679</v>
      </c>
      <c r="AD93" s="17" t="n">
        <v>298.1965</v>
      </c>
      <c r="AE93" s="17" t="n">
        <v>287.9111</v>
      </c>
      <c r="AF93" s="17" t="n">
        <v>261.3328</v>
      </c>
      <c r="AG93" s="17" t="n">
        <v>265.3547</v>
      </c>
      <c r="AH93" s="17" t="n">
        <v>273.2423</v>
      </c>
      <c r="AI93" s="17" t="n">
        <v>286.9315</v>
      </c>
      <c r="AJ93" s="17" t="n">
        <v>283.4909</v>
      </c>
      <c r="AK93" s="17" t="n">
        <v>262.9181</v>
      </c>
      <c r="AL93" s="17" t="n">
        <v>259.0389</v>
      </c>
      <c r="AM93" s="17" t="n">
        <v>251.8231</v>
      </c>
      <c r="AN93" s="17" t="n">
        <v>253.1113</v>
      </c>
      <c r="AO93" s="17" t="n">
        <v>247.9511</v>
      </c>
      <c r="AP93" s="17" t="n">
        <v>272.2109</v>
      </c>
      <c r="AQ93" s="17" t="n">
        <v>311.4702</v>
      </c>
      <c r="AR93" s="17" t="n">
        <v>344.8877</v>
      </c>
      <c r="AS93" s="17" t="n">
        <v>311.9345</v>
      </c>
      <c r="AT93" s="17" t="n">
        <v>292.004</v>
      </c>
      <c r="AU93" s="17" t="n">
        <v>260.2754</v>
      </c>
      <c r="AV93" s="17" t="n">
        <v>254.5633</v>
      </c>
      <c r="AW93" s="17" t="n">
        <v>244.9028</v>
      </c>
      <c r="AX93" s="17" t="n">
        <v>234.2978</v>
      </c>
      <c r="AY93" s="17" t="n">
        <v>232.7832</v>
      </c>
      <c r="AZ93" s="17" t="n">
        <v>212.7999</v>
      </c>
      <c r="BA93" s="17" t="n">
        <v>230.6188</v>
      </c>
      <c r="BB93" s="17" t="n">
        <v>252.5521</v>
      </c>
      <c r="BC93" s="17" t="n">
        <v>302.8729</v>
      </c>
      <c r="BD93" s="17" t="n">
        <v>258.0802</v>
      </c>
      <c r="BE93" s="17" t="n">
        <v>247.9337</v>
      </c>
      <c r="BF93" s="17" t="n">
        <v>231.476</v>
      </c>
      <c r="BG93" s="17" t="n">
        <v>245.0231</v>
      </c>
      <c r="BH93" s="17" t="n">
        <v>224.4965</v>
      </c>
      <c r="BI93" s="17" t="n">
        <v>231</v>
      </c>
    </row>
    <row r="94">
      <c r="A94" s="10" t="inlineStr">
        <is>
          <t>UAE</t>
        </is>
      </c>
      <c r="B94" s="17" t="n">
        <v>126.7661</v>
      </c>
      <c r="C94" s="17" t="n">
        <v>132.8584</v>
      </c>
      <c r="D94" s="17" t="n">
        <v>118.5467</v>
      </c>
      <c r="E94" s="17" t="n">
        <v>125.6708</v>
      </c>
      <c r="F94" s="17" t="n">
        <v>135.9723</v>
      </c>
      <c r="G94" s="17" t="n">
        <v>118.4917</v>
      </c>
      <c r="H94" s="17" t="n">
        <v>118.8865</v>
      </c>
      <c r="I94" s="17" t="n">
        <v>123.5792</v>
      </c>
      <c r="J94" s="17" t="n">
        <v>140.9213</v>
      </c>
      <c r="K94" s="17" t="n">
        <v>138.7041</v>
      </c>
      <c r="L94" s="17" t="n">
        <v>109.4702</v>
      </c>
      <c r="M94" s="17" t="n">
        <v>135.1756</v>
      </c>
      <c r="N94" s="17" t="n">
        <v>135.4966</v>
      </c>
      <c r="O94" s="17" t="n">
        <v>121.6892</v>
      </c>
      <c r="P94" s="17" t="n">
        <v>89.8223</v>
      </c>
      <c r="Q94" s="17" t="n">
        <v>109.4972</v>
      </c>
      <c r="R94" s="17" t="n">
        <v>100.6206</v>
      </c>
      <c r="S94" s="17" t="n">
        <v>121.6735</v>
      </c>
      <c r="T94" s="17" t="n">
        <v>111.3337</v>
      </c>
      <c r="U94" s="17" t="n">
        <v>112.5667</v>
      </c>
      <c r="V94" s="17" t="n">
        <v>102.5133</v>
      </c>
      <c r="W94" s="17" t="n">
        <v>90.8181</v>
      </c>
      <c r="X94" s="17" t="n">
        <v>101.0033</v>
      </c>
      <c r="Y94" s="17" t="n">
        <v>91.8836</v>
      </c>
      <c r="Z94" s="17" t="n">
        <v>98.18980000000001</v>
      </c>
      <c r="AA94" s="17" t="n">
        <v>97.0547</v>
      </c>
      <c r="AB94" s="17" t="n">
        <v>91.8197</v>
      </c>
      <c r="AC94" s="17" t="n">
        <v>109.1546</v>
      </c>
      <c r="AD94" s="17" t="n">
        <v>89.6207</v>
      </c>
      <c r="AE94" s="17" t="n">
        <v>87.32170000000001</v>
      </c>
      <c r="AF94" s="17" t="n">
        <v>82.20059999999999</v>
      </c>
      <c r="AG94" s="17" t="n">
        <v>80.57129999999999</v>
      </c>
      <c r="AH94" s="17" t="n">
        <v>78.82080000000001</v>
      </c>
      <c r="AI94" s="17" t="n">
        <v>95.0288</v>
      </c>
      <c r="AJ94" s="17" t="n">
        <v>80.27330000000001</v>
      </c>
      <c r="AK94" s="17" t="n">
        <v>87.1086</v>
      </c>
      <c r="AL94" s="17" t="n">
        <v>82.0702</v>
      </c>
      <c r="AM94" s="17" t="n">
        <v>90.3485</v>
      </c>
      <c r="AN94" s="17" t="n">
        <v>78.5483</v>
      </c>
      <c r="AO94" s="17" t="n">
        <v>82.5194</v>
      </c>
      <c r="AP94" s="17" t="n">
        <v>91.1397</v>
      </c>
      <c r="AQ94" s="17" t="n">
        <v>88.6781</v>
      </c>
      <c r="AR94" s="17" t="n">
        <v>92.7563</v>
      </c>
      <c r="AS94" s="17" t="n">
        <v>81.6564</v>
      </c>
      <c r="AT94" s="17" t="n">
        <v>82.8081</v>
      </c>
      <c r="AU94" s="17" t="n">
        <v>60.2524</v>
      </c>
      <c r="AV94" s="17" t="n">
        <v>57.598</v>
      </c>
      <c r="AW94" s="17" t="n">
        <v>53.0938</v>
      </c>
      <c r="AX94" s="17" t="n">
        <v>47.786</v>
      </c>
      <c r="AY94" s="17" t="n">
        <v>60.8109</v>
      </c>
      <c r="AZ94" s="17" t="n">
        <v>57.7364</v>
      </c>
      <c r="BA94" s="17" t="n">
        <v>61.4495</v>
      </c>
      <c r="BB94" s="17" t="n">
        <v>75.1276</v>
      </c>
      <c r="BC94" s="17" t="n">
        <v>104.0603</v>
      </c>
      <c r="BD94" s="17" t="n">
        <v>80.23180000000001</v>
      </c>
      <c r="BE94" s="17" t="n">
        <v>70.58240000000001</v>
      </c>
      <c r="BF94" s="17" t="inlineStr"/>
      <c r="BG94" s="17" t="inlineStr"/>
      <c r="BH94" s="17" t="inlineStr"/>
      <c r="BI94" s="17" t="n">
        <v>0</v>
      </c>
    </row>
    <row r="95">
      <c r="A95" s="10" t="inlineStr">
        <is>
          <t>Ukraine</t>
        </is>
      </c>
      <c r="B95" s="17" t="n">
        <v>510.6005</v>
      </c>
      <c r="C95" s="17" t="n">
        <v>670.0841</v>
      </c>
      <c r="D95" s="17" t="n">
        <v>764.5386999999999</v>
      </c>
      <c r="E95" s="17" t="n">
        <v>897.8194999999999</v>
      </c>
      <c r="F95" s="17" t="n">
        <v>3210.3137</v>
      </c>
      <c r="G95" s="17" t="n">
        <v>2807.1029</v>
      </c>
      <c r="H95" s="17" t="n">
        <v>3748.9243</v>
      </c>
      <c r="I95" s="17" t="n">
        <v>3295.1409</v>
      </c>
      <c r="J95" s="17" t="n">
        <v>5095.5422</v>
      </c>
      <c r="K95" s="17" t="n">
        <v>6595.1366</v>
      </c>
      <c r="L95" s="17" t="n">
        <v>3805.3392</v>
      </c>
      <c r="M95" s="17" t="n">
        <v>3817.3146</v>
      </c>
      <c r="N95" s="17" t="n">
        <v>4389.8018</v>
      </c>
      <c r="O95" s="17" t="n">
        <v>3694.8738</v>
      </c>
      <c r="P95" s="17" t="n">
        <v>4064.7349</v>
      </c>
      <c r="Q95" s="17" t="n">
        <v>3803.9208</v>
      </c>
      <c r="R95" s="17" t="n">
        <v>4226.8855</v>
      </c>
      <c r="S95" s="17" t="n">
        <v>4485.4539</v>
      </c>
      <c r="T95" s="17" t="n">
        <v>4766.6413</v>
      </c>
      <c r="U95" s="17" t="n">
        <v>4957.7929</v>
      </c>
      <c r="V95" s="17" t="n">
        <v>4127.3231</v>
      </c>
      <c r="W95" s="17" t="n">
        <v>3324.3071</v>
      </c>
      <c r="X95" s="17" t="n">
        <v>3402.75</v>
      </c>
      <c r="Y95" s="17" t="n">
        <v>3394.2792</v>
      </c>
      <c r="Z95" s="17" t="n">
        <v>3544.2588</v>
      </c>
      <c r="AA95" s="17" t="n">
        <v>3781.9096</v>
      </c>
      <c r="AB95" s="17" t="n">
        <v>3988.834</v>
      </c>
      <c r="AC95" s="17" t="n">
        <v>4318.6109</v>
      </c>
      <c r="AD95" s="17" t="n">
        <v>3951.8388</v>
      </c>
      <c r="AE95" s="17" t="n">
        <v>3507.8981</v>
      </c>
      <c r="AF95" s="17" t="n">
        <v>4150.9973</v>
      </c>
      <c r="AG95" s="17" t="n">
        <v>4171.2882</v>
      </c>
      <c r="AH95" s="17" t="n">
        <v>4064.3801</v>
      </c>
      <c r="AI95" s="17" t="n">
        <v>3824.1825</v>
      </c>
      <c r="AJ95" s="17" t="n">
        <v>3842.6412</v>
      </c>
      <c r="AK95" s="17" t="n">
        <v>1211.7847</v>
      </c>
      <c r="AL95" s="17" t="n">
        <v>1076.8817</v>
      </c>
      <c r="AM95" s="17" t="n">
        <v>934.3535000000001</v>
      </c>
      <c r="AN95" s="17" t="n">
        <v>840.4502</v>
      </c>
      <c r="AO95" s="17" t="n">
        <v>810.3212</v>
      </c>
      <c r="AP95" s="17" t="n">
        <v>791.2011</v>
      </c>
      <c r="AQ95" s="17" t="n">
        <v>975.0081</v>
      </c>
      <c r="AR95" s="17" t="n">
        <v>1102.6143</v>
      </c>
      <c r="AS95" s="17" t="n">
        <v>1108.4746</v>
      </c>
      <c r="AT95" s="17" t="n">
        <v>1111.3765</v>
      </c>
      <c r="AU95" s="17" t="n">
        <v>1115.6747</v>
      </c>
      <c r="AV95" s="17" t="n">
        <v>1064.0756</v>
      </c>
      <c r="AW95" s="17" t="n">
        <v>1065.6958</v>
      </c>
      <c r="AX95" s="17" t="n">
        <v>1056.7624</v>
      </c>
      <c r="AY95" s="17" t="n">
        <v>983.346</v>
      </c>
      <c r="AZ95" s="17" t="n">
        <v>909.6937</v>
      </c>
      <c r="BA95" s="17" t="n">
        <v>846.9942</v>
      </c>
      <c r="BB95" s="17" t="n">
        <v>897.7042</v>
      </c>
      <c r="BC95" s="17" t="n">
        <v>1110.3543</v>
      </c>
      <c r="BD95" s="17" t="n">
        <v>922.5895</v>
      </c>
      <c r="BE95" s="17" t="n">
        <v>731.9345</v>
      </c>
      <c r="BF95" s="17" t="n">
        <v>692.4111</v>
      </c>
      <c r="BG95" s="17" t="n">
        <v>676.1314</v>
      </c>
      <c r="BH95" s="17" t="n">
        <v>714.6657</v>
      </c>
      <c r="BI95" s="17" t="n">
        <v>753</v>
      </c>
    </row>
    <row r="96">
      <c r="A96" s="10" t="inlineStr">
        <is>
          <t>Uruguay</t>
        </is>
      </c>
      <c r="B96" s="17" t="n">
        <v>137.5229</v>
      </c>
      <c r="C96" s="17" t="n">
        <v>150.2709</v>
      </c>
      <c r="D96" s="17" t="n">
        <v>127.1765</v>
      </c>
      <c r="E96" s="17" t="n">
        <v>139.4899</v>
      </c>
      <c r="F96" s="17" t="n">
        <v>160.6235</v>
      </c>
      <c r="G96" s="17" t="n">
        <v>127.0241</v>
      </c>
      <c r="H96" s="17" t="n">
        <v>150.8497</v>
      </c>
      <c r="I96" s="17" t="n">
        <v>136.4813</v>
      </c>
      <c r="J96" s="17" t="n">
        <v>162.2111</v>
      </c>
      <c r="K96" s="17" t="n">
        <v>141.0113</v>
      </c>
      <c r="L96" s="17" t="n">
        <v>131.8938</v>
      </c>
      <c r="M96" s="17" t="n">
        <v>157.8211</v>
      </c>
      <c r="N96" s="17" t="n">
        <v>140.754</v>
      </c>
      <c r="O96" s="17" t="n">
        <v>105.8553</v>
      </c>
      <c r="P96" s="17" t="n">
        <v>91.2717</v>
      </c>
      <c r="Q96" s="17" t="n">
        <v>110.9748</v>
      </c>
      <c r="R96" s="17" t="n">
        <v>102.6024</v>
      </c>
      <c r="S96" s="17" t="n">
        <v>118.8192</v>
      </c>
      <c r="T96" s="17" t="n">
        <v>104.4918</v>
      </c>
      <c r="U96" s="17" t="n">
        <v>110.6417</v>
      </c>
      <c r="V96" s="17" t="n">
        <v>98.91800000000001</v>
      </c>
      <c r="W96" s="17" t="n">
        <v>89.3806</v>
      </c>
      <c r="X96" s="17" t="n">
        <v>87.96510000000001</v>
      </c>
      <c r="Y96" s="17" t="n">
        <v>97.7144</v>
      </c>
      <c r="Z96" s="17" t="n">
        <v>85.66379999999999</v>
      </c>
      <c r="AA96" s="17" t="n">
        <v>84.3364</v>
      </c>
      <c r="AB96" s="17" t="n">
        <v>84.92959999999999</v>
      </c>
      <c r="AC96" s="17" t="n">
        <v>97.1003</v>
      </c>
      <c r="AD96" s="17" t="n">
        <v>85.4314</v>
      </c>
      <c r="AE96" s="17" t="n">
        <v>82.0142</v>
      </c>
      <c r="AF96" s="17" t="n">
        <v>80.0536</v>
      </c>
      <c r="AG96" s="17" t="n">
        <v>77.693</v>
      </c>
      <c r="AH96" s="17" t="n">
        <v>79.8048</v>
      </c>
      <c r="AI96" s="17" t="n">
        <v>88.5004</v>
      </c>
      <c r="AJ96" s="17" t="n">
        <v>78.74679999999999</v>
      </c>
      <c r="AK96" s="17" t="n">
        <v>89.7753</v>
      </c>
      <c r="AL96" s="17" t="n">
        <v>84.9464</v>
      </c>
      <c r="AM96" s="17" t="n">
        <v>91.9943</v>
      </c>
      <c r="AN96" s="17" t="n">
        <v>84.3275</v>
      </c>
      <c r="AO96" s="17" t="n">
        <v>92.36620000000001</v>
      </c>
      <c r="AP96" s="17" t="n">
        <v>102.2618</v>
      </c>
      <c r="AQ96" s="17" t="n">
        <v>101.1978</v>
      </c>
      <c r="AR96" s="17" t="n">
        <v>102.4079</v>
      </c>
      <c r="AS96" s="17" t="n">
        <v>91.3896</v>
      </c>
      <c r="AT96" s="17" t="n">
        <v>86.2753</v>
      </c>
      <c r="AU96" s="17" t="n">
        <v>78.2145</v>
      </c>
      <c r="AV96" s="17" t="n">
        <v>74.5384</v>
      </c>
      <c r="AW96" s="17" t="n">
        <v>69.6901</v>
      </c>
      <c r="AX96" s="17" t="n">
        <v>65.55119999999999</v>
      </c>
      <c r="AY96" s="17" t="n">
        <v>74.9783</v>
      </c>
      <c r="AZ96" s="17" t="n">
        <v>67.7929</v>
      </c>
      <c r="BA96" s="17" t="n">
        <v>69.6442</v>
      </c>
      <c r="BB96" s="17" t="n">
        <v>77.0284</v>
      </c>
      <c r="BC96" s="17" t="n">
        <v>78.4525</v>
      </c>
      <c r="BD96" s="17" t="n">
        <v>61.8077</v>
      </c>
      <c r="BE96" s="17" t="n">
        <v>60.709</v>
      </c>
      <c r="BF96" s="17" t="n">
        <v>58.2525</v>
      </c>
      <c r="BG96" s="17" t="n">
        <v>67.8236</v>
      </c>
      <c r="BH96" s="17" t="n">
        <v>65.4906</v>
      </c>
      <c r="BI96" s="17" t="n">
        <v>69</v>
      </c>
    </row>
    <row r="97">
      <c r="A97" s="10" t="inlineStr">
        <is>
          <t>Uzbekistan</t>
        </is>
      </c>
      <c r="B97" s="17" t="n">
        <v>249.3933</v>
      </c>
      <c r="C97" s="17" t="n">
        <v>321.9924</v>
      </c>
      <c r="D97" s="17" t="n">
        <v>299.3646</v>
      </c>
      <c r="E97" s="17" t="n">
        <v>307.4877</v>
      </c>
      <c r="F97" s="17" t="n">
        <v>370.7334</v>
      </c>
      <c r="G97" s="17" t="n">
        <v>328.9041</v>
      </c>
      <c r="H97" s="17" t="n">
        <v>374.5791</v>
      </c>
      <c r="I97" s="17" t="n">
        <v>410.2972</v>
      </c>
      <c r="J97" s="17" t="n">
        <v>531.4441</v>
      </c>
      <c r="K97" s="17" t="n">
        <v>581.8655</v>
      </c>
      <c r="L97" s="17" t="n">
        <v>464.0743</v>
      </c>
      <c r="M97" s="17" t="n">
        <v>490.5461</v>
      </c>
      <c r="N97" s="17" t="n">
        <v>469.2179</v>
      </c>
      <c r="O97" s="17" t="n">
        <v>360.5029</v>
      </c>
      <c r="P97" s="17" t="n">
        <v>302.4322</v>
      </c>
      <c r="Q97" s="17" t="n">
        <v>323.7817</v>
      </c>
      <c r="R97" s="17" t="n">
        <v>317.3536</v>
      </c>
      <c r="S97" s="17" t="n">
        <v>394.4305</v>
      </c>
      <c r="T97" s="17" t="n">
        <v>371.4125</v>
      </c>
      <c r="U97" s="17" t="n">
        <v>378.979</v>
      </c>
      <c r="V97" s="17" t="n">
        <v>327.4759</v>
      </c>
      <c r="W97" s="17" t="n">
        <v>294.8647</v>
      </c>
      <c r="X97" s="17" t="n">
        <v>334.7823</v>
      </c>
      <c r="Y97" s="17" t="n">
        <v>340.3304</v>
      </c>
      <c r="Z97" s="17" t="n">
        <v>352.3463</v>
      </c>
      <c r="AA97" s="17" t="n">
        <v>345.7882</v>
      </c>
      <c r="AB97" s="17" t="n">
        <v>307.6321</v>
      </c>
      <c r="AC97" s="17" t="n">
        <v>341.4177</v>
      </c>
      <c r="AD97" s="17" t="n">
        <v>279.6684</v>
      </c>
      <c r="AE97" s="17" t="n">
        <v>283.7367</v>
      </c>
      <c r="AF97" s="17" t="n">
        <v>288.6777</v>
      </c>
      <c r="AG97" s="17" t="n">
        <v>283.0806</v>
      </c>
      <c r="AH97" s="17" t="n">
        <v>300.313</v>
      </c>
      <c r="AI97" s="17" t="n">
        <v>332.5171</v>
      </c>
      <c r="AJ97" s="17" t="n">
        <v>308.6704</v>
      </c>
      <c r="AK97" s="17" t="n">
        <v>298.8681</v>
      </c>
      <c r="AL97" s="17" t="n">
        <v>278.1696</v>
      </c>
      <c r="AM97" s="17" t="n">
        <v>273.4068</v>
      </c>
      <c r="AN97" s="17" t="n">
        <v>271.5246</v>
      </c>
      <c r="AO97" s="17" t="n">
        <v>266.4244</v>
      </c>
      <c r="AP97" s="17" t="n">
        <v>269.6731</v>
      </c>
      <c r="AQ97" s="17" t="n">
        <v>295.9522</v>
      </c>
      <c r="AR97" s="17" t="n">
        <v>293.7422</v>
      </c>
      <c r="AS97" s="17" t="n">
        <v>301.6737</v>
      </c>
      <c r="AT97" s="17" t="n">
        <v>259.6132</v>
      </c>
      <c r="AU97" s="17" t="n">
        <v>219.6034</v>
      </c>
      <c r="AV97" s="17" t="n">
        <v>209.6659</v>
      </c>
      <c r="AW97" s="17" t="n">
        <v>183.4219</v>
      </c>
      <c r="AX97" s="17" t="n">
        <v>178.7029</v>
      </c>
      <c r="AY97" s="17" t="n">
        <v>208.0175</v>
      </c>
      <c r="AZ97" s="17" t="n">
        <v>184.0777</v>
      </c>
      <c r="BA97" s="17" t="n">
        <v>162.7505</v>
      </c>
      <c r="BB97" s="17" t="n">
        <v>169.8245</v>
      </c>
      <c r="BC97" s="17" t="n">
        <v>214.6829</v>
      </c>
      <c r="BD97" s="17" t="n">
        <v>151.2387</v>
      </c>
      <c r="BE97" s="17" t="n">
        <v>137.0046</v>
      </c>
      <c r="BF97" s="17" t="n">
        <v>133.2621</v>
      </c>
      <c r="BG97" s="17" t="n">
        <v>136.3038</v>
      </c>
      <c r="BH97" s="17" t="n">
        <v>127.1087</v>
      </c>
      <c r="BI97" s="17" t="n">
        <v>135</v>
      </c>
    </row>
    <row r="98">
      <c r="A98" s="10" t="inlineStr">
        <is>
          <t>Venezuela</t>
        </is>
      </c>
      <c r="B98" s="17" t="n">
        <v>32197.9894</v>
      </c>
      <c r="C98" s="17" t="n">
        <v>31857.1777</v>
      </c>
      <c r="D98" s="17" t="n">
        <v>55310.1043</v>
      </c>
      <c r="E98" s="17" t="n">
        <v>51958.5319</v>
      </c>
      <c r="F98" s="17" t="n">
        <v>64522.7885</v>
      </c>
      <c r="G98" s="17" t="n">
        <v>37944.8348</v>
      </c>
      <c r="H98" s="17" t="n">
        <v>32691.1232</v>
      </c>
      <c r="I98" s="17" t="n">
        <v>30794.6036</v>
      </c>
      <c r="J98" s="17" t="n">
        <v>36397.9286</v>
      </c>
      <c r="K98" s="17" t="n">
        <v>41341.565</v>
      </c>
      <c r="L98" s="17" t="n">
        <v>40089.9879</v>
      </c>
      <c r="M98" s="17" t="n">
        <v>50129.8554</v>
      </c>
      <c r="N98" s="17" t="n">
        <v>51157.4432</v>
      </c>
      <c r="O98" s="17" t="n">
        <v>34698.4937</v>
      </c>
      <c r="P98" s="17" t="n">
        <v>44839.9788</v>
      </c>
      <c r="Q98" s="17" t="n">
        <v>11219.1794</v>
      </c>
      <c r="R98" s="17" t="n">
        <v>10792.8255</v>
      </c>
      <c r="S98" s="17" t="n">
        <v>11053.9974</v>
      </c>
      <c r="T98" s="17" t="n">
        <v>11900.894</v>
      </c>
      <c r="U98" s="17" t="n">
        <v>37552.0838</v>
      </c>
      <c r="V98" s="17" t="n">
        <v>42752.6915</v>
      </c>
      <c r="W98" s="17" t="n">
        <v>38800.1588</v>
      </c>
      <c r="X98" s="17" t="n">
        <v>34220.4732</v>
      </c>
      <c r="Y98" s="17" t="n">
        <v>38912.0481</v>
      </c>
      <c r="Z98" s="17" t="n">
        <v>15867.454</v>
      </c>
      <c r="AA98" s="17" t="n">
        <v>18054.3743</v>
      </c>
      <c r="AB98" s="17" t="n">
        <v>21422.3898</v>
      </c>
      <c r="AC98" s="17" t="n">
        <v>22197.6631</v>
      </c>
      <c r="AD98" s="17" t="n">
        <v>21928.4419</v>
      </c>
      <c r="AE98" s="17" t="n">
        <v>21720.1751</v>
      </c>
      <c r="AF98" s="17" t="n">
        <v>14799.4652</v>
      </c>
      <c r="AG98" s="17" t="n">
        <v>15228.1502</v>
      </c>
      <c r="AH98" s="17" t="n">
        <v>16877.7322</v>
      </c>
      <c r="AI98" s="17" t="n">
        <v>18715.6953</v>
      </c>
      <c r="AJ98" s="17" t="n">
        <v>22664.6545</v>
      </c>
      <c r="AK98" s="17" t="n">
        <v>19495.1061</v>
      </c>
      <c r="AL98" s="17" t="n">
        <v>19680.7609</v>
      </c>
      <c r="AM98" s="17" t="n">
        <v>22384.5138</v>
      </c>
      <c r="AN98" s="17" t="n">
        <v>23773.4717</v>
      </c>
      <c r="AO98" s="17" t="n">
        <v>20504.9357</v>
      </c>
      <c r="AP98" s="17" t="n">
        <v>17285.0742</v>
      </c>
      <c r="AQ98" s="17" t="n">
        <v>16000.2329</v>
      </c>
      <c r="AR98" s="17" t="n">
        <v>19852.8733</v>
      </c>
      <c r="AS98" s="17" t="n">
        <v>17086.1032</v>
      </c>
      <c r="AT98" s="17" t="n">
        <v>18155.7384</v>
      </c>
      <c r="AU98" s="17" t="n">
        <v>19002.2343</v>
      </c>
      <c r="AV98" s="17" t="n">
        <v>16401.7956</v>
      </c>
      <c r="AW98" s="17" t="n">
        <v>16190.0939</v>
      </c>
      <c r="AX98" s="17" t="n">
        <v>12620.3042</v>
      </c>
      <c r="AY98" s="17" t="n">
        <v>11500.3954</v>
      </c>
      <c r="AZ98" s="17" t="n">
        <v>12740.9904</v>
      </c>
      <c r="BA98" s="17" t="n">
        <v>9006.090899999999</v>
      </c>
      <c r="BB98" s="17" t="n">
        <v>8027.0206</v>
      </c>
      <c r="BC98" s="17" t="n">
        <v>6371.0939</v>
      </c>
      <c r="BD98" s="17" t="n">
        <v>5556.5476</v>
      </c>
      <c r="BE98" s="17" t="n">
        <v>5722.0856</v>
      </c>
      <c r="BF98" s="17" t="n">
        <v>6625.289</v>
      </c>
      <c r="BG98" s="17" t="n">
        <v>6686.2178</v>
      </c>
      <c r="BH98" s="17" t="n">
        <v>6389.4668</v>
      </c>
      <c r="BI98" s="17" t="n">
        <v>4023</v>
      </c>
    </row>
    <row r="99">
      <c r="A99" s="10" t="inlineStr">
        <is>
          <t>Vietnam</t>
        </is>
      </c>
      <c r="B99" s="17" t="n">
        <v>55.6856</v>
      </c>
      <c r="C99" s="17" t="n">
        <v>72.2338</v>
      </c>
      <c r="D99" s="17" t="n">
        <v>72.0487</v>
      </c>
      <c r="E99" s="17" t="n">
        <v>71.57080000000001</v>
      </c>
      <c r="F99" s="17" t="n">
        <v>149.6616</v>
      </c>
      <c r="G99" s="17" t="n">
        <v>60.2489</v>
      </c>
      <c r="H99" s="17" t="n">
        <v>64.87860000000001</v>
      </c>
      <c r="I99" s="17" t="n">
        <v>138.5169</v>
      </c>
      <c r="J99" s="17" t="n">
        <v>171.2402</v>
      </c>
      <c r="K99" s="17" t="n">
        <v>165.0652</v>
      </c>
      <c r="L99" s="17" t="n">
        <v>96.04770000000001</v>
      </c>
      <c r="M99" s="17" t="n">
        <v>109.289</v>
      </c>
      <c r="N99" s="17" t="n">
        <v>202.08</v>
      </c>
      <c r="O99" s="17" t="n">
        <v>131.8522</v>
      </c>
      <c r="P99" s="17" t="n">
        <v>92.0578</v>
      </c>
      <c r="Q99" s="17" t="n">
        <v>81.2889</v>
      </c>
      <c r="R99" s="17" t="n">
        <v>77.39279999999999</v>
      </c>
      <c r="S99" s="17" t="n">
        <v>165.0834</v>
      </c>
      <c r="T99" s="17" t="n">
        <v>159.9912</v>
      </c>
      <c r="U99" s="17" t="n">
        <v>88.75839999999999</v>
      </c>
      <c r="V99" s="17" t="n">
        <v>63.462</v>
      </c>
      <c r="W99" s="17" t="n">
        <v>88.72020000000001</v>
      </c>
      <c r="X99" s="17" t="n">
        <v>85.691</v>
      </c>
      <c r="Y99" s="17" t="n">
        <v>74.9023</v>
      </c>
      <c r="Z99" s="17" t="n">
        <v>85.79770000000001</v>
      </c>
      <c r="AA99" s="17" t="n">
        <v>47.4693</v>
      </c>
      <c r="AB99" s="17" t="n">
        <v>96.8485</v>
      </c>
      <c r="AC99" s="17" t="n">
        <v>69.2473</v>
      </c>
      <c r="AD99" s="17" t="n">
        <v>50.4824</v>
      </c>
      <c r="AE99" s="17" t="n">
        <v>24.5609</v>
      </c>
      <c r="AF99" s="17" t="inlineStr"/>
      <c r="AG99" s="17" t="inlineStr"/>
      <c r="AH99" s="17" t="inlineStr"/>
      <c r="AI99" s="17" t="inlineStr"/>
      <c r="AJ99" s="17" t="inlineStr"/>
      <c r="AK99" s="17" t="inlineStr"/>
      <c r="AL99" s="17" t="inlineStr"/>
      <c r="AM99" s="17" t="inlineStr"/>
      <c r="AN99" s="17" t="inlineStr"/>
      <c r="AO99" s="17" t="inlineStr"/>
      <c r="AP99" s="17" t="inlineStr"/>
      <c r="AQ99" s="17" t="inlineStr"/>
      <c r="AR99" s="17" t="inlineStr"/>
      <c r="AS99" s="17" t="inlineStr"/>
      <c r="AT99" s="17" t="inlineStr"/>
      <c r="AU99" s="17" t="inlineStr"/>
      <c r="AV99" s="17" t="inlineStr"/>
      <c r="AW99" s="17" t="inlineStr"/>
      <c r="AX99" s="17" t="inlineStr"/>
      <c r="AY99" s="17" t="inlineStr"/>
      <c r="AZ99" s="17" t="inlineStr"/>
      <c r="BA99" s="17" t="inlineStr"/>
      <c r="BB99" s="17" t="inlineStr"/>
      <c r="BC99" s="17" t="inlineStr"/>
      <c r="BD99" s="17" t="inlineStr"/>
      <c r="BE99" s="17" t="inlineStr"/>
      <c r="BF99" s="17" t="inlineStr"/>
      <c r="BG99" s="17" t="inlineStr"/>
      <c r="BH99" s="17" t="inlineStr"/>
      <c r="BI99" s="17" t="n">
        <v>0</v>
      </c>
    </row>
    <row r="100">
      <c r="A100" s="10" t="inlineStr">
        <is>
          <t>Zambia</t>
        </is>
      </c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/>
      <c r="M100" s="17" t="inlineStr"/>
      <c r="N100" s="17" t="inlineStr"/>
      <c r="O100" s="17" t="inlineStr"/>
      <c r="P100" s="17" t="inlineStr"/>
      <c r="Q100" s="17" t="inlineStr"/>
      <c r="R100" s="17" t="inlineStr"/>
      <c r="S100" s="17" t="inlineStr"/>
      <c r="T100" s="17" t="inlineStr"/>
      <c r="U100" s="17" t="inlineStr"/>
      <c r="V100" s="17" t="inlineStr"/>
      <c r="W100" s="17" t="inlineStr"/>
      <c r="X100" s="17" t="inlineStr"/>
      <c r="Y100" s="17" t="inlineStr"/>
      <c r="Z100" s="17" t="inlineStr"/>
      <c r="AA100" s="17" t="inlineStr"/>
      <c r="AB100" s="17" t="inlineStr"/>
      <c r="AC100" s="17" t="inlineStr"/>
      <c r="AD100" s="17" t="inlineStr"/>
      <c r="AE100" s="17" t="inlineStr"/>
      <c r="AF100" s="17" t="inlineStr"/>
      <c r="AG100" s="17" t="inlineStr"/>
      <c r="AH100" s="17" t="inlineStr"/>
      <c r="AI100" s="17" t="inlineStr"/>
      <c r="AJ100" s="17" t="inlineStr"/>
      <c r="AK100" s="17" t="inlineStr"/>
      <c r="AL100" s="17" t="inlineStr"/>
      <c r="AM100" s="17" t="inlineStr"/>
      <c r="AN100" s="17" t="inlineStr"/>
      <c r="AO100" s="17" t="inlineStr"/>
      <c r="AP100" s="17" t="inlineStr"/>
      <c r="AQ100" s="17" t="inlineStr"/>
      <c r="AR100" s="17" t="inlineStr"/>
      <c r="AS100" s="17" t="inlineStr"/>
      <c r="AT100" s="17" t="inlineStr"/>
      <c r="AU100" s="17" t="inlineStr"/>
      <c r="AV100" s="17" t="inlineStr"/>
      <c r="AW100" s="17" t="inlineStr"/>
      <c r="AX100" s="17" t="inlineStr"/>
      <c r="AY100" s="17" t="inlineStr"/>
      <c r="AZ100" s="17" t="inlineStr"/>
      <c r="BA100" s="17" t="inlineStr"/>
      <c r="BB100" s="17" t="inlineStr"/>
      <c r="BC100" s="17" t="inlineStr"/>
      <c r="BD100" s="17" t="inlineStr"/>
      <c r="BE100" s="17" t="inlineStr"/>
      <c r="BF100" s="17" t="inlineStr"/>
      <c r="BG100" s="17" t="inlineStr"/>
      <c r="BH100" s="17" t="inlineStr"/>
      <c r="BI100" s="17" t="n">
        <v>187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12-month forecast</t>
        </is>
      </c>
    </row>
    <row r="2">
      <c r="A2" s="4" t="inlineStr">
        <is>
          <t>Type your 12-month views into the shaded cells. Everything else calculates.</t>
        </is>
      </c>
    </row>
    <row r="4">
      <c r="A4" s="2" t="inlineStr">
        <is>
          <t>Current state</t>
        </is>
      </c>
      <c r="B4" s="6" t="n"/>
      <c r="C4" s="6" t="n"/>
    </row>
    <row r="5">
      <c r="A5" s="10" t="inlineStr">
        <is>
          <t>Spread today (bp)</t>
        </is>
      </c>
      <c r="B5" s="26" t="n">
        <v>173</v>
      </c>
    </row>
    <row r="6">
      <c r="A6" s="10" t="inlineStr">
        <is>
          <t>Index yield (%)</t>
        </is>
      </c>
      <c r="B6" s="27" t="n">
        <v>6.645691</v>
      </c>
    </row>
    <row r="7">
      <c r="A7" s="10" t="inlineStr">
        <is>
          <t>Spread duration</t>
        </is>
      </c>
      <c r="B7" s="27" t="n">
        <v>6.218879</v>
      </c>
    </row>
    <row r="8">
      <c r="A8" s="10" t="inlineStr">
        <is>
          <t>IR duration</t>
        </is>
      </c>
      <c r="B8" s="27" t="n">
        <v>6.229802</v>
      </c>
    </row>
    <row r="9">
      <c r="A9" s="10" t="inlineStr">
        <is>
          <t>Cash hurdle (%)</t>
        </is>
      </c>
      <c r="B9" s="28" t="n">
        <v>4.5</v>
      </c>
    </row>
    <row r="11">
      <c r="A11" s="2" t="inlineStr">
        <is>
          <t>Your 12-month views</t>
        </is>
      </c>
      <c r="B11" s="6" t="n"/>
      <c r="C11" s="6" t="n"/>
      <c r="D11" s="6" t="n"/>
    </row>
    <row r="12">
      <c r="B12" s="13" t="inlineStr">
        <is>
          <t>your view</t>
        </is>
      </c>
      <c r="C12" s="13" t="inlineStr">
        <is>
          <t>beta</t>
        </is>
      </c>
      <c r="D12" s="13" t="inlineStr">
        <is>
          <t>bp of spread</t>
        </is>
      </c>
    </row>
    <row r="13">
      <c r="A13" s="10" t="inlineStr">
        <is>
          <t>UST 10y change (bp)</t>
        </is>
      </c>
      <c r="B13" s="29" t="n">
        <v>0</v>
      </c>
      <c r="C13" s="30" t="n">
        <v>0.3</v>
      </c>
      <c r="D13" s="31">
        <f>B13*C13</f>
        <v/>
      </c>
    </row>
    <row r="14">
      <c r="A14" s="10" t="inlineStr">
        <is>
          <t>DXY change (%)</t>
        </is>
      </c>
      <c r="B14" s="32" t="n">
        <v>0</v>
      </c>
      <c r="C14" s="30" t="n">
        <v>6</v>
      </c>
      <c r="D14" s="31">
        <f>B14*C14</f>
        <v/>
      </c>
    </row>
    <row r="15">
      <c r="A15" s="10" t="inlineStr">
        <is>
          <t>VIX change (points)</t>
        </is>
      </c>
      <c r="B15" s="32" t="n">
        <v>0</v>
      </c>
      <c r="C15" s="30" t="n">
        <v>4</v>
      </c>
      <c r="D15" s="31">
        <f>B15*C15</f>
        <v/>
      </c>
    </row>
    <row r="16">
      <c r="A16" s="10" t="inlineStr">
        <is>
          <t>EM rating drift (notches, + = upgrades)</t>
        </is>
      </c>
      <c r="B16" s="33" t="n">
        <v>0</v>
      </c>
      <c r="C16" s="30" t="n">
        <v>-50</v>
      </c>
      <c r="D16" s="31">
        <f>B16*C16</f>
        <v/>
      </c>
    </row>
    <row r="17">
      <c r="A17" s="7" t="inlineStr">
        <is>
          <t>Total spread impact (bp)</t>
        </is>
      </c>
      <c r="D17" s="34">
        <f>SUM(D13:D16)</f>
        <v/>
      </c>
    </row>
    <row r="19">
      <c r="A19" s="2" t="inlineStr">
        <is>
          <t>Forecast</t>
        </is>
      </c>
      <c r="B19" s="6" t="n"/>
      <c r="C19" s="6" t="n"/>
      <c r="D19" s="6" t="n"/>
    </row>
    <row r="20">
      <c r="A20" s="10" t="inlineStr">
        <is>
          <t>Forecast spread (bp)</t>
        </is>
      </c>
      <c r="B20" s="35">
        <f>B5+D17</f>
        <v/>
      </c>
    </row>
    <row r="21">
      <c r="A21" s="10" t="inlineStr">
        <is>
          <t>Change from today (bp)</t>
        </is>
      </c>
      <c r="B21" s="36">
        <f>D17</f>
        <v/>
      </c>
    </row>
    <row r="22">
      <c r="A22" s="10" t="inlineStr">
        <is>
          <t>12m total return (%)</t>
        </is>
      </c>
      <c r="B22" s="27">
        <f>B6-B8*B13/100-B7*D17/100</f>
        <v/>
      </c>
    </row>
    <row r="23">
      <c r="A23" s="10" t="inlineStr">
        <is>
          <t>Excess over cash (pp)</t>
        </is>
      </c>
      <c r="B23" s="8">
        <f>B6-B8*B13/100-B7*D17/100-B9</f>
        <v/>
      </c>
    </row>
    <row r="24">
      <c r="A24" s="10" t="inlineStr">
        <is>
          <t>Spread at which return = cash (bp)</t>
        </is>
      </c>
      <c r="B24" s="17">
        <f>B5+(B6-B8*B13/100-B9)*100/B7</f>
        <v/>
      </c>
    </row>
    <row r="26">
      <c r="A26" s="2" t="inlineStr">
        <is>
          <t>Uncertainty around the central case</t>
        </is>
      </c>
      <c r="B26" s="6" t="n"/>
      <c r="C26" s="6" t="n"/>
      <c r="D26" s="6" t="n"/>
      <c r="E26" s="6" t="n"/>
      <c r="F26" s="6" t="n"/>
    </row>
    <row r="27">
      <c r="A27" s="10" t="inlineStr">
        <is>
          <t>12m sigma, daily scaled by root-252 (bp)</t>
        </is>
      </c>
      <c r="B27" s="17" t="n">
        <v>101.0467881486355</v>
      </c>
      <c r="C27" s="4" t="inlineStr">
        <is>
          <t>overstates when spreads mean-revert</t>
        </is>
      </c>
    </row>
    <row r="28">
      <c r="A28" s="10" t="inlineStr">
        <is>
          <t>12m sigma, actual 252-day changes (bp)</t>
        </is>
      </c>
      <c r="B28" s="17" t="n">
        <v>75.66178353535804</v>
      </c>
      <c r="C28" s="4" t="inlineStr">
        <is>
          <t>from 994 overlapping windows — the honest one</t>
        </is>
      </c>
    </row>
    <row r="29">
      <c r="A29" s="10" t="inlineStr">
        <is>
          <t>Vol multiplier</t>
        </is>
      </c>
      <c r="B29" s="37" t="n">
        <v>1</v>
      </c>
    </row>
    <row r="31">
      <c r="A31" s="13" t="inlineStr">
        <is>
          <t>Percentile</t>
        </is>
      </c>
      <c r="B31" s="13" t="inlineStr">
        <is>
          <t>p5</t>
        </is>
      </c>
      <c r="C31" s="13" t="inlineStr">
        <is>
          <t>p25</t>
        </is>
      </c>
      <c r="D31" s="13" t="inlineStr">
        <is>
          <t>p50</t>
        </is>
      </c>
      <c r="E31" s="13" t="inlineStr">
        <is>
          <t>p75</t>
        </is>
      </c>
      <c r="F31" s="13" t="inlineStr">
        <is>
          <t>p95</t>
        </is>
      </c>
    </row>
    <row r="32">
      <c r="A32" s="10" t="inlineStr">
        <is>
          <t>Spread (bp)</t>
        </is>
      </c>
      <c r="B32" s="38">
        <f>B5+D17+-1.645*B28*B29</f>
        <v/>
      </c>
      <c r="C32" s="38">
        <f>B5+D17+-0.674*B28*B29</f>
        <v/>
      </c>
      <c r="D32" s="39">
        <f>B5+D17+0.0*B28*B29</f>
        <v/>
      </c>
      <c r="E32" s="38">
        <f>B5+D17+0.674*B28*B29</f>
        <v/>
      </c>
      <c r="F32" s="38">
        <f>B5+D17+1.645*B28*B29</f>
        <v/>
      </c>
    </row>
    <row r="33">
      <c r="A33" s="10" t="inlineStr">
        <is>
          <t>Total return (%)</t>
        </is>
      </c>
      <c r="B33" s="14">
        <f>B6-B8*B13/100-B7*(D17+-1.645*B28*B29)/100</f>
        <v/>
      </c>
      <c r="C33" s="14">
        <f>B6-B8*B13/100-B7*(D17+-0.674*B28*B29)/100</f>
        <v/>
      </c>
      <c r="D33" s="40">
        <f>B6-B8*B13/100-B7*(D17+0.0*B28*B29)/100</f>
        <v/>
      </c>
      <c r="E33" s="14">
        <f>B6-B8*B13/100-B7*(D17+0.674*B28*B29)/100</f>
        <v/>
      </c>
      <c r="F33" s="14">
        <f>B6-B8*B13/100-B7*(D17+1.645*B28*B29)/100</f>
        <v/>
      </c>
    </row>
    <row r="35">
      <c r="A35" s="4" t="inlineStr">
        <is>
          <t>Betas are practitioner priors, not regression estimates. The rates beta is</t>
        </is>
      </c>
    </row>
    <row r="36">
      <c r="A36" s="4" t="inlineStr">
        <is>
          <t>unconditional: it cannot tell a rate rise driven by growth (spreads tighten) from</t>
        </is>
      </c>
    </row>
    <row r="37">
      <c r="A37" s="4" t="inlineStr">
        <is>
          <t>one driven by an inflation shock (spreads widen). If your rate view depends on which,</t>
        </is>
      </c>
    </row>
    <row r="38">
      <c r="A38" s="4" t="inlineStr">
        <is>
          <t>the forecast should be built regime by regime rather than off one coefficient.</t>
        </is>
      </c>
    </row>
    <row r="39">
      <c r="A39" s="4" t="inlineStr">
        <is>
          <t>Bands are Gaussian and ignore fat tails; the vol multiplier is the crude lever.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5" t="inlineStr">
        <is>
          <t>Sensitivity to the US 10-year</t>
        </is>
      </c>
    </row>
    <row r="2">
      <c r="A2" s="4" t="inlineStr">
        <is>
          <t>Spot spread 173bp, yield 6.65%, spread duration 6.22, IR duration 6.23, cash 4.50%.</t>
        </is>
      </c>
    </row>
    <row r="4">
      <c r="A4" s="2" t="inlineStr">
        <is>
          <t>A. Spread responds to rates through beta (0.30)</t>
        </is>
      </c>
      <c r="B4" s="6" t="n"/>
      <c r="C4" s="6" t="n"/>
      <c r="D4" s="6" t="n"/>
      <c r="E4" s="6" t="n"/>
    </row>
    <row r="5">
      <c r="A5" s="13" t="inlineStr">
        <is>
          <t>UST 10y change</t>
        </is>
      </c>
      <c r="B5" s="13" t="inlineStr">
        <is>
          <t>implied spread (bp)</t>
        </is>
      </c>
      <c r="C5" s="13" t="inlineStr">
        <is>
          <t>spread change (bp)</t>
        </is>
      </c>
      <c r="D5" s="13" t="inlineStr">
        <is>
          <t>12m total return %</t>
        </is>
      </c>
      <c r="E5" s="13" t="inlineStr">
        <is>
          <t>vs cash (pp)</t>
        </is>
      </c>
    </row>
    <row r="6">
      <c r="A6" s="10" t="inlineStr">
        <is>
          <t>-100bp</t>
        </is>
      </c>
      <c r="B6" s="17" t="n">
        <v>143</v>
      </c>
      <c r="C6" s="15" t="n">
        <v>-30</v>
      </c>
      <c r="D6" s="41" t="n">
        <v>14.7411567</v>
      </c>
      <c r="E6" s="18" t="n">
        <v>10.2411567</v>
      </c>
    </row>
    <row r="7">
      <c r="A7" s="10" t="inlineStr">
        <is>
          <t>-75bp</t>
        </is>
      </c>
      <c r="B7" s="17" t="n">
        <v>150.5</v>
      </c>
      <c r="C7" s="15" t="n">
        <v>-22.5</v>
      </c>
      <c r="D7" s="41" t="n">
        <v>12.717290275</v>
      </c>
      <c r="E7" s="18" t="n">
        <v>8.217290275</v>
      </c>
    </row>
    <row r="8">
      <c r="A8" s="10" t="inlineStr">
        <is>
          <t>-50bp</t>
        </is>
      </c>
      <c r="B8" s="17" t="n">
        <v>158</v>
      </c>
      <c r="C8" s="15" t="n">
        <v>-15</v>
      </c>
      <c r="D8" s="41" t="n">
        <v>10.69342385</v>
      </c>
      <c r="E8" s="18" t="n">
        <v>6.19342385</v>
      </c>
    </row>
    <row r="9">
      <c r="A9" s="10" t="inlineStr">
        <is>
          <t>-25bp</t>
        </is>
      </c>
      <c r="B9" s="17" t="n">
        <v>165.5</v>
      </c>
      <c r="C9" s="15" t="n">
        <v>-7.5</v>
      </c>
      <c r="D9" s="41" t="n">
        <v>8.669557425000001</v>
      </c>
      <c r="E9" s="18" t="n">
        <v>4.169557425000001</v>
      </c>
    </row>
    <row r="10">
      <c r="A10" s="7" t="inlineStr">
        <is>
          <t>+0bp</t>
        </is>
      </c>
      <c r="B10" s="17" t="n">
        <v>173</v>
      </c>
      <c r="C10" s="15" t="n">
        <v>0</v>
      </c>
      <c r="D10" s="41" t="n">
        <v>6.645691</v>
      </c>
      <c r="E10" s="18" t="n">
        <v>2.145691</v>
      </c>
    </row>
    <row r="11">
      <c r="A11" s="10" t="inlineStr">
        <is>
          <t>+25bp</t>
        </is>
      </c>
      <c r="B11" s="17" t="n">
        <v>180.5</v>
      </c>
      <c r="C11" s="15" t="n">
        <v>7.5</v>
      </c>
      <c r="D11" s="41" t="n">
        <v>4.621824575000001</v>
      </c>
      <c r="E11" s="18" t="n">
        <v>0.1218245750000007</v>
      </c>
    </row>
    <row r="12">
      <c r="A12" s="10" t="inlineStr">
        <is>
          <t>+50bp</t>
        </is>
      </c>
      <c r="B12" s="17" t="n">
        <v>188</v>
      </c>
      <c r="C12" s="15" t="n">
        <v>15</v>
      </c>
      <c r="D12" s="42" t="n">
        <v>2.59795815</v>
      </c>
      <c r="E12" s="18" t="n">
        <v>-1.90204185</v>
      </c>
    </row>
    <row r="13">
      <c r="A13" s="10" t="inlineStr">
        <is>
          <t>+75bp</t>
        </is>
      </c>
      <c r="B13" s="17" t="n">
        <v>195.5</v>
      </c>
      <c r="C13" s="15" t="n">
        <v>22.5</v>
      </c>
      <c r="D13" s="42" t="n">
        <v>0.5740917249999997</v>
      </c>
      <c r="E13" s="18" t="n">
        <v>-3.925908275</v>
      </c>
    </row>
    <row r="14">
      <c r="A14" s="10" t="inlineStr">
        <is>
          <t>+100bp</t>
        </is>
      </c>
      <c r="B14" s="17" t="n">
        <v>203</v>
      </c>
      <c r="C14" s="15" t="n">
        <v>30</v>
      </c>
      <c r="D14" s="42" t="n">
        <v>-1.4497747</v>
      </c>
      <c r="E14" s="18" t="n">
        <v>-5.9497747</v>
      </c>
    </row>
    <row r="16">
      <c r="A16" s="2" t="inlineStr">
        <is>
          <t>B. Spread and rates set independently — 12m total return (%)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13" t="inlineStr">
        <is>
          <t>spread \ UST</t>
        </is>
      </c>
      <c r="B17" s="13" t="inlineStr">
        <is>
          <t>-100bp</t>
        </is>
      </c>
      <c r="C17" s="13" t="inlineStr">
        <is>
          <t>-75bp</t>
        </is>
      </c>
      <c r="D17" s="13" t="inlineStr">
        <is>
          <t>-50bp</t>
        </is>
      </c>
      <c r="E17" s="13" t="inlineStr">
        <is>
          <t>-25bp</t>
        </is>
      </c>
      <c r="F17" s="13" t="inlineStr">
        <is>
          <t>+0bp</t>
        </is>
      </c>
      <c r="G17" s="13" t="inlineStr">
        <is>
          <t>+25bp</t>
        </is>
      </c>
      <c r="H17" s="13" t="inlineStr">
        <is>
          <t>+50bp</t>
        </is>
      </c>
      <c r="I17" s="13" t="inlineStr">
        <is>
          <t>+75bp</t>
        </is>
      </c>
      <c r="J17" s="13" t="inlineStr">
        <is>
          <t>+100bp</t>
        </is>
      </c>
    </row>
    <row r="18">
      <c r="A18" s="10" t="inlineStr">
        <is>
          <t>125bp</t>
        </is>
      </c>
      <c r="B18" s="43" t="n">
        <v>15.86055492</v>
      </c>
      <c r="C18" s="43" t="n">
        <v>14.30310442</v>
      </c>
      <c r="D18" s="43" t="n">
        <v>12.74565392</v>
      </c>
      <c r="E18" s="43" t="n">
        <v>11.18820342</v>
      </c>
      <c r="F18" s="43" t="n">
        <v>9.630752920000001</v>
      </c>
      <c r="G18" s="43" t="n">
        <v>8.073302420000001</v>
      </c>
      <c r="H18" s="43" t="n">
        <v>6.51585192</v>
      </c>
      <c r="I18" s="43" t="n">
        <v>4.95840142</v>
      </c>
      <c r="J18" s="44" t="n">
        <v>3.40095092</v>
      </c>
    </row>
    <row r="19">
      <c r="A19" s="10" t="inlineStr">
        <is>
          <t>150bp</t>
        </is>
      </c>
      <c r="B19" s="43" t="n">
        <v>14.30583517</v>
      </c>
      <c r="C19" s="43" t="n">
        <v>12.74838467</v>
      </c>
      <c r="D19" s="43" t="n">
        <v>11.19093417</v>
      </c>
      <c r="E19" s="43" t="n">
        <v>9.63348367</v>
      </c>
      <c r="F19" s="43" t="n">
        <v>8.076033170000001</v>
      </c>
      <c r="G19" s="43" t="n">
        <v>6.518582670000001</v>
      </c>
      <c r="H19" s="43" t="n">
        <v>4.96113217</v>
      </c>
      <c r="I19" s="44" t="n">
        <v>3.40368167</v>
      </c>
      <c r="J19" s="44" t="n">
        <v>1.84623117</v>
      </c>
    </row>
    <row r="20">
      <c r="A20" s="10" t="inlineStr">
        <is>
          <t>175bp</t>
        </is>
      </c>
      <c r="B20" s="43" t="n">
        <v>12.75111542</v>
      </c>
      <c r="C20" s="43" t="n">
        <v>11.19366492</v>
      </c>
      <c r="D20" s="43" t="n">
        <v>9.63621442</v>
      </c>
      <c r="E20" s="43" t="n">
        <v>8.07876392</v>
      </c>
      <c r="F20" s="43" t="n">
        <v>6.52131342</v>
      </c>
      <c r="G20" s="43" t="n">
        <v>4.96386292</v>
      </c>
      <c r="H20" s="44" t="n">
        <v>3.40641242</v>
      </c>
      <c r="I20" s="44" t="n">
        <v>1.84896192</v>
      </c>
      <c r="J20" s="44" t="n">
        <v>0.29151142</v>
      </c>
    </row>
    <row r="21">
      <c r="A21" s="10" t="inlineStr">
        <is>
          <t>200bp</t>
        </is>
      </c>
      <c r="B21" s="43" t="n">
        <v>11.19639567</v>
      </c>
      <c r="C21" s="43" t="n">
        <v>9.63894517</v>
      </c>
      <c r="D21" s="43" t="n">
        <v>8.081494670000001</v>
      </c>
      <c r="E21" s="43" t="n">
        <v>6.524044170000001</v>
      </c>
      <c r="F21" s="43" t="n">
        <v>4.96659367</v>
      </c>
      <c r="G21" s="44" t="n">
        <v>3.40914317</v>
      </c>
      <c r="H21" s="44" t="n">
        <v>1.85169267</v>
      </c>
      <c r="I21" s="44" t="n">
        <v>0.2942421699999995</v>
      </c>
      <c r="J21" s="44" t="n">
        <v>-1.26320833</v>
      </c>
    </row>
    <row r="22">
      <c r="A22" s="10" t="inlineStr">
        <is>
          <t>225bp</t>
        </is>
      </c>
      <c r="B22" s="43" t="n">
        <v>9.641675920000001</v>
      </c>
      <c r="C22" s="43" t="n">
        <v>8.084225420000001</v>
      </c>
      <c r="D22" s="43" t="n">
        <v>6.526774920000001</v>
      </c>
      <c r="E22" s="43" t="n">
        <v>4.969324420000001</v>
      </c>
      <c r="F22" s="44" t="n">
        <v>3.41187392</v>
      </c>
      <c r="G22" s="44" t="n">
        <v>1.85442342</v>
      </c>
      <c r="H22" s="44" t="n">
        <v>0.29697292</v>
      </c>
      <c r="I22" s="44" t="n">
        <v>-1.26047758</v>
      </c>
      <c r="J22" s="44" t="n">
        <v>-2.81792808</v>
      </c>
    </row>
    <row r="23">
      <c r="A23" s="10" t="inlineStr">
        <is>
          <t>250bp</t>
        </is>
      </c>
      <c r="B23" s="43" t="n">
        <v>8.086956170000001</v>
      </c>
      <c r="C23" s="43" t="n">
        <v>6.529505670000001</v>
      </c>
      <c r="D23" s="43" t="n">
        <v>4.972055170000001</v>
      </c>
      <c r="E23" s="44" t="n">
        <v>3.414604670000001</v>
      </c>
      <c r="F23" s="44" t="n">
        <v>1.85715417</v>
      </c>
      <c r="G23" s="44" t="n">
        <v>0.2997036700000004</v>
      </c>
      <c r="H23" s="44" t="n">
        <v>-1.25774683</v>
      </c>
      <c r="I23" s="44" t="n">
        <v>-2.81519733</v>
      </c>
      <c r="J23" s="44" t="n">
        <v>-4.37264783</v>
      </c>
    </row>
    <row r="24">
      <c r="A24" s="10" t="inlineStr">
        <is>
          <t>275bp</t>
        </is>
      </c>
      <c r="B24" s="43" t="n">
        <v>6.53223642</v>
      </c>
      <c r="C24" s="43" t="n">
        <v>4.97478592</v>
      </c>
      <c r="D24" s="44" t="n">
        <v>3.417335420000001</v>
      </c>
      <c r="E24" s="44" t="n">
        <v>1.859884920000001</v>
      </c>
      <c r="F24" s="44" t="n">
        <v>0.30243442</v>
      </c>
      <c r="G24" s="44" t="n">
        <v>-1.25501608</v>
      </c>
      <c r="H24" s="44" t="n">
        <v>-2.81246658</v>
      </c>
      <c r="I24" s="44" t="n">
        <v>-4.36991708</v>
      </c>
      <c r="J24" s="44" t="n">
        <v>-5.92736758</v>
      </c>
    </row>
    <row r="26">
      <c r="A26" s="7" t="inlineStr">
        <is>
          <t>break-even spread</t>
        </is>
      </c>
      <c r="B26" s="26" t="n">
        <v>307.6785007394419</v>
      </c>
      <c r="C26" s="26" t="n">
        <v>282.6345900925231</v>
      </c>
      <c r="D26" s="26" t="n">
        <v>257.5906794456043</v>
      </c>
      <c r="E26" s="26" t="n">
        <v>232.5467687986854</v>
      </c>
      <c r="F26" s="26" t="n">
        <v>207.5028581517666</v>
      </c>
      <c r="G26" s="26" t="n">
        <v>182.4589475048477</v>
      </c>
      <c r="H26" s="26" t="n">
        <v>157.4150368579289</v>
      </c>
      <c r="I26" s="26" t="n">
        <v>132.3711262110101</v>
      </c>
      <c r="J26" s="26" t="n">
        <v>107.3272155640912</v>
      </c>
    </row>
    <row r="28">
      <c r="A28" s="4" t="inlineStr">
        <is>
          <t>Green clears the cash hurdle, red does not. Grid B holds the two variables independent, which is conservative: in a genuine risk-off the Treasury rally offsets part of the spread widening, so the bottom-left corner overstates the pain. The break-even row is the number that actually decides the call.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6"/>
  <sheetViews>
    <sheetView showGridLines="0"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5" t="inlineStr">
        <is>
          <t>Methodology, reconciliation and known limitations</t>
        </is>
      </c>
    </row>
    <row r="3">
      <c r="A3" s="2" t="inlineStr">
        <is>
          <t>Data</t>
        </is>
      </c>
    </row>
    <row r="4">
      <c r="A4" s="45" t="inlineStr">
        <is>
          <t>Your history workbook is opened read-only and never written to. Each run re-reads it,</t>
        </is>
      </c>
    </row>
    <row r="5">
      <c r="A5" s="45" t="inlineStr">
        <is>
          <t>merges any JPM downloads found in the folder, and writes the growing copy to EMBI_history_extended.csv</t>
        </is>
      </c>
    </row>
    <row r="6">
      <c r="A6" s="45" t="inlineStr">
        <is>
          <t>in the identical column layout. Snapshot-only fields - durations, JPM's own attribution,</t>
        </is>
      </c>
    </row>
    <row r="7">
      <c r="A7" s="45" t="inlineStr">
        <is>
          <t>ratings - go to EMBI_snapshot_extras.csv keyed by date, so your schema never changes shape.</t>
        </is>
      </c>
    </row>
    <row r="8">
      <c r="A8" s="45" t="inlineStr">
        <is>
          <t>JPM downloads are identified by their first column being 'Bam Id', never by filename.</t>
        </is>
      </c>
    </row>
    <row r="10">
      <c r="A10" s="2" t="inlineStr">
        <is>
          <t>Year to date</t>
        </is>
      </c>
    </row>
    <row r="11">
      <c r="A11" s="45" t="inlineStr">
        <is>
          <t>YTD is measured from the last observation of 2025 (2025-12-31), not from the</t>
        </is>
      </c>
    </row>
    <row r="12">
      <c r="A12" s="45" t="inlineStr">
        <is>
          <t>first print of January. Using the first January print understates the year by whatever</t>
        </is>
      </c>
    </row>
    <row r="13">
      <c r="A13" s="45" t="inlineStr">
        <is>
          <t>moved over the turn.</t>
        </is>
      </c>
    </row>
    <row r="15">
      <c r="A15" s="2" t="inlineStr">
        <is>
          <t>Return attribution</t>
        </is>
      </c>
    </row>
    <row r="16">
      <c r="A16" s="45" t="inlineStr">
        <is>
          <t>total = -D x d(spread) - D x d(Treasury) + (carry, roll and residual)</t>
        </is>
      </c>
    </row>
    <row r="17">
      <c r="A17" s="45" t="inlineStr"/>
    </row>
    <row r="18">
      <c r="A18" s="45" t="inlineStr">
        <is>
          <t>The identity closes by construction: the residual is defined as the remainder, not</t>
        </is>
      </c>
    </row>
    <row r="19">
      <c r="A19" s="45" t="inlineStr">
        <is>
          <t>fitted. It is realised coupon, roll-down, rebalancing and defaults.</t>
        </is>
      </c>
    </row>
    <row r="20">
      <c r="A20" s="45" t="inlineStr"/>
    </row>
    <row r="21">
      <c r="A21" s="45" t="inlineStr">
        <is>
          <t>On the current YTD the residual is +1.68% against an index YTM of</t>
        </is>
      </c>
    </row>
    <row r="22">
      <c r="A22" s="45" t="inlineStr">
        <is>
          <t>6.65%. That gap is not an error - it is what distressed names do to a quoted</t>
        </is>
      </c>
    </row>
    <row r="23">
      <c r="A23" s="45" t="inlineStr">
        <is>
          <t>yield. Venezuela shows 42.8%, Lebanon 80.3%, Ethiopia -1.0%; none of them pay it. Any</t>
        </is>
      </c>
    </row>
    <row r="24">
      <c r="A24" s="45" t="inlineStr">
        <is>
          <t>carry estimate built off the index YTM will be far too high.</t>
        </is>
      </c>
    </row>
    <row r="25">
      <c r="A25" s="45" t="inlineStr"/>
    </row>
    <row r="26">
      <c r="A26" s="45" t="inlineStr">
        <is>
          <t>The Treasury leg uses the implied Treasury - yield less spread - which is the rate each</t>
        </is>
      </c>
    </row>
    <row r="27">
      <c r="A27" s="45" t="inlineStr">
        <is>
          <t>entity is actually struck against, rather than an external 10y series.</t>
        </is>
      </c>
    </row>
    <row r="29">
      <c r="A29" s="2" t="inlineStr">
        <is>
          <t>Duration</t>
        </is>
      </c>
    </row>
    <row r="30">
      <c r="A30" s="45" t="inlineStr">
        <is>
          <t>Attribution uses JPM's PUBLISHED spread duration from the nearest snapshot, because it</t>
        </is>
      </c>
    </row>
    <row r="31">
      <c r="A31" s="45" t="inlineStr">
        <is>
          <t>cannot be estimated from the history: regressing daily total returns on yield changes</t>
        </is>
      </c>
    </row>
    <row r="32">
      <c r="A32" s="45" t="inlineStr">
        <is>
          <t>returns 3.3 for the index against a published 6.22, for the same distressed-yield reason.</t>
        </is>
      </c>
    </row>
    <row r="33">
      <c r="A33" s="45" t="inlineStr">
        <is>
          <t>Where no snapshot covers a date the default of 6.219 is used and the column</t>
        </is>
      </c>
    </row>
    <row r="34">
      <c r="A34" s="45" t="inlineStr">
        <is>
          <t>says 'default'. Duration is a sensitivity, not a maturity: the index shows 6.22 duration</t>
        </is>
      </c>
    </row>
    <row r="35">
      <c r="A35" s="45" t="inlineStr">
        <is>
          <t>against 10.2y average life, and using average life would overstate every impact by 63%.</t>
        </is>
      </c>
    </row>
    <row r="37">
      <c r="A37" s="2" t="inlineStr">
        <is>
          <t>Reconciliation</t>
        </is>
      </c>
    </row>
    <row r="38">
      <c r="A38" s="45" t="inlineStr">
        <is>
          <t>Our YTD total return +2.683% against JPM's published +2.683% - difference +0.000pp.</t>
        </is>
      </c>
    </row>
    <row r="39">
      <c r="A39" s="45" t="inlineStr">
        <is>
          <t>Our spread and rate legs will NOT equal JPM's published legs: theirs are computed on the</t>
        </is>
      </c>
    </row>
    <row r="40">
      <c r="A40" s="45" t="inlineStr">
        <is>
          <t>actual Treasury hedge and compound through the year, ours are a duration approximation at</t>
        </is>
      </c>
    </row>
    <row r="41">
      <c r="A41" s="45" t="inlineStr">
        <is>
          <t>a single duration. Cite JPM's numbers externally; ours exist to run across every date in</t>
        </is>
      </c>
    </row>
    <row r="42">
      <c r="A42" s="45" t="inlineStr">
        <is>
          <t>the history, which theirs cannot.</t>
        </is>
      </c>
    </row>
    <row r="44">
      <c r="A44" s="2" t="inlineStr">
        <is>
          <t>Where the decomposition stops being informative</t>
        </is>
      </c>
    </row>
    <row r="45">
      <c r="A45" s="45" t="inlineStr">
        <is>
          <t>A duration split is a first-order expansion. It is accurate for small moves and</t>
        </is>
      </c>
    </row>
    <row r="46">
      <c r="A46" s="45" t="inlineStr">
        <is>
          <t>fails for large ones, because duration itself changes as a credit moves. Rows are</t>
        </is>
      </c>
    </row>
    <row r="47">
      <c r="A47" s="45" t="inlineStr">
        <is>
          <t>flagged when the spread moved more than 200bp, when the residual</t>
        </is>
      </c>
    </row>
    <row r="48">
      <c r="A48" s="45" t="inlineStr">
        <is>
          <t>exceeds the total, or when the index weight changed materially over the period.</t>
        </is>
      </c>
    </row>
    <row r="49">
      <c r="A49" s="45" t="inlineStr"/>
    </row>
    <row r="50">
      <c r="A50" s="45" t="inlineStr">
        <is>
          <t>Credit C is the clearest case: -1,059bp of tightening, which at a duration of 4.95</t>
        </is>
      </c>
    </row>
    <row r="51">
      <c r="A51" s="45" t="inlineStr">
        <is>
          <t>implies +52% against an actual +17.9%. Those names started the year with durations</t>
        </is>
      </c>
    </row>
    <row r="52">
      <c r="A52" s="45" t="inlineStr">
        <is>
          <t>near 1-2 and the expansion has no chance. Read the total return there and ignore</t>
        </is>
      </c>
    </row>
    <row r="53">
      <c r="A53" s="45" t="inlineStr">
        <is>
          <t>the legs. The same applies to the Middle East region, where the index weight fell</t>
        </is>
      </c>
    </row>
    <row r="54">
      <c r="A54" s="45" t="inlineStr">
        <is>
          <t>from 16.6% to 12.2% and composition, not price, is doing much of the work.</t>
        </is>
      </c>
    </row>
    <row r="56">
      <c r="A56" s="2" t="inlineStr">
        <is>
          <t>Forecast</t>
        </is>
      </c>
    </row>
    <row r="57">
      <c r="A57" s="45" t="inlineStr">
        <is>
          <t>Betas are practitioner priors, not regression estimates.</t>
        </is>
      </c>
    </row>
    <row r="58">
      <c r="A58" s="45" t="inlineStr">
        <is>
          <t>The known weakness: the rates beta is unconditional and cannot distinguish a rate rise</t>
        </is>
      </c>
    </row>
    <row r="59">
      <c r="A59" s="45" t="inlineStr">
        <is>
          <t>driven by growth (spreads tighten) from one driven by an inflation or policy shock</t>
        </is>
      </c>
    </row>
    <row r="60">
      <c r="A60" s="45" t="inlineStr">
        <is>
          <t>(spreads widen). If the call depends on which, build it regime by regime.</t>
        </is>
      </c>
    </row>
    <row r="61">
      <c r="A61" s="45" t="inlineStr">
        <is>
          <t>Percentile bands are Gaussian around the central case and ignore fat tails.</t>
        </is>
      </c>
    </row>
    <row r="62">
      <c r="A62" s="45" t="inlineStr">
        <is>
          <t>Two sigmas are shown: daily scaled by root-252, and the distribution of actual 252-day</t>
        </is>
      </c>
    </row>
    <row r="63">
      <c r="A63" s="45" t="inlineStr">
        <is>
          <t>changes. They diverge when spreads mean-revert; the second is the honest one for a 12m</t>
        </is>
      </c>
    </row>
    <row r="64">
      <c r="A64" s="45" t="inlineStr">
        <is>
          <t>horizon and is the one driving the bands.</t>
        </is>
      </c>
    </row>
    <row r="65">
      <c r="A65" s="45" t="inlineStr">
        <is>
          <t>Sensitivity grid B holds spread and rates independent, which is conservative - in a real</t>
        </is>
      </c>
    </row>
    <row r="66">
      <c r="A66" s="45" t="inlineStr">
        <is>
          <t>risk-off the Treasury rally offsets part of the widening.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2026-09-09T19:04:08Z</dcterms:created>
  <dcterms:modified xmlns:dcterms="http://purl.org/dc/terms/" xmlns:xsi="http://www.w3.org/2001/XMLSchema-instance" xsi:type="dcterms:W3CDTF">2026-09-09T19:04:09Z</dcterms:modified>
</cp:coreProperties>
</file>