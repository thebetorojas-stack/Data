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style2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style14.xml" ContentType="application/vnd.ms-office.chartstyle+xml"/>
  <Override PartName="/xl/charts/chart4.xml" ContentType="application/vnd.openxmlformats-officedocument.drawingml.chart+xml"/>
  <Override PartName="/xl/charts/colors7.xml" ContentType="application/vnd.ms-office.chartcolorstyle+xml"/>
  <Override PartName="/xl/charts/chart11.xml" ContentType="application/vnd.openxmlformats-officedocument.drawingml.chart+xml"/>
  <Override PartName="/xl/charts/colors10.xml" ContentType="application/vnd.ms-office.chartcolorstyle+xml"/>
  <Override PartName="/xl/charts/colors12.xml" ContentType="application/vnd.ms-office.chartcolorstyle+xml"/>
  <Override PartName="/xl/charts/style11.xml" ContentType="application/vnd.ms-office.chartstyle+xml"/>
  <Override PartName="/xl/charts/style13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colors13.xml" ContentType="application/vnd.ms-office.chartcolorstyle+xml"/>
  <Override PartName="/xl/charts/colors5.xml" ContentType="application/vnd.ms-office.chartcolorstyle+xml"/>
  <Override PartName="/xl/charts/style8.xml" ContentType="application/vnd.ms-office.chartstyle+xml"/>
  <Override PartName="/xl/charts/chart14.xml" ContentType="application/vnd.openxmlformats-officedocument.drawingml.chart+xml"/>
  <Override PartName="/xl/charts/colors1.xml" ContentType="application/vnd.ms-office.chartcolorstyle+xml"/>
  <Override PartName="/xl/charts/colors3.xml" ContentType="application/vnd.ms-office.chartcolor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4.xml" ContentType="application/vnd.ms-office.chartcolorstyle+xml"/>
  <Override PartName="/xl/charts/chart7.xml" ContentType="application/vnd.openxmlformats-officedocument.drawingml.chart+xml"/>
  <Override PartName="/xl/charts/style1.xml" ContentType="application/vnd.ms-office.chartstyle+xml"/>
  <Override PartName="/xl/charts/style9.xml" ContentType="application/vnd.ms-office.chartstyle+xml"/>
  <Override PartName="/xl/charts/chart3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style12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des" sheetId="2" state="visible" r:id="rId4"/>
    <sheet name="GDP" sheetId="3" state="visible" r:id="rId5"/>
    <sheet name="Inflation" sheetId="4" state="visible" r:id="rId6"/>
    <sheet name="Fiscal" sheetId="5" state="visible" r:id="rId7"/>
    <sheet name="BoP" sheetId="6" state="visible" r:id="rId8"/>
    <sheet name="Reserves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<sst xmlns="http://schemas.openxmlformats.org/spreadsheetml/2006/main" count="421" uniqueCount="130">
  <si>
    <t xml:space="preserve">Macro Tracker — Argentina</t>
  </si>
  <si>
    <t xml:space="preserve">Pure-Excel workbook driven by Haver DLX. Edit codes on the Codes tab, hit DLX &gt; Refresh / Calculate, every tab and chart updates.</t>
  </si>
  <si>
    <t xml:space="preserve">How to use</t>
  </si>
  <si>
    <t xml:space="preserve">1.</t>
  </si>
  <si>
    <t xml:space="preserve">Make sure the Haver DLX add-in is loaded (Excel &gt; File &gt; Options &gt; Add-ins).</t>
  </si>
  <si>
    <t xml:space="preserve">2.</t>
  </si>
  <si>
    <t xml:space="preserve">Open the Codes tab and review the Haver codes. Yellow cells are inputs.</t>
  </si>
  <si>
    <t xml:space="preserve">3.</t>
  </si>
  <si>
    <t xml:space="preserve">Hit DLX &gt; Refresh (or just press F9) to pull data.</t>
  </si>
  <si>
    <t xml:space="preserve">4.</t>
  </si>
  <si>
    <t xml:space="preserve">Open any category tab (GDP, Inflation, …). Each indicator has a quarterly block, an annual block, and a chart.</t>
  </si>
  <si>
    <t xml:space="preserve">5.</t>
  </si>
  <si>
    <t xml:space="preserve">The Dashboard tab summarises the latest read and 2-year forecast for every indicator.</t>
  </si>
  <si>
    <t xml:space="preserve">Forecasts</t>
  </si>
  <si>
    <t xml:space="preserve">Linear (TREND)</t>
  </si>
  <si>
    <t xml:space="preserve">Excel's TREND() extends the levels linearly over the next 8 quarters. Robust to zero / negative values.</t>
  </si>
  <si>
    <t xml:space="preserve">Holt-Winters (ETS)</t>
  </si>
  <si>
    <t xml:space="preserve">Excel's FORECAST.ETS() is exponential triple smoothing with auto seasonality. Pair with FORECAST.ETS.CONFINT() for 95% bands.</t>
  </si>
  <si>
    <t xml:space="preserve">Notes on Argentina</t>
  </si>
  <si>
    <t xml:space="preserve">Inflation regime breaks</t>
  </si>
  <si>
    <t xml:space="preserve">INDEC suspended/restated CPI 2007-15. Forecasts on the full history will look strange — consider trimming the date range used in the formula or relying on Holt-Winters which damps.</t>
  </si>
  <si>
    <t xml:space="preserve">Currency revaluations</t>
  </si>
  <si>
    <t xml:space="preserve">Pesos series may have notch jumps. Inspect the chart before quoting a forecast.</t>
  </si>
  <si>
    <t xml:space="preserve">Files</t>
  </si>
  <si>
    <t xml:space="preserve">Argentina_Tracker.xlsx</t>
  </si>
  <si>
    <t xml:space="preserve">This workbook. Open this every day.</t>
  </si>
  <si>
    <t xml:space="preserve">build_argentina.py</t>
  </si>
  <si>
    <t xml:space="preserve">Regenerates the workbook layout. Only run if you want to add/remove categories or rebuild from scratch.</t>
  </si>
  <si>
    <t xml:space="preserve">Codes — Single Source of Truth (Argentina)</t>
  </si>
  <si>
    <t xml:space="preserve">Edit the yellow cells. Quarterly Code is required; Annual Code is optional (the workbook aggregates from Q if blank). Aggregation: avg | sum | last.</t>
  </si>
  <si>
    <t xml:space="preserve">Section</t>
  </si>
  <si>
    <t xml:space="preserve">Indicator</t>
  </si>
  <si>
    <t xml:space="preserve">Frequency hint</t>
  </si>
  <si>
    <t xml:space="preserve">Quarterly Code</t>
  </si>
  <si>
    <t xml:space="preserve">Annual Code</t>
  </si>
  <si>
    <t xml:space="preserve">Units</t>
  </si>
  <si>
    <t xml:space="preserve">Aggregation</t>
  </si>
  <si>
    <t xml:space="preserve">Notes</t>
  </si>
  <si>
    <t xml:space="preserve">GDP</t>
  </si>
  <si>
    <t xml:space="preserve">Real GDP (SA)</t>
  </si>
  <si>
    <t xml:space="preserve">Q</t>
  </si>
  <si>
    <t xml:space="preserve">S213NGPC@LATAM</t>
  </si>
  <si>
    <t xml:space="preserve">S213NGPCA@LATAM</t>
  </si>
  <si>
    <t xml:space="preserve">Mn 2004 ARS</t>
  </si>
  <si>
    <t xml:space="preserve">avg</t>
  </si>
  <si>
    <t xml:space="preserve">[VERIFY] AR is country code 213 in IFS-style mnemonics.</t>
  </si>
  <si>
    <t xml:space="preserve">Nominal GDP</t>
  </si>
  <si>
    <t xml:space="preserve">S213NGDP@LATAM</t>
  </si>
  <si>
    <t xml:space="preserve">S213NGDPA@LATAM</t>
  </si>
  <si>
    <t xml:space="preserve">Mn ARS</t>
  </si>
  <si>
    <t xml:space="preserve">[VERIFY]</t>
  </si>
  <si>
    <t xml:space="preserve">EMAE Activity Index</t>
  </si>
  <si>
    <t xml:space="preserve">EMAE@ARGEN</t>
  </si>
  <si>
    <t xml:space="preserve">EMAEA@ARGEN</t>
  </si>
  <si>
    <t xml:space="preserve">Index 2004=100</t>
  </si>
  <si>
    <t xml:space="preserve">INDEC monthly activity proxy. [VERIFY] code on your subscription.</t>
  </si>
  <si>
    <t xml:space="preserve">Inflation</t>
  </si>
  <si>
    <t xml:space="preserve">CPI National (IPC nacional)</t>
  </si>
  <si>
    <t xml:space="preserve">IPCNAC@ARGEN</t>
  </si>
  <si>
    <t xml:space="preserve">IPCNACA@ARGEN</t>
  </si>
  <si>
    <t xml:space="preserve">Index Dec-16=100</t>
  </si>
  <si>
    <t xml:space="preserve">INDEC. Pre-2017 series has structural breaks (INDEC reform).</t>
  </si>
  <si>
    <t xml:space="preserve">Core CPI</t>
  </si>
  <si>
    <t xml:space="preserve">IPCCORE@ARGEN</t>
  </si>
  <si>
    <t xml:space="preserve">IPCCOREA@ARGEN</t>
  </si>
  <si>
    <t xml:space="preserve">Index</t>
  </si>
  <si>
    <t xml:space="preserve">Wholesale Price Index (IPIM)</t>
  </si>
  <si>
    <t xml:space="preserve">IPIM@ARGEN</t>
  </si>
  <si>
    <t xml:space="preserve">IPIMA@ARGEN</t>
  </si>
  <si>
    <t xml:space="preserve">Fiscal</t>
  </si>
  <si>
    <t xml:space="preserve">Primary Fiscal Balance</t>
  </si>
  <si>
    <t xml:space="preserve">SPNFBAL@ARGEN</t>
  </si>
  <si>
    <t xml:space="preserve">SPNFBALA@ARGEN</t>
  </si>
  <si>
    <t xml:space="preserve">sum</t>
  </si>
  <si>
    <t xml:space="preserve">Sector Publico Nacional No Financiero. [VERIFY]</t>
  </si>
  <si>
    <t xml:space="preserve">Federal Tax Revenue</t>
  </si>
  <si>
    <t xml:space="preserve">RECNAC@ARGEN</t>
  </si>
  <si>
    <t xml:space="preserve">RECNACA@ARGEN</t>
  </si>
  <si>
    <t xml:space="preserve">Public Debt</t>
  </si>
  <si>
    <t xml:space="preserve">DEUDPUB@ARGEN</t>
  </si>
  <si>
    <t xml:space="preserve">DEUDPUBA@ARGEN</t>
  </si>
  <si>
    <t xml:space="preserve">USD Mn</t>
  </si>
  <si>
    <t xml:space="preserve">last</t>
  </si>
  <si>
    <t xml:space="preserve">End-period stock. [VERIFY]</t>
  </si>
  <si>
    <t xml:space="preserve">BoP</t>
  </si>
  <si>
    <t xml:space="preserve">Current Account Balance</t>
  </si>
  <si>
    <t xml:space="preserve">S213NCABA@LATAM</t>
  </si>
  <si>
    <t xml:space="preserve">S213NCABAA@LATAM</t>
  </si>
  <si>
    <t xml:space="preserve">INDEC / BCRA. [VERIFY]</t>
  </si>
  <si>
    <t xml:space="preserve">Trade Balance</t>
  </si>
  <si>
    <t xml:space="preserve">EXPMP@ARGEN</t>
  </si>
  <si>
    <t xml:space="preserve">EXPMPA@ARGEN</t>
  </si>
  <si>
    <t xml:space="preserve">Exports - imports. [VERIFY]</t>
  </si>
  <si>
    <t xml:space="preserve">Foreign Direct Investment</t>
  </si>
  <si>
    <t xml:space="preserve">FDIANN@ARGEN</t>
  </si>
  <si>
    <t xml:space="preserve">FDIANNA@ARGEN</t>
  </si>
  <si>
    <t xml:space="preserve">Reserves</t>
  </si>
  <si>
    <t xml:space="preserve">BCRA International Reserves</t>
  </si>
  <si>
    <t xml:space="preserve">RESINT@ARGEN</t>
  </si>
  <si>
    <t xml:space="preserve">RESINTA@ARGEN</t>
  </si>
  <si>
    <t xml:space="preserve">BCRA gross international reserves, end of period. [VERIFY]</t>
  </si>
  <si>
    <t xml:space="preserve">Net International Reserves</t>
  </si>
  <si>
    <t xml:space="preserve">RESNET@ARGEN</t>
  </si>
  <si>
    <t xml:space="preserve">RESNETA@ARGEN</t>
  </si>
  <si>
    <t xml:space="preserve">BCRA NIR. [VERIFY]</t>
  </si>
  <si>
    <t xml:space="preserve">GDP — Argentina</t>
  </si>
  <si>
    <t xml:space="preserve">Each block: live HaverData pulls (col B) → growth metrics → TREND + FORECAST.ETS forecasts → chart.</t>
  </si>
  <si>
    <t xml:space="preserve">Aggregation:</t>
  </si>
  <si>
    <t xml:space="preserve">Notes:</t>
  </si>
  <si>
    <t xml:space="preserve">Quarterly</t>
  </si>
  <si>
    <t xml:space="preserve">Annual</t>
  </si>
  <si>
    <t xml:space="preserve">Date</t>
  </si>
  <si>
    <t xml:space="preserve">Level</t>
  </si>
  <si>
    <t xml:space="preserve">QoQ %</t>
  </si>
  <si>
    <t xml:space="preserve">YoY %</t>
  </si>
  <si>
    <t xml:space="preserve">Linear Fcst</t>
  </si>
  <si>
    <t xml:space="preserve">ETS Fcst</t>
  </si>
  <si>
    <t xml:space="preserve">ETS Low 95%</t>
  </si>
  <si>
    <t xml:space="preserve">ETS High 95%</t>
  </si>
  <si>
    <t xml:space="preserve">Year</t>
  </si>
  <si>
    <t xml:space="preserve">Forecast</t>
  </si>
  <si>
    <t xml:space="preserve">Inflation — Argentina</t>
  </si>
  <si>
    <t xml:space="preserve">Fiscal — Argentina</t>
  </si>
  <si>
    <t xml:space="preserve">BoP — Argentina</t>
  </si>
  <si>
    <t xml:space="preserve">Reserves — Argentina</t>
  </si>
  <si>
    <t xml:space="preserve">Dashboard — Latest reads &amp; 2y forecast (Argentina)</t>
  </si>
  <si>
    <t xml:space="preserve">All values pull live from the category tabs.</t>
  </si>
  <si>
    <t xml:space="preserve">Latest value</t>
  </si>
  <si>
    <t xml:space="preserve">2y forecast (ETS)</t>
  </si>
  <si>
    <t xml:space="preserve">Code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</si>
</sst>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yy"/>
    <numFmt numFmtId="166" formatCode="#,##0.00;\(#,##0.00\);\-"/>
    <numFmt numFmtId="167" formatCode="0.0%;\(0.0%\);\-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7F9FC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7F9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GDP!B7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GDP!$B$8:$B$95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GDP!F7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GDP!$F$8:$F$95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GDP!G7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GDP!$G$8:$G$95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GDP!H7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GDP!$H$8:$H$95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278960"/>
        <c:axId val="53500801"/>
      </c:lineChart>
      <c:catAx>
        <c:axId val="44278960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500801"/>
        <c:crosses val="autoZero"/>
        <c:auto val="1"/>
        <c:lblAlgn val="ctr"/>
        <c:lblOffset val="100"/>
        <c:noMultiLvlLbl val="0"/>
      </c:catAx>
      <c:valAx>
        <c:axId val="53500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2789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GDP!B103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GDP!$B$104:$B$191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GDP!F103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GDP!$F$104:$F$191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GDP!G103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GDP!$G$104:$G$191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GDP!H103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GDP!$H$104:$H$191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941680"/>
        <c:axId val="36755115"/>
      </c:lineChart>
      <c:catAx>
        <c:axId val="22941680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755115"/>
        <c:crosses val="autoZero"/>
        <c:auto val="1"/>
        <c:lblAlgn val="ctr"/>
        <c:lblOffset val="100"/>
        <c:noMultiLvlLbl val="0"/>
      </c:catAx>
      <c:valAx>
        <c:axId val="36755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416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GDP!B199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GDP!$B$200:$B$287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GDP!F199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GDP!$F$200:$F$287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GDP!G199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GDP!$G$200:$G$287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GDP!H199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GDP!$H$200:$H$287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552099"/>
        <c:axId val="86164379"/>
      </c:lineChart>
      <c:catAx>
        <c:axId val="77552099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164379"/>
        <c:crosses val="autoZero"/>
        <c:auto val="1"/>
        <c:lblAlgn val="ctr"/>
        <c:lblOffset val="100"/>
        <c:noMultiLvlLbl val="0"/>
      </c:catAx>
      <c:valAx>
        <c:axId val="86164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5520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Inflation!B7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Inflation!$B$8:$B$95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Inflation!F7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Inflation!$F$8:$F$95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Inflation!G7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Inflation!$G$8:$G$95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Inflation!H7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Inflation!$H$8:$H$95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525875"/>
        <c:axId val="42005326"/>
      </c:lineChart>
      <c:catAx>
        <c:axId val="26525875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005326"/>
        <c:crosses val="autoZero"/>
        <c:auto val="1"/>
        <c:lblAlgn val="ctr"/>
        <c:lblOffset val="100"/>
        <c:noMultiLvlLbl val="0"/>
      </c:catAx>
      <c:valAx>
        <c:axId val="42005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5258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Inflation!B103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Inflation!$B$104:$B$191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Inflation!F103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Inflation!$F$104:$F$191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Inflation!G103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Inflation!$G$104:$G$191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Inflation!H103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Inflation!$H$104:$H$191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122688"/>
        <c:axId val="97903979"/>
      </c:lineChart>
      <c:catAx>
        <c:axId val="53122688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903979"/>
        <c:crosses val="autoZero"/>
        <c:auto val="1"/>
        <c:lblAlgn val="ctr"/>
        <c:lblOffset val="100"/>
        <c:noMultiLvlLbl val="0"/>
      </c:catAx>
      <c:valAx>
        <c:axId val="97903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1226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Inflation!B199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Inflation!$B$200:$B$287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Inflation!F199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Inflation!$F$200:$F$287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Inflation!G199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Inflation!$G$200:$G$287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Inflation!H199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Inflation!$H$200:$H$287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687927"/>
        <c:axId val="8041947"/>
      </c:lineChart>
      <c:catAx>
        <c:axId val="15687927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41947"/>
        <c:crosses val="autoZero"/>
        <c:auto val="1"/>
        <c:lblAlgn val="ctr"/>
        <c:lblOffset val="100"/>
        <c:noMultiLvlLbl val="0"/>
      </c:catAx>
      <c:valAx>
        <c:axId val="8041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6879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Fiscal!B7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Fiscal!$B$8:$B$95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Fiscal!F7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Fiscal!$F$8:$F$95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Fiscal!G7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Fiscal!$G$8:$G$95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Fiscal!H7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Fiscal!$H$8:$H$95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021254"/>
        <c:axId val="43666892"/>
      </c:lineChart>
      <c:catAx>
        <c:axId val="50021254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666892"/>
        <c:crosses val="autoZero"/>
        <c:auto val="1"/>
        <c:lblAlgn val="ctr"/>
        <c:lblOffset val="100"/>
        <c:noMultiLvlLbl val="0"/>
      </c:catAx>
      <c:valAx>
        <c:axId val="436668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0212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Fiscal!B103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Fiscal!$B$104:$B$191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Fiscal!F103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Fiscal!$F$104:$F$191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Fiscal!G103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Fiscal!$G$104:$G$191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Fiscal!H103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Fiscal!$H$104:$H$191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452058"/>
        <c:axId val="85215670"/>
      </c:lineChart>
      <c:catAx>
        <c:axId val="56452058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215670"/>
        <c:crosses val="autoZero"/>
        <c:auto val="1"/>
        <c:lblAlgn val="ctr"/>
        <c:lblOffset val="100"/>
        <c:noMultiLvlLbl val="0"/>
      </c:catAx>
      <c:valAx>
        <c:axId val="85215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4520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Fiscal!B199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Fiscal!$B$200:$B$287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Fiscal!F199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Fiscal!$F$200:$F$287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Fiscal!G199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Fiscal!$G$200:$G$287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Fiscal!H199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Fiscal!$H$200:$H$287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124879"/>
        <c:axId val="33868432"/>
      </c:lineChart>
      <c:catAx>
        <c:axId val="99124879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868432"/>
        <c:crosses val="autoZero"/>
        <c:auto val="1"/>
        <c:lblAlgn val="ctr"/>
        <c:lblOffset val="100"/>
        <c:noMultiLvlLbl val="0"/>
      </c:catAx>
      <c:valAx>
        <c:axId val="33868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1248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BoP!B7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BoP!$B$8:$B$95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BoP!F7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BoP!$F$8:$F$95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BoP!G7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BoP!$G$8:$G$95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BoP!H7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BoP!$H$8:$H$95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173203"/>
        <c:axId val="20795018"/>
      </c:lineChart>
      <c:catAx>
        <c:axId val="27173203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795018"/>
        <c:crosses val="autoZero"/>
        <c:auto val="1"/>
        <c:lblAlgn val="ctr"/>
        <c:lblOffset val="100"/>
        <c:noMultiLvlLbl val="0"/>
      </c:catAx>
      <c:valAx>
        <c:axId val="20795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1732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BoP!B103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BoP!$B$104:$B$191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BoP!F103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BoP!$F$104:$F$191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BoP!G103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BoP!$G$104:$G$191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BoP!H103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BoP!$H$104:$H$191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657476"/>
        <c:axId val="13860141"/>
      </c:lineChart>
      <c:catAx>
        <c:axId val="94657476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860141"/>
        <c:crosses val="autoZero"/>
        <c:auto val="1"/>
        <c:lblAlgn val="ctr"/>
        <c:lblOffset val="100"/>
        <c:noMultiLvlLbl val="0"/>
      </c:catAx>
      <c:valAx>
        <c:axId val="13860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6574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BoP!B199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BoP!$B$200:$B$287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BoP!F199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BoP!$F$200:$F$287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BoP!G199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BoP!$G$200:$G$287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BoP!H199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BoP!$A$200:$A$287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BoP!$H$200:$H$287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285116"/>
        <c:axId val="51697748"/>
      </c:lineChart>
      <c:catAx>
        <c:axId val="85285116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97748"/>
        <c:crosses val="autoZero"/>
        <c:auto val="1"/>
        <c:lblAlgn val="ctr"/>
        <c:lblOffset val="100"/>
        <c:noMultiLvlLbl val="0"/>
      </c:catAx>
      <c:valAx>
        <c:axId val="516977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2851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Reserves!B7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Reserves!$B$8:$B$95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Reserves!F7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Reserves!$F$8:$F$95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Reserves!G7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Reserves!$G$8:$G$95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Reserves!H7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Reserves!$A$8:$A$95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Reserves!$H$8:$H$95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903056"/>
        <c:axId val="59793349"/>
      </c:lineChart>
      <c:catAx>
        <c:axId val="31903056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793349"/>
        <c:crosses val="autoZero"/>
        <c:auto val="1"/>
        <c:lblAlgn val="ctr"/>
        <c:lblOffset val="100"/>
        <c:noMultiLvlLbl val="0"/>
      </c:catAx>
      <c:valAx>
        <c:axId val="59793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9030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Reserves!B103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Reserves!$B$104:$B$191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1"/>
          <c:order val="1"/>
          <c:tx>
            <c:strRef>
              <c:f>Reserves!F103</c:f>
              <c:strCache>
                <c:ptCount val="1"/>
                <c:pt idx="0">
                  <c:v>ETS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Reserves!$F$104:$F$191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2"/>
          <c:order val="2"/>
          <c:tx>
            <c:strRef>
              <c:f>Reserves!G103</c:f>
              <c:strCache>
                <c:ptCount val="1"/>
                <c:pt idx="0">
                  <c:v>ETS Low 95%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Reserves!$G$104:$G$191</c:f>
              <c:numCache>
                <c:formatCode>General</c:formatCode>
                <c:ptCount val="88"/>
              </c:numCache>
            </c:numRef>
          </c:val>
          <c:smooth val="1"/>
        </c:ser>
        <c:ser>
          <c:idx val="3"/>
          <c:order val="3"/>
          <c:tx>
            <c:strRef>
              <c:f>Reserves!H103</c:f>
              <c:strCache>
                <c:ptCount val="1"/>
                <c:pt idx="0">
                  <c:v>ETS High 95%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Reserves!$A$104:$A$191</c:f>
              <c:strCache>
                <c:ptCount val="88"/>
                <c:pt idx="0">
                  <c:v>Jan-2008</c:v>
                </c:pt>
                <c:pt idx="1">
                  <c:v>Apr-2008</c:v>
                </c:pt>
                <c:pt idx="2">
                  <c:v>Jul-2008</c:v>
                </c:pt>
                <c:pt idx="3">
                  <c:v>Oct-2008</c:v>
                </c:pt>
                <c:pt idx="4">
                  <c:v>Jan-2009</c:v>
                </c:pt>
                <c:pt idx="5">
                  <c:v>Apr-2009</c:v>
                </c:pt>
                <c:pt idx="6">
                  <c:v>Jul-2009</c:v>
                </c:pt>
                <c:pt idx="7">
                  <c:v>Oct-2009</c:v>
                </c:pt>
                <c:pt idx="8">
                  <c:v>Jan-2010</c:v>
                </c:pt>
                <c:pt idx="9">
                  <c:v>Apr-2010</c:v>
                </c:pt>
                <c:pt idx="10">
                  <c:v>Jul-2010</c:v>
                </c:pt>
                <c:pt idx="11">
                  <c:v>Oct-2010</c:v>
                </c:pt>
                <c:pt idx="12">
                  <c:v>Jan-2011</c:v>
                </c:pt>
                <c:pt idx="13">
                  <c:v>Apr-2011</c:v>
                </c:pt>
                <c:pt idx="14">
                  <c:v>Jul-2011</c:v>
                </c:pt>
                <c:pt idx="15">
                  <c:v>Oct-2011</c:v>
                </c:pt>
                <c:pt idx="16">
                  <c:v>Jan-2012</c:v>
                </c:pt>
                <c:pt idx="17">
                  <c:v>Apr-2012</c:v>
                </c:pt>
                <c:pt idx="18">
                  <c:v>Jul-2012</c:v>
                </c:pt>
                <c:pt idx="19">
                  <c:v>Oct-2012</c:v>
                </c:pt>
                <c:pt idx="20">
                  <c:v>Jan-2013</c:v>
                </c:pt>
                <c:pt idx="21">
                  <c:v>Apr-2013</c:v>
                </c:pt>
                <c:pt idx="22">
                  <c:v>Jul-2013</c:v>
                </c:pt>
                <c:pt idx="23">
                  <c:v>Oct-2013</c:v>
                </c:pt>
                <c:pt idx="24">
                  <c:v>Jan-2014</c:v>
                </c:pt>
                <c:pt idx="25">
                  <c:v>Apr-2014</c:v>
                </c:pt>
                <c:pt idx="26">
                  <c:v>Jul-2014</c:v>
                </c:pt>
                <c:pt idx="27">
                  <c:v>Oct-2014</c:v>
                </c:pt>
                <c:pt idx="28">
                  <c:v>Jan-2015</c:v>
                </c:pt>
                <c:pt idx="29">
                  <c:v>Apr-2015</c:v>
                </c:pt>
                <c:pt idx="30">
                  <c:v>Jul-2015</c:v>
                </c:pt>
                <c:pt idx="31">
                  <c:v>Oct-2015</c:v>
                </c:pt>
                <c:pt idx="32">
                  <c:v>Jan-2016</c:v>
                </c:pt>
                <c:pt idx="33">
                  <c:v>Apr-2016</c:v>
                </c:pt>
                <c:pt idx="34">
                  <c:v>Jul-2016</c:v>
                </c:pt>
                <c:pt idx="35">
                  <c:v>Oct-2016</c:v>
                </c:pt>
                <c:pt idx="36">
                  <c:v>Jan-2017</c:v>
                </c:pt>
                <c:pt idx="37">
                  <c:v>Apr-2017</c:v>
                </c:pt>
                <c:pt idx="38">
                  <c:v>Jul-2017</c:v>
                </c:pt>
                <c:pt idx="39">
                  <c:v>Oct-2017</c:v>
                </c:pt>
                <c:pt idx="40">
                  <c:v>Jan-2018</c:v>
                </c:pt>
                <c:pt idx="41">
                  <c:v>Apr-2018</c:v>
                </c:pt>
                <c:pt idx="42">
                  <c:v>Jul-2018</c:v>
                </c:pt>
                <c:pt idx="43">
                  <c:v>Oct-2018</c:v>
                </c:pt>
                <c:pt idx="44">
                  <c:v>Jan-2019</c:v>
                </c:pt>
                <c:pt idx="45">
                  <c:v>Apr-2019</c:v>
                </c:pt>
                <c:pt idx="46">
                  <c:v>Jul-2019</c:v>
                </c:pt>
                <c:pt idx="47">
                  <c:v>Oct-2019</c:v>
                </c:pt>
                <c:pt idx="48">
                  <c:v>Jan-2020</c:v>
                </c:pt>
                <c:pt idx="49">
                  <c:v>Apr-2020</c:v>
                </c:pt>
                <c:pt idx="50">
                  <c:v>Jul-2020</c:v>
                </c:pt>
                <c:pt idx="51">
                  <c:v>Oct-2020</c:v>
                </c:pt>
                <c:pt idx="52">
                  <c:v>Jan-2021</c:v>
                </c:pt>
                <c:pt idx="53">
                  <c:v>Apr-2021</c:v>
                </c:pt>
                <c:pt idx="54">
                  <c:v>Jul-2021</c:v>
                </c:pt>
                <c:pt idx="55">
                  <c:v>Oct-2021</c:v>
                </c:pt>
                <c:pt idx="56">
                  <c:v>Jan-2022</c:v>
                </c:pt>
                <c:pt idx="57">
                  <c:v>Apr-2022</c:v>
                </c:pt>
                <c:pt idx="58">
                  <c:v>Jul-2022</c:v>
                </c:pt>
                <c:pt idx="59">
                  <c:v>Oct-2022</c:v>
                </c:pt>
                <c:pt idx="60">
                  <c:v>Jan-2023</c:v>
                </c:pt>
                <c:pt idx="61">
                  <c:v>Apr-2023</c:v>
                </c:pt>
                <c:pt idx="62">
                  <c:v>Jul-2023</c:v>
                </c:pt>
                <c:pt idx="63">
                  <c:v>Oct-2023</c:v>
                </c:pt>
                <c:pt idx="64">
                  <c:v>Jan-2024</c:v>
                </c:pt>
                <c:pt idx="65">
                  <c:v>Apr-2024</c:v>
                </c:pt>
                <c:pt idx="66">
                  <c:v>Jul-2024</c:v>
                </c:pt>
                <c:pt idx="67">
                  <c:v>Oct-2024</c:v>
                </c:pt>
                <c:pt idx="68">
                  <c:v>Jan-2025</c:v>
                </c:pt>
                <c:pt idx="69">
                  <c:v>Apr-2025</c:v>
                </c:pt>
                <c:pt idx="70">
                  <c:v>Jul-2025</c:v>
                </c:pt>
                <c:pt idx="71">
                  <c:v>Oct-2025</c:v>
                </c:pt>
                <c:pt idx="72">
                  <c:v>Jan-2026</c:v>
                </c:pt>
                <c:pt idx="73">
                  <c:v>Apr-2026</c:v>
                </c:pt>
                <c:pt idx="74">
                  <c:v>Jul-2026</c:v>
                </c:pt>
                <c:pt idx="75">
                  <c:v>Oct-2026</c:v>
                </c:pt>
                <c:pt idx="76">
                  <c:v>Jan-2027</c:v>
                </c:pt>
                <c:pt idx="77">
                  <c:v>Apr-2027</c:v>
                </c:pt>
                <c:pt idx="78">
                  <c:v>Jul-2027</c:v>
                </c:pt>
                <c:pt idx="79">
                  <c:v>Oct-2027</c:v>
                </c:pt>
                <c:pt idx="80">
                  <c:v>Jan-2028</c:v>
                </c:pt>
                <c:pt idx="81">
                  <c:v>Apr-2028</c:v>
                </c:pt>
                <c:pt idx="82">
                  <c:v>Jul-2028</c:v>
                </c:pt>
                <c:pt idx="83">
                  <c:v>Oct-2028</c:v>
                </c:pt>
                <c:pt idx="84">
                  <c:v>Jan-2029</c:v>
                </c:pt>
                <c:pt idx="85">
                  <c:v>Apr-2029</c:v>
                </c:pt>
                <c:pt idx="86">
                  <c:v>Jul-2029</c:v>
                </c:pt>
                <c:pt idx="87">
                  <c:v>Oct-2029</c:v>
                </c:pt>
              </c:strCache>
            </c:strRef>
          </c:cat>
          <c:val>
            <c:numRef>
              <c:f>Reserves!$H$104:$H$191</c:f>
              <c:numCache>
                <c:formatCode>General</c:formatCode>
                <c:ptCount val="8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777352"/>
        <c:axId val="97283872"/>
      </c:lineChart>
      <c:catAx>
        <c:axId val="18777352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283872"/>
        <c:crosses val="autoZero"/>
        <c:auto val="1"/>
        <c:lblAlgn val="ctr"/>
        <c:lblOffset val="100"/>
        <c:noMultiLvlLbl val="0"/>
      </c:catAx>
      <c:valAx>
        <c:axId val="97283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7773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6</xdr:row>
      <xdr:rowOff>0</xdr:rowOff>
    </xdr:from>
    <xdr:to>
      <xdr:col>26</xdr:col>
      <xdr:colOff>581400</xdr:colOff>
      <xdr:row>26</xdr:row>
      <xdr:rowOff>149760</xdr:rowOff>
    </xdr:to>
    <xdr:graphicFrame>
      <xdr:nvGraphicFramePr>
        <xdr:cNvPr id="1" name="Chart 1"/>
        <xdr:cNvGraphicFramePr/>
      </xdr:nvGraphicFramePr>
      <xdr:xfrm>
        <a:off x="9797400" y="13564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102</xdr:row>
      <xdr:rowOff>0</xdr:rowOff>
    </xdr:from>
    <xdr:to>
      <xdr:col>26</xdr:col>
      <xdr:colOff>581400</xdr:colOff>
      <xdr:row>122</xdr:row>
      <xdr:rowOff>149760</xdr:rowOff>
    </xdr:to>
    <xdr:graphicFrame>
      <xdr:nvGraphicFramePr>
        <xdr:cNvPr id="2" name="Chart 2"/>
        <xdr:cNvGraphicFramePr/>
      </xdr:nvGraphicFramePr>
      <xdr:xfrm>
        <a:off x="9797400" y="197683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198</xdr:row>
      <xdr:rowOff>0</xdr:rowOff>
    </xdr:from>
    <xdr:to>
      <xdr:col>26</xdr:col>
      <xdr:colOff>581400</xdr:colOff>
      <xdr:row>218</xdr:row>
      <xdr:rowOff>149760</xdr:rowOff>
    </xdr:to>
    <xdr:graphicFrame>
      <xdr:nvGraphicFramePr>
        <xdr:cNvPr id="3" name="Chart 3"/>
        <xdr:cNvGraphicFramePr/>
      </xdr:nvGraphicFramePr>
      <xdr:xfrm>
        <a:off x="9797400" y="381801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6</xdr:row>
      <xdr:rowOff>0</xdr:rowOff>
    </xdr:from>
    <xdr:to>
      <xdr:col>26</xdr:col>
      <xdr:colOff>581400</xdr:colOff>
      <xdr:row>26</xdr:row>
      <xdr:rowOff>149760</xdr:rowOff>
    </xdr:to>
    <xdr:graphicFrame>
      <xdr:nvGraphicFramePr>
        <xdr:cNvPr id="4" name="Chart 1"/>
        <xdr:cNvGraphicFramePr/>
      </xdr:nvGraphicFramePr>
      <xdr:xfrm>
        <a:off x="9797400" y="13564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102</xdr:row>
      <xdr:rowOff>0</xdr:rowOff>
    </xdr:from>
    <xdr:to>
      <xdr:col>26</xdr:col>
      <xdr:colOff>581400</xdr:colOff>
      <xdr:row>122</xdr:row>
      <xdr:rowOff>149760</xdr:rowOff>
    </xdr:to>
    <xdr:graphicFrame>
      <xdr:nvGraphicFramePr>
        <xdr:cNvPr id="5" name="Chart 2"/>
        <xdr:cNvGraphicFramePr/>
      </xdr:nvGraphicFramePr>
      <xdr:xfrm>
        <a:off x="9797400" y="197683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198</xdr:row>
      <xdr:rowOff>0</xdr:rowOff>
    </xdr:from>
    <xdr:to>
      <xdr:col>26</xdr:col>
      <xdr:colOff>581400</xdr:colOff>
      <xdr:row>218</xdr:row>
      <xdr:rowOff>149760</xdr:rowOff>
    </xdr:to>
    <xdr:graphicFrame>
      <xdr:nvGraphicFramePr>
        <xdr:cNvPr id="6" name="Chart 3"/>
        <xdr:cNvGraphicFramePr/>
      </xdr:nvGraphicFramePr>
      <xdr:xfrm>
        <a:off x="9797400" y="381801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6</xdr:row>
      <xdr:rowOff>0</xdr:rowOff>
    </xdr:from>
    <xdr:to>
      <xdr:col>26</xdr:col>
      <xdr:colOff>581400</xdr:colOff>
      <xdr:row>26</xdr:row>
      <xdr:rowOff>149760</xdr:rowOff>
    </xdr:to>
    <xdr:graphicFrame>
      <xdr:nvGraphicFramePr>
        <xdr:cNvPr id="7" name="Chart 1"/>
        <xdr:cNvGraphicFramePr/>
      </xdr:nvGraphicFramePr>
      <xdr:xfrm>
        <a:off x="9797400" y="13564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102</xdr:row>
      <xdr:rowOff>0</xdr:rowOff>
    </xdr:from>
    <xdr:to>
      <xdr:col>26</xdr:col>
      <xdr:colOff>581400</xdr:colOff>
      <xdr:row>122</xdr:row>
      <xdr:rowOff>149760</xdr:rowOff>
    </xdr:to>
    <xdr:graphicFrame>
      <xdr:nvGraphicFramePr>
        <xdr:cNvPr id="8" name="Chart 2"/>
        <xdr:cNvGraphicFramePr/>
      </xdr:nvGraphicFramePr>
      <xdr:xfrm>
        <a:off x="9797400" y="197683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198</xdr:row>
      <xdr:rowOff>0</xdr:rowOff>
    </xdr:from>
    <xdr:to>
      <xdr:col>26</xdr:col>
      <xdr:colOff>581400</xdr:colOff>
      <xdr:row>218</xdr:row>
      <xdr:rowOff>149760</xdr:rowOff>
    </xdr:to>
    <xdr:graphicFrame>
      <xdr:nvGraphicFramePr>
        <xdr:cNvPr id="9" name="Chart 3"/>
        <xdr:cNvGraphicFramePr/>
      </xdr:nvGraphicFramePr>
      <xdr:xfrm>
        <a:off x="9797400" y="381801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6</xdr:row>
      <xdr:rowOff>0</xdr:rowOff>
    </xdr:from>
    <xdr:to>
      <xdr:col>26</xdr:col>
      <xdr:colOff>581400</xdr:colOff>
      <xdr:row>26</xdr:row>
      <xdr:rowOff>149760</xdr:rowOff>
    </xdr:to>
    <xdr:graphicFrame>
      <xdr:nvGraphicFramePr>
        <xdr:cNvPr id="10" name="Chart 1"/>
        <xdr:cNvGraphicFramePr/>
      </xdr:nvGraphicFramePr>
      <xdr:xfrm>
        <a:off x="9797400" y="13564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102</xdr:row>
      <xdr:rowOff>0</xdr:rowOff>
    </xdr:from>
    <xdr:to>
      <xdr:col>26</xdr:col>
      <xdr:colOff>581400</xdr:colOff>
      <xdr:row>122</xdr:row>
      <xdr:rowOff>149760</xdr:rowOff>
    </xdr:to>
    <xdr:graphicFrame>
      <xdr:nvGraphicFramePr>
        <xdr:cNvPr id="11" name="Chart 2"/>
        <xdr:cNvGraphicFramePr/>
      </xdr:nvGraphicFramePr>
      <xdr:xfrm>
        <a:off x="9797400" y="197683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198</xdr:row>
      <xdr:rowOff>0</xdr:rowOff>
    </xdr:from>
    <xdr:to>
      <xdr:col>26</xdr:col>
      <xdr:colOff>581400</xdr:colOff>
      <xdr:row>218</xdr:row>
      <xdr:rowOff>149760</xdr:rowOff>
    </xdr:to>
    <xdr:graphicFrame>
      <xdr:nvGraphicFramePr>
        <xdr:cNvPr id="12" name="Chart 3"/>
        <xdr:cNvGraphicFramePr/>
      </xdr:nvGraphicFramePr>
      <xdr:xfrm>
        <a:off x="9797400" y="381801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6</xdr:row>
      <xdr:rowOff>0</xdr:rowOff>
    </xdr:from>
    <xdr:to>
      <xdr:col>26</xdr:col>
      <xdr:colOff>581400</xdr:colOff>
      <xdr:row>26</xdr:row>
      <xdr:rowOff>149760</xdr:rowOff>
    </xdr:to>
    <xdr:graphicFrame>
      <xdr:nvGraphicFramePr>
        <xdr:cNvPr id="13" name="Chart 1"/>
        <xdr:cNvGraphicFramePr/>
      </xdr:nvGraphicFramePr>
      <xdr:xfrm>
        <a:off x="9797400" y="13564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102</xdr:row>
      <xdr:rowOff>0</xdr:rowOff>
    </xdr:from>
    <xdr:to>
      <xdr:col>26</xdr:col>
      <xdr:colOff>581400</xdr:colOff>
      <xdr:row>122</xdr:row>
      <xdr:rowOff>149760</xdr:rowOff>
    </xdr:to>
    <xdr:graphicFrame>
      <xdr:nvGraphicFramePr>
        <xdr:cNvPr id="14" name="Chart 2"/>
        <xdr:cNvGraphicFramePr/>
      </xdr:nvGraphicFramePr>
      <xdr:xfrm>
        <a:off x="9797400" y="197683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Codes" displayName="tbl_Codes" ref="A4:H18" headerRowCount="1" totalsRowCount="0" totalsRowShown="0">
  <autoFilter ref="A4:H18"/>
  <tableColumns count="8">
    <tableColumn id="1" name="Section"/>
    <tableColumn id="2" name="Indicator"/>
    <tableColumn id="3" name="Frequency hint"/>
    <tableColumn id="4" name="Quarterly Code"/>
    <tableColumn id="5" name="Annual Code"/>
    <tableColumn id="6" name="Units"/>
    <tableColumn id="7" name="Aggregation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30"/>
  </cols>
  <sheetData>
    <row r="1" customFormat="false" ht="22.0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15" hidden="false" customHeight="true" outlineLevel="0" collapsed="false">
      <c r="A6" s="4" t="s">
        <v>5</v>
      </c>
      <c r="B6" s="5" t="s">
        <v>6</v>
      </c>
      <c r="C6" s="5"/>
      <c r="D6" s="5"/>
      <c r="E6" s="5"/>
    </row>
    <row r="7" customFormat="false" ht="15" hidden="false" customHeight="true" outlineLevel="0" collapsed="false">
      <c r="A7" s="4" t="s">
        <v>7</v>
      </c>
      <c r="B7" s="5" t="s">
        <v>8</v>
      </c>
      <c r="C7" s="5"/>
      <c r="D7" s="5"/>
      <c r="E7" s="5"/>
    </row>
    <row r="8" customFormat="false" ht="15" hidden="false" customHeight="true" outlineLevel="0" collapsed="false">
      <c r="A8" s="4" t="s">
        <v>9</v>
      </c>
      <c r="B8" s="5" t="s">
        <v>10</v>
      </c>
      <c r="C8" s="5"/>
      <c r="D8" s="5"/>
      <c r="E8" s="5"/>
    </row>
    <row r="9" customFormat="false" ht="15" hidden="false" customHeight="true" outlineLevel="0" collapsed="false">
      <c r="A9" s="4" t="s">
        <v>11</v>
      </c>
      <c r="B9" s="5" t="s">
        <v>12</v>
      </c>
      <c r="C9" s="5"/>
      <c r="D9" s="5"/>
      <c r="E9" s="5"/>
    </row>
    <row r="10" customFormat="false" ht="15" hidden="false" customHeight="false" outlineLevel="0" collapsed="false">
      <c r="A10" s="4"/>
      <c r="B10" s="5"/>
      <c r="C10" s="5"/>
      <c r="D10" s="5"/>
      <c r="E10" s="5"/>
    </row>
    <row r="11" customFormat="false" ht="18" hidden="false" customHeight="true" outlineLevel="0" collapsed="false">
      <c r="A11" s="3" t="s">
        <v>13</v>
      </c>
      <c r="B11" s="3"/>
      <c r="C11" s="3"/>
      <c r="D11" s="3"/>
      <c r="E11" s="3"/>
    </row>
    <row r="12" customFormat="false" ht="15" hidden="false" customHeight="true" outlineLevel="0" collapsed="false">
      <c r="A12" s="4" t="s">
        <v>14</v>
      </c>
      <c r="B12" s="5" t="s">
        <v>15</v>
      </c>
      <c r="C12" s="5"/>
      <c r="D12" s="5"/>
      <c r="E12" s="5"/>
    </row>
    <row r="13" customFormat="false" ht="15" hidden="false" customHeight="true" outlineLevel="0" collapsed="false">
      <c r="A13" s="4" t="s">
        <v>16</v>
      </c>
      <c r="B13" s="5" t="s">
        <v>17</v>
      </c>
      <c r="C13" s="5"/>
      <c r="D13" s="5"/>
      <c r="E13" s="5"/>
    </row>
    <row r="14" customFormat="false" ht="15" hidden="false" customHeight="false" outlineLevel="0" collapsed="false">
      <c r="A14" s="4"/>
      <c r="B14" s="5"/>
      <c r="C14" s="5"/>
      <c r="D14" s="5"/>
      <c r="E14" s="5"/>
    </row>
    <row r="15" customFormat="false" ht="18" hidden="false" customHeight="true" outlineLevel="0" collapsed="false">
      <c r="A15" s="3" t="s">
        <v>18</v>
      </c>
      <c r="B15" s="3"/>
      <c r="C15" s="3"/>
      <c r="D15" s="3"/>
      <c r="E15" s="3"/>
    </row>
    <row r="16" customFormat="false" ht="23.85" hidden="false" customHeight="true" outlineLevel="0" collapsed="false">
      <c r="A16" s="4" t="s">
        <v>19</v>
      </c>
      <c r="B16" s="5" t="s">
        <v>20</v>
      </c>
      <c r="C16" s="5"/>
      <c r="D16" s="5"/>
      <c r="E16" s="5"/>
    </row>
    <row r="17" customFormat="false" ht="15" hidden="false" customHeight="true" outlineLevel="0" collapsed="false">
      <c r="A17" s="4" t="s">
        <v>21</v>
      </c>
      <c r="B17" s="5" t="s">
        <v>22</v>
      </c>
      <c r="C17" s="5"/>
      <c r="D17" s="5"/>
      <c r="E17" s="5"/>
    </row>
    <row r="18" customFormat="false" ht="15" hidden="false" customHeight="false" outlineLevel="0" collapsed="false">
      <c r="A18" s="4"/>
      <c r="B18" s="5"/>
      <c r="C18" s="5"/>
      <c r="D18" s="5"/>
      <c r="E18" s="5"/>
    </row>
    <row r="19" customFormat="false" ht="18" hidden="false" customHeight="true" outlineLevel="0" collapsed="false">
      <c r="A19" s="3" t="s">
        <v>23</v>
      </c>
      <c r="B19" s="3"/>
      <c r="C19" s="3"/>
      <c r="D19" s="3"/>
      <c r="E19" s="3"/>
    </row>
    <row r="20" customFormat="false" ht="15" hidden="false" customHeight="true" outlineLevel="0" collapsed="false">
      <c r="A20" s="4" t="s">
        <v>24</v>
      </c>
      <c r="B20" s="5" t="s">
        <v>25</v>
      </c>
      <c r="C20" s="5"/>
      <c r="D20" s="5"/>
      <c r="E20" s="5"/>
    </row>
    <row r="21" customFormat="false" ht="15" hidden="false" customHeight="true" outlineLevel="0" collapsed="false">
      <c r="A21" s="4" t="s">
        <v>26</v>
      </c>
      <c r="B21" s="5" t="s">
        <v>27</v>
      </c>
      <c r="C21" s="5"/>
      <c r="D21" s="5"/>
      <c r="E21" s="5"/>
    </row>
  </sheetData>
  <mergeCells count="19">
    <mergeCell ref="A2:E2"/>
    <mergeCell ref="A4:E4"/>
    <mergeCell ref="B5:E5"/>
    <mergeCell ref="B6:E6"/>
    <mergeCell ref="B7:E7"/>
    <mergeCell ref="B8:E8"/>
    <mergeCell ref="B9:E9"/>
    <mergeCell ref="B10:E10"/>
    <mergeCell ref="A11:E11"/>
    <mergeCell ref="B12:E12"/>
    <mergeCell ref="B13:E13"/>
    <mergeCell ref="B14:E14"/>
    <mergeCell ref="A15:E15"/>
    <mergeCell ref="B16:E16"/>
    <mergeCell ref="B17:E17"/>
    <mergeCell ref="B18:E18"/>
    <mergeCell ref="A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6" min="4" style="0" width="22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22.05" hidden="false" customHeight="false" outlineLevel="0" collapsed="false">
      <c r="A1" s="1" t="s">
        <v>28</v>
      </c>
    </row>
    <row r="2" customFormat="false" ht="15" hidden="false" customHeight="false" outlineLevel="0" collapsed="false">
      <c r="A2" s="6" t="s">
        <v>29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</row>
    <row r="5" customFormat="false" ht="15" hidden="false" customHeight="false" outlineLevel="0" collapsed="false">
      <c r="A5" s="8" t="s">
        <v>38</v>
      </c>
      <c r="B5" s="8" t="s">
        <v>39</v>
      </c>
      <c r="C5" s="9" t="s">
        <v>40</v>
      </c>
      <c r="D5" s="10" t="s">
        <v>41</v>
      </c>
      <c r="E5" s="10" t="s">
        <v>42</v>
      </c>
      <c r="F5" s="10" t="s">
        <v>43</v>
      </c>
      <c r="G5" s="11" t="s">
        <v>44</v>
      </c>
      <c r="H5" s="12" t="s">
        <v>45</v>
      </c>
    </row>
    <row r="6" customFormat="false" ht="15" hidden="false" customHeight="false" outlineLevel="0" collapsed="false">
      <c r="A6" s="8" t="s">
        <v>38</v>
      </c>
      <c r="B6" s="8" t="s">
        <v>46</v>
      </c>
      <c r="C6" s="9" t="s">
        <v>40</v>
      </c>
      <c r="D6" s="10" t="s">
        <v>47</v>
      </c>
      <c r="E6" s="10" t="s">
        <v>48</v>
      </c>
      <c r="F6" s="10" t="s">
        <v>49</v>
      </c>
      <c r="G6" s="11" t="s">
        <v>44</v>
      </c>
      <c r="H6" s="12" t="s">
        <v>50</v>
      </c>
    </row>
    <row r="7" customFormat="false" ht="15" hidden="false" customHeight="false" outlineLevel="0" collapsed="false">
      <c r="A7" s="8" t="s">
        <v>38</v>
      </c>
      <c r="B7" s="8" t="s">
        <v>51</v>
      </c>
      <c r="C7" s="9" t="s">
        <v>40</v>
      </c>
      <c r="D7" s="10" t="s">
        <v>52</v>
      </c>
      <c r="E7" s="10" t="s">
        <v>53</v>
      </c>
      <c r="F7" s="10" t="s">
        <v>54</v>
      </c>
      <c r="G7" s="11" t="s">
        <v>44</v>
      </c>
      <c r="H7" s="12" t="s">
        <v>55</v>
      </c>
    </row>
    <row r="8" customFormat="false" ht="15" hidden="false" customHeight="false" outlineLevel="0" collapsed="false">
      <c r="A8" s="8" t="s">
        <v>56</v>
      </c>
      <c r="B8" s="8" t="s">
        <v>57</v>
      </c>
      <c r="C8" s="9" t="s">
        <v>40</v>
      </c>
      <c r="D8" s="10" t="s">
        <v>58</v>
      </c>
      <c r="E8" s="10" t="s">
        <v>59</v>
      </c>
      <c r="F8" s="10" t="s">
        <v>60</v>
      </c>
      <c r="G8" s="11" t="s">
        <v>44</v>
      </c>
      <c r="H8" s="12" t="s">
        <v>61</v>
      </c>
    </row>
    <row r="9" customFormat="false" ht="15" hidden="false" customHeight="false" outlineLevel="0" collapsed="false">
      <c r="A9" s="8" t="s">
        <v>56</v>
      </c>
      <c r="B9" s="8" t="s">
        <v>62</v>
      </c>
      <c r="C9" s="9" t="s">
        <v>40</v>
      </c>
      <c r="D9" s="10" t="s">
        <v>63</v>
      </c>
      <c r="E9" s="10" t="s">
        <v>64</v>
      </c>
      <c r="F9" s="10" t="s">
        <v>65</v>
      </c>
      <c r="G9" s="11" t="s">
        <v>44</v>
      </c>
      <c r="H9" s="12" t="s">
        <v>50</v>
      </c>
    </row>
    <row r="10" customFormat="false" ht="15" hidden="false" customHeight="false" outlineLevel="0" collapsed="false">
      <c r="A10" s="8" t="s">
        <v>56</v>
      </c>
      <c r="B10" s="8" t="s">
        <v>66</v>
      </c>
      <c r="C10" s="9" t="s">
        <v>40</v>
      </c>
      <c r="D10" s="10" t="s">
        <v>67</v>
      </c>
      <c r="E10" s="10" t="s">
        <v>68</v>
      </c>
      <c r="F10" s="10" t="s">
        <v>65</v>
      </c>
      <c r="G10" s="11" t="s">
        <v>44</v>
      </c>
      <c r="H10" s="12" t="s">
        <v>50</v>
      </c>
    </row>
    <row r="11" customFormat="false" ht="15" hidden="false" customHeight="false" outlineLevel="0" collapsed="false">
      <c r="A11" s="8" t="s">
        <v>69</v>
      </c>
      <c r="B11" s="8" t="s">
        <v>70</v>
      </c>
      <c r="C11" s="9" t="s">
        <v>40</v>
      </c>
      <c r="D11" s="10" t="s">
        <v>71</v>
      </c>
      <c r="E11" s="10" t="s">
        <v>72</v>
      </c>
      <c r="F11" s="10" t="s">
        <v>49</v>
      </c>
      <c r="G11" s="11" t="s">
        <v>73</v>
      </c>
      <c r="H11" s="12" t="s">
        <v>74</v>
      </c>
    </row>
    <row r="12" customFormat="false" ht="15" hidden="false" customHeight="false" outlineLevel="0" collapsed="false">
      <c r="A12" s="8" t="s">
        <v>69</v>
      </c>
      <c r="B12" s="8" t="s">
        <v>75</v>
      </c>
      <c r="C12" s="9" t="s">
        <v>40</v>
      </c>
      <c r="D12" s="10" t="s">
        <v>76</v>
      </c>
      <c r="E12" s="10" t="s">
        <v>77</v>
      </c>
      <c r="F12" s="10" t="s">
        <v>49</v>
      </c>
      <c r="G12" s="11" t="s">
        <v>73</v>
      </c>
      <c r="H12" s="12" t="s">
        <v>50</v>
      </c>
    </row>
    <row r="13" customFormat="false" ht="15" hidden="false" customHeight="false" outlineLevel="0" collapsed="false">
      <c r="A13" s="8" t="s">
        <v>69</v>
      </c>
      <c r="B13" s="8" t="s">
        <v>78</v>
      </c>
      <c r="C13" s="9" t="s">
        <v>40</v>
      </c>
      <c r="D13" s="10" t="s">
        <v>79</v>
      </c>
      <c r="E13" s="10" t="s">
        <v>80</v>
      </c>
      <c r="F13" s="10" t="s">
        <v>81</v>
      </c>
      <c r="G13" s="11" t="s">
        <v>82</v>
      </c>
      <c r="H13" s="12" t="s">
        <v>83</v>
      </c>
    </row>
    <row r="14" customFormat="false" ht="15" hidden="false" customHeight="false" outlineLevel="0" collapsed="false">
      <c r="A14" s="8" t="s">
        <v>84</v>
      </c>
      <c r="B14" s="8" t="s">
        <v>85</v>
      </c>
      <c r="C14" s="9" t="s">
        <v>40</v>
      </c>
      <c r="D14" s="10" t="s">
        <v>86</v>
      </c>
      <c r="E14" s="10" t="s">
        <v>87</v>
      </c>
      <c r="F14" s="10" t="s">
        <v>81</v>
      </c>
      <c r="G14" s="11" t="s">
        <v>73</v>
      </c>
      <c r="H14" s="12" t="s">
        <v>88</v>
      </c>
    </row>
    <row r="15" customFormat="false" ht="15" hidden="false" customHeight="false" outlineLevel="0" collapsed="false">
      <c r="A15" s="8" t="s">
        <v>84</v>
      </c>
      <c r="B15" s="8" t="s">
        <v>89</v>
      </c>
      <c r="C15" s="9" t="s">
        <v>40</v>
      </c>
      <c r="D15" s="10" t="s">
        <v>90</v>
      </c>
      <c r="E15" s="10" t="s">
        <v>91</v>
      </c>
      <c r="F15" s="10" t="s">
        <v>81</v>
      </c>
      <c r="G15" s="11" t="s">
        <v>73</v>
      </c>
      <c r="H15" s="12" t="s">
        <v>92</v>
      </c>
    </row>
    <row r="16" customFormat="false" ht="15" hidden="false" customHeight="false" outlineLevel="0" collapsed="false">
      <c r="A16" s="8" t="s">
        <v>84</v>
      </c>
      <c r="B16" s="8" t="s">
        <v>93</v>
      </c>
      <c r="C16" s="9" t="s">
        <v>40</v>
      </c>
      <c r="D16" s="10" t="s">
        <v>94</v>
      </c>
      <c r="E16" s="10" t="s">
        <v>95</v>
      </c>
      <c r="F16" s="10" t="s">
        <v>81</v>
      </c>
      <c r="G16" s="11" t="s">
        <v>73</v>
      </c>
      <c r="H16" s="12" t="s">
        <v>50</v>
      </c>
    </row>
    <row r="17" customFormat="false" ht="15" hidden="false" customHeight="false" outlineLevel="0" collapsed="false">
      <c r="A17" s="8" t="s">
        <v>96</v>
      </c>
      <c r="B17" s="8" t="s">
        <v>97</v>
      </c>
      <c r="C17" s="9" t="s">
        <v>40</v>
      </c>
      <c r="D17" s="10" t="s">
        <v>98</v>
      </c>
      <c r="E17" s="10" t="s">
        <v>99</v>
      </c>
      <c r="F17" s="10" t="s">
        <v>81</v>
      </c>
      <c r="G17" s="11" t="s">
        <v>82</v>
      </c>
      <c r="H17" s="12" t="s">
        <v>100</v>
      </c>
    </row>
    <row r="18" customFormat="false" ht="15" hidden="false" customHeight="false" outlineLevel="0" collapsed="false">
      <c r="A18" s="8" t="s">
        <v>96</v>
      </c>
      <c r="B18" s="8" t="s">
        <v>101</v>
      </c>
      <c r="C18" s="9" t="s">
        <v>40</v>
      </c>
      <c r="D18" s="10" t="s">
        <v>102</v>
      </c>
      <c r="E18" s="10" t="s">
        <v>103</v>
      </c>
      <c r="F18" s="10" t="s">
        <v>81</v>
      </c>
      <c r="G18" s="11" t="s">
        <v>82</v>
      </c>
      <c r="H18" s="12" t="s">
        <v>104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8" min="5" style="0" width="12"/>
    <col collapsed="false" customWidth="true" hidden="false" outlineLevel="0" max="9" min="9" style="0" width="2"/>
    <col collapsed="false" customWidth="true" hidden="false" outlineLevel="0" max="10" min="10" style="0" width="7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"/>
  </cols>
  <sheetData>
    <row r="1" customFormat="false" ht="22.0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6" t="s">
        <v>106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customFormat="false" ht="21.75" hidden="false" customHeight="true" outlineLevel="0" collapsed="false">
      <c r="A4" s="13" t="str">
        <f aca="false">Codes!$B$5&amp;"   ["&amp;Codes!$D$5&amp;"]   "&amp;Codes!$F$5</f>
        <v>Real GDP (SA)   [S213NGPC@LATAM]   Mn 2004 ARS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customFormat="false" ht="15" hidden="false" customHeight="false" outlineLevel="0" collapsed="false">
      <c r="A5" s="4" t="s">
        <v>107</v>
      </c>
      <c r="B5" s="14" t="str">
        <f aca="false">Codes!$G$5</f>
        <v>avg</v>
      </c>
      <c r="D5" s="4" t="s">
        <v>108</v>
      </c>
      <c r="E5" s="6" t="str">
        <f aca="false">Codes!$H$5</f>
        <v>[VERIFY] AR is country code 213 in IFS-style mnemonics.</v>
      </c>
      <c r="F5" s="6"/>
      <c r="G5" s="6"/>
      <c r="H5" s="6"/>
      <c r="I5" s="6"/>
      <c r="J5" s="6"/>
      <c r="K5" s="6"/>
      <c r="L5" s="6"/>
      <c r="M5" s="6"/>
    </row>
    <row r="6" customFormat="false" ht="18" hidden="false" customHeight="true" outlineLevel="0" collapsed="false">
      <c r="A6" s="15" t="s">
        <v>109</v>
      </c>
      <c r="B6" s="15"/>
      <c r="C6" s="15"/>
      <c r="D6" s="15"/>
      <c r="E6" s="15"/>
      <c r="F6" s="15"/>
      <c r="G6" s="15"/>
      <c r="H6" s="15"/>
      <c r="J6" s="15" t="s">
        <v>110</v>
      </c>
      <c r="K6" s="15"/>
      <c r="L6" s="15"/>
      <c r="M6" s="15"/>
    </row>
    <row r="7" customFormat="false" ht="15" hidden="false" customHeight="false" outlineLevel="0" collapsed="false">
      <c r="A7" s="7" t="s">
        <v>111</v>
      </c>
      <c r="B7" s="7" t="s">
        <v>112</v>
      </c>
      <c r="C7" s="7" t="s">
        <v>113</v>
      </c>
      <c r="D7" s="7" t="s">
        <v>114</v>
      </c>
      <c r="E7" s="7" t="s">
        <v>115</v>
      </c>
      <c r="F7" s="7" t="s">
        <v>116</v>
      </c>
      <c r="G7" s="7" t="s">
        <v>117</v>
      </c>
      <c r="H7" s="7" t="s">
        <v>118</v>
      </c>
      <c r="J7" s="7" t="s">
        <v>119</v>
      </c>
      <c r="K7" s="7" t="s">
        <v>112</v>
      </c>
      <c r="L7" s="7" t="s">
        <v>114</v>
      </c>
      <c r="M7" s="7" t="s">
        <v>120</v>
      </c>
    </row>
    <row r="8" customFormat="false" ht="15" hidden="false" customHeight="false" outlineLevel="0" collapsed="false">
      <c r="A8" s="16" t="n">
        <v>39448</v>
      </c>
      <c r="B8" s="17" t="str">
        <f aca="false">IFERROR(haverdata(Codes!$D$5,$A8),"")</f>
        <v/>
      </c>
      <c r="C8" s="18"/>
      <c r="D8" s="18"/>
      <c r="E8" s="19" t="str">
        <f aca="false">IFERROR(IF(B8="",IFERROR(GROWTH($B$8:$B$95,$A$8:$A$95,$A8),TREND($B$8:$B$95,$A$8:$A$95,$A8)),""),"")</f>
        <v/>
      </c>
      <c r="F8" s="19" t="str">
        <f aca="false">IFERROR(forecast.ets($A8,$B$8:$B$95,$A$8:$A$95,4,1,1),"")</f>
        <v/>
      </c>
      <c r="G8" s="19" t="str">
        <f aca="false">IFERROR(F8-forecast.ets.confint($A8,$B$8:$B$95,$A$8:$A$95,0.95,4,1,1),"")</f>
        <v/>
      </c>
      <c r="H8" s="19" t="str">
        <f aca="false">IFERROR(F8+forecast.ets.confint($A8,$B$8:$B$95,$A$8:$A$95,0.95,4,1,1),"")</f>
        <v/>
      </c>
      <c r="J8" s="20" t="n">
        <v>2008</v>
      </c>
      <c r="K8" s="19" t="str">
        <f aca="false">IFERROR(AVERAGEIFS($B$8:$B$95,$A$8:$A$95,"&gt;="&amp;DATE(J8,1,1),$A$8:$A$95,"&lt;="&amp;DATE(J8,12,31)),"")</f>
        <v/>
      </c>
      <c r="L8" s="18"/>
      <c r="M8" s="19" t="str">
        <f aca="false">IFERROR(AVERAGEIFS($F$8:$F$95,$A$8:$A$95,"&gt;="&amp;DATE(J8,1,1),$A$8:$A$95,"&lt;="&amp;DATE(J8,12,31)),"")</f>
        <v/>
      </c>
    </row>
    <row r="9" customFormat="false" ht="15" hidden="false" customHeight="false" outlineLevel="0" collapsed="false">
      <c r="A9" s="21" t="n">
        <v>39539</v>
      </c>
      <c r="B9" s="22" t="str">
        <f aca="false">IFERROR(haverdata(Codes!$D$5,$A9),"")</f>
        <v/>
      </c>
      <c r="C9" s="23" t="str">
        <f aca="false">IFERROR(B9/B8-1,"")</f>
        <v/>
      </c>
      <c r="D9" s="23"/>
      <c r="E9" s="24" t="str">
        <f aca="false">IFERROR(IF(B9="",IFERROR(GROWTH($B$8:$B$95,$A$8:$A$95,$A9),TREND($B$8:$B$95,$A$8:$A$95,$A9)),""),"")</f>
        <v/>
      </c>
      <c r="F9" s="24" t="str">
        <f aca="false">IFERROR(forecast.ets($A9,$B$8:$B$95,$A$8:$A$95,4,1,1),"")</f>
        <v/>
      </c>
      <c r="G9" s="24" t="str">
        <f aca="false">IFERROR(F9-forecast.ets.confint($A9,$B$8:$B$95,$A$8:$A$95,0.95,4,1,1),"")</f>
        <v/>
      </c>
      <c r="H9" s="24" t="str">
        <f aca="false">IFERROR(F9+forecast.ets.confint($A9,$B$8:$B$95,$A$8:$A$95,0.95,4,1,1),"")</f>
        <v/>
      </c>
      <c r="J9" s="25" t="n">
        <v>2009</v>
      </c>
      <c r="K9" s="24" t="str">
        <f aca="false">IFERROR(AVERAGEIFS($B$8:$B$95,$A$8:$A$95,"&gt;="&amp;DATE(J9,1,1),$A$8:$A$95,"&lt;="&amp;DATE(J9,12,31)),"")</f>
        <v/>
      </c>
      <c r="L9" s="23" t="str">
        <f aca="false">IFERROR(K9/K8-1,"")</f>
        <v/>
      </c>
      <c r="M9" s="24" t="str">
        <f aca="false">IFERROR(AVERAGEIFS($F$8:$F$95,$A$8:$A$95,"&gt;="&amp;DATE(J9,1,1),$A$8:$A$95,"&lt;="&amp;DATE(J9,12,31)),"")</f>
        <v/>
      </c>
    </row>
    <row r="10" customFormat="false" ht="15" hidden="false" customHeight="false" outlineLevel="0" collapsed="false">
      <c r="A10" s="16" t="n">
        <v>39630</v>
      </c>
      <c r="B10" s="17" t="str">
        <f aca="false">IFERROR(haverdata(Codes!$D$5,$A10),"")</f>
        <v/>
      </c>
      <c r="C10" s="18" t="str">
        <f aca="false">IFERROR(B10/B9-1,"")</f>
        <v/>
      </c>
      <c r="D10" s="18"/>
      <c r="E10" s="19" t="str">
        <f aca="false">IFERROR(IF(B10="",IFERROR(GROWTH($B$8:$B$95,$A$8:$A$95,$A10),TREND($B$8:$B$95,$A$8:$A$95,$A10)),""),"")</f>
        <v/>
      </c>
      <c r="F10" s="19" t="str">
        <f aca="false">IFERROR(forecast.ets($A10,$B$8:$B$95,$A$8:$A$95,4,1,1),"")</f>
        <v/>
      </c>
      <c r="G10" s="19" t="str">
        <f aca="false">IFERROR(F10-forecast.ets.confint($A10,$B$8:$B$95,$A$8:$A$95,0.95,4,1,1),"")</f>
        <v/>
      </c>
      <c r="H10" s="19" t="str">
        <f aca="false">IFERROR(F10+forecast.ets.confint($A10,$B$8:$B$95,$A$8:$A$95,0.95,4,1,1),"")</f>
        <v/>
      </c>
      <c r="J10" s="20" t="n">
        <v>2010</v>
      </c>
      <c r="K10" s="19" t="str">
        <f aca="false">IFERROR(AVERAGEIFS($B$8:$B$95,$A$8:$A$95,"&gt;="&amp;DATE(J10,1,1),$A$8:$A$95,"&lt;="&amp;DATE(J10,12,31)),"")</f>
        <v/>
      </c>
      <c r="L10" s="18" t="str">
        <f aca="false">IFERROR(K10/K9-1,"")</f>
        <v/>
      </c>
      <c r="M10" s="19" t="str">
        <f aca="false">IFERROR(AVERAGEIFS($F$8:$F$95,$A$8:$A$95,"&gt;="&amp;DATE(J10,1,1),$A$8:$A$95,"&lt;="&amp;DATE(J10,12,31)),"")</f>
        <v/>
      </c>
    </row>
    <row r="11" customFormat="false" ht="15" hidden="false" customHeight="false" outlineLevel="0" collapsed="false">
      <c r="A11" s="21" t="n">
        <v>39722</v>
      </c>
      <c r="B11" s="22" t="str">
        <f aca="false">IFERROR(haverdata(Codes!$D$5,$A11),"")</f>
        <v/>
      </c>
      <c r="C11" s="23" t="str">
        <f aca="false">IFERROR(B11/B10-1,"")</f>
        <v/>
      </c>
      <c r="D11" s="23"/>
      <c r="E11" s="24" t="str">
        <f aca="false">IFERROR(IF(B11="",IFERROR(GROWTH($B$8:$B$95,$A$8:$A$95,$A11),TREND($B$8:$B$95,$A$8:$A$95,$A11)),""),"")</f>
        <v/>
      </c>
      <c r="F11" s="24" t="str">
        <f aca="false">IFERROR(forecast.ets($A11,$B$8:$B$95,$A$8:$A$95,4,1,1),"")</f>
        <v/>
      </c>
      <c r="G11" s="24" t="str">
        <f aca="false">IFERROR(F11-forecast.ets.confint($A11,$B$8:$B$95,$A$8:$A$95,0.95,4,1,1),"")</f>
        <v/>
      </c>
      <c r="H11" s="24" t="str">
        <f aca="false">IFERROR(F11+forecast.ets.confint($A11,$B$8:$B$95,$A$8:$A$95,0.95,4,1,1),"")</f>
        <v/>
      </c>
      <c r="J11" s="25" t="n">
        <v>2011</v>
      </c>
      <c r="K11" s="24" t="str">
        <f aca="false">IFERROR(AVERAGEIFS($B$8:$B$95,$A$8:$A$95,"&gt;="&amp;DATE(J11,1,1),$A$8:$A$95,"&lt;="&amp;DATE(J11,12,31)),"")</f>
        <v/>
      </c>
      <c r="L11" s="23" t="str">
        <f aca="false">IFERROR(K11/K10-1,"")</f>
        <v/>
      </c>
      <c r="M11" s="24" t="str">
        <f aca="false">IFERROR(AVERAGEIFS($F$8:$F$95,$A$8:$A$95,"&gt;="&amp;DATE(J11,1,1),$A$8:$A$95,"&lt;="&amp;DATE(J11,12,31)),"")</f>
        <v/>
      </c>
    </row>
    <row r="12" customFormat="false" ht="15" hidden="false" customHeight="false" outlineLevel="0" collapsed="false">
      <c r="A12" s="16" t="n">
        <v>39814</v>
      </c>
      <c r="B12" s="17" t="str">
        <f aca="false">IFERROR(haverdata(Codes!$D$5,$A12),"")</f>
        <v/>
      </c>
      <c r="C12" s="18" t="str">
        <f aca="false">IFERROR(B12/B11-1,"")</f>
        <v/>
      </c>
      <c r="D12" s="18" t="str">
        <f aca="false">IFERROR(B12/B8-1,"")</f>
        <v/>
      </c>
      <c r="E12" s="19" t="str">
        <f aca="false">IFERROR(IF(B12="",IFERROR(GROWTH($B$8:$B$95,$A$8:$A$95,$A12),TREND($B$8:$B$95,$A$8:$A$95,$A12)),""),"")</f>
        <v/>
      </c>
      <c r="F12" s="19" t="str">
        <f aca="false">IFERROR(forecast.ets($A12,$B$8:$B$95,$A$8:$A$95,4,1,1),"")</f>
        <v/>
      </c>
      <c r="G12" s="19" t="str">
        <f aca="false">IFERROR(F12-forecast.ets.confint($A12,$B$8:$B$95,$A$8:$A$95,0.95,4,1,1),"")</f>
        <v/>
      </c>
      <c r="H12" s="19" t="str">
        <f aca="false">IFERROR(F12+forecast.ets.confint($A12,$B$8:$B$95,$A$8:$A$95,0.95,4,1,1),"")</f>
        <v/>
      </c>
      <c r="J12" s="20" t="n">
        <v>2012</v>
      </c>
      <c r="K12" s="19" t="str">
        <f aca="false">IFERROR(AVERAGEIFS($B$8:$B$95,$A$8:$A$95,"&gt;="&amp;DATE(J12,1,1),$A$8:$A$95,"&lt;="&amp;DATE(J12,12,31)),"")</f>
        <v/>
      </c>
      <c r="L12" s="18" t="str">
        <f aca="false">IFERROR(K12/K11-1,"")</f>
        <v/>
      </c>
      <c r="M12" s="19" t="str">
        <f aca="false">IFERROR(AVERAGEIFS($F$8:$F$95,$A$8:$A$95,"&gt;="&amp;DATE(J12,1,1),$A$8:$A$95,"&lt;="&amp;DATE(J12,12,31)),"")</f>
        <v/>
      </c>
    </row>
    <row r="13" customFormat="false" ht="15" hidden="false" customHeight="false" outlineLevel="0" collapsed="false">
      <c r="A13" s="21" t="n">
        <v>39904</v>
      </c>
      <c r="B13" s="22" t="str">
        <f aca="false">IFERROR(haverdata(Codes!$D$5,$A13),"")</f>
        <v/>
      </c>
      <c r="C13" s="23" t="str">
        <f aca="false">IFERROR(B13/B12-1,"")</f>
        <v/>
      </c>
      <c r="D13" s="23" t="str">
        <f aca="false">IFERROR(B13/B9-1,"")</f>
        <v/>
      </c>
      <c r="E13" s="24" t="str">
        <f aca="false">IFERROR(IF(B13="",IFERROR(GROWTH($B$8:$B$95,$A$8:$A$95,$A13),TREND($B$8:$B$95,$A$8:$A$95,$A13)),""),"")</f>
        <v/>
      </c>
      <c r="F13" s="24" t="str">
        <f aca="false">IFERROR(forecast.ets($A13,$B$8:$B$95,$A$8:$A$95,4,1,1),"")</f>
        <v/>
      </c>
      <c r="G13" s="24" t="str">
        <f aca="false">IFERROR(F13-forecast.ets.confint($A13,$B$8:$B$95,$A$8:$A$95,0.95,4,1,1),"")</f>
        <v/>
      </c>
      <c r="H13" s="24" t="str">
        <f aca="false">IFERROR(F13+forecast.ets.confint($A13,$B$8:$B$95,$A$8:$A$95,0.95,4,1,1),"")</f>
        <v/>
      </c>
      <c r="J13" s="25" t="n">
        <v>2013</v>
      </c>
      <c r="K13" s="24" t="str">
        <f aca="false">IFERROR(AVERAGEIFS($B$8:$B$95,$A$8:$A$95,"&gt;="&amp;DATE(J13,1,1),$A$8:$A$95,"&lt;="&amp;DATE(J13,12,31)),"")</f>
        <v/>
      </c>
      <c r="L13" s="23" t="str">
        <f aca="false">IFERROR(K13/K12-1,"")</f>
        <v/>
      </c>
      <c r="M13" s="24" t="str">
        <f aca="false">IFERROR(AVERAGEIFS($F$8:$F$95,$A$8:$A$95,"&gt;="&amp;DATE(J13,1,1),$A$8:$A$95,"&lt;="&amp;DATE(J13,12,31)),"")</f>
        <v/>
      </c>
    </row>
    <row r="14" customFormat="false" ht="15" hidden="false" customHeight="false" outlineLevel="0" collapsed="false">
      <c r="A14" s="16" t="n">
        <v>39995</v>
      </c>
      <c r="B14" s="17" t="str">
        <f aca="false">IFERROR(haverdata(Codes!$D$5,$A14),"")</f>
        <v/>
      </c>
      <c r="C14" s="18" t="str">
        <f aca="false">IFERROR(B14/B13-1,"")</f>
        <v/>
      </c>
      <c r="D14" s="18" t="str">
        <f aca="false">IFERROR(B14/B10-1,"")</f>
        <v/>
      </c>
      <c r="E14" s="19" t="str">
        <f aca="false">IFERROR(IF(B14="",IFERROR(GROWTH($B$8:$B$95,$A$8:$A$95,$A14),TREND($B$8:$B$95,$A$8:$A$95,$A14)),""),"")</f>
        <v/>
      </c>
      <c r="F14" s="19" t="str">
        <f aca="false">IFERROR(forecast.ets($A14,$B$8:$B$95,$A$8:$A$95,4,1,1),"")</f>
        <v/>
      </c>
      <c r="G14" s="19" t="str">
        <f aca="false">IFERROR(F14-forecast.ets.confint($A14,$B$8:$B$95,$A$8:$A$95,0.95,4,1,1),"")</f>
        <v/>
      </c>
      <c r="H14" s="19" t="str">
        <f aca="false">IFERROR(F14+forecast.ets.confint($A14,$B$8:$B$95,$A$8:$A$95,0.95,4,1,1),"")</f>
        <v/>
      </c>
      <c r="J14" s="20" t="n">
        <v>2014</v>
      </c>
      <c r="K14" s="19" t="str">
        <f aca="false">IFERROR(AVERAGEIFS($B$8:$B$95,$A$8:$A$95,"&gt;="&amp;DATE(J14,1,1),$A$8:$A$95,"&lt;="&amp;DATE(J14,12,31)),"")</f>
        <v/>
      </c>
      <c r="L14" s="18" t="str">
        <f aca="false">IFERROR(K14/K13-1,"")</f>
        <v/>
      </c>
      <c r="M14" s="19" t="str">
        <f aca="false">IFERROR(AVERAGEIFS($F$8:$F$95,$A$8:$A$95,"&gt;="&amp;DATE(J14,1,1),$A$8:$A$95,"&lt;="&amp;DATE(J14,12,31)),"")</f>
        <v/>
      </c>
    </row>
    <row r="15" customFormat="false" ht="15" hidden="false" customHeight="false" outlineLevel="0" collapsed="false">
      <c r="A15" s="21" t="n">
        <v>40087</v>
      </c>
      <c r="B15" s="22" t="str">
        <f aca="false">IFERROR(haverdata(Codes!$D$5,$A15),"")</f>
        <v/>
      </c>
      <c r="C15" s="23" t="str">
        <f aca="false">IFERROR(B15/B14-1,"")</f>
        <v/>
      </c>
      <c r="D15" s="23" t="str">
        <f aca="false">IFERROR(B15/B11-1,"")</f>
        <v/>
      </c>
      <c r="E15" s="24" t="str">
        <f aca="false">IFERROR(IF(B15="",IFERROR(GROWTH($B$8:$B$95,$A$8:$A$95,$A15),TREND($B$8:$B$95,$A$8:$A$95,$A15)),""),"")</f>
        <v/>
      </c>
      <c r="F15" s="24" t="str">
        <f aca="false">IFERROR(forecast.ets($A15,$B$8:$B$95,$A$8:$A$95,4,1,1),"")</f>
        <v/>
      </c>
      <c r="G15" s="24" t="str">
        <f aca="false">IFERROR(F15-forecast.ets.confint($A15,$B$8:$B$95,$A$8:$A$95,0.95,4,1,1),"")</f>
        <v/>
      </c>
      <c r="H15" s="24" t="str">
        <f aca="false">IFERROR(F15+forecast.ets.confint($A15,$B$8:$B$95,$A$8:$A$95,0.95,4,1,1),"")</f>
        <v/>
      </c>
      <c r="J15" s="25" t="n">
        <v>2015</v>
      </c>
      <c r="K15" s="24" t="str">
        <f aca="false">IFERROR(AVERAGEIFS($B$8:$B$95,$A$8:$A$95,"&gt;="&amp;DATE(J15,1,1),$A$8:$A$95,"&lt;="&amp;DATE(J15,12,31)),"")</f>
        <v/>
      </c>
      <c r="L15" s="23" t="str">
        <f aca="false">IFERROR(K15/K14-1,"")</f>
        <v/>
      </c>
      <c r="M15" s="24" t="str">
        <f aca="false">IFERROR(AVERAGEIFS($F$8:$F$95,$A$8:$A$95,"&gt;="&amp;DATE(J15,1,1),$A$8:$A$95,"&lt;="&amp;DATE(J15,12,31)),"")</f>
        <v/>
      </c>
    </row>
    <row r="16" customFormat="false" ht="15" hidden="false" customHeight="false" outlineLevel="0" collapsed="false">
      <c r="A16" s="16" t="n">
        <v>40179</v>
      </c>
      <c r="B16" s="17" t="str">
        <f aca="false">IFERROR(haverdata(Codes!$D$5,$A16),"")</f>
        <v/>
      </c>
      <c r="C16" s="18" t="str">
        <f aca="false">IFERROR(B16/B15-1,"")</f>
        <v/>
      </c>
      <c r="D16" s="18" t="str">
        <f aca="false">IFERROR(B16/B12-1,"")</f>
        <v/>
      </c>
      <c r="E16" s="19" t="str">
        <f aca="false">IFERROR(IF(B16="",IFERROR(GROWTH($B$8:$B$95,$A$8:$A$95,$A16),TREND($B$8:$B$95,$A$8:$A$95,$A16)),""),"")</f>
        <v/>
      </c>
      <c r="F16" s="19" t="str">
        <f aca="false">IFERROR(forecast.ets($A16,$B$8:$B$95,$A$8:$A$95,4,1,1),"")</f>
        <v/>
      </c>
      <c r="G16" s="19" t="str">
        <f aca="false">IFERROR(F16-forecast.ets.confint($A16,$B$8:$B$95,$A$8:$A$95,0.95,4,1,1),"")</f>
        <v/>
      </c>
      <c r="H16" s="19" t="str">
        <f aca="false">IFERROR(F16+forecast.ets.confint($A16,$B$8:$B$95,$A$8:$A$95,0.95,4,1,1),"")</f>
        <v/>
      </c>
      <c r="J16" s="20" t="n">
        <v>2016</v>
      </c>
      <c r="K16" s="19" t="str">
        <f aca="false">IFERROR(AVERAGEIFS($B$8:$B$95,$A$8:$A$95,"&gt;="&amp;DATE(J16,1,1),$A$8:$A$95,"&lt;="&amp;DATE(J16,12,31)),"")</f>
        <v/>
      </c>
      <c r="L16" s="18" t="str">
        <f aca="false">IFERROR(K16/K15-1,"")</f>
        <v/>
      </c>
      <c r="M16" s="19" t="str">
        <f aca="false">IFERROR(AVERAGEIFS($F$8:$F$95,$A$8:$A$95,"&gt;="&amp;DATE(J16,1,1),$A$8:$A$95,"&lt;="&amp;DATE(J16,12,31)),"")</f>
        <v/>
      </c>
    </row>
    <row r="17" customFormat="false" ht="15" hidden="false" customHeight="false" outlineLevel="0" collapsed="false">
      <c r="A17" s="21" t="n">
        <v>40269</v>
      </c>
      <c r="B17" s="22" t="str">
        <f aca="false">IFERROR(haverdata(Codes!$D$5,$A17),"")</f>
        <v/>
      </c>
      <c r="C17" s="23" t="str">
        <f aca="false">IFERROR(B17/B16-1,"")</f>
        <v/>
      </c>
      <c r="D17" s="23" t="str">
        <f aca="false">IFERROR(B17/B13-1,"")</f>
        <v/>
      </c>
      <c r="E17" s="24" t="str">
        <f aca="false">IFERROR(IF(B17="",IFERROR(GROWTH($B$8:$B$95,$A$8:$A$95,$A17),TREND($B$8:$B$95,$A$8:$A$95,$A17)),""),"")</f>
        <v/>
      </c>
      <c r="F17" s="24" t="str">
        <f aca="false">IFERROR(forecast.ets($A17,$B$8:$B$95,$A$8:$A$95,4,1,1),"")</f>
        <v/>
      </c>
      <c r="G17" s="24" t="str">
        <f aca="false">IFERROR(F17-forecast.ets.confint($A17,$B$8:$B$95,$A$8:$A$95,0.95,4,1,1),"")</f>
        <v/>
      </c>
      <c r="H17" s="24" t="str">
        <f aca="false">IFERROR(F17+forecast.ets.confint($A17,$B$8:$B$95,$A$8:$A$95,0.95,4,1,1),"")</f>
        <v/>
      </c>
      <c r="J17" s="25" t="n">
        <v>2017</v>
      </c>
      <c r="K17" s="24" t="str">
        <f aca="false">IFERROR(AVERAGEIFS($B$8:$B$95,$A$8:$A$95,"&gt;="&amp;DATE(J17,1,1),$A$8:$A$95,"&lt;="&amp;DATE(J17,12,31)),"")</f>
        <v/>
      </c>
      <c r="L17" s="23" t="str">
        <f aca="false">IFERROR(K17/K16-1,"")</f>
        <v/>
      </c>
      <c r="M17" s="24" t="str">
        <f aca="false">IFERROR(AVERAGEIFS($F$8:$F$95,$A$8:$A$95,"&gt;="&amp;DATE(J17,1,1),$A$8:$A$95,"&lt;="&amp;DATE(J17,12,31)),"")</f>
        <v/>
      </c>
    </row>
    <row r="18" customFormat="false" ht="15" hidden="false" customHeight="false" outlineLevel="0" collapsed="false">
      <c r="A18" s="16" t="n">
        <v>40360</v>
      </c>
      <c r="B18" s="17" t="str">
        <f aca="false">IFERROR(haverdata(Codes!$D$5,$A18),"")</f>
        <v/>
      </c>
      <c r="C18" s="18" t="str">
        <f aca="false">IFERROR(B18/B17-1,"")</f>
        <v/>
      </c>
      <c r="D18" s="18" t="str">
        <f aca="false">IFERROR(B18/B14-1,"")</f>
        <v/>
      </c>
      <c r="E18" s="19" t="str">
        <f aca="false">IFERROR(IF(B18="",IFERROR(GROWTH($B$8:$B$95,$A$8:$A$95,$A18),TREND($B$8:$B$95,$A$8:$A$95,$A18)),""),"")</f>
        <v/>
      </c>
      <c r="F18" s="19" t="str">
        <f aca="false">IFERROR(forecast.ets($A18,$B$8:$B$95,$A$8:$A$95,4,1,1),"")</f>
        <v/>
      </c>
      <c r="G18" s="19" t="str">
        <f aca="false">IFERROR(F18-forecast.ets.confint($A18,$B$8:$B$95,$A$8:$A$95,0.95,4,1,1),"")</f>
        <v/>
      </c>
      <c r="H18" s="19" t="str">
        <f aca="false">IFERROR(F18+forecast.ets.confint($A18,$B$8:$B$95,$A$8:$A$95,0.95,4,1,1),"")</f>
        <v/>
      </c>
      <c r="J18" s="20" t="n">
        <v>2018</v>
      </c>
      <c r="K18" s="19" t="str">
        <f aca="false">IFERROR(AVERAGEIFS($B$8:$B$95,$A$8:$A$95,"&gt;="&amp;DATE(J18,1,1),$A$8:$A$95,"&lt;="&amp;DATE(J18,12,31)),"")</f>
        <v/>
      </c>
      <c r="L18" s="18" t="str">
        <f aca="false">IFERROR(K18/K17-1,"")</f>
        <v/>
      </c>
      <c r="M18" s="19" t="str">
        <f aca="false">IFERROR(AVERAGEIFS($F$8:$F$95,$A$8:$A$95,"&gt;="&amp;DATE(J18,1,1),$A$8:$A$95,"&lt;="&amp;DATE(J18,12,31)),"")</f>
        <v/>
      </c>
    </row>
    <row r="19" customFormat="false" ht="15" hidden="false" customHeight="false" outlineLevel="0" collapsed="false">
      <c r="A19" s="21" t="n">
        <v>40452</v>
      </c>
      <c r="B19" s="22" t="str">
        <f aca="false">IFERROR(haverdata(Codes!$D$5,$A19),"")</f>
        <v/>
      </c>
      <c r="C19" s="23" t="str">
        <f aca="false">IFERROR(B19/B18-1,"")</f>
        <v/>
      </c>
      <c r="D19" s="23" t="str">
        <f aca="false">IFERROR(B19/B15-1,"")</f>
        <v/>
      </c>
      <c r="E19" s="24" t="str">
        <f aca="false">IFERROR(IF(B19="",IFERROR(GROWTH($B$8:$B$95,$A$8:$A$95,$A19),TREND($B$8:$B$95,$A$8:$A$95,$A19)),""),"")</f>
        <v/>
      </c>
      <c r="F19" s="24" t="str">
        <f aca="false">IFERROR(forecast.ets($A19,$B$8:$B$95,$A$8:$A$95,4,1,1),"")</f>
        <v/>
      </c>
      <c r="G19" s="24" t="str">
        <f aca="false">IFERROR(F19-forecast.ets.confint($A19,$B$8:$B$95,$A$8:$A$95,0.95,4,1,1),"")</f>
        <v/>
      </c>
      <c r="H19" s="24" t="str">
        <f aca="false">IFERROR(F19+forecast.ets.confint($A19,$B$8:$B$95,$A$8:$A$95,0.95,4,1,1),"")</f>
        <v/>
      </c>
      <c r="J19" s="25" t="n">
        <v>2019</v>
      </c>
      <c r="K19" s="24" t="str">
        <f aca="false">IFERROR(AVERAGEIFS($B$8:$B$95,$A$8:$A$95,"&gt;="&amp;DATE(J19,1,1),$A$8:$A$95,"&lt;="&amp;DATE(J19,12,31)),"")</f>
        <v/>
      </c>
      <c r="L19" s="23" t="str">
        <f aca="false">IFERROR(K19/K18-1,"")</f>
        <v/>
      </c>
      <c r="M19" s="24" t="str">
        <f aca="false">IFERROR(AVERAGEIFS($F$8:$F$95,$A$8:$A$95,"&gt;="&amp;DATE(J19,1,1),$A$8:$A$95,"&lt;="&amp;DATE(J19,12,31)),"")</f>
        <v/>
      </c>
    </row>
    <row r="20" customFormat="false" ht="15" hidden="false" customHeight="false" outlineLevel="0" collapsed="false">
      <c r="A20" s="16" t="n">
        <v>40544</v>
      </c>
      <c r="B20" s="17" t="str">
        <f aca="false">IFERROR(haverdata(Codes!$D$5,$A20),"")</f>
        <v/>
      </c>
      <c r="C20" s="18" t="str">
        <f aca="false">IFERROR(B20/B19-1,"")</f>
        <v/>
      </c>
      <c r="D20" s="18" t="str">
        <f aca="false">IFERROR(B20/B16-1,"")</f>
        <v/>
      </c>
      <c r="E20" s="19" t="str">
        <f aca="false">IFERROR(IF(B20="",IFERROR(GROWTH($B$8:$B$95,$A$8:$A$95,$A20),TREND($B$8:$B$95,$A$8:$A$95,$A20)),""),"")</f>
        <v/>
      </c>
      <c r="F20" s="19" t="str">
        <f aca="false">IFERROR(forecast.ets($A20,$B$8:$B$95,$A$8:$A$95,4,1,1),"")</f>
        <v/>
      </c>
      <c r="G20" s="19" t="str">
        <f aca="false">IFERROR(F20-forecast.ets.confint($A20,$B$8:$B$95,$A$8:$A$95,0.95,4,1,1),"")</f>
        <v/>
      </c>
      <c r="H20" s="19" t="str">
        <f aca="false">IFERROR(F20+forecast.ets.confint($A20,$B$8:$B$95,$A$8:$A$95,0.95,4,1,1),"")</f>
        <v/>
      </c>
      <c r="J20" s="20" t="n">
        <v>2020</v>
      </c>
      <c r="K20" s="19" t="str">
        <f aca="false">IFERROR(AVERAGEIFS($B$8:$B$95,$A$8:$A$95,"&gt;="&amp;DATE(J20,1,1),$A$8:$A$95,"&lt;="&amp;DATE(J20,12,31)),"")</f>
        <v/>
      </c>
      <c r="L20" s="18" t="str">
        <f aca="false">IFERROR(K20/K19-1,"")</f>
        <v/>
      </c>
      <c r="M20" s="19" t="str">
        <f aca="false">IFERROR(AVERAGEIFS($F$8:$F$95,$A$8:$A$95,"&gt;="&amp;DATE(J20,1,1),$A$8:$A$95,"&lt;="&amp;DATE(J20,12,31)),"")</f>
        <v/>
      </c>
    </row>
    <row r="21" customFormat="false" ht="15" hidden="false" customHeight="false" outlineLevel="0" collapsed="false">
      <c r="A21" s="21" t="n">
        <v>40634</v>
      </c>
      <c r="B21" s="22" t="str">
        <f aca="false">IFERROR(haverdata(Codes!$D$5,$A21),"")</f>
        <v/>
      </c>
      <c r="C21" s="23" t="str">
        <f aca="false">IFERROR(B21/B20-1,"")</f>
        <v/>
      </c>
      <c r="D21" s="23" t="str">
        <f aca="false">IFERROR(B21/B17-1,"")</f>
        <v/>
      </c>
      <c r="E21" s="24" t="str">
        <f aca="false">IFERROR(IF(B21="",IFERROR(GROWTH($B$8:$B$95,$A$8:$A$95,$A21),TREND($B$8:$B$95,$A$8:$A$95,$A21)),""),"")</f>
        <v/>
      </c>
      <c r="F21" s="24" t="str">
        <f aca="false">IFERROR(forecast.ets($A21,$B$8:$B$95,$A$8:$A$95,4,1,1),"")</f>
        <v/>
      </c>
      <c r="G21" s="24" t="str">
        <f aca="false">IFERROR(F21-forecast.ets.confint($A21,$B$8:$B$95,$A$8:$A$95,0.95,4,1,1),"")</f>
        <v/>
      </c>
      <c r="H21" s="24" t="str">
        <f aca="false">IFERROR(F21+forecast.ets.confint($A21,$B$8:$B$95,$A$8:$A$95,0.95,4,1,1),"")</f>
        <v/>
      </c>
      <c r="J21" s="25" t="n">
        <v>2021</v>
      </c>
      <c r="K21" s="24" t="str">
        <f aca="false">IFERROR(AVERAGEIFS($B$8:$B$95,$A$8:$A$95,"&gt;="&amp;DATE(J21,1,1),$A$8:$A$95,"&lt;="&amp;DATE(J21,12,31)),"")</f>
        <v/>
      </c>
      <c r="L21" s="23" t="str">
        <f aca="false">IFERROR(K21/K20-1,"")</f>
        <v/>
      </c>
      <c r="M21" s="24" t="str">
        <f aca="false">IFERROR(AVERAGEIFS($F$8:$F$95,$A$8:$A$95,"&gt;="&amp;DATE(J21,1,1),$A$8:$A$95,"&lt;="&amp;DATE(J21,12,31)),"")</f>
        <v/>
      </c>
    </row>
    <row r="22" customFormat="false" ht="15" hidden="false" customHeight="false" outlineLevel="0" collapsed="false">
      <c r="A22" s="16" t="n">
        <v>40725</v>
      </c>
      <c r="B22" s="17" t="str">
        <f aca="false">IFERROR(haverdata(Codes!$D$5,$A22),"")</f>
        <v/>
      </c>
      <c r="C22" s="18" t="str">
        <f aca="false">IFERROR(B22/B21-1,"")</f>
        <v/>
      </c>
      <c r="D22" s="18" t="str">
        <f aca="false">IFERROR(B22/B18-1,"")</f>
        <v/>
      </c>
      <c r="E22" s="19" t="str">
        <f aca="false">IFERROR(IF(B22="",IFERROR(GROWTH($B$8:$B$95,$A$8:$A$95,$A22),TREND($B$8:$B$95,$A$8:$A$95,$A22)),""),"")</f>
        <v/>
      </c>
      <c r="F22" s="19" t="str">
        <f aca="false">IFERROR(forecast.ets($A22,$B$8:$B$95,$A$8:$A$95,4,1,1),"")</f>
        <v/>
      </c>
      <c r="G22" s="19" t="str">
        <f aca="false">IFERROR(F22-forecast.ets.confint($A22,$B$8:$B$95,$A$8:$A$95,0.95,4,1,1),"")</f>
        <v/>
      </c>
      <c r="H22" s="19" t="str">
        <f aca="false">IFERROR(F22+forecast.ets.confint($A22,$B$8:$B$95,$A$8:$A$95,0.95,4,1,1),"")</f>
        <v/>
      </c>
      <c r="J22" s="20" t="n">
        <v>2022</v>
      </c>
      <c r="K22" s="19" t="str">
        <f aca="false">IFERROR(AVERAGEIFS($B$8:$B$95,$A$8:$A$95,"&gt;="&amp;DATE(J22,1,1),$A$8:$A$95,"&lt;="&amp;DATE(J22,12,31)),"")</f>
        <v/>
      </c>
      <c r="L22" s="18" t="str">
        <f aca="false">IFERROR(K22/K21-1,"")</f>
        <v/>
      </c>
      <c r="M22" s="19" t="str">
        <f aca="false">IFERROR(AVERAGEIFS($F$8:$F$95,$A$8:$A$95,"&gt;="&amp;DATE(J22,1,1),$A$8:$A$95,"&lt;="&amp;DATE(J22,12,31)),"")</f>
        <v/>
      </c>
    </row>
    <row r="23" customFormat="false" ht="15" hidden="false" customHeight="false" outlineLevel="0" collapsed="false">
      <c r="A23" s="21" t="n">
        <v>40817</v>
      </c>
      <c r="B23" s="22" t="str">
        <f aca="false">IFERROR(haverdata(Codes!$D$5,$A23),"")</f>
        <v/>
      </c>
      <c r="C23" s="23" t="str">
        <f aca="false">IFERROR(B23/B22-1,"")</f>
        <v/>
      </c>
      <c r="D23" s="23" t="str">
        <f aca="false">IFERROR(B23/B19-1,"")</f>
        <v/>
      </c>
      <c r="E23" s="24" t="str">
        <f aca="false">IFERROR(IF(B23="",IFERROR(GROWTH($B$8:$B$95,$A$8:$A$95,$A23),TREND($B$8:$B$95,$A$8:$A$95,$A23)),""),"")</f>
        <v/>
      </c>
      <c r="F23" s="24" t="str">
        <f aca="false">IFERROR(forecast.ets($A23,$B$8:$B$95,$A$8:$A$95,4,1,1),"")</f>
        <v/>
      </c>
      <c r="G23" s="24" t="str">
        <f aca="false">IFERROR(F23-forecast.ets.confint($A23,$B$8:$B$95,$A$8:$A$95,0.95,4,1,1),"")</f>
        <v/>
      </c>
      <c r="H23" s="24" t="str">
        <f aca="false">IFERROR(F23+forecast.ets.confint($A23,$B$8:$B$95,$A$8:$A$95,0.95,4,1,1),"")</f>
        <v/>
      </c>
      <c r="J23" s="25" t="n">
        <v>2023</v>
      </c>
      <c r="K23" s="24" t="str">
        <f aca="false">IFERROR(AVERAGEIFS($B$8:$B$95,$A$8:$A$95,"&gt;="&amp;DATE(J23,1,1),$A$8:$A$95,"&lt;="&amp;DATE(J23,12,31)),"")</f>
        <v/>
      </c>
      <c r="L23" s="23" t="str">
        <f aca="false">IFERROR(K23/K22-1,"")</f>
        <v/>
      </c>
      <c r="M23" s="24" t="str">
        <f aca="false">IFERROR(AVERAGEIFS($F$8:$F$95,$A$8:$A$95,"&gt;="&amp;DATE(J23,1,1),$A$8:$A$95,"&lt;="&amp;DATE(J23,12,31)),"")</f>
        <v/>
      </c>
    </row>
    <row r="24" customFormat="false" ht="15" hidden="false" customHeight="false" outlineLevel="0" collapsed="false">
      <c r="A24" s="16" t="n">
        <v>40909</v>
      </c>
      <c r="B24" s="17" t="str">
        <f aca="false">IFERROR(haverdata(Codes!$D$5,$A24),"")</f>
        <v/>
      </c>
      <c r="C24" s="18" t="str">
        <f aca="false">IFERROR(B24/B23-1,"")</f>
        <v/>
      </c>
      <c r="D24" s="18" t="str">
        <f aca="false">IFERROR(B24/B20-1,"")</f>
        <v/>
      </c>
      <c r="E24" s="19" t="str">
        <f aca="false">IFERROR(IF(B24="",IFERROR(GROWTH($B$8:$B$95,$A$8:$A$95,$A24),TREND($B$8:$B$95,$A$8:$A$95,$A24)),""),"")</f>
        <v/>
      </c>
      <c r="F24" s="19" t="str">
        <f aca="false">IFERROR(forecast.ets($A24,$B$8:$B$95,$A$8:$A$95,4,1,1),"")</f>
        <v/>
      </c>
      <c r="G24" s="19" t="str">
        <f aca="false">IFERROR(F24-forecast.ets.confint($A24,$B$8:$B$95,$A$8:$A$95,0.95,4,1,1),"")</f>
        <v/>
      </c>
      <c r="H24" s="19" t="str">
        <f aca="false">IFERROR(F24+forecast.ets.confint($A24,$B$8:$B$95,$A$8:$A$95,0.95,4,1,1),"")</f>
        <v/>
      </c>
      <c r="J24" s="20" t="n">
        <v>2024</v>
      </c>
      <c r="K24" s="19" t="str">
        <f aca="false">IFERROR(AVERAGEIFS($B$8:$B$95,$A$8:$A$95,"&gt;="&amp;DATE(J24,1,1),$A$8:$A$95,"&lt;="&amp;DATE(J24,12,31)),"")</f>
        <v/>
      </c>
      <c r="L24" s="18" t="str">
        <f aca="false">IFERROR(K24/K23-1,"")</f>
        <v/>
      </c>
      <c r="M24" s="19" t="str">
        <f aca="false">IFERROR(AVERAGEIFS($F$8:$F$95,$A$8:$A$95,"&gt;="&amp;DATE(J24,1,1),$A$8:$A$95,"&lt;="&amp;DATE(J24,12,31)),"")</f>
        <v/>
      </c>
    </row>
    <row r="25" customFormat="false" ht="15" hidden="false" customHeight="false" outlineLevel="0" collapsed="false">
      <c r="A25" s="21" t="n">
        <v>41000</v>
      </c>
      <c r="B25" s="22" t="str">
        <f aca="false">IFERROR(haverdata(Codes!$D$5,$A25),"")</f>
        <v/>
      </c>
      <c r="C25" s="23" t="str">
        <f aca="false">IFERROR(B25/B24-1,"")</f>
        <v/>
      </c>
      <c r="D25" s="23" t="str">
        <f aca="false">IFERROR(B25/B21-1,"")</f>
        <v/>
      </c>
      <c r="E25" s="24" t="str">
        <f aca="false">IFERROR(IF(B25="",IFERROR(GROWTH($B$8:$B$95,$A$8:$A$95,$A25),TREND($B$8:$B$95,$A$8:$A$95,$A25)),""),"")</f>
        <v/>
      </c>
      <c r="F25" s="24" t="str">
        <f aca="false">IFERROR(forecast.ets($A25,$B$8:$B$95,$A$8:$A$95,4,1,1),"")</f>
        <v/>
      </c>
      <c r="G25" s="24" t="str">
        <f aca="false">IFERROR(F25-forecast.ets.confint($A25,$B$8:$B$95,$A$8:$A$95,0.95,4,1,1),"")</f>
        <v/>
      </c>
      <c r="H25" s="24" t="str">
        <f aca="false">IFERROR(F25+forecast.ets.confint($A25,$B$8:$B$95,$A$8:$A$95,0.95,4,1,1),"")</f>
        <v/>
      </c>
      <c r="J25" s="25" t="n">
        <v>2025</v>
      </c>
      <c r="K25" s="24" t="str">
        <f aca="false">IFERROR(AVERAGEIFS($B$8:$B$95,$A$8:$A$95,"&gt;="&amp;DATE(J25,1,1),$A$8:$A$95,"&lt;="&amp;DATE(J25,12,31)),"")</f>
        <v/>
      </c>
      <c r="L25" s="23" t="str">
        <f aca="false">IFERROR(K25/K24-1,"")</f>
        <v/>
      </c>
      <c r="M25" s="24" t="str">
        <f aca="false">IFERROR(AVERAGEIFS($F$8:$F$95,$A$8:$A$95,"&gt;="&amp;DATE(J25,1,1),$A$8:$A$95,"&lt;="&amp;DATE(J25,12,31)),"")</f>
        <v/>
      </c>
    </row>
    <row r="26" customFormat="false" ht="15" hidden="false" customHeight="false" outlineLevel="0" collapsed="false">
      <c r="A26" s="16" t="n">
        <v>41091</v>
      </c>
      <c r="B26" s="17" t="str">
        <f aca="false">IFERROR(haverdata(Codes!$D$5,$A26),"")</f>
        <v/>
      </c>
      <c r="C26" s="18" t="str">
        <f aca="false">IFERROR(B26/B25-1,"")</f>
        <v/>
      </c>
      <c r="D26" s="18" t="str">
        <f aca="false">IFERROR(B26/B22-1,"")</f>
        <v/>
      </c>
      <c r="E26" s="19" t="str">
        <f aca="false">IFERROR(IF(B26="",IFERROR(GROWTH($B$8:$B$95,$A$8:$A$95,$A26),TREND($B$8:$B$95,$A$8:$A$95,$A26)),""),"")</f>
        <v/>
      </c>
      <c r="F26" s="19" t="str">
        <f aca="false">IFERROR(forecast.ets($A26,$B$8:$B$95,$A$8:$A$95,4,1,1),"")</f>
        <v/>
      </c>
      <c r="G26" s="19" t="str">
        <f aca="false">IFERROR(F26-forecast.ets.confint($A26,$B$8:$B$95,$A$8:$A$95,0.95,4,1,1),"")</f>
        <v/>
      </c>
      <c r="H26" s="19" t="str">
        <f aca="false">IFERROR(F26+forecast.ets.confint($A26,$B$8:$B$95,$A$8:$A$95,0.95,4,1,1),"")</f>
        <v/>
      </c>
      <c r="J26" s="20" t="n">
        <v>2026</v>
      </c>
      <c r="K26" s="19" t="str">
        <f aca="false">IFERROR(AVERAGEIFS($B$8:$B$95,$A$8:$A$95,"&gt;="&amp;DATE(J26,1,1),$A$8:$A$95,"&lt;="&amp;DATE(J26,12,31)),"")</f>
        <v/>
      </c>
      <c r="L26" s="18" t="str">
        <f aca="false">IFERROR(K26/K25-1,"")</f>
        <v/>
      </c>
      <c r="M26" s="19" t="str">
        <f aca="false">IFERROR(AVERAGEIFS($F$8:$F$95,$A$8:$A$95,"&gt;="&amp;DATE(J26,1,1),$A$8:$A$95,"&lt;="&amp;DATE(J26,12,31)),"")</f>
        <v/>
      </c>
    </row>
    <row r="27" customFormat="false" ht="15" hidden="false" customHeight="false" outlineLevel="0" collapsed="false">
      <c r="A27" s="21" t="n">
        <v>41183</v>
      </c>
      <c r="B27" s="22" t="str">
        <f aca="false">IFERROR(haverdata(Codes!$D$5,$A27),"")</f>
        <v/>
      </c>
      <c r="C27" s="23" t="str">
        <f aca="false">IFERROR(B27/B26-1,"")</f>
        <v/>
      </c>
      <c r="D27" s="23" t="str">
        <f aca="false">IFERROR(B27/B23-1,"")</f>
        <v/>
      </c>
      <c r="E27" s="24" t="str">
        <f aca="false">IFERROR(IF(B27="",IFERROR(GROWTH($B$8:$B$95,$A$8:$A$95,$A27),TREND($B$8:$B$95,$A$8:$A$95,$A27)),""),"")</f>
        <v/>
      </c>
      <c r="F27" s="24" t="str">
        <f aca="false">IFERROR(forecast.ets($A27,$B$8:$B$95,$A$8:$A$95,4,1,1),"")</f>
        <v/>
      </c>
      <c r="G27" s="24" t="str">
        <f aca="false">IFERROR(F27-forecast.ets.confint($A27,$B$8:$B$95,$A$8:$A$95,0.95,4,1,1),"")</f>
        <v/>
      </c>
      <c r="H27" s="24" t="str">
        <f aca="false">IFERROR(F27+forecast.ets.confint($A27,$B$8:$B$95,$A$8:$A$95,0.95,4,1,1),"")</f>
        <v/>
      </c>
      <c r="J27" s="25" t="n">
        <v>2027</v>
      </c>
      <c r="K27" s="24" t="str">
        <f aca="false">IFERROR(AVERAGEIFS($B$8:$B$95,$A$8:$A$95,"&gt;="&amp;DATE(J27,1,1),$A$8:$A$95,"&lt;="&amp;DATE(J27,12,31)),"")</f>
        <v/>
      </c>
      <c r="L27" s="23" t="str">
        <f aca="false">IFERROR(K27/K26-1,"")</f>
        <v/>
      </c>
      <c r="M27" s="24" t="str">
        <f aca="false">IFERROR(AVERAGEIFS($F$8:$F$95,$A$8:$A$95,"&gt;="&amp;DATE(J27,1,1),$A$8:$A$95,"&lt;="&amp;DATE(J27,12,31)),"")</f>
        <v/>
      </c>
    </row>
    <row r="28" customFormat="false" ht="15" hidden="false" customHeight="false" outlineLevel="0" collapsed="false">
      <c r="A28" s="16" t="n">
        <v>41275</v>
      </c>
      <c r="B28" s="17" t="str">
        <f aca="false">IFERROR(haverdata(Codes!$D$5,$A28),"")</f>
        <v/>
      </c>
      <c r="C28" s="18" t="str">
        <f aca="false">IFERROR(B28/B27-1,"")</f>
        <v/>
      </c>
      <c r="D28" s="18" t="str">
        <f aca="false">IFERROR(B28/B24-1,"")</f>
        <v/>
      </c>
      <c r="E28" s="19" t="str">
        <f aca="false">IFERROR(IF(B28="",IFERROR(GROWTH($B$8:$B$95,$A$8:$A$95,$A28),TREND($B$8:$B$95,$A$8:$A$95,$A28)),""),"")</f>
        <v/>
      </c>
      <c r="F28" s="19" t="str">
        <f aca="false">IFERROR(forecast.ets($A28,$B$8:$B$95,$A$8:$A$95,4,1,1),"")</f>
        <v/>
      </c>
      <c r="G28" s="19" t="str">
        <f aca="false">IFERROR(F28-forecast.ets.confint($A28,$B$8:$B$95,$A$8:$A$95,0.95,4,1,1),"")</f>
        <v/>
      </c>
      <c r="H28" s="19" t="str">
        <f aca="false">IFERROR(F28+forecast.ets.confint($A28,$B$8:$B$95,$A$8:$A$95,0.95,4,1,1),"")</f>
        <v/>
      </c>
      <c r="J28" s="20" t="n">
        <v>2028</v>
      </c>
      <c r="K28" s="19" t="str">
        <f aca="false">IFERROR(AVERAGEIFS($B$8:$B$95,$A$8:$A$95,"&gt;="&amp;DATE(J28,1,1),$A$8:$A$95,"&lt;="&amp;DATE(J28,12,31)),"")</f>
        <v/>
      </c>
      <c r="L28" s="18" t="str">
        <f aca="false">IFERROR(K28/K27-1,"")</f>
        <v/>
      </c>
      <c r="M28" s="19" t="str">
        <f aca="false">IFERROR(AVERAGEIFS($F$8:$F$95,$A$8:$A$95,"&gt;="&amp;DATE(J28,1,1),$A$8:$A$95,"&lt;="&amp;DATE(J28,12,31)),"")</f>
        <v/>
      </c>
    </row>
    <row r="29" customFormat="false" ht="15" hidden="false" customHeight="false" outlineLevel="0" collapsed="false">
      <c r="A29" s="21" t="n">
        <v>41365</v>
      </c>
      <c r="B29" s="22" t="str">
        <f aca="false">IFERROR(haverdata(Codes!$D$5,$A29),"")</f>
        <v/>
      </c>
      <c r="C29" s="23" t="str">
        <f aca="false">IFERROR(B29/B28-1,"")</f>
        <v/>
      </c>
      <c r="D29" s="23" t="str">
        <f aca="false">IFERROR(B29/B25-1,"")</f>
        <v/>
      </c>
      <c r="E29" s="24" t="str">
        <f aca="false">IFERROR(IF(B29="",IFERROR(GROWTH($B$8:$B$95,$A$8:$A$95,$A29),TREND($B$8:$B$95,$A$8:$A$95,$A29)),""),"")</f>
        <v/>
      </c>
      <c r="F29" s="24" t="str">
        <f aca="false">IFERROR(forecast.ets($A29,$B$8:$B$95,$A$8:$A$95,4,1,1),"")</f>
        <v/>
      </c>
      <c r="G29" s="24" t="str">
        <f aca="false">IFERROR(F29-forecast.ets.confint($A29,$B$8:$B$95,$A$8:$A$95,0.95,4,1,1),"")</f>
        <v/>
      </c>
      <c r="H29" s="24" t="str">
        <f aca="false">IFERROR(F29+forecast.ets.confint($A29,$B$8:$B$95,$A$8:$A$95,0.95,4,1,1),"")</f>
        <v/>
      </c>
      <c r="J29" s="25" t="n">
        <v>2029</v>
      </c>
      <c r="K29" s="24" t="str">
        <f aca="false">IFERROR(AVERAGEIFS($B$8:$B$95,$A$8:$A$95,"&gt;="&amp;DATE(J29,1,1),$A$8:$A$95,"&lt;="&amp;DATE(J29,12,31)),"")</f>
        <v/>
      </c>
      <c r="L29" s="23" t="str">
        <f aca="false">IFERROR(K29/K28-1,"")</f>
        <v/>
      </c>
      <c r="M29" s="24" t="str">
        <f aca="false">IFERROR(AVERAGEIFS($F$8:$F$95,$A$8:$A$95,"&gt;="&amp;DATE(J29,1,1),$A$8:$A$95,"&lt;="&amp;DATE(J29,12,31)),"")</f>
        <v/>
      </c>
    </row>
    <row r="30" customFormat="false" ht="15" hidden="false" customHeight="false" outlineLevel="0" collapsed="false">
      <c r="A30" s="16" t="n">
        <v>41456</v>
      </c>
      <c r="B30" s="17" t="str">
        <f aca="false">IFERROR(haverdata(Codes!$D$5,$A30),"")</f>
        <v/>
      </c>
      <c r="C30" s="18" t="str">
        <f aca="false">IFERROR(B30/B29-1,"")</f>
        <v/>
      </c>
      <c r="D30" s="18" t="str">
        <f aca="false">IFERROR(B30/B26-1,"")</f>
        <v/>
      </c>
      <c r="E30" s="19" t="str">
        <f aca="false">IFERROR(IF(B30="",IFERROR(GROWTH($B$8:$B$95,$A$8:$A$95,$A30),TREND($B$8:$B$95,$A$8:$A$95,$A30)),""),"")</f>
        <v/>
      </c>
      <c r="F30" s="19" t="str">
        <f aca="false">IFERROR(forecast.ets($A30,$B$8:$B$95,$A$8:$A$95,4,1,1),"")</f>
        <v/>
      </c>
      <c r="G30" s="19" t="str">
        <f aca="false">IFERROR(F30-forecast.ets.confint($A30,$B$8:$B$95,$A$8:$A$95,0.95,4,1,1),"")</f>
        <v/>
      </c>
      <c r="H30" s="19" t="str">
        <f aca="false">IFERROR(F30+forecast.ets.confint($A30,$B$8:$B$95,$A$8:$A$95,0.95,4,1,1),"")</f>
        <v/>
      </c>
    </row>
    <row r="31" customFormat="false" ht="15" hidden="false" customHeight="false" outlineLevel="0" collapsed="false">
      <c r="A31" s="21" t="n">
        <v>41548</v>
      </c>
      <c r="B31" s="22" t="str">
        <f aca="false">IFERROR(haverdata(Codes!$D$5,$A31),"")</f>
        <v/>
      </c>
      <c r="C31" s="23" t="str">
        <f aca="false">IFERROR(B31/B30-1,"")</f>
        <v/>
      </c>
      <c r="D31" s="23" t="str">
        <f aca="false">IFERROR(B31/B27-1,"")</f>
        <v/>
      </c>
      <c r="E31" s="24" t="str">
        <f aca="false">IFERROR(IF(B31="",IFERROR(GROWTH($B$8:$B$95,$A$8:$A$95,$A31),TREND($B$8:$B$95,$A$8:$A$95,$A31)),""),"")</f>
        <v/>
      </c>
      <c r="F31" s="24" t="str">
        <f aca="false">IFERROR(forecast.ets($A31,$B$8:$B$95,$A$8:$A$95,4,1,1),"")</f>
        <v/>
      </c>
      <c r="G31" s="24" t="str">
        <f aca="false">IFERROR(F31-forecast.ets.confint($A31,$B$8:$B$95,$A$8:$A$95,0.95,4,1,1),"")</f>
        <v/>
      </c>
      <c r="H31" s="24" t="str">
        <f aca="false">IFERROR(F31+forecast.ets.confint($A31,$B$8:$B$95,$A$8:$A$95,0.95,4,1,1),"")</f>
        <v/>
      </c>
    </row>
    <row r="32" customFormat="false" ht="15" hidden="false" customHeight="false" outlineLevel="0" collapsed="false">
      <c r="A32" s="16" t="n">
        <v>41640</v>
      </c>
      <c r="B32" s="17" t="str">
        <f aca="false">IFERROR(haverdata(Codes!$D$5,$A32),"")</f>
        <v/>
      </c>
      <c r="C32" s="18" t="str">
        <f aca="false">IFERROR(B32/B31-1,"")</f>
        <v/>
      </c>
      <c r="D32" s="18" t="str">
        <f aca="false">IFERROR(B32/B28-1,"")</f>
        <v/>
      </c>
      <c r="E32" s="19" t="str">
        <f aca="false">IFERROR(IF(B32="",IFERROR(GROWTH($B$8:$B$95,$A$8:$A$95,$A32),TREND($B$8:$B$95,$A$8:$A$95,$A32)),""),"")</f>
        <v/>
      </c>
      <c r="F32" s="19" t="str">
        <f aca="false">IFERROR(forecast.ets($A32,$B$8:$B$95,$A$8:$A$95,4,1,1),"")</f>
        <v/>
      </c>
      <c r="G32" s="19" t="str">
        <f aca="false">IFERROR(F32-forecast.ets.confint($A32,$B$8:$B$95,$A$8:$A$95,0.95,4,1,1),"")</f>
        <v/>
      </c>
      <c r="H32" s="19" t="str">
        <f aca="false">IFERROR(F32+forecast.ets.confint($A32,$B$8:$B$95,$A$8:$A$95,0.95,4,1,1),"")</f>
        <v/>
      </c>
    </row>
    <row r="33" customFormat="false" ht="15" hidden="false" customHeight="false" outlineLevel="0" collapsed="false">
      <c r="A33" s="21" t="n">
        <v>41730</v>
      </c>
      <c r="B33" s="22" t="str">
        <f aca="false">IFERROR(haverdata(Codes!$D$5,$A33),"")</f>
        <v/>
      </c>
      <c r="C33" s="23" t="str">
        <f aca="false">IFERROR(B33/B32-1,"")</f>
        <v/>
      </c>
      <c r="D33" s="23" t="str">
        <f aca="false">IFERROR(B33/B29-1,"")</f>
        <v/>
      </c>
      <c r="E33" s="24" t="str">
        <f aca="false">IFERROR(IF(B33="",IFERROR(GROWTH($B$8:$B$95,$A$8:$A$95,$A33),TREND($B$8:$B$95,$A$8:$A$95,$A33)),""),"")</f>
        <v/>
      </c>
      <c r="F33" s="24" t="str">
        <f aca="false">IFERROR(forecast.ets($A33,$B$8:$B$95,$A$8:$A$95,4,1,1),"")</f>
        <v/>
      </c>
      <c r="G33" s="24" t="str">
        <f aca="false">IFERROR(F33-forecast.ets.confint($A33,$B$8:$B$95,$A$8:$A$95,0.95,4,1,1),"")</f>
        <v/>
      </c>
      <c r="H33" s="24" t="str">
        <f aca="false">IFERROR(F33+forecast.ets.confint($A33,$B$8:$B$95,$A$8:$A$95,0.95,4,1,1),"")</f>
        <v/>
      </c>
    </row>
    <row r="34" customFormat="false" ht="15" hidden="false" customHeight="false" outlineLevel="0" collapsed="false">
      <c r="A34" s="16" t="n">
        <v>41821</v>
      </c>
      <c r="B34" s="17" t="str">
        <f aca="false">IFERROR(haverdata(Codes!$D$5,$A34),"")</f>
        <v/>
      </c>
      <c r="C34" s="18" t="str">
        <f aca="false">IFERROR(B34/B33-1,"")</f>
        <v/>
      </c>
      <c r="D34" s="18" t="str">
        <f aca="false">IFERROR(B34/B30-1,"")</f>
        <v/>
      </c>
      <c r="E34" s="19" t="str">
        <f aca="false">IFERROR(IF(B34="",IFERROR(GROWTH($B$8:$B$95,$A$8:$A$95,$A34),TREND($B$8:$B$95,$A$8:$A$95,$A34)),""),"")</f>
        <v/>
      </c>
      <c r="F34" s="19" t="str">
        <f aca="false">IFERROR(forecast.ets($A34,$B$8:$B$95,$A$8:$A$95,4,1,1),"")</f>
        <v/>
      </c>
      <c r="G34" s="19" t="str">
        <f aca="false">IFERROR(F34-forecast.ets.confint($A34,$B$8:$B$95,$A$8:$A$95,0.95,4,1,1),"")</f>
        <v/>
      </c>
      <c r="H34" s="19" t="str">
        <f aca="false">IFERROR(F34+forecast.ets.confint($A34,$B$8:$B$95,$A$8:$A$95,0.95,4,1,1),"")</f>
        <v/>
      </c>
    </row>
    <row r="35" customFormat="false" ht="15" hidden="false" customHeight="false" outlineLevel="0" collapsed="false">
      <c r="A35" s="21" t="n">
        <v>41913</v>
      </c>
      <c r="B35" s="22" t="str">
        <f aca="false">IFERROR(haverdata(Codes!$D$5,$A35),"")</f>
        <v/>
      </c>
      <c r="C35" s="23" t="str">
        <f aca="false">IFERROR(B35/B34-1,"")</f>
        <v/>
      </c>
      <c r="D35" s="23" t="str">
        <f aca="false">IFERROR(B35/B31-1,"")</f>
        <v/>
      </c>
      <c r="E35" s="24" t="str">
        <f aca="false">IFERROR(IF(B35="",IFERROR(GROWTH($B$8:$B$95,$A$8:$A$95,$A35),TREND($B$8:$B$95,$A$8:$A$95,$A35)),""),"")</f>
        <v/>
      </c>
      <c r="F35" s="24" t="str">
        <f aca="false">IFERROR(forecast.ets($A35,$B$8:$B$95,$A$8:$A$95,4,1,1),"")</f>
        <v/>
      </c>
      <c r="G35" s="24" t="str">
        <f aca="false">IFERROR(F35-forecast.ets.confint($A35,$B$8:$B$95,$A$8:$A$95,0.95,4,1,1),"")</f>
        <v/>
      </c>
      <c r="H35" s="24" t="str">
        <f aca="false">IFERROR(F35+forecast.ets.confint($A35,$B$8:$B$95,$A$8:$A$95,0.95,4,1,1),"")</f>
        <v/>
      </c>
    </row>
    <row r="36" customFormat="false" ht="15" hidden="false" customHeight="false" outlineLevel="0" collapsed="false">
      <c r="A36" s="16" t="n">
        <v>42005</v>
      </c>
      <c r="B36" s="17" t="str">
        <f aca="false">IFERROR(haverdata(Codes!$D$5,$A36),"")</f>
        <v/>
      </c>
      <c r="C36" s="18" t="str">
        <f aca="false">IFERROR(B36/B35-1,"")</f>
        <v/>
      </c>
      <c r="D36" s="18" t="str">
        <f aca="false">IFERROR(B36/B32-1,"")</f>
        <v/>
      </c>
      <c r="E36" s="19" t="str">
        <f aca="false">IFERROR(IF(B36="",IFERROR(GROWTH($B$8:$B$95,$A$8:$A$95,$A36),TREND($B$8:$B$95,$A$8:$A$95,$A36)),""),"")</f>
        <v/>
      </c>
      <c r="F36" s="19" t="str">
        <f aca="false">IFERROR(forecast.ets($A36,$B$8:$B$95,$A$8:$A$95,4,1,1),"")</f>
        <v/>
      </c>
      <c r="G36" s="19" t="str">
        <f aca="false">IFERROR(F36-forecast.ets.confint($A36,$B$8:$B$95,$A$8:$A$95,0.95,4,1,1),"")</f>
        <v/>
      </c>
      <c r="H36" s="19" t="str">
        <f aca="false">IFERROR(F36+forecast.ets.confint($A36,$B$8:$B$95,$A$8:$A$95,0.95,4,1,1),"")</f>
        <v/>
      </c>
    </row>
    <row r="37" customFormat="false" ht="15" hidden="false" customHeight="false" outlineLevel="0" collapsed="false">
      <c r="A37" s="21" t="n">
        <v>42095</v>
      </c>
      <c r="B37" s="22" t="str">
        <f aca="false">IFERROR(haverdata(Codes!$D$5,$A37),"")</f>
        <v/>
      </c>
      <c r="C37" s="23" t="str">
        <f aca="false">IFERROR(B37/B36-1,"")</f>
        <v/>
      </c>
      <c r="D37" s="23" t="str">
        <f aca="false">IFERROR(B37/B33-1,"")</f>
        <v/>
      </c>
      <c r="E37" s="24" t="str">
        <f aca="false">IFERROR(IF(B37="",IFERROR(GROWTH($B$8:$B$95,$A$8:$A$95,$A37),TREND($B$8:$B$95,$A$8:$A$95,$A37)),""),"")</f>
        <v/>
      </c>
      <c r="F37" s="24" t="str">
        <f aca="false">IFERROR(forecast.ets($A37,$B$8:$B$95,$A$8:$A$95,4,1,1),"")</f>
        <v/>
      </c>
      <c r="G37" s="24" t="str">
        <f aca="false">IFERROR(F37-forecast.ets.confint($A37,$B$8:$B$95,$A$8:$A$95,0.95,4,1,1),"")</f>
        <v/>
      </c>
      <c r="H37" s="24" t="str">
        <f aca="false">IFERROR(F37+forecast.ets.confint($A37,$B$8:$B$95,$A$8:$A$95,0.95,4,1,1),"")</f>
        <v/>
      </c>
    </row>
    <row r="38" customFormat="false" ht="15" hidden="false" customHeight="false" outlineLevel="0" collapsed="false">
      <c r="A38" s="16" t="n">
        <v>42186</v>
      </c>
      <c r="B38" s="17" t="str">
        <f aca="false">IFERROR(haverdata(Codes!$D$5,$A38),"")</f>
        <v/>
      </c>
      <c r="C38" s="18" t="str">
        <f aca="false">IFERROR(B38/B37-1,"")</f>
        <v/>
      </c>
      <c r="D38" s="18" t="str">
        <f aca="false">IFERROR(B38/B34-1,"")</f>
        <v/>
      </c>
      <c r="E38" s="19" t="str">
        <f aca="false">IFERROR(IF(B38="",IFERROR(GROWTH($B$8:$B$95,$A$8:$A$95,$A38),TREND($B$8:$B$95,$A$8:$A$95,$A38)),""),"")</f>
        <v/>
      </c>
      <c r="F38" s="19" t="str">
        <f aca="false">IFERROR(forecast.ets($A38,$B$8:$B$95,$A$8:$A$95,4,1,1),"")</f>
        <v/>
      </c>
      <c r="G38" s="19" t="str">
        <f aca="false">IFERROR(F38-forecast.ets.confint($A38,$B$8:$B$95,$A$8:$A$95,0.95,4,1,1),"")</f>
        <v/>
      </c>
      <c r="H38" s="19" t="str">
        <f aca="false">IFERROR(F38+forecast.ets.confint($A38,$B$8:$B$95,$A$8:$A$95,0.95,4,1,1),"")</f>
        <v/>
      </c>
    </row>
    <row r="39" customFormat="false" ht="15" hidden="false" customHeight="false" outlineLevel="0" collapsed="false">
      <c r="A39" s="21" t="n">
        <v>42278</v>
      </c>
      <c r="B39" s="22" t="str">
        <f aca="false">IFERROR(haverdata(Codes!$D$5,$A39),"")</f>
        <v/>
      </c>
      <c r="C39" s="23" t="str">
        <f aca="false">IFERROR(B39/B38-1,"")</f>
        <v/>
      </c>
      <c r="D39" s="23" t="str">
        <f aca="false">IFERROR(B39/B35-1,"")</f>
        <v/>
      </c>
      <c r="E39" s="24" t="str">
        <f aca="false">IFERROR(IF(B39="",IFERROR(GROWTH($B$8:$B$95,$A$8:$A$95,$A39),TREND($B$8:$B$95,$A$8:$A$95,$A39)),""),"")</f>
        <v/>
      </c>
      <c r="F39" s="24" t="str">
        <f aca="false">IFERROR(forecast.ets($A39,$B$8:$B$95,$A$8:$A$95,4,1,1),"")</f>
        <v/>
      </c>
      <c r="G39" s="24" t="str">
        <f aca="false">IFERROR(F39-forecast.ets.confint($A39,$B$8:$B$95,$A$8:$A$95,0.95,4,1,1),"")</f>
        <v/>
      </c>
      <c r="H39" s="24" t="str">
        <f aca="false">IFERROR(F39+forecast.ets.confint($A39,$B$8:$B$95,$A$8:$A$95,0.95,4,1,1),"")</f>
        <v/>
      </c>
    </row>
    <row r="40" customFormat="false" ht="15" hidden="false" customHeight="false" outlineLevel="0" collapsed="false">
      <c r="A40" s="16" t="n">
        <v>42370</v>
      </c>
      <c r="B40" s="17" t="str">
        <f aca="false">IFERROR(haverdata(Codes!$D$5,$A40),"")</f>
        <v/>
      </c>
      <c r="C40" s="18" t="str">
        <f aca="false">IFERROR(B40/B39-1,"")</f>
        <v/>
      </c>
      <c r="D40" s="18" t="str">
        <f aca="false">IFERROR(B40/B36-1,"")</f>
        <v/>
      </c>
      <c r="E40" s="19" t="str">
        <f aca="false">IFERROR(IF(B40="",IFERROR(GROWTH($B$8:$B$95,$A$8:$A$95,$A40),TREND($B$8:$B$95,$A$8:$A$95,$A40)),""),"")</f>
        <v/>
      </c>
      <c r="F40" s="19" t="str">
        <f aca="false">IFERROR(forecast.ets($A40,$B$8:$B$95,$A$8:$A$95,4,1,1),"")</f>
        <v/>
      </c>
      <c r="G40" s="19" t="str">
        <f aca="false">IFERROR(F40-forecast.ets.confint($A40,$B$8:$B$95,$A$8:$A$95,0.95,4,1,1),"")</f>
        <v/>
      </c>
      <c r="H40" s="19" t="str">
        <f aca="false">IFERROR(F40+forecast.ets.confint($A40,$B$8:$B$95,$A$8:$A$95,0.95,4,1,1),"")</f>
        <v/>
      </c>
    </row>
    <row r="41" customFormat="false" ht="15" hidden="false" customHeight="false" outlineLevel="0" collapsed="false">
      <c r="A41" s="21" t="n">
        <v>42461</v>
      </c>
      <c r="B41" s="22" t="str">
        <f aca="false">IFERROR(haverdata(Codes!$D$5,$A41),"")</f>
        <v/>
      </c>
      <c r="C41" s="23" t="str">
        <f aca="false">IFERROR(B41/B40-1,"")</f>
        <v/>
      </c>
      <c r="D41" s="23" t="str">
        <f aca="false">IFERROR(B41/B37-1,"")</f>
        <v/>
      </c>
      <c r="E41" s="24" t="str">
        <f aca="false">IFERROR(IF(B41="",IFERROR(GROWTH($B$8:$B$95,$A$8:$A$95,$A41),TREND($B$8:$B$95,$A$8:$A$95,$A41)),""),"")</f>
        <v/>
      </c>
      <c r="F41" s="24" t="str">
        <f aca="false">IFERROR(forecast.ets($A41,$B$8:$B$95,$A$8:$A$95,4,1,1),"")</f>
        <v/>
      </c>
      <c r="G41" s="24" t="str">
        <f aca="false">IFERROR(F41-forecast.ets.confint($A41,$B$8:$B$95,$A$8:$A$95,0.95,4,1,1),"")</f>
        <v/>
      </c>
      <c r="H41" s="24" t="str">
        <f aca="false">IFERROR(F41+forecast.ets.confint($A41,$B$8:$B$95,$A$8:$A$95,0.95,4,1,1),"")</f>
        <v/>
      </c>
    </row>
    <row r="42" customFormat="false" ht="15" hidden="false" customHeight="false" outlineLevel="0" collapsed="false">
      <c r="A42" s="16" t="n">
        <v>42552</v>
      </c>
      <c r="B42" s="17" t="str">
        <f aca="false">IFERROR(haverdata(Codes!$D$5,$A42),"")</f>
        <v/>
      </c>
      <c r="C42" s="18" t="str">
        <f aca="false">IFERROR(B42/B41-1,"")</f>
        <v/>
      </c>
      <c r="D42" s="18" t="str">
        <f aca="false">IFERROR(B42/B38-1,"")</f>
        <v/>
      </c>
      <c r="E42" s="19" t="str">
        <f aca="false">IFERROR(IF(B42="",IFERROR(GROWTH($B$8:$B$95,$A$8:$A$95,$A42),TREND($B$8:$B$95,$A$8:$A$95,$A42)),""),"")</f>
        <v/>
      </c>
      <c r="F42" s="19" t="str">
        <f aca="false">IFERROR(forecast.ets($A42,$B$8:$B$95,$A$8:$A$95,4,1,1),"")</f>
        <v/>
      </c>
      <c r="G42" s="19" t="str">
        <f aca="false">IFERROR(F42-forecast.ets.confint($A42,$B$8:$B$95,$A$8:$A$95,0.95,4,1,1),"")</f>
        <v/>
      </c>
      <c r="H42" s="19" t="str">
        <f aca="false">IFERROR(F42+forecast.ets.confint($A42,$B$8:$B$95,$A$8:$A$95,0.95,4,1,1),"")</f>
        <v/>
      </c>
    </row>
    <row r="43" customFormat="false" ht="15" hidden="false" customHeight="false" outlineLevel="0" collapsed="false">
      <c r="A43" s="21" t="n">
        <v>42644</v>
      </c>
      <c r="B43" s="22" t="str">
        <f aca="false">IFERROR(haverdata(Codes!$D$5,$A43),"")</f>
        <v/>
      </c>
      <c r="C43" s="23" t="str">
        <f aca="false">IFERROR(B43/B42-1,"")</f>
        <v/>
      </c>
      <c r="D43" s="23" t="str">
        <f aca="false">IFERROR(B43/B39-1,"")</f>
        <v/>
      </c>
      <c r="E43" s="24" t="str">
        <f aca="false">IFERROR(IF(B43="",IFERROR(GROWTH($B$8:$B$95,$A$8:$A$95,$A43),TREND($B$8:$B$95,$A$8:$A$95,$A43)),""),"")</f>
        <v/>
      </c>
      <c r="F43" s="24" t="str">
        <f aca="false">IFERROR(forecast.ets($A43,$B$8:$B$95,$A$8:$A$95,4,1,1),"")</f>
        <v/>
      </c>
      <c r="G43" s="24" t="str">
        <f aca="false">IFERROR(F43-forecast.ets.confint($A43,$B$8:$B$95,$A$8:$A$95,0.95,4,1,1),"")</f>
        <v/>
      </c>
      <c r="H43" s="24" t="str">
        <f aca="false">IFERROR(F43+forecast.ets.confint($A43,$B$8:$B$95,$A$8:$A$95,0.95,4,1,1),"")</f>
        <v/>
      </c>
    </row>
    <row r="44" customFormat="false" ht="15" hidden="false" customHeight="false" outlineLevel="0" collapsed="false">
      <c r="A44" s="16" t="n">
        <v>42736</v>
      </c>
      <c r="B44" s="17" t="str">
        <f aca="false">IFERROR(haverdata(Codes!$D$5,$A44),"")</f>
        <v/>
      </c>
      <c r="C44" s="18" t="str">
        <f aca="false">IFERROR(B44/B43-1,"")</f>
        <v/>
      </c>
      <c r="D44" s="18" t="str">
        <f aca="false">IFERROR(B44/B40-1,"")</f>
        <v/>
      </c>
      <c r="E44" s="19" t="str">
        <f aca="false">IFERROR(IF(B44="",IFERROR(GROWTH($B$8:$B$95,$A$8:$A$95,$A44),TREND($B$8:$B$95,$A$8:$A$95,$A44)),""),"")</f>
        <v/>
      </c>
      <c r="F44" s="19" t="str">
        <f aca="false">IFERROR(forecast.ets($A44,$B$8:$B$95,$A$8:$A$95,4,1,1),"")</f>
        <v/>
      </c>
      <c r="G44" s="19" t="str">
        <f aca="false">IFERROR(F44-forecast.ets.confint($A44,$B$8:$B$95,$A$8:$A$95,0.95,4,1,1),"")</f>
        <v/>
      </c>
      <c r="H44" s="19" t="str">
        <f aca="false">IFERROR(F44+forecast.ets.confint($A44,$B$8:$B$95,$A$8:$A$95,0.95,4,1,1),"")</f>
        <v/>
      </c>
    </row>
    <row r="45" customFormat="false" ht="15" hidden="false" customHeight="false" outlineLevel="0" collapsed="false">
      <c r="A45" s="21" t="n">
        <v>42826</v>
      </c>
      <c r="B45" s="22" t="str">
        <f aca="false">IFERROR(haverdata(Codes!$D$5,$A45),"")</f>
        <v/>
      </c>
      <c r="C45" s="23" t="str">
        <f aca="false">IFERROR(B45/B44-1,"")</f>
        <v/>
      </c>
      <c r="D45" s="23" t="str">
        <f aca="false">IFERROR(B45/B41-1,"")</f>
        <v/>
      </c>
      <c r="E45" s="24" t="str">
        <f aca="false">IFERROR(IF(B45="",IFERROR(GROWTH($B$8:$B$95,$A$8:$A$95,$A45),TREND($B$8:$B$95,$A$8:$A$95,$A45)),""),"")</f>
        <v/>
      </c>
      <c r="F45" s="24" t="str">
        <f aca="false">IFERROR(forecast.ets($A45,$B$8:$B$95,$A$8:$A$95,4,1,1),"")</f>
        <v/>
      </c>
      <c r="G45" s="24" t="str">
        <f aca="false">IFERROR(F45-forecast.ets.confint($A45,$B$8:$B$95,$A$8:$A$95,0.95,4,1,1),"")</f>
        <v/>
      </c>
      <c r="H45" s="24" t="str">
        <f aca="false">IFERROR(F45+forecast.ets.confint($A45,$B$8:$B$95,$A$8:$A$95,0.95,4,1,1),"")</f>
        <v/>
      </c>
    </row>
    <row r="46" customFormat="false" ht="15" hidden="false" customHeight="false" outlineLevel="0" collapsed="false">
      <c r="A46" s="16" t="n">
        <v>42917</v>
      </c>
      <c r="B46" s="17" t="str">
        <f aca="false">IFERROR(haverdata(Codes!$D$5,$A46),"")</f>
        <v/>
      </c>
      <c r="C46" s="18" t="str">
        <f aca="false">IFERROR(B46/B45-1,"")</f>
        <v/>
      </c>
      <c r="D46" s="18" t="str">
        <f aca="false">IFERROR(B46/B42-1,"")</f>
        <v/>
      </c>
      <c r="E46" s="19" t="str">
        <f aca="false">IFERROR(IF(B46="",IFERROR(GROWTH($B$8:$B$95,$A$8:$A$95,$A46),TREND($B$8:$B$95,$A$8:$A$95,$A46)),""),"")</f>
        <v/>
      </c>
      <c r="F46" s="19" t="str">
        <f aca="false">IFERROR(forecast.ets($A46,$B$8:$B$95,$A$8:$A$95,4,1,1),"")</f>
        <v/>
      </c>
      <c r="G46" s="19" t="str">
        <f aca="false">IFERROR(F46-forecast.ets.confint($A46,$B$8:$B$95,$A$8:$A$95,0.95,4,1,1),"")</f>
        <v/>
      </c>
      <c r="H46" s="19" t="str">
        <f aca="false">IFERROR(F46+forecast.ets.confint($A46,$B$8:$B$95,$A$8:$A$95,0.95,4,1,1),"")</f>
        <v/>
      </c>
    </row>
    <row r="47" customFormat="false" ht="15" hidden="false" customHeight="false" outlineLevel="0" collapsed="false">
      <c r="A47" s="21" t="n">
        <v>43009</v>
      </c>
      <c r="B47" s="22" t="str">
        <f aca="false">IFERROR(haverdata(Codes!$D$5,$A47),"")</f>
        <v/>
      </c>
      <c r="C47" s="23" t="str">
        <f aca="false">IFERROR(B47/B46-1,"")</f>
        <v/>
      </c>
      <c r="D47" s="23" t="str">
        <f aca="false">IFERROR(B47/B43-1,"")</f>
        <v/>
      </c>
      <c r="E47" s="24" t="str">
        <f aca="false">IFERROR(IF(B47="",IFERROR(GROWTH($B$8:$B$95,$A$8:$A$95,$A47),TREND($B$8:$B$95,$A$8:$A$95,$A47)),""),"")</f>
        <v/>
      </c>
      <c r="F47" s="24" t="str">
        <f aca="false">IFERROR(forecast.ets($A47,$B$8:$B$95,$A$8:$A$95,4,1,1),"")</f>
        <v/>
      </c>
      <c r="G47" s="24" t="str">
        <f aca="false">IFERROR(F47-forecast.ets.confint($A47,$B$8:$B$95,$A$8:$A$95,0.95,4,1,1),"")</f>
        <v/>
      </c>
      <c r="H47" s="24" t="str">
        <f aca="false">IFERROR(F47+forecast.ets.confint($A47,$B$8:$B$95,$A$8:$A$95,0.95,4,1,1),"")</f>
        <v/>
      </c>
    </row>
    <row r="48" customFormat="false" ht="15" hidden="false" customHeight="false" outlineLevel="0" collapsed="false">
      <c r="A48" s="16" t="n">
        <v>43101</v>
      </c>
      <c r="B48" s="17" t="str">
        <f aca="false">IFERROR(haverdata(Codes!$D$5,$A48),"")</f>
        <v/>
      </c>
      <c r="C48" s="18" t="str">
        <f aca="false">IFERROR(B48/B47-1,"")</f>
        <v/>
      </c>
      <c r="D48" s="18" t="str">
        <f aca="false">IFERROR(B48/B44-1,"")</f>
        <v/>
      </c>
      <c r="E48" s="19" t="str">
        <f aca="false">IFERROR(IF(B48="",IFERROR(GROWTH($B$8:$B$95,$A$8:$A$95,$A48),TREND($B$8:$B$95,$A$8:$A$95,$A48)),""),"")</f>
        <v/>
      </c>
      <c r="F48" s="19" t="str">
        <f aca="false">IFERROR(forecast.ets($A48,$B$8:$B$95,$A$8:$A$95,4,1,1),"")</f>
        <v/>
      </c>
      <c r="G48" s="19" t="str">
        <f aca="false">IFERROR(F48-forecast.ets.confint($A48,$B$8:$B$95,$A$8:$A$95,0.95,4,1,1),"")</f>
        <v/>
      </c>
      <c r="H48" s="19" t="str">
        <f aca="false">IFERROR(F48+forecast.ets.confint($A48,$B$8:$B$95,$A$8:$A$95,0.95,4,1,1),"")</f>
        <v/>
      </c>
    </row>
    <row r="49" customFormat="false" ht="15" hidden="false" customHeight="false" outlineLevel="0" collapsed="false">
      <c r="A49" s="21" t="n">
        <v>43191</v>
      </c>
      <c r="B49" s="22" t="str">
        <f aca="false">IFERROR(haverdata(Codes!$D$5,$A49),"")</f>
        <v/>
      </c>
      <c r="C49" s="23" t="str">
        <f aca="false">IFERROR(B49/B48-1,"")</f>
        <v/>
      </c>
      <c r="D49" s="23" t="str">
        <f aca="false">IFERROR(B49/B45-1,"")</f>
        <v/>
      </c>
      <c r="E49" s="24" t="str">
        <f aca="false">IFERROR(IF(B49="",IFERROR(GROWTH($B$8:$B$95,$A$8:$A$95,$A49),TREND($B$8:$B$95,$A$8:$A$95,$A49)),""),"")</f>
        <v/>
      </c>
      <c r="F49" s="24" t="str">
        <f aca="false">IFERROR(forecast.ets($A49,$B$8:$B$95,$A$8:$A$95,4,1,1),"")</f>
        <v/>
      </c>
      <c r="G49" s="24" t="str">
        <f aca="false">IFERROR(F49-forecast.ets.confint($A49,$B$8:$B$95,$A$8:$A$95,0.95,4,1,1),"")</f>
        <v/>
      </c>
      <c r="H49" s="24" t="str">
        <f aca="false">IFERROR(F49+forecast.ets.confint($A49,$B$8:$B$95,$A$8:$A$95,0.95,4,1,1),"")</f>
        <v/>
      </c>
    </row>
    <row r="50" customFormat="false" ht="15" hidden="false" customHeight="false" outlineLevel="0" collapsed="false">
      <c r="A50" s="16" t="n">
        <v>43282</v>
      </c>
      <c r="B50" s="17" t="str">
        <f aca="false">IFERROR(haverdata(Codes!$D$5,$A50),"")</f>
        <v/>
      </c>
      <c r="C50" s="18" t="str">
        <f aca="false">IFERROR(B50/B49-1,"")</f>
        <v/>
      </c>
      <c r="D50" s="18" t="str">
        <f aca="false">IFERROR(B50/B46-1,"")</f>
        <v/>
      </c>
      <c r="E50" s="19" t="str">
        <f aca="false">IFERROR(IF(B50="",IFERROR(GROWTH($B$8:$B$95,$A$8:$A$95,$A50),TREND($B$8:$B$95,$A$8:$A$95,$A50)),""),"")</f>
        <v/>
      </c>
      <c r="F50" s="19" t="str">
        <f aca="false">IFERROR(forecast.ets($A50,$B$8:$B$95,$A$8:$A$95,4,1,1),"")</f>
        <v/>
      </c>
      <c r="G50" s="19" t="str">
        <f aca="false">IFERROR(F50-forecast.ets.confint($A50,$B$8:$B$95,$A$8:$A$95,0.95,4,1,1),"")</f>
        <v/>
      </c>
      <c r="H50" s="19" t="str">
        <f aca="false">IFERROR(F50+forecast.ets.confint($A50,$B$8:$B$95,$A$8:$A$95,0.95,4,1,1),"")</f>
        <v/>
      </c>
    </row>
    <row r="51" customFormat="false" ht="15" hidden="false" customHeight="false" outlineLevel="0" collapsed="false">
      <c r="A51" s="21" t="n">
        <v>43374</v>
      </c>
      <c r="B51" s="22" t="str">
        <f aca="false">IFERROR(haverdata(Codes!$D$5,$A51),"")</f>
        <v/>
      </c>
      <c r="C51" s="23" t="str">
        <f aca="false">IFERROR(B51/B50-1,"")</f>
        <v/>
      </c>
      <c r="D51" s="23" t="str">
        <f aca="false">IFERROR(B51/B47-1,"")</f>
        <v/>
      </c>
      <c r="E51" s="24" t="str">
        <f aca="false">IFERROR(IF(B51="",IFERROR(GROWTH($B$8:$B$95,$A$8:$A$95,$A51),TREND($B$8:$B$95,$A$8:$A$95,$A51)),""),"")</f>
        <v/>
      </c>
      <c r="F51" s="24" t="str">
        <f aca="false">IFERROR(forecast.ets($A51,$B$8:$B$95,$A$8:$A$95,4,1,1),"")</f>
        <v/>
      </c>
      <c r="G51" s="24" t="str">
        <f aca="false">IFERROR(F51-forecast.ets.confint($A51,$B$8:$B$95,$A$8:$A$95,0.95,4,1,1),"")</f>
        <v/>
      </c>
      <c r="H51" s="24" t="str">
        <f aca="false">IFERROR(F51+forecast.ets.confint($A51,$B$8:$B$95,$A$8:$A$95,0.95,4,1,1),"")</f>
        <v/>
      </c>
    </row>
    <row r="52" customFormat="false" ht="15" hidden="false" customHeight="false" outlineLevel="0" collapsed="false">
      <c r="A52" s="16" t="n">
        <v>43466</v>
      </c>
      <c r="B52" s="17" t="str">
        <f aca="false">IFERROR(haverdata(Codes!$D$5,$A52),"")</f>
        <v/>
      </c>
      <c r="C52" s="18" t="str">
        <f aca="false">IFERROR(B52/B51-1,"")</f>
        <v/>
      </c>
      <c r="D52" s="18" t="str">
        <f aca="false">IFERROR(B52/B48-1,"")</f>
        <v/>
      </c>
      <c r="E52" s="19" t="str">
        <f aca="false">IFERROR(IF(B52="",IFERROR(GROWTH($B$8:$B$95,$A$8:$A$95,$A52),TREND($B$8:$B$95,$A$8:$A$95,$A52)),""),"")</f>
        <v/>
      </c>
      <c r="F52" s="19" t="str">
        <f aca="false">IFERROR(forecast.ets($A52,$B$8:$B$95,$A$8:$A$95,4,1,1),"")</f>
        <v/>
      </c>
      <c r="G52" s="19" t="str">
        <f aca="false">IFERROR(F52-forecast.ets.confint($A52,$B$8:$B$95,$A$8:$A$95,0.95,4,1,1),"")</f>
        <v/>
      </c>
      <c r="H52" s="19" t="str">
        <f aca="false">IFERROR(F52+forecast.ets.confint($A52,$B$8:$B$95,$A$8:$A$95,0.95,4,1,1),"")</f>
        <v/>
      </c>
    </row>
    <row r="53" customFormat="false" ht="15" hidden="false" customHeight="false" outlineLevel="0" collapsed="false">
      <c r="A53" s="21" t="n">
        <v>43556</v>
      </c>
      <c r="B53" s="22" t="str">
        <f aca="false">IFERROR(haverdata(Codes!$D$5,$A53),"")</f>
        <v/>
      </c>
      <c r="C53" s="23" t="str">
        <f aca="false">IFERROR(B53/B52-1,"")</f>
        <v/>
      </c>
      <c r="D53" s="23" t="str">
        <f aca="false">IFERROR(B53/B49-1,"")</f>
        <v/>
      </c>
      <c r="E53" s="24" t="str">
        <f aca="false">IFERROR(IF(B53="",IFERROR(GROWTH($B$8:$B$95,$A$8:$A$95,$A53),TREND($B$8:$B$95,$A$8:$A$95,$A53)),""),"")</f>
        <v/>
      </c>
      <c r="F53" s="24" t="str">
        <f aca="false">IFERROR(forecast.ets($A53,$B$8:$B$95,$A$8:$A$95,4,1,1),"")</f>
        <v/>
      </c>
      <c r="G53" s="24" t="str">
        <f aca="false">IFERROR(F53-forecast.ets.confint($A53,$B$8:$B$95,$A$8:$A$95,0.95,4,1,1),"")</f>
        <v/>
      </c>
      <c r="H53" s="24" t="str">
        <f aca="false">IFERROR(F53+forecast.ets.confint($A53,$B$8:$B$95,$A$8:$A$95,0.95,4,1,1),"")</f>
        <v/>
      </c>
    </row>
    <row r="54" customFormat="false" ht="15" hidden="false" customHeight="false" outlineLevel="0" collapsed="false">
      <c r="A54" s="16" t="n">
        <v>43647</v>
      </c>
      <c r="B54" s="17" t="str">
        <f aca="false">IFERROR(haverdata(Codes!$D$5,$A54),"")</f>
        <v/>
      </c>
      <c r="C54" s="18" t="str">
        <f aca="false">IFERROR(B54/B53-1,"")</f>
        <v/>
      </c>
      <c r="D54" s="18" t="str">
        <f aca="false">IFERROR(B54/B50-1,"")</f>
        <v/>
      </c>
      <c r="E54" s="19" t="str">
        <f aca="false">IFERROR(IF(B54="",IFERROR(GROWTH($B$8:$B$95,$A$8:$A$95,$A54),TREND($B$8:$B$95,$A$8:$A$95,$A54)),""),"")</f>
        <v/>
      </c>
      <c r="F54" s="19" t="str">
        <f aca="false">IFERROR(forecast.ets($A54,$B$8:$B$95,$A$8:$A$95,4,1,1),"")</f>
        <v/>
      </c>
      <c r="G54" s="19" t="str">
        <f aca="false">IFERROR(F54-forecast.ets.confint($A54,$B$8:$B$95,$A$8:$A$95,0.95,4,1,1),"")</f>
        <v/>
      </c>
      <c r="H54" s="19" t="str">
        <f aca="false">IFERROR(F54+forecast.ets.confint($A54,$B$8:$B$95,$A$8:$A$95,0.95,4,1,1),"")</f>
        <v/>
      </c>
    </row>
    <row r="55" customFormat="false" ht="15" hidden="false" customHeight="false" outlineLevel="0" collapsed="false">
      <c r="A55" s="21" t="n">
        <v>43739</v>
      </c>
      <c r="B55" s="22" t="str">
        <f aca="false">IFERROR(haverdata(Codes!$D$5,$A55),"")</f>
        <v/>
      </c>
      <c r="C55" s="23" t="str">
        <f aca="false">IFERROR(B55/B54-1,"")</f>
        <v/>
      </c>
      <c r="D55" s="23" t="str">
        <f aca="false">IFERROR(B55/B51-1,"")</f>
        <v/>
      </c>
      <c r="E55" s="24" t="str">
        <f aca="false">IFERROR(IF(B55="",IFERROR(GROWTH($B$8:$B$95,$A$8:$A$95,$A55),TREND($B$8:$B$95,$A$8:$A$95,$A55)),""),"")</f>
        <v/>
      </c>
      <c r="F55" s="24" t="str">
        <f aca="false">IFERROR(forecast.ets($A55,$B$8:$B$95,$A$8:$A$95,4,1,1),"")</f>
        <v/>
      </c>
      <c r="G55" s="24" t="str">
        <f aca="false">IFERROR(F55-forecast.ets.confint($A55,$B$8:$B$95,$A$8:$A$95,0.95,4,1,1),"")</f>
        <v/>
      </c>
      <c r="H55" s="24" t="str">
        <f aca="false">IFERROR(F55+forecast.ets.confint($A55,$B$8:$B$95,$A$8:$A$95,0.95,4,1,1),"")</f>
        <v/>
      </c>
    </row>
    <row r="56" customFormat="false" ht="15" hidden="false" customHeight="false" outlineLevel="0" collapsed="false">
      <c r="A56" s="16" t="n">
        <v>43831</v>
      </c>
      <c r="B56" s="17" t="str">
        <f aca="false">IFERROR(haverdata(Codes!$D$5,$A56),"")</f>
        <v/>
      </c>
      <c r="C56" s="18" t="str">
        <f aca="false">IFERROR(B56/B55-1,"")</f>
        <v/>
      </c>
      <c r="D56" s="18" t="str">
        <f aca="false">IFERROR(B56/B52-1,"")</f>
        <v/>
      </c>
      <c r="E56" s="19" t="str">
        <f aca="false">IFERROR(IF(B56="",IFERROR(GROWTH($B$8:$B$95,$A$8:$A$95,$A56),TREND($B$8:$B$95,$A$8:$A$95,$A56)),""),"")</f>
        <v/>
      </c>
      <c r="F56" s="19" t="str">
        <f aca="false">IFERROR(forecast.ets($A56,$B$8:$B$95,$A$8:$A$95,4,1,1),"")</f>
        <v/>
      </c>
      <c r="G56" s="19" t="str">
        <f aca="false">IFERROR(F56-forecast.ets.confint($A56,$B$8:$B$95,$A$8:$A$95,0.95,4,1,1),"")</f>
        <v/>
      </c>
      <c r="H56" s="19" t="str">
        <f aca="false">IFERROR(F56+forecast.ets.confint($A56,$B$8:$B$95,$A$8:$A$95,0.95,4,1,1),"")</f>
        <v/>
      </c>
    </row>
    <row r="57" customFormat="false" ht="15" hidden="false" customHeight="false" outlineLevel="0" collapsed="false">
      <c r="A57" s="21" t="n">
        <v>43922</v>
      </c>
      <c r="B57" s="22" t="str">
        <f aca="false">IFERROR(haverdata(Codes!$D$5,$A57),"")</f>
        <v/>
      </c>
      <c r="C57" s="23" t="str">
        <f aca="false">IFERROR(B57/B56-1,"")</f>
        <v/>
      </c>
      <c r="D57" s="23" t="str">
        <f aca="false">IFERROR(B57/B53-1,"")</f>
        <v/>
      </c>
      <c r="E57" s="24" t="str">
        <f aca="false">IFERROR(IF(B57="",IFERROR(GROWTH($B$8:$B$95,$A$8:$A$95,$A57),TREND($B$8:$B$95,$A$8:$A$95,$A57)),""),"")</f>
        <v/>
      </c>
      <c r="F57" s="24" t="str">
        <f aca="false">IFERROR(forecast.ets($A57,$B$8:$B$95,$A$8:$A$95,4,1,1),"")</f>
        <v/>
      </c>
      <c r="G57" s="24" t="str">
        <f aca="false">IFERROR(F57-forecast.ets.confint($A57,$B$8:$B$95,$A$8:$A$95,0.95,4,1,1),"")</f>
        <v/>
      </c>
      <c r="H57" s="24" t="str">
        <f aca="false">IFERROR(F57+forecast.ets.confint($A57,$B$8:$B$95,$A$8:$A$95,0.95,4,1,1),"")</f>
        <v/>
      </c>
    </row>
    <row r="58" customFormat="false" ht="15" hidden="false" customHeight="false" outlineLevel="0" collapsed="false">
      <c r="A58" s="16" t="n">
        <v>44013</v>
      </c>
      <c r="B58" s="17" t="str">
        <f aca="false">IFERROR(haverdata(Codes!$D$5,$A58),"")</f>
        <v/>
      </c>
      <c r="C58" s="18" t="str">
        <f aca="false">IFERROR(B58/B57-1,"")</f>
        <v/>
      </c>
      <c r="D58" s="18" t="str">
        <f aca="false">IFERROR(B58/B54-1,"")</f>
        <v/>
      </c>
      <c r="E58" s="19" t="str">
        <f aca="false">IFERROR(IF(B58="",IFERROR(GROWTH($B$8:$B$95,$A$8:$A$95,$A58),TREND($B$8:$B$95,$A$8:$A$95,$A58)),""),"")</f>
        <v/>
      </c>
      <c r="F58" s="19" t="str">
        <f aca="false">IFERROR(forecast.ets($A58,$B$8:$B$95,$A$8:$A$95,4,1,1),"")</f>
        <v/>
      </c>
      <c r="G58" s="19" t="str">
        <f aca="false">IFERROR(F58-forecast.ets.confint($A58,$B$8:$B$95,$A$8:$A$95,0.95,4,1,1),"")</f>
        <v/>
      </c>
      <c r="H58" s="19" t="str">
        <f aca="false">IFERROR(F58+forecast.ets.confint($A58,$B$8:$B$95,$A$8:$A$95,0.95,4,1,1),"")</f>
        <v/>
      </c>
    </row>
    <row r="59" customFormat="false" ht="15" hidden="false" customHeight="false" outlineLevel="0" collapsed="false">
      <c r="A59" s="21" t="n">
        <v>44105</v>
      </c>
      <c r="B59" s="22" t="str">
        <f aca="false">IFERROR(haverdata(Codes!$D$5,$A59),"")</f>
        <v/>
      </c>
      <c r="C59" s="23" t="str">
        <f aca="false">IFERROR(B59/B58-1,"")</f>
        <v/>
      </c>
      <c r="D59" s="23" t="str">
        <f aca="false">IFERROR(B59/B55-1,"")</f>
        <v/>
      </c>
      <c r="E59" s="24" t="str">
        <f aca="false">IFERROR(IF(B59="",IFERROR(GROWTH($B$8:$B$95,$A$8:$A$95,$A59),TREND($B$8:$B$95,$A$8:$A$95,$A59)),""),"")</f>
        <v/>
      </c>
      <c r="F59" s="24" t="str">
        <f aca="false">IFERROR(forecast.ets($A59,$B$8:$B$95,$A$8:$A$95,4,1,1),"")</f>
        <v/>
      </c>
      <c r="G59" s="24" t="str">
        <f aca="false">IFERROR(F59-forecast.ets.confint($A59,$B$8:$B$95,$A$8:$A$95,0.95,4,1,1),"")</f>
        <v/>
      </c>
      <c r="H59" s="24" t="str">
        <f aca="false">IFERROR(F59+forecast.ets.confint($A59,$B$8:$B$95,$A$8:$A$95,0.95,4,1,1),"")</f>
        <v/>
      </c>
    </row>
    <row r="60" customFormat="false" ht="15" hidden="false" customHeight="false" outlineLevel="0" collapsed="false">
      <c r="A60" s="16" t="n">
        <v>44197</v>
      </c>
      <c r="B60" s="17" t="str">
        <f aca="false">IFERROR(haverdata(Codes!$D$5,$A60),"")</f>
        <v/>
      </c>
      <c r="C60" s="18" t="str">
        <f aca="false">IFERROR(B60/B59-1,"")</f>
        <v/>
      </c>
      <c r="D60" s="18" t="str">
        <f aca="false">IFERROR(B60/B56-1,"")</f>
        <v/>
      </c>
      <c r="E60" s="19" t="str">
        <f aca="false">IFERROR(IF(B60="",IFERROR(GROWTH($B$8:$B$95,$A$8:$A$95,$A60),TREND($B$8:$B$95,$A$8:$A$95,$A60)),""),"")</f>
        <v/>
      </c>
      <c r="F60" s="19" t="str">
        <f aca="false">IFERROR(forecast.ets($A60,$B$8:$B$95,$A$8:$A$95,4,1,1),"")</f>
        <v/>
      </c>
      <c r="G60" s="19" t="str">
        <f aca="false">IFERROR(F60-forecast.ets.confint($A60,$B$8:$B$95,$A$8:$A$95,0.95,4,1,1),"")</f>
        <v/>
      </c>
      <c r="H60" s="19" t="str">
        <f aca="false">IFERROR(F60+forecast.ets.confint($A60,$B$8:$B$95,$A$8:$A$95,0.95,4,1,1),"")</f>
        <v/>
      </c>
    </row>
    <row r="61" customFormat="false" ht="15" hidden="false" customHeight="false" outlineLevel="0" collapsed="false">
      <c r="A61" s="21" t="n">
        <v>44287</v>
      </c>
      <c r="B61" s="22" t="str">
        <f aca="false">IFERROR(haverdata(Codes!$D$5,$A61),"")</f>
        <v/>
      </c>
      <c r="C61" s="23" t="str">
        <f aca="false">IFERROR(B61/B60-1,"")</f>
        <v/>
      </c>
      <c r="D61" s="23" t="str">
        <f aca="false">IFERROR(B61/B57-1,"")</f>
        <v/>
      </c>
      <c r="E61" s="24" t="str">
        <f aca="false">IFERROR(IF(B61="",IFERROR(GROWTH($B$8:$B$95,$A$8:$A$95,$A61),TREND($B$8:$B$95,$A$8:$A$95,$A61)),""),"")</f>
        <v/>
      </c>
      <c r="F61" s="24" t="str">
        <f aca="false">IFERROR(forecast.ets($A61,$B$8:$B$95,$A$8:$A$95,4,1,1),"")</f>
        <v/>
      </c>
      <c r="G61" s="24" t="str">
        <f aca="false">IFERROR(F61-forecast.ets.confint($A61,$B$8:$B$95,$A$8:$A$95,0.95,4,1,1),"")</f>
        <v/>
      </c>
      <c r="H61" s="24" t="str">
        <f aca="false">IFERROR(F61+forecast.ets.confint($A61,$B$8:$B$95,$A$8:$A$95,0.95,4,1,1),"")</f>
        <v/>
      </c>
    </row>
    <row r="62" customFormat="false" ht="15" hidden="false" customHeight="false" outlineLevel="0" collapsed="false">
      <c r="A62" s="16" t="n">
        <v>44378</v>
      </c>
      <c r="B62" s="17" t="str">
        <f aca="false">IFERROR(haverdata(Codes!$D$5,$A62),"")</f>
        <v/>
      </c>
      <c r="C62" s="18" t="str">
        <f aca="false">IFERROR(B62/B61-1,"")</f>
        <v/>
      </c>
      <c r="D62" s="18" t="str">
        <f aca="false">IFERROR(B62/B58-1,"")</f>
        <v/>
      </c>
      <c r="E62" s="19" t="str">
        <f aca="false">IFERROR(IF(B62="",IFERROR(GROWTH($B$8:$B$95,$A$8:$A$95,$A62),TREND($B$8:$B$95,$A$8:$A$95,$A62)),""),"")</f>
        <v/>
      </c>
      <c r="F62" s="19" t="str">
        <f aca="false">IFERROR(forecast.ets($A62,$B$8:$B$95,$A$8:$A$95,4,1,1),"")</f>
        <v/>
      </c>
      <c r="G62" s="19" t="str">
        <f aca="false">IFERROR(F62-forecast.ets.confint($A62,$B$8:$B$95,$A$8:$A$95,0.95,4,1,1),"")</f>
        <v/>
      </c>
      <c r="H62" s="19" t="str">
        <f aca="false">IFERROR(F62+forecast.ets.confint($A62,$B$8:$B$95,$A$8:$A$95,0.95,4,1,1),"")</f>
        <v/>
      </c>
    </row>
    <row r="63" customFormat="false" ht="15" hidden="false" customHeight="false" outlineLevel="0" collapsed="false">
      <c r="A63" s="21" t="n">
        <v>44470</v>
      </c>
      <c r="B63" s="22" t="str">
        <f aca="false">IFERROR(haverdata(Codes!$D$5,$A63),"")</f>
        <v/>
      </c>
      <c r="C63" s="23" t="str">
        <f aca="false">IFERROR(B63/B62-1,"")</f>
        <v/>
      </c>
      <c r="D63" s="23" t="str">
        <f aca="false">IFERROR(B63/B59-1,"")</f>
        <v/>
      </c>
      <c r="E63" s="24" t="str">
        <f aca="false">IFERROR(IF(B63="",IFERROR(GROWTH($B$8:$B$95,$A$8:$A$95,$A63),TREND($B$8:$B$95,$A$8:$A$95,$A63)),""),"")</f>
        <v/>
      </c>
      <c r="F63" s="24" t="str">
        <f aca="false">IFERROR(forecast.ets($A63,$B$8:$B$95,$A$8:$A$95,4,1,1),"")</f>
        <v/>
      </c>
      <c r="G63" s="24" t="str">
        <f aca="false">IFERROR(F63-forecast.ets.confint($A63,$B$8:$B$95,$A$8:$A$95,0.95,4,1,1),"")</f>
        <v/>
      </c>
      <c r="H63" s="24" t="str">
        <f aca="false">IFERROR(F63+forecast.ets.confint($A63,$B$8:$B$95,$A$8:$A$95,0.95,4,1,1),"")</f>
        <v/>
      </c>
    </row>
    <row r="64" customFormat="false" ht="15" hidden="false" customHeight="false" outlineLevel="0" collapsed="false">
      <c r="A64" s="16" t="n">
        <v>44562</v>
      </c>
      <c r="B64" s="17" t="str">
        <f aca="false">IFERROR(haverdata(Codes!$D$5,$A64),"")</f>
        <v/>
      </c>
      <c r="C64" s="18" t="str">
        <f aca="false">IFERROR(B64/B63-1,"")</f>
        <v/>
      </c>
      <c r="D64" s="18" t="str">
        <f aca="false">IFERROR(B64/B60-1,"")</f>
        <v/>
      </c>
      <c r="E64" s="19" t="str">
        <f aca="false">IFERROR(IF(B64="",IFERROR(GROWTH($B$8:$B$95,$A$8:$A$95,$A64),TREND($B$8:$B$95,$A$8:$A$95,$A64)),""),"")</f>
        <v/>
      </c>
      <c r="F64" s="19" t="str">
        <f aca="false">IFERROR(forecast.ets($A64,$B$8:$B$95,$A$8:$A$95,4,1,1),"")</f>
        <v/>
      </c>
      <c r="G64" s="19" t="str">
        <f aca="false">IFERROR(F64-forecast.ets.confint($A64,$B$8:$B$95,$A$8:$A$95,0.95,4,1,1),"")</f>
        <v/>
      </c>
      <c r="H64" s="19" t="str">
        <f aca="false">IFERROR(F64+forecast.ets.confint($A64,$B$8:$B$95,$A$8:$A$95,0.95,4,1,1),"")</f>
        <v/>
      </c>
    </row>
    <row r="65" customFormat="false" ht="15" hidden="false" customHeight="false" outlineLevel="0" collapsed="false">
      <c r="A65" s="21" t="n">
        <v>44652</v>
      </c>
      <c r="B65" s="22" t="str">
        <f aca="false">IFERROR(haverdata(Codes!$D$5,$A65),"")</f>
        <v/>
      </c>
      <c r="C65" s="23" t="str">
        <f aca="false">IFERROR(B65/B64-1,"")</f>
        <v/>
      </c>
      <c r="D65" s="23" t="str">
        <f aca="false">IFERROR(B65/B61-1,"")</f>
        <v/>
      </c>
      <c r="E65" s="24" t="str">
        <f aca="false">IFERROR(IF(B65="",IFERROR(GROWTH($B$8:$B$95,$A$8:$A$95,$A65),TREND($B$8:$B$95,$A$8:$A$95,$A65)),""),"")</f>
        <v/>
      </c>
      <c r="F65" s="24" t="str">
        <f aca="false">IFERROR(forecast.ets($A65,$B$8:$B$95,$A$8:$A$95,4,1,1),"")</f>
        <v/>
      </c>
      <c r="G65" s="24" t="str">
        <f aca="false">IFERROR(F65-forecast.ets.confint($A65,$B$8:$B$95,$A$8:$A$95,0.95,4,1,1),"")</f>
        <v/>
      </c>
      <c r="H65" s="24" t="str">
        <f aca="false">IFERROR(F65+forecast.ets.confint($A65,$B$8:$B$95,$A$8:$A$95,0.95,4,1,1),"")</f>
        <v/>
      </c>
    </row>
    <row r="66" customFormat="false" ht="15" hidden="false" customHeight="false" outlineLevel="0" collapsed="false">
      <c r="A66" s="16" t="n">
        <v>44743</v>
      </c>
      <c r="B66" s="17" t="str">
        <f aca="false">IFERROR(haverdata(Codes!$D$5,$A66),"")</f>
        <v/>
      </c>
      <c r="C66" s="18" t="str">
        <f aca="false">IFERROR(B66/B65-1,"")</f>
        <v/>
      </c>
      <c r="D66" s="18" t="str">
        <f aca="false">IFERROR(B66/B62-1,"")</f>
        <v/>
      </c>
      <c r="E66" s="19" t="str">
        <f aca="false">IFERROR(IF(B66="",IFERROR(GROWTH($B$8:$B$95,$A$8:$A$95,$A66),TREND($B$8:$B$95,$A$8:$A$95,$A66)),""),"")</f>
        <v/>
      </c>
      <c r="F66" s="19" t="str">
        <f aca="false">IFERROR(forecast.ets($A66,$B$8:$B$95,$A$8:$A$95,4,1,1),"")</f>
        <v/>
      </c>
      <c r="G66" s="19" t="str">
        <f aca="false">IFERROR(F66-forecast.ets.confint($A66,$B$8:$B$95,$A$8:$A$95,0.95,4,1,1),"")</f>
        <v/>
      </c>
      <c r="H66" s="19" t="str">
        <f aca="false">IFERROR(F66+forecast.ets.confint($A66,$B$8:$B$95,$A$8:$A$95,0.95,4,1,1),"")</f>
        <v/>
      </c>
    </row>
    <row r="67" customFormat="false" ht="15" hidden="false" customHeight="false" outlineLevel="0" collapsed="false">
      <c r="A67" s="21" t="n">
        <v>44835</v>
      </c>
      <c r="B67" s="22" t="str">
        <f aca="false">IFERROR(haverdata(Codes!$D$5,$A67),"")</f>
        <v/>
      </c>
      <c r="C67" s="23" t="str">
        <f aca="false">IFERROR(B67/B66-1,"")</f>
        <v/>
      </c>
      <c r="D67" s="23" t="str">
        <f aca="false">IFERROR(B67/B63-1,"")</f>
        <v/>
      </c>
      <c r="E67" s="24" t="str">
        <f aca="false">IFERROR(IF(B67="",IFERROR(GROWTH($B$8:$B$95,$A$8:$A$95,$A67),TREND($B$8:$B$95,$A$8:$A$95,$A67)),""),"")</f>
        <v/>
      </c>
      <c r="F67" s="24" t="str">
        <f aca="false">IFERROR(forecast.ets($A67,$B$8:$B$95,$A$8:$A$95,4,1,1),"")</f>
        <v/>
      </c>
      <c r="G67" s="24" t="str">
        <f aca="false">IFERROR(F67-forecast.ets.confint($A67,$B$8:$B$95,$A$8:$A$95,0.95,4,1,1),"")</f>
        <v/>
      </c>
      <c r="H67" s="24" t="str">
        <f aca="false">IFERROR(F67+forecast.ets.confint($A67,$B$8:$B$95,$A$8:$A$95,0.95,4,1,1),"")</f>
        <v/>
      </c>
    </row>
    <row r="68" customFormat="false" ht="15" hidden="false" customHeight="false" outlineLevel="0" collapsed="false">
      <c r="A68" s="16" t="n">
        <v>44927</v>
      </c>
      <c r="B68" s="17" t="str">
        <f aca="false">IFERROR(haverdata(Codes!$D$5,$A68),"")</f>
        <v/>
      </c>
      <c r="C68" s="18" t="str">
        <f aca="false">IFERROR(B68/B67-1,"")</f>
        <v/>
      </c>
      <c r="D68" s="18" t="str">
        <f aca="false">IFERROR(B68/B64-1,"")</f>
        <v/>
      </c>
      <c r="E68" s="19" t="str">
        <f aca="false">IFERROR(IF(B68="",IFERROR(GROWTH($B$8:$B$95,$A$8:$A$95,$A68),TREND($B$8:$B$95,$A$8:$A$95,$A68)),""),"")</f>
        <v/>
      </c>
      <c r="F68" s="19" t="str">
        <f aca="false">IFERROR(forecast.ets($A68,$B$8:$B$95,$A$8:$A$95,4,1,1),"")</f>
        <v/>
      </c>
      <c r="G68" s="19" t="str">
        <f aca="false">IFERROR(F68-forecast.ets.confint($A68,$B$8:$B$95,$A$8:$A$95,0.95,4,1,1),"")</f>
        <v/>
      </c>
      <c r="H68" s="19" t="str">
        <f aca="false">IFERROR(F68+forecast.ets.confint($A68,$B$8:$B$95,$A$8:$A$95,0.95,4,1,1),"")</f>
        <v/>
      </c>
    </row>
    <row r="69" customFormat="false" ht="15" hidden="false" customHeight="false" outlineLevel="0" collapsed="false">
      <c r="A69" s="21" t="n">
        <v>45017</v>
      </c>
      <c r="B69" s="22" t="str">
        <f aca="false">IFERROR(haverdata(Codes!$D$5,$A69),"")</f>
        <v/>
      </c>
      <c r="C69" s="23" t="str">
        <f aca="false">IFERROR(B69/B68-1,"")</f>
        <v/>
      </c>
      <c r="D69" s="23" t="str">
        <f aca="false">IFERROR(B69/B65-1,"")</f>
        <v/>
      </c>
      <c r="E69" s="24" t="str">
        <f aca="false">IFERROR(IF(B69="",IFERROR(GROWTH($B$8:$B$95,$A$8:$A$95,$A69),TREND($B$8:$B$95,$A$8:$A$95,$A69)),""),"")</f>
        <v/>
      </c>
      <c r="F69" s="24" t="str">
        <f aca="false">IFERROR(forecast.ets($A69,$B$8:$B$95,$A$8:$A$95,4,1,1),"")</f>
        <v/>
      </c>
      <c r="G69" s="24" t="str">
        <f aca="false">IFERROR(F69-forecast.ets.confint($A69,$B$8:$B$95,$A$8:$A$95,0.95,4,1,1),"")</f>
        <v/>
      </c>
      <c r="H69" s="24" t="str">
        <f aca="false">IFERROR(F69+forecast.ets.confint($A69,$B$8:$B$95,$A$8:$A$95,0.95,4,1,1),"")</f>
        <v/>
      </c>
    </row>
    <row r="70" customFormat="false" ht="15" hidden="false" customHeight="false" outlineLevel="0" collapsed="false">
      <c r="A70" s="16" t="n">
        <v>45108</v>
      </c>
      <c r="B70" s="17" t="str">
        <f aca="false">IFERROR(haverdata(Codes!$D$5,$A70),"")</f>
        <v/>
      </c>
      <c r="C70" s="18" t="str">
        <f aca="false">IFERROR(B70/B69-1,"")</f>
        <v/>
      </c>
      <c r="D70" s="18" t="str">
        <f aca="false">IFERROR(B70/B66-1,"")</f>
        <v/>
      </c>
      <c r="E70" s="19" t="str">
        <f aca="false">IFERROR(IF(B70="",IFERROR(GROWTH($B$8:$B$95,$A$8:$A$95,$A70),TREND($B$8:$B$95,$A$8:$A$95,$A70)),""),"")</f>
        <v/>
      </c>
      <c r="F70" s="19" t="str">
        <f aca="false">IFERROR(forecast.ets($A70,$B$8:$B$95,$A$8:$A$95,4,1,1),"")</f>
        <v/>
      </c>
      <c r="G70" s="19" t="str">
        <f aca="false">IFERROR(F70-forecast.ets.confint($A70,$B$8:$B$95,$A$8:$A$95,0.95,4,1,1),"")</f>
        <v/>
      </c>
      <c r="H70" s="19" t="str">
        <f aca="false">IFERROR(F70+forecast.ets.confint($A70,$B$8:$B$95,$A$8:$A$95,0.95,4,1,1),"")</f>
        <v/>
      </c>
    </row>
    <row r="71" customFormat="false" ht="15" hidden="false" customHeight="false" outlineLevel="0" collapsed="false">
      <c r="A71" s="21" t="n">
        <v>45200</v>
      </c>
      <c r="B71" s="22" t="str">
        <f aca="false">IFERROR(haverdata(Codes!$D$5,$A71),"")</f>
        <v/>
      </c>
      <c r="C71" s="23" t="str">
        <f aca="false">IFERROR(B71/B70-1,"")</f>
        <v/>
      </c>
      <c r="D71" s="23" t="str">
        <f aca="false">IFERROR(B71/B67-1,"")</f>
        <v/>
      </c>
      <c r="E71" s="24" t="str">
        <f aca="false">IFERROR(IF(B71="",IFERROR(GROWTH($B$8:$B$95,$A$8:$A$95,$A71),TREND($B$8:$B$95,$A$8:$A$95,$A71)),""),"")</f>
        <v/>
      </c>
      <c r="F71" s="24" t="str">
        <f aca="false">IFERROR(forecast.ets($A71,$B$8:$B$95,$A$8:$A$95,4,1,1),"")</f>
        <v/>
      </c>
      <c r="G71" s="24" t="str">
        <f aca="false">IFERROR(F71-forecast.ets.confint($A71,$B$8:$B$95,$A$8:$A$95,0.95,4,1,1),"")</f>
        <v/>
      </c>
      <c r="H71" s="24" t="str">
        <f aca="false">IFERROR(F71+forecast.ets.confint($A71,$B$8:$B$95,$A$8:$A$95,0.95,4,1,1),"")</f>
        <v/>
      </c>
    </row>
    <row r="72" customFormat="false" ht="15" hidden="false" customHeight="false" outlineLevel="0" collapsed="false">
      <c r="A72" s="16" t="n">
        <v>45292</v>
      </c>
      <c r="B72" s="17" t="str">
        <f aca="false">IFERROR(haverdata(Codes!$D$5,$A72),"")</f>
        <v/>
      </c>
      <c r="C72" s="18" t="str">
        <f aca="false">IFERROR(B72/B71-1,"")</f>
        <v/>
      </c>
      <c r="D72" s="18" t="str">
        <f aca="false">IFERROR(B72/B68-1,"")</f>
        <v/>
      </c>
      <c r="E72" s="19" t="str">
        <f aca="false">IFERROR(IF(B72="",IFERROR(GROWTH($B$8:$B$95,$A$8:$A$95,$A72),TREND($B$8:$B$95,$A$8:$A$95,$A72)),""),"")</f>
        <v/>
      </c>
      <c r="F72" s="19" t="str">
        <f aca="false">IFERROR(forecast.ets($A72,$B$8:$B$95,$A$8:$A$95,4,1,1),"")</f>
        <v/>
      </c>
      <c r="G72" s="19" t="str">
        <f aca="false">IFERROR(F72-forecast.ets.confint($A72,$B$8:$B$95,$A$8:$A$95,0.95,4,1,1),"")</f>
        <v/>
      </c>
      <c r="H72" s="19" t="str">
        <f aca="false">IFERROR(F72+forecast.ets.confint($A72,$B$8:$B$95,$A$8:$A$95,0.95,4,1,1),"")</f>
        <v/>
      </c>
    </row>
    <row r="73" customFormat="false" ht="15" hidden="false" customHeight="false" outlineLevel="0" collapsed="false">
      <c r="A73" s="21" t="n">
        <v>45383</v>
      </c>
      <c r="B73" s="22" t="str">
        <f aca="false">IFERROR(haverdata(Codes!$D$5,$A73),"")</f>
        <v/>
      </c>
      <c r="C73" s="23" t="str">
        <f aca="false">IFERROR(B73/B72-1,"")</f>
        <v/>
      </c>
      <c r="D73" s="23" t="str">
        <f aca="false">IFERROR(B73/B69-1,"")</f>
        <v/>
      </c>
      <c r="E73" s="24" t="str">
        <f aca="false">IFERROR(IF(B73="",IFERROR(GROWTH($B$8:$B$95,$A$8:$A$95,$A73),TREND($B$8:$B$95,$A$8:$A$95,$A73)),""),"")</f>
        <v/>
      </c>
      <c r="F73" s="24" t="str">
        <f aca="false">IFERROR(forecast.ets($A73,$B$8:$B$95,$A$8:$A$95,4,1,1),"")</f>
        <v/>
      </c>
      <c r="G73" s="24" t="str">
        <f aca="false">IFERROR(F73-forecast.ets.confint($A73,$B$8:$B$95,$A$8:$A$95,0.95,4,1,1),"")</f>
        <v/>
      </c>
      <c r="H73" s="24" t="str">
        <f aca="false">IFERROR(F73+forecast.ets.confint($A73,$B$8:$B$95,$A$8:$A$95,0.95,4,1,1),"")</f>
        <v/>
      </c>
    </row>
    <row r="74" customFormat="false" ht="15" hidden="false" customHeight="false" outlineLevel="0" collapsed="false">
      <c r="A74" s="16" t="n">
        <v>45474</v>
      </c>
      <c r="B74" s="17" t="str">
        <f aca="false">IFERROR(haverdata(Codes!$D$5,$A74),"")</f>
        <v/>
      </c>
      <c r="C74" s="18" t="str">
        <f aca="false">IFERROR(B74/B73-1,"")</f>
        <v/>
      </c>
      <c r="D74" s="18" t="str">
        <f aca="false">IFERROR(B74/B70-1,"")</f>
        <v/>
      </c>
      <c r="E74" s="19" t="str">
        <f aca="false">IFERROR(IF(B74="",IFERROR(GROWTH($B$8:$B$95,$A$8:$A$95,$A74),TREND($B$8:$B$95,$A$8:$A$95,$A74)),""),"")</f>
        <v/>
      </c>
      <c r="F74" s="19" t="str">
        <f aca="false">IFERROR(forecast.ets($A74,$B$8:$B$95,$A$8:$A$95,4,1,1),"")</f>
        <v/>
      </c>
      <c r="G74" s="19" t="str">
        <f aca="false">IFERROR(F74-forecast.ets.confint($A74,$B$8:$B$95,$A$8:$A$95,0.95,4,1,1),"")</f>
        <v/>
      </c>
      <c r="H74" s="19" t="str">
        <f aca="false">IFERROR(F74+forecast.ets.confint($A74,$B$8:$B$95,$A$8:$A$95,0.95,4,1,1),"")</f>
        <v/>
      </c>
    </row>
    <row r="75" customFormat="false" ht="15" hidden="false" customHeight="false" outlineLevel="0" collapsed="false">
      <c r="A75" s="21" t="n">
        <v>45566</v>
      </c>
      <c r="B75" s="22" t="str">
        <f aca="false">IFERROR(haverdata(Codes!$D$5,$A75),"")</f>
        <v/>
      </c>
      <c r="C75" s="23" t="str">
        <f aca="false">IFERROR(B75/B74-1,"")</f>
        <v/>
      </c>
      <c r="D75" s="23" t="str">
        <f aca="false">IFERROR(B75/B71-1,"")</f>
        <v/>
      </c>
      <c r="E75" s="24" t="str">
        <f aca="false">IFERROR(IF(B75="",IFERROR(GROWTH($B$8:$B$95,$A$8:$A$95,$A75),TREND($B$8:$B$95,$A$8:$A$95,$A75)),""),"")</f>
        <v/>
      </c>
      <c r="F75" s="24" t="str">
        <f aca="false">IFERROR(forecast.ets($A75,$B$8:$B$95,$A$8:$A$95,4,1,1),"")</f>
        <v/>
      </c>
      <c r="G75" s="24" t="str">
        <f aca="false">IFERROR(F75-forecast.ets.confint($A75,$B$8:$B$95,$A$8:$A$95,0.95,4,1,1),"")</f>
        <v/>
      </c>
      <c r="H75" s="24" t="str">
        <f aca="false">IFERROR(F75+forecast.ets.confint($A75,$B$8:$B$95,$A$8:$A$95,0.95,4,1,1),"")</f>
        <v/>
      </c>
    </row>
    <row r="76" customFormat="false" ht="15" hidden="false" customHeight="false" outlineLevel="0" collapsed="false">
      <c r="A76" s="16" t="n">
        <v>45658</v>
      </c>
      <c r="B76" s="17" t="str">
        <f aca="false">IFERROR(haverdata(Codes!$D$5,$A76),"")</f>
        <v/>
      </c>
      <c r="C76" s="18" t="str">
        <f aca="false">IFERROR(B76/B75-1,"")</f>
        <v/>
      </c>
      <c r="D76" s="18" t="str">
        <f aca="false">IFERROR(B76/B72-1,"")</f>
        <v/>
      </c>
      <c r="E76" s="19" t="str">
        <f aca="false">IFERROR(IF(B76="",IFERROR(GROWTH($B$8:$B$95,$A$8:$A$95,$A76),TREND($B$8:$B$95,$A$8:$A$95,$A76)),""),"")</f>
        <v/>
      </c>
      <c r="F76" s="19" t="str">
        <f aca="false">IFERROR(forecast.ets($A76,$B$8:$B$95,$A$8:$A$95,4,1,1),"")</f>
        <v/>
      </c>
      <c r="G76" s="19" t="str">
        <f aca="false">IFERROR(F76-forecast.ets.confint($A76,$B$8:$B$95,$A$8:$A$95,0.95,4,1,1),"")</f>
        <v/>
      </c>
      <c r="H76" s="19" t="str">
        <f aca="false">IFERROR(F76+forecast.ets.confint($A76,$B$8:$B$95,$A$8:$A$95,0.95,4,1,1),"")</f>
        <v/>
      </c>
    </row>
    <row r="77" customFormat="false" ht="15" hidden="false" customHeight="false" outlineLevel="0" collapsed="false">
      <c r="A77" s="21" t="n">
        <v>45748</v>
      </c>
      <c r="B77" s="22" t="str">
        <f aca="false">IFERROR(haverdata(Codes!$D$5,$A77),"")</f>
        <v/>
      </c>
      <c r="C77" s="23" t="str">
        <f aca="false">IFERROR(B77/B76-1,"")</f>
        <v/>
      </c>
      <c r="D77" s="23" t="str">
        <f aca="false">IFERROR(B77/B73-1,"")</f>
        <v/>
      </c>
      <c r="E77" s="24" t="str">
        <f aca="false">IFERROR(IF(B77="",IFERROR(GROWTH($B$8:$B$95,$A$8:$A$95,$A77),TREND($B$8:$B$95,$A$8:$A$95,$A77)),""),"")</f>
        <v/>
      </c>
      <c r="F77" s="24" t="str">
        <f aca="false">IFERROR(forecast.ets($A77,$B$8:$B$95,$A$8:$A$95,4,1,1),"")</f>
        <v/>
      </c>
      <c r="G77" s="24" t="str">
        <f aca="false">IFERROR(F77-forecast.ets.confint($A77,$B$8:$B$95,$A$8:$A$95,0.95,4,1,1),"")</f>
        <v/>
      </c>
      <c r="H77" s="24" t="str">
        <f aca="false">IFERROR(F77+forecast.ets.confint($A77,$B$8:$B$95,$A$8:$A$95,0.95,4,1,1),"")</f>
        <v/>
      </c>
    </row>
    <row r="78" customFormat="false" ht="15" hidden="false" customHeight="false" outlineLevel="0" collapsed="false">
      <c r="A78" s="16" t="n">
        <v>45839</v>
      </c>
      <c r="B78" s="17" t="str">
        <f aca="false">IFERROR(haverdata(Codes!$D$5,$A78),"")</f>
        <v/>
      </c>
      <c r="C78" s="18" t="str">
        <f aca="false">IFERROR(B78/B77-1,"")</f>
        <v/>
      </c>
      <c r="D78" s="18" t="str">
        <f aca="false">IFERROR(B78/B74-1,"")</f>
        <v/>
      </c>
      <c r="E78" s="19" t="str">
        <f aca="false">IFERROR(IF(B78="",IFERROR(GROWTH($B$8:$B$95,$A$8:$A$95,$A78),TREND($B$8:$B$95,$A$8:$A$95,$A78)),""),"")</f>
        <v/>
      </c>
      <c r="F78" s="19" t="str">
        <f aca="false">IFERROR(forecast.ets($A78,$B$8:$B$95,$A$8:$A$95,4,1,1),"")</f>
        <v/>
      </c>
      <c r="G78" s="19" t="str">
        <f aca="false">IFERROR(F78-forecast.ets.confint($A78,$B$8:$B$95,$A$8:$A$95,0.95,4,1,1),"")</f>
        <v/>
      </c>
      <c r="H78" s="19" t="str">
        <f aca="false">IFERROR(F78+forecast.ets.confint($A78,$B$8:$B$95,$A$8:$A$95,0.95,4,1,1),"")</f>
        <v/>
      </c>
    </row>
    <row r="79" customFormat="false" ht="15" hidden="false" customHeight="false" outlineLevel="0" collapsed="false">
      <c r="A79" s="21" t="n">
        <v>45931</v>
      </c>
      <c r="B79" s="22" t="str">
        <f aca="false">IFERROR(haverdata(Codes!$D$5,$A79),"")</f>
        <v/>
      </c>
      <c r="C79" s="23" t="str">
        <f aca="false">IFERROR(B79/B78-1,"")</f>
        <v/>
      </c>
      <c r="D79" s="23" t="str">
        <f aca="false">IFERROR(B79/B75-1,"")</f>
        <v/>
      </c>
      <c r="E79" s="24" t="str">
        <f aca="false">IFERROR(IF(B79="",IFERROR(GROWTH($B$8:$B$95,$A$8:$A$95,$A79),TREND($B$8:$B$95,$A$8:$A$95,$A79)),""),"")</f>
        <v/>
      </c>
      <c r="F79" s="24" t="str">
        <f aca="false">IFERROR(forecast.ets($A79,$B$8:$B$95,$A$8:$A$95,4,1,1),"")</f>
        <v/>
      </c>
      <c r="G79" s="24" t="str">
        <f aca="false">IFERROR(F79-forecast.ets.confint($A79,$B$8:$B$95,$A$8:$A$95,0.95,4,1,1),"")</f>
        <v/>
      </c>
      <c r="H79" s="24" t="str">
        <f aca="false">IFERROR(F79+forecast.ets.confint($A79,$B$8:$B$95,$A$8:$A$95,0.95,4,1,1),"")</f>
        <v/>
      </c>
    </row>
    <row r="80" customFormat="false" ht="15" hidden="false" customHeight="false" outlineLevel="0" collapsed="false">
      <c r="A80" s="16" t="n">
        <v>46023</v>
      </c>
      <c r="B80" s="17" t="str">
        <f aca="false">IFERROR(haverdata(Codes!$D$5,$A80),"")</f>
        <v/>
      </c>
      <c r="C80" s="18" t="str">
        <f aca="false">IFERROR(B80/B79-1,"")</f>
        <v/>
      </c>
      <c r="D80" s="18" t="str">
        <f aca="false">IFERROR(B80/B76-1,"")</f>
        <v/>
      </c>
      <c r="E80" s="19" t="str">
        <f aca="false">IFERROR(IF(B80="",IFERROR(GROWTH($B$8:$B$95,$A$8:$A$95,$A80),TREND($B$8:$B$95,$A$8:$A$95,$A80)),""),"")</f>
        <v/>
      </c>
      <c r="F80" s="19" t="str">
        <f aca="false">IFERROR(forecast.ets($A80,$B$8:$B$95,$A$8:$A$95,4,1,1),"")</f>
        <v/>
      </c>
      <c r="G80" s="19" t="str">
        <f aca="false">IFERROR(F80-forecast.ets.confint($A80,$B$8:$B$95,$A$8:$A$95,0.95,4,1,1),"")</f>
        <v/>
      </c>
      <c r="H80" s="19" t="str">
        <f aca="false">IFERROR(F80+forecast.ets.confint($A80,$B$8:$B$95,$A$8:$A$95,0.95,4,1,1),"")</f>
        <v/>
      </c>
    </row>
    <row r="81" customFormat="false" ht="15" hidden="false" customHeight="false" outlineLevel="0" collapsed="false">
      <c r="A81" s="21" t="n">
        <v>46113</v>
      </c>
      <c r="B81" s="22" t="str">
        <f aca="false">IFERROR(haverdata(Codes!$D$5,$A81),"")</f>
        <v/>
      </c>
      <c r="C81" s="23" t="str">
        <f aca="false">IFERROR(B81/B80-1,"")</f>
        <v/>
      </c>
      <c r="D81" s="23" t="str">
        <f aca="false">IFERROR(B81/B77-1,"")</f>
        <v/>
      </c>
      <c r="E81" s="24" t="str">
        <f aca="false">IFERROR(IF(B81="",IFERROR(GROWTH($B$8:$B$95,$A$8:$A$95,$A81),TREND($B$8:$B$95,$A$8:$A$95,$A81)),""),"")</f>
        <v/>
      </c>
      <c r="F81" s="24" t="str">
        <f aca="false">IFERROR(forecast.ets($A81,$B$8:$B$95,$A$8:$A$95,4,1,1),"")</f>
        <v/>
      </c>
      <c r="G81" s="24" t="str">
        <f aca="false">IFERROR(F81-forecast.ets.confint($A81,$B$8:$B$95,$A$8:$A$95,0.95,4,1,1),"")</f>
        <v/>
      </c>
      <c r="H81" s="24" t="str">
        <f aca="false">IFERROR(F81+forecast.ets.confint($A81,$B$8:$B$95,$A$8:$A$95,0.95,4,1,1),"")</f>
        <v/>
      </c>
    </row>
    <row r="82" customFormat="false" ht="15" hidden="false" customHeight="false" outlineLevel="0" collapsed="false">
      <c r="A82" s="16" t="n">
        <v>46204</v>
      </c>
      <c r="B82" s="17" t="str">
        <f aca="false">IFERROR(haverdata(Codes!$D$5,$A82),"")</f>
        <v/>
      </c>
      <c r="C82" s="18" t="str">
        <f aca="false">IFERROR(B82/B81-1,"")</f>
        <v/>
      </c>
      <c r="D82" s="18" t="str">
        <f aca="false">IFERROR(B82/B78-1,"")</f>
        <v/>
      </c>
      <c r="E82" s="19" t="str">
        <f aca="false">IFERROR(IF(B82="",IFERROR(GROWTH($B$8:$B$95,$A$8:$A$95,$A82),TREND($B$8:$B$95,$A$8:$A$95,$A82)),""),"")</f>
        <v/>
      </c>
      <c r="F82" s="19" t="str">
        <f aca="false">IFERROR(forecast.ets($A82,$B$8:$B$95,$A$8:$A$95,4,1,1),"")</f>
        <v/>
      </c>
      <c r="G82" s="19" t="str">
        <f aca="false">IFERROR(F82-forecast.ets.confint($A82,$B$8:$B$95,$A$8:$A$95,0.95,4,1,1),"")</f>
        <v/>
      </c>
      <c r="H82" s="19" t="str">
        <f aca="false">IFERROR(F82+forecast.ets.confint($A82,$B$8:$B$95,$A$8:$A$95,0.95,4,1,1),"")</f>
        <v/>
      </c>
    </row>
    <row r="83" customFormat="false" ht="15" hidden="false" customHeight="false" outlineLevel="0" collapsed="false">
      <c r="A83" s="21" t="n">
        <v>46296</v>
      </c>
      <c r="B83" s="22" t="str">
        <f aca="false">IFERROR(haverdata(Codes!$D$5,$A83),"")</f>
        <v/>
      </c>
      <c r="C83" s="23" t="str">
        <f aca="false">IFERROR(B83/B82-1,"")</f>
        <v/>
      </c>
      <c r="D83" s="23" t="str">
        <f aca="false">IFERROR(B83/B79-1,"")</f>
        <v/>
      </c>
      <c r="E83" s="24" t="str">
        <f aca="false">IFERROR(IF(B83="",IFERROR(GROWTH($B$8:$B$95,$A$8:$A$95,$A83),TREND($B$8:$B$95,$A$8:$A$95,$A83)),""),"")</f>
        <v/>
      </c>
      <c r="F83" s="24" t="str">
        <f aca="false">IFERROR(forecast.ets($A83,$B$8:$B$95,$A$8:$A$95,4,1,1),"")</f>
        <v/>
      </c>
      <c r="G83" s="24" t="str">
        <f aca="false">IFERROR(F83-forecast.ets.confint($A83,$B$8:$B$95,$A$8:$A$95,0.95,4,1,1),"")</f>
        <v/>
      </c>
      <c r="H83" s="24" t="str">
        <f aca="false">IFERROR(F83+forecast.ets.confint($A83,$B$8:$B$95,$A$8:$A$95,0.95,4,1,1),"")</f>
        <v/>
      </c>
    </row>
    <row r="84" customFormat="false" ht="15" hidden="false" customHeight="false" outlineLevel="0" collapsed="false">
      <c r="A84" s="16" t="n">
        <v>46388</v>
      </c>
      <c r="B84" s="17" t="str">
        <f aca="false">IFERROR(haverdata(Codes!$D$5,$A84),"")</f>
        <v/>
      </c>
      <c r="C84" s="18" t="str">
        <f aca="false">IFERROR(B84/B83-1,"")</f>
        <v/>
      </c>
      <c r="D84" s="18" t="str">
        <f aca="false">IFERROR(B84/B80-1,"")</f>
        <v/>
      </c>
      <c r="E84" s="19" t="str">
        <f aca="false">IFERROR(IF(B84="",IFERROR(GROWTH($B$8:$B$95,$A$8:$A$95,$A84),TREND($B$8:$B$95,$A$8:$A$95,$A84)),""),"")</f>
        <v/>
      </c>
      <c r="F84" s="19" t="str">
        <f aca="false">IFERROR(forecast.ets($A84,$B$8:$B$95,$A$8:$A$95,4,1,1),"")</f>
        <v/>
      </c>
      <c r="G84" s="19" t="str">
        <f aca="false">IFERROR(F84-forecast.ets.confint($A84,$B$8:$B$95,$A$8:$A$95,0.95,4,1,1),"")</f>
        <v/>
      </c>
      <c r="H84" s="19" t="str">
        <f aca="false">IFERROR(F84+forecast.ets.confint($A84,$B$8:$B$95,$A$8:$A$95,0.95,4,1,1),"")</f>
        <v/>
      </c>
    </row>
    <row r="85" customFormat="false" ht="15" hidden="false" customHeight="false" outlineLevel="0" collapsed="false">
      <c r="A85" s="21" t="n">
        <v>46478</v>
      </c>
      <c r="B85" s="22" t="str">
        <f aca="false">IFERROR(haverdata(Codes!$D$5,$A85),"")</f>
        <v/>
      </c>
      <c r="C85" s="23" t="str">
        <f aca="false">IFERROR(B85/B84-1,"")</f>
        <v/>
      </c>
      <c r="D85" s="23" t="str">
        <f aca="false">IFERROR(B85/B81-1,"")</f>
        <v/>
      </c>
      <c r="E85" s="24" t="str">
        <f aca="false">IFERROR(IF(B85="",IFERROR(GROWTH($B$8:$B$95,$A$8:$A$95,$A85),TREND($B$8:$B$95,$A$8:$A$95,$A85)),""),"")</f>
        <v/>
      </c>
      <c r="F85" s="24" t="str">
        <f aca="false">IFERROR(forecast.ets($A85,$B$8:$B$95,$A$8:$A$95,4,1,1),"")</f>
        <v/>
      </c>
      <c r="G85" s="24" t="str">
        <f aca="false">IFERROR(F85-forecast.ets.confint($A85,$B$8:$B$95,$A$8:$A$95,0.95,4,1,1),"")</f>
        <v/>
      </c>
      <c r="H85" s="24" t="str">
        <f aca="false">IFERROR(F85+forecast.ets.confint($A85,$B$8:$B$95,$A$8:$A$95,0.95,4,1,1),"")</f>
        <v/>
      </c>
    </row>
    <row r="86" customFormat="false" ht="15" hidden="false" customHeight="false" outlineLevel="0" collapsed="false">
      <c r="A86" s="16" t="n">
        <v>46569</v>
      </c>
      <c r="B86" s="17" t="str">
        <f aca="false">IFERROR(haverdata(Codes!$D$5,$A86),"")</f>
        <v/>
      </c>
      <c r="C86" s="18" t="str">
        <f aca="false">IFERROR(B86/B85-1,"")</f>
        <v/>
      </c>
      <c r="D86" s="18" t="str">
        <f aca="false">IFERROR(B86/B82-1,"")</f>
        <v/>
      </c>
      <c r="E86" s="19" t="str">
        <f aca="false">IFERROR(IF(B86="",IFERROR(GROWTH($B$8:$B$95,$A$8:$A$95,$A86),TREND($B$8:$B$95,$A$8:$A$95,$A86)),""),"")</f>
        <v/>
      </c>
      <c r="F86" s="19" t="str">
        <f aca="false">IFERROR(forecast.ets($A86,$B$8:$B$95,$A$8:$A$95,4,1,1),"")</f>
        <v/>
      </c>
      <c r="G86" s="19" t="str">
        <f aca="false">IFERROR(F86-forecast.ets.confint($A86,$B$8:$B$95,$A$8:$A$95,0.95,4,1,1),"")</f>
        <v/>
      </c>
      <c r="H86" s="19" t="str">
        <f aca="false">IFERROR(F86+forecast.ets.confint($A86,$B$8:$B$95,$A$8:$A$95,0.95,4,1,1),"")</f>
        <v/>
      </c>
    </row>
    <row r="87" customFormat="false" ht="15" hidden="false" customHeight="false" outlineLevel="0" collapsed="false">
      <c r="A87" s="21" t="n">
        <v>46661</v>
      </c>
      <c r="B87" s="22" t="str">
        <f aca="false">IFERROR(haverdata(Codes!$D$5,$A87),"")</f>
        <v/>
      </c>
      <c r="C87" s="23" t="str">
        <f aca="false">IFERROR(B87/B86-1,"")</f>
        <v/>
      </c>
      <c r="D87" s="23" t="str">
        <f aca="false">IFERROR(B87/B83-1,"")</f>
        <v/>
      </c>
      <c r="E87" s="24" t="str">
        <f aca="false">IFERROR(IF(B87="",IFERROR(GROWTH($B$8:$B$95,$A$8:$A$95,$A87),TREND($B$8:$B$95,$A$8:$A$95,$A87)),""),"")</f>
        <v/>
      </c>
      <c r="F87" s="24" t="str">
        <f aca="false">IFERROR(forecast.ets($A87,$B$8:$B$95,$A$8:$A$95,4,1,1),"")</f>
        <v/>
      </c>
      <c r="G87" s="24" t="str">
        <f aca="false">IFERROR(F87-forecast.ets.confint($A87,$B$8:$B$95,$A$8:$A$95,0.95,4,1,1),"")</f>
        <v/>
      </c>
      <c r="H87" s="24" t="str">
        <f aca="false">IFERROR(F87+forecast.ets.confint($A87,$B$8:$B$95,$A$8:$A$95,0.95,4,1,1),"")</f>
        <v/>
      </c>
    </row>
    <row r="88" customFormat="false" ht="15" hidden="false" customHeight="false" outlineLevel="0" collapsed="false">
      <c r="A88" s="16" t="n">
        <v>46753</v>
      </c>
      <c r="B88" s="17" t="str">
        <f aca="false">IFERROR(haverdata(Codes!$D$5,$A88),"")</f>
        <v/>
      </c>
      <c r="C88" s="18" t="str">
        <f aca="false">IFERROR(B88/B87-1,"")</f>
        <v/>
      </c>
      <c r="D88" s="18" t="str">
        <f aca="false">IFERROR(B88/B84-1,"")</f>
        <v/>
      </c>
      <c r="E88" s="19" t="str">
        <f aca="false">IFERROR(IF(B88="",IFERROR(GROWTH($B$8:$B$95,$A$8:$A$95,$A88),TREND($B$8:$B$95,$A$8:$A$95,$A88)),""),"")</f>
        <v/>
      </c>
      <c r="F88" s="19" t="str">
        <f aca="false">IFERROR(forecast.ets($A88,$B$8:$B$95,$A$8:$A$95,4,1,1),"")</f>
        <v/>
      </c>
      <c r="G88" s="19" t="str">
        <f aca="false">IFERROR(F88-forecast.ets.confint($A88,$B$8:$B$95,$A$8:$A$95,0.95,4,1,1),"")</f>
        <v/>
      </c>
      <c r="H88" s="19" t="str">
        <f aca="false">IFERROR(F88+forecast.ets.confint($A88,$B$8:$B$95,$A$8:$A$95,0.95,4,1,1),"")</f>
        <v/>
      </c>
    </row>
    <row r="89" customFormat="false" ht="15" hidden="false" customHeight="false" outlineLevel="0" collapsed="false">
      <c r="A89" s="21" t="n">
        <v>46844</v>
      </c>
      <c r="B89" s="22" t="str">
        <f aca="false">IFERROR(haverdata(Codes!$D$5,$A89),"")</f>
        <v/>
      </c>
      <c r="C89" s="23" t="str">
        <f aca="false">IFERROR(B89/B88-1,"")</f>
        <v/>
      </c>
      <c r="D89" s="23" t="str">
        <f aca="false">IFERROR(B89/B85-1,"")</f>
        <v/>
      </c>
      <c r="E89" s="24" t="str">
        <f aca="false">IFERROR(IF(B89="",IFERROR(GROWTH($B$8:$B$95,$A$8:$A$95,$A89),TREND($B$8:$B$95,$A$8:$A$95,$A89)),""),"")</f>
        <v/>
      </c>
      <c r="F89" s="24" t="str">
        <f aca="false">IFERROR(forecast.ets($A89,$B$8:$B$95,$A$8:$A$95,4,1,1),"")</f>
        <v/>
      </c>
      <c r="G89" s="24" t="str">
        <f aca="false">IFERROR(F89-forecast.ets.confint($A89,$B$8:$B$95,$A$8:$A$95,0.95,4,1,1),"")</f>
        <v/>
      </c>
      <c r="H89" s="24" t="str">
        <f aca="false">IFERROR(F89+forecast.ets.confint($A89,$B$8:$B$95,$A$8:$A$95,0.95,4,1,1),"")</f>
        <v/>
      </c>
    </row>
    <row r="90" customFormat="false" ht="15" hidden="false" customHeight="false" outlineLevel="0" collapsed="false">
      <c r="A90" s="16" t="n">
        <v>46935</v>
      </c>
      <c r="B90" s="17" t="str">
        <f aca="false">IFERROR(haverdata(Codes!$D$5,$A90),"")</f>
        <v/>
      </c>
      <c r="C90" s="18" t="str">
        <f aca="false">IFERROR(B90/B89-1,"")</f>
        <v/>
      </c>
      <c r="D90" s="18" t="str">
        <f aca="false">IFERROR(B90/B86-1,"")</f>
        <v/>
      </c>
      <c r="E90" s="19" t="str">
        <f aca="false">IFERROR(IF(B90="",IFERROR(GROWTH($B$8:$B$95,$A$8:$A$95,$A90),TREND($B$8:$B$95,$A$8:$A$95,$A90)),""),"")</f>
        <v/>
      </c>
      <c r="F90" s="19" t="str">
        <f aca="false">IFERROR(forecast.ets($A90,$B$8:$B$95,$A$8:$A$95,4,1,1),"")</f>
        <v/>
      </c>
      <c r="G90" s="19" t="str">
        <f aca="false">IFERROR(F90-forecast.ets.confint($A90,$B$8:$B$95,$A$8:$A$95,0.95,4,1,1),"")</f>
        <v/>
      </c>
      <c r="H90" s="19" t="str">
        <f aca="false">IFERROR(F90+forecast.ets.confint($A90,$B$8:$B$95,$A$8:$A$95,0.95,4,1,1),"")</f>
        <v/>
      </c>
    </row>
    <row r="91" customFormat="false" ht="15" hidden="false" customHeight="false" outlineLevel="0" collapsed="false">
      <c r="A91" s="21" t="n">
        <v>47027</v>
      </c>
      <c r="B91" s="22" t="str">
        <f aca="false">IFERROR(haverdata(Codes!$D$5,$A91),"")</f>
        <v/>
      </c>
      <c r="C91" s="23" t="str">
        <f aca="false">IFERROR(B91/B90-1,"")</f>
        <v/>
      </c>
      <c r="D91" s="23" t="str">
        <f aca="false">IFERROR(B91/B87-1,"")</f>
        <v/>
      </c>
      <c r="E91" s="24" t="str">
        <f aca="false">IFERROR(IF(B91="",IFERROR(GROWTH($B$8:$B$95,$A$8:$A$95,$A91),TREND($B$8:$B$95,$A$8:$A$95,$A91)),""),"")</f>
        <v/>
      </c>
      <c r="F91" s="24" t="str">
        <f aca="false">IFERROR(forecast.ets($A91,$B$8:$B$95,$A$8:$A$95,4,1,1),"")</f>
        <v/>
      </c>
      <c r="G91" s="24" t="str">
        <f aca="false">IFERROR(F91-forecast.ets.confint($A91,$B$8:$B$95,$A$8:$A$95,0.95,4,1,1),"")</f>
        <v/>
      </c>
      <c r="H91" s="24" t="str">
        <f aca="false">IFERROR(F91+forecast.ets.confint($A91,$B$8:$B$95,$A$8:$A$95,0.95,4,1,1),"")</f>
        <v/>
      </c>
    </row>
    <row r="92" customFormat="false" ht="15" hidden="false" customHeight="false" outlineLevel="0" collapsed="false">
      <c r="A92" s="16" t="n">
        <v>47119</v>
      </c>
      <c r="B92" s="17" t="str">
        <f aca="false">IFERROR(haverdata(Codes!$D$5,$A92),"")</f>
        <v/>
      </c>
      <c r="C92" s="18" t="str">
        <f aca="false">IFERROR(B92/B91-1,"")</f>
        <v/>
      </c>
      <c r="D92" s="18" t="str">
        <f aca="false">IFERROR(B92/B88-1,"")</f>
        <v/>
      </c>
      <c r="E92" s="19" t="str">
        <f aca="false">IFERROR(IF(B92="",IFERROR(GROWTH($B$8:$B$95,$A$8:$A$95,$A92),TREND($B$8:$B$95,$A$8:$A$95,$A92)),""),"")</f>
        <v/>
      </c>
      <c r="F92" s="19" t="str">
        <f aca="false">IFERROR(forecast.ets($A92,$B$8:$B$95,$A$8:$A$95,4,1,1),"")</f>
        <v/>
      </c>
      <c r="G92" s="19" t="str">
        <f aca="false">IFERROR(F92-forecast.ets.confint($A92,$B$8:$B$95,$A$8:$A$95,0.95,4,1,1),"")</f>
        <v/>
      </c>
      <c r="H92" s="19" t="str">
        <f aca="false">IFERROR(F92+forecast.ets.confint($A92,$B$8:$B$95,$A$8:$A$95,0.95,4,1,1),"")</f>
        <v/>
      </c>
    </row>
    <row r="93" customFormat="false" ht="15" hidden="false" customHeight="false" outlineLevel="0" collapsed="false">
      <c r="A93" s="21" t="n">
        <v>47209</v>
      </c>
      <c r="B93" s="22" t="str">
        <f aca="false">IFERROR(haverdata(Codes!$D$5,$A93),"")</f>
        <v/>
      </c>
      <c r="C93" s="23" t="str">
        <f aca="false">IFERROR(B93/B92-1,"")</f>
        <v/>
      </c>
      <c r="D93" s="23" t="str">
        <f aca="false">IFERROR(B93/B89-1,"")</f>
        <v/>
      </c>
      <c r="E93" s="24" t="str">
        <f aca="false">IFERROR(IF(B93="",IFERROR(GROWTH($B$8:$B$95,$A$8:$A$95,$A93),TREND($B$8:$B$95,$A$8:$A$95,$A93)),""),"")</f>
        <v/>
      </c>
      <c r="F93" s="24" t="str">
        <f aca="false">IFERROR(forecast.ets($A93,$B$8:$B$95,$A$8:$A$95,4,1,1),"")</f>
        <v/>
      </c>
      <c r="G93" s="24" t="str">
        <f aca="false">IFERROR(F93-forecast.ets.confint($A93,$B$8:$B$95,$A$8:$A$95,0.95,4,1,1),"")</f>
        <v/>
      </c>
      <c r="H93" s="24" t="str">
        <f aca="false">IFERROR(F93+forecast.ets.confint($A93,$B$8:$B$95,$A$8:$A$95,0.95,4,1,1),"")</f>
        <v/>
      </c>
    </row>
    <row r="94" customFormat="false" ht="15" hidden="false" customHeight="false" outlineLevel="0" collapsed="false">
      <c r="A94" s="16" t="n">
        <v>47300</v>
      </c>
      <c r="B94" s="17" t="str">
        <f aca="false">IFERROR(haverdata(Codes!$D$5,$A94),"")</f>
        <v/>
      </c>
      <c r="C94" s="18" t="str">
        <f aca="false">IFERROR(B94/B93-1,"")</f>
        <v/>
      </c>
      <c r="D94" s="18" t="str">
        <f aca="false">IFERROR(B94/B90-1,"")</f>
        <v/>
      </c>
      <c r="E94" s="19" t="str">
        <f aca="false">IFERROR(IF(B94="",IFERROR(GROWTH($B$8:$B$95,$A$8:$A$95,$A94),TREND($B$8:$B$95,$A$8:$A$95,$A94)),""),"")</f>
        <v/>
      </c>
      <c r="F94" s="19" t="str">
        <f aca="false">IFERROR(forecast.ets($A94,$B$8:$B$95,$A$8:$A$95,4,1,1),"")</f>
        <v/>
      </c>
      <c r="G94" s="19" t="str">
        <f aca="false">IFERROR(F94-forecast.ets.confint($A94,$B$8:$B$95,$A$8:$A$95,0.95,4,1,1),"")</f>
        <v/>
      </c>
      <c r="H94" s="19" t="str">
        <f aca="false">IFERROR(F94+forecast.ets.confint($A94,$B$8:$B$95,$A$8:$A$95,0.95,4,1,1),"")</f>
        <v/>
      </c>
    </row>
    <row r="95" customFormat="false" ht="15" hidden="false" customHeight="false" outlineLevel="0" collapsed="false">
      <c r="A95" s="21" t="n">
        <v>47392</v>
      </c>
      <c r="B95" s="22" t="str">
        <f aca="false">IFERROR(haverdata(Codes!$D$5,$A95),"")</f>
        <v/>
      </c>
      <c r="C95" s="23" t="str">
        <f aca="false">IFERROR(B95/B94-1,"")</f>
        <v/>
      </c>
      <c r="D95" s="23" t="str">
        <f aca="false">IFERROR(B95/B91-1,"")</f>
        <v/>
      </c>
      <c r="E95" s="24" t="str">
        <f aca="false">IFERROR(IF(B95="",IFERROR(GROWTH($B$8:$B$95,$A$8:$A$95,$A95),TREND($B$8:$B$95,$A$8:$A$95,$A95)),""),"")</f>
        <v/>
      </c>
      <c r="F95" s="24" t="str">
        <f aca="false">IFERROR(forecast.ets($A95,$B$8:$B$95,$A$8:$A$95,4,1,1),"")</f>
        <v/>
      </c>
      <c r="G95" s="24" t="str">
        <f aca="false">IFERROR(F95-forecast.ets.confint($A95,$B$8:$B$95,$A$8:$A$95,0.95,4,1,1),"")</f>
        <v/>
      </c>
      <c r="H95" s="24" t="str">
        <f aca="false">IFERROR(F95+forecast.ets.confint($A95,$B$8:$B$95,$A$8:$A$95,0.95,4,1,1),"")</f>
        <v/>
      </c>
    </row>
    <row r="100" customFormat="false" ht="21.75" hidden="false" customHeight="true" outlineLevel="0" collapsed="false">
      <c r="A100" s="13" t="str">
        <f aca="false">Codes!$B$6&amp;"   ["&amp;Codes!$D$6&amp;"]   "&amp;Codes!$F$6</f>
        <v>Nominal GDP   [S213NGDP@LATAM]   Mn ARS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customFormat="false" ht="15" hidden="false" customHeight="false" outlineLevel="0" collapsed="false">
      <c r="A101" s="4" t="s">
        <v>107</v>
      </c>
      <c r="B101" s="14" t="str">
        <f aca="false">Codes!$G$6</f>
        <v>avg</v>
      </c>
      <c r="D101" s="4" t="s">
        <v>108</v>
      </c>
      <c r="E101" s="6" t="str">
        <f aca="false">Codes!$H$6</f>
        <v>[VERIFY]</v>
      </c>
      <c r="F101" s="6"/>
      <c r="G101" s="6"/>
      <c r="H101" s="6"/>
      <c r="I101" s="6"/>
      <c r="J101" s="6"/>
      <c r="K101" s="6"/>
      <c r="L101" s="6"/>
      <c r="M101" s="6"/>
    </row>
    <row r="102" customFormat="false" ht="18" hidden="false" customHeight="true" outlineLevel="0" collapsed="false">
      <c r="A102" s="15" t="s">
        <v>109</v>
      </c>
      <c r="B102" s="15"/>
      <c r="C102" s="15"/>
      <c r="D102" s="15"/>
      <c r="E102" s="15"/>
      <c r="F102" s="15"/>
      <c r="G102" s="15"/>
      <c r="H102" s="15"/>
      <c r="J102" s="15" t="s">
        <v>110</v>
      </c>
      <c r="K102" s="15"/>
      <c r="L102" s="15"/>
      <c r="M102" s="15"/>
    </row>
    <row r="103" customFormat="false" ht="15" hidden="false" customHeight="false" outlineLevel="0" collapsed="false">
      <c r="A103" s="7" t="s">
        <v>111</v>
      </c>
      <c r="B103" s="7" t="s">
        <v>112</v>
      </c>
      <c r="C103" s="7" t="s">
        <v>113</v>
      </c>
      <c r="D103" s="7" t="s">
        <v>114</v>
      </c>
      <c r="E103" s="7" t="s">
        <v>115</v>
      </c>
      <c r="F103" s="7" t="s">
        <v>116</v>
      </c>
      <c r="G103" s="7" t="s">
        <v>117</v>
      </c>
      <c r="H103" s="7" t="s">
        <v>118</v>
      </c>
      <c r="J103" s="7" t="s">
        <v>119</v>
      </c>
      <c r="K103" s="7" t="s">
        <v>112</v>
      </c>
      <c r="L103" s="7" t="s">
        <v>114</v>
      </c>
      <c r="M103" s="7" t="s">
        <v>120</v>
      </c>
    </row>
    <row r="104" customFormat="false" ht="15" hidden="false" customHeight="false" outlineLevel="0" collapsed="false">
      <c r="A104" s="16" t="n">
        <v>39448</v>
      </c>
      <c r="B104" s="17" t="str">
        <f aca="false">IFERROR(haverdata(Codes!$D$6,$A104),"")</f>
        <v/>
      </c>
      <c r="C104" s="18"/>
      <c r="D104" s="18"/>
      <c r="E104" s="19" t="str">
        <f aca="false">IFERROR(IF(B104="",IFERROR(GROWTH($B$104:$B$191,$A$104:$A$191,$A104),TREND($B$104:$B$191,$A$104:$A$191,$A104)),""),"")</f>
        <v/>
      </c>
      <c r="F104" s="19" t="str">
        <f aca="false">IFERROR(forecast.ets($A104,$B$104:$B$191,$A$104:$A$191,4,1,1),"")</f>
        <v/>
      </c>
      <c r="G104" s="19" t="str">
        <f aca="false">IFERROR(F104-forecast.ets.confint($A104,$B$104:$B$191,$A$104:$A$191,0.95,4,1,1),"")</f>
        <v/>
      </c>
      <c r="H104" s="19" t="str">
        <f aca="false">IFERROR(F104+forecast.ets.confint($A104,$B$104:$B$191,$A$104:$A$191,0.95,4,1,1),"")</f>
        <v/>
      </c>
      <c r="J104" s="20" t="n">
        <v>2008</v>
      </c>
      <c r="K104" s="19" t="str">
        <f aca="false">IFERROR(AVERAGEIFS($B$104:$B$191,$A$104:$A$191,"&gt;="&amp;DATE(J104,1,1),$A$104:$A$191,"&lt;="&amp;DATE(J104,12,31)),"")</f>
        <v/>
      </c>
      <c r="L104" s="18"/>
      <c r="M104" s="19" t="str">
        <f aca="false">IFERROR(AVERAGEIFS($F$104:$F$191,$A$104:$A$191,"&gt;="&amp;DATE(J104,1,1),$A$104:$A$191,"&lt;="&amp;DATE(J104,12,31)),"")</f>
        <v/>
      </c>
    </row>
    <row r="105" customFormat="false" ht="15" hidden="false" customHeight="false" outlineLevel="0" collapsed="false">
      <c r="A105" s="21" t="n">
        <v>39539</v>
      </c>
      <c r="B105" s="22" t="str">
        <f aca="false">IFERROR(haverdata(Codes!$D$6,$A105),"")</f>
        <v/>
      </c>
      <c r="C105" s="23" t="str">
        <f aca="false">IFERROR(B105/B104-1,"")</f>
        <v/>
      </c>
      <c r="D105" s="23"/>
      <c r="E105" s="24" t="str">
        <f aca="false">IFERROR(IF(B105="",IFERROR(GROWTH($B$104:$B$191,$A$104:$A$191,$A105),TREND($B$104:$B$191,$A$104:$A$191,$A105)),""),"")</f>
        <v/>
      </c>
      <c r="F105" s="24" t="str">
        <f aca="false">IFERROR(forecast.ets($A105,$B$104:$B$191,$A$104:$A$191,4,1,1),"")</f>
        <v/>
      </c>
      <c r="G105" s="24" t="str">
        <f aca="false">IFERROR(F105-forecast.ets.confint($A105,$B$104:$B$191,$A$104:$A$191,0.95,4,1,1),"")</f>
        <v/>
      </c>
      <c r="H105" s="24" t="str">
        <f aca="false">IFERROR(F105+forecast.ets.confint($A105,$B$104:$B$191,$A$104:$A$191,0.95,4,1,1),"")</f>
        <v/>
      </c>
      <c r="J105" s="25" t="n">
        <v>2009</v>
      </c>
      <c r="K105" s="24" t="str">
        <f aca="false">IFERROR(AVERAGEIFS($B$104:$B$191,$A$104:$A$191,"&gt;="&amp;DATE(J105,1,1),$A$104:$A$191,"&lt;="&amp;DATE(J105,12,31)),"")</f>
        <v/>
      </c>
      <c r="L105" s="23" t="str">
        <f aca="false">IFERROR(K105/K104-1,"")</f>
        <v/>
      </c>
      <c r="M105" s="24" t="str">
        <f aca="false">IFERROR(AVERAGEIFS($F$104:$F$191,$A$104:$A$191,"&gt;="&amp;DATE(J105,1,1),$A$104:$A$191,"&lt;="&amp;DATE(J105,12,31)),"")</f>
        <v/>
      </c>
    </row>
    <row r="106" customFormat="false" ht="15" hidden="false" customHeight="false" outlineLevel="0" collapsed="false">
      <c r="A106" s="16" t="n">
        <v>39630</v>
      </c>
      <c r="B106" s="17" t="str">
        <f aca="false">IFERROR(haverdata(Codes!$D$6,$A106),"")</f>
        <v/>
      </c>
      <c r="C106" s="18" t="str">
        <f aca="false">IFERROR(B106/B105-1,"")</f>
        <v/>
      </c>
      <c r="D106" s="18"/>
      <c r="E106" s="19" t="str">
        <f aca="false">IFERROR(IF(B106="",IFERROR(GROWTH($B$104:$B$191,$A$104:$A$191,$A106),TREND($B$104:$B$191,$A$104:$A$191,$A106)),""),"")</f>
        <v/>
      </c>
      <c r="F106" s="19" t="str">
        <f aca="false">IFERROR(forecast.ets($A106,$B$104:$B$191,$A$104:$A$191,4,1,1),"")</f>
        <v/>
      </c>
      <c r="G106" s="19" t="str">
        <f aca="false">IFERROR(F106-forecast.ets.confint($A106,$B$104:$B$191,$A$104:$A$191,0.95,4,1,1),"")</f>
        <v/>
      </c>
      <c r="H106" s="19" t="str">
        <f aca="false">IFERROR(F106+forecast.ets.confint($A106,$B$104:$B$191,$A$104:$A$191,0.95,4,1,1),"")</f>
        <v/>
      </c>
      <c r="J106" s="20" t="n">
        <v>2010</v>
      </c>
      <c r="K106" s="19" t="str">
        <f aca="false">IFERROR(AVERAGEIFS($B$104:$B$191,$A$104:$A$191,"&gt;="&amp;DATE(J106,1,1),$A$104:$A$191,"&lt;="&amp;DATE(J106,12,31)),"")</f>
        <v/>
      </c>
      <c r="L106" s="18" t="str">
        <f aca="false">IFERROR(K106/K105-1,"")</f>
        <v/>
      </c>
      <c r="M106" s="19" t="str">
        <f aca="false">IFERROR(AVERAGEIFS($F$104:$F$191,$A$104:$A$191,"&gt;="&amp;DATE(J106,1,1),$A$104:$A$191,"&lt;="&amp;DATE(J106,12,31)),"")</f>
        <v/>
      </c>
    </row>
    <row r="107" customFormat="false" ht="15" hidden="false" customHeight="false" outlineLevel="0" collapsed="false">
      <c r="A107" s="21" t="n">
        <v>39722</v>
      </c>
      <c r="B107" s="22" t="str">
        <f aca="false">IFERROR(haverdata(Codes!$D$6,$A107),"")</f>
        <v/>
      </c>
      <c r="C107" s="23" t="str">
        <f aca="false">IFERROR(B107/B106-1,"")</f>
        <v/>
      </c>
      <c r="D107" s="23"/>
      <c r="E107" s="24" t="str">
        <f aca="false">IFERROR(IF(B107="",IFERROR(GROWTH($B$104:$B$191,$A$104:$A$191,$A107),TREND($B$104:$B$191,$A$104:$A$191,$A107)),""),"")</f>
        <v/>
      </c>
      <c r="F107" s="24" t="str">
        <f aca="false">IFERROR(forecast.ets($A107,$B$104:$B$191,$A$104:$A$191,4,1,1),"")</f>
        <v/>
      </c>
      <c r="G107" s="24" t="str">
        <f aca="false">IFERROR(F107-forecast.ets.confint($A107,$B$104:$B$191,$A$104:$A$191,0.95,4,1,1),"")</f>
        <v/>
      </c>
      <c r="H107" s="24" t="str">
        <f aca="false">IFERROR(F107+forecast.ets.confint($A107,$B$104:$B$191,$A$104:$A$191,0.95,4,1,1),"")</f>
        <v/>
      </c>
      <c r="J107" s="25" t="n">
        <v>2011</v>
      </c>
      <c r="K107" s="24" t="str">
        <f aca="false">IFERROR(AVERAGEIFS($B$104:$B$191,$A$104:$A$191,"&gt;="&amp;DATE(J107,1,1),$A$104:$A$191,"&lt;="&amp;DATE(J107,12,31)),"")</f>
        <v/>
      </c>
      <c r="L107" s="23" t="str">
        <f aca="false">IFERROR(K107/K106-1,"")</f>
        <v/>
      </c>
      <c r="M107" s="24" t="str">
        <f aca="false">IFERROR(AVERAGEIFS($F$104:$F$191,$A$104:$A$191,"&gt;="&amp;DATE(J107,1,1),$A$104:$A$191,"&lt;="&amp;DATE(J107,12,31)),"")</f>
        <v/>
      </c>
    </row>
    <row r="108" customFormat="false" ht="15" hidden="false" customHeight="false" outlineLevel="0" collapsed="false">
      <c r="A108" s="16" t="n">
        <v>39814</v>
      </c>
      <c r="B108" s="17" t="str">
        <f aca="false">IFERROR(haverdata(Codes!$D$6,$A108),"")</f>
        <v/>
      </c>
      <c r="C108" s="18" t="str">
        <f aca="false">IFERROR(B108/B107-1,"")</f>
        <v/>
      </c>
      <c r="D108" s="18" t="str">
        <f aca="false">IFERROR(B108/B104-1,"")</f>
        <v/>
      </c>
      <c r="E108" s="19" t="str">
        <f aca="false">IFERROR(IF(B108="",IFERROR(GROWTH($B$104:$B$191,$A$104:$A$191,$A108),TREND($B$104:$B$191,$A$104:$A$191,$A108)),""),"")</f>
        <v/>
      </c>
      <c r="F108" s="19" t="str">
        <f aca="false">IFERROR(forecast.ets($A108,$B$104:$B$191,$A$104:$A$191,4,1,1),"")</f>
        <v/>
      </c>
      <c r="G108" s="19" t="str">
        <f aca="false">IFERROR(F108-forecast.ets.confint($A108,$B$104:$B$191,$A$104:$A$191,0.95,4,1,1),"")</f>
        <v/>
      </c>
      <c r="H108" s="19" t="str">
        <f aca="false">IFERROR(F108+forecast.ets.confint($A108,$B$104:$B$191,$A$104:$A$191,0.95,4,1,1),"")</f>
        <v/>
      </c>
      <c r="J108" s="20" t="n">
        <v>2012</v>
      </c>
      <c r="K108" s="19" t="str">
        <f aca="false">IFERROR(AVERAGEIFS($B$104:$B$191,$A$104:$A$191,"&gt;="&amp;DATE(J108,1,1),$A$104:$A$191,"&lt;="&amp;DATE(J108,12,31)),"")</f>
        <v/>
      </c>
      <c r="L108" s="18" t="str">
        <f aca="false">IFERROR(K108/K107-1,"")</f>
        <v/>
      </c>
      <c r="M108" s="19" t="str">
        <f aca="false">IFERROR(AVERAGEIFS($F$104:$F$191,$A$104:$A$191,"&gt;="&amp;DATE(J108,1,1),$A$104:$A$191,"&lt;="&amp;DATE(J108,12,31)),"")</f>
        <v/>
      </c>
    </row>
    <row r="109" customFormat="false" ht="15" hidden="false" customHeight="false" outlineLevel="0" collapsed="false">
      <c r="A109" s="21" t="n">
        <v>39904</v>
      </c>
      <c r="B109" s="22" t="str">
        <f aca="false">IFERROR(haverdata(Codes!$D$6,$A109),"")</f>
        <v/>
      </c>
      <c r="C109" s="23" t="str">
        <f aca="false">IFERROR(B109/B108-1,"")</f>
        <v/>
      </c>
      <c r="D109" s="23" t="str">
        <f aca="false">IFERROR(B109/B105-1,"")</f>
        <v/>
      </c>
      <c r="E109" s="24" t="str">
        <f aca="false">IFERROR(IF(B109="",IFERROR(GROWTH($B$104:$B$191,$A$104:$A$191,$A109),TREND($B$104:$B$191,$A$104:$A$191,$A109)),""),"")</f>
        <v/>
      </c>
      <c r="F109" s="24" t="str">
        <f aca="false">IFERROR(forecast.ets($A109,$B$104:$B$191,$A$104:$A$191,4,1,1),"")</f>
        <v/>
      </c>
      <c r="G109" s="24" t="str">
        <f aca="false">IFERROR(F109-forecast.ets.confint($A109,$B$104:$B$191,$A$104:$A$191,0.95,4,1,1),"")</f>
        <v/>
      </c>
      <c r="H109" s="24" t="str">
        <f aca="false">IFERROR(F109+forecast.ets.confint($A109,$B$104:$B$191,$A$104:$A$191,0.95,4,1,1),"")</f>
        <v/>
      </c>
      <c r="J109" s="25" t="n">
        <v>2013</v>
      </c>
      <c r="K109" s="24" t="str">
        <f aca="false">IFERROR(AVERAGEIFS($B$104:$B$191,$A$104:$A$191,"&gt;="&amp;DATE(J109,1,1),$A$104:$A$191,"&lt;="&amp;DATE(J109,12,31)),"")</f>
        <v/>
      </c>
      <c r="L109" s="23" t="str">
        <f aca="false">IFERROR(K109/K108-1,"")</f>
        <v/>
      </c>
      <c r="M109" s="24" t="str">
        <f aca="false">IFERROR(AVERAGEIFS($F$104:$F$191,$A$104:$A$191,"&gt;="&amp;DATE(J109,1,1),$A$104:$A$191,"&lt;="&amp;DATE(J109,12,31)),"")</f>
        <v/>
      </c>
    </row>
    <row r="110" customFormat="false" ht="15" hidden="false" customHeight="false" outlineLevel="0" collapsed="false">
      <c r="A110" s="16" t="n">
        <v>39995</v>
      </c>
      <c r="B110" s="17" t="str">
        <f aca="false">IFERROR(haverdata(Codes!$D$6,$A110),"")</f>
        <v/>
      </c>
      <c r="C110" s="18" t="str">
        <f aca="false">IFERROR(B110/B109-1,"")</f>
        <v/>
      </c>
      <c r="D110" s="18" t="str">
        <f aca="false">IFERROR(B110/B106-1,"")</f>
        <v/>
      </c>
      <c r="E110" s="19" t="str">
        <f aca="false">IFERROR(IF(B110="",IFERROR(GROWTH($B$104:$B$191,$A$104:$A$191,$A110),TREND($B$104:$B$191,$A$104:$A$191,$A110)),""),"")</f>
        <v/>
      </c>
      <c r="F110" s="19" t="str">
        <f aca="false">IFERROR(forecast.ets($A110,$B$104:$B$191,$A$104:$A$191,4,1,1),"")</f>
        <v/>
      </c>
      <c r="G110" s="19" t="str">
        <f aca="false">IFERROR(F110-forecast.ets.confint($A110,$B$104:$B$191,$A$104:$A$191,0.95,4,1,1),"")</f>
        <v/>
      </c>
      <c r="H110" s="19" t="str">
        <f aca="false">IFERROR(F110+forecast.ets.confint($A110,$B$104:$B$191,$A$104:$A$191,0.95,4,1,1),"")</f>
        <v/>
      </c>
      <c r="J110" s="20" t="n">
        <v>2014</v>
      </c>
      <c r="K110" s="19" t="str">
        <f aca="false">IFERROR(AVERAGEIFS($B$104:$B$191,$A$104:$A$191,"&gt;="&amp;DATE(J110,1,1),$A$104:$A$191,"&lt;="&amp;DATE(J110,12,31)),"")</f>
        <v/>
      </c>
      <c r="L110" s="18" t="str">
        <f aca="false">IFERROR(K110/K109-1,"")</f>
        <v/>
      </c>
      <c r="M110" s="19" t="str">
        <f aca="false">IFERROR(AVERAGEIFS($F$104:$F$191,$A$104:$A$191,"&gt;="&amp;DATE(J110,1,1),$A$104:$A$191,"&lt;="&amp;DATE(J110,12,31)),"")</f>
        <v/>
      </c>
    </row>
    <row r="111" customFormat="false" ht="15" hidden="false" customHeight="false" outlineLevel="0" collapsed="false">
      <c r="A111" s="21" t="n">
        <v>40087</v>
      </c>
      <c r="B111" s="22" t="str">
        <f aca="false">IFERROR(haverdata(Codes!$D$6,$A111),"")</f>
        <v/>
      </c>
      <c r="C111" s="23" t="str">
        <f aca="false">IFERROR(B111/B110-1,"")</f>
        <v/>
      </c>
      <c r="D111" s="23" t="str">
        <f aca="false">IFERROR(B111/B107-1,"")</f>
        <v/>
      </c>
      <c r="E111" s="24" t="str">
        <f aca="false">IFERROR(IF(B111="",IFERROR(GROWTH($B$104:$B$191,$A$104:$A$191,$A111),TREND($B$104:$B$191,$A$104:$A$191,$A111)),""),"")</f>
        <v/>
      </c>
      <c r="F111" s="24" t="str">
        <f aca="false">IFERROR(forecast.ets($A111,$B$104:$B$191,$A$104:$A$191,4,1,1),"")</f>
        <v/>
      </c>
      <c r="G111" s="24" t="str">
        <f aca="false">IFERROR(F111-forecast.ets.confint($A111,$B$104:$B$191,$A$104:$A$191,0.95,4,1,1),"")</f>
        <v/>
      </c>
      <c r="H111" s="24" t="str">
        <f aca="false">IFERROR(F111+forecast.ets.confint($A111,$B$104:$B$191,$A$104:$A$191,0.95,4,1,1),"")</f>
        <v/>
      </c>
      <c r="J111" s="25" t="n">
        <v>2015</v>
      </c>
      <c r="K111" s="24" t="str">
        <f aca="false">IFERROR(AVERAGEIFS($B$104:$B$191,$A$104:$A$191,"&gt;="&amp;DATE(J111,1,1),$A$104:$A$191,"&lt;="&amp;DATE(J111,12,31)),"")</f>
        <v/>
      </c>
      <c r="L111" s="23" t="str">
        <f aca="false">IFERROR(K111/K110-1,"")</f>
        <v/>
      </c>
      <c r="M111" s="24" t="str">
        <f aca="false">IFERROR(AVERAGEIFS($F$104:$F$191,$A$104:$A$191,"&gt;="&amp;DATE(J111,1,1),$A$104:$A$191,"&lt;="&amp;DATE(J111,12,31)),"")</f>
        <v/>
      </c>
    </row>
    <row r="112" customFormat="false" ht="15" hidden="false" customHeight="false" outlineLevel="0" collapsed="false">
      <c r="A112" s="16" t="n">
        <v>40179</v>
      </c>
      <c r="B112" s="17" t="str">
        <f aca="false">IFERROR(haverdata(Codes!$D$6,$A112),"")</f>
        <v/>
      </c>
      <c r="C112" s="18" t="str">
        <f aca="false">IFERROR(B112/B111-1,"")</f>
        <v/>
      </c>
      <c r="D112" s="18" t="str">
        <f aca="false">IFERROR(B112/B108-1,"")</f>
        <v/>
      </c>
      <c r="E112" s="19" t="str">
        <f aca="false">IFERROR(IF(B112="",IFERROR(GROWTH($B$104:$B$191,$A$104:$A$191,$A112),TREND($B$104:$B$191,$A$104:$A$191,$A112)),""),"")</f>
        <v/>
      </c>
      <c r="F112" s="19" t="str">
        <f aca="false">IFERROR(forecast.ets($A112,$B$104:$B$191,$A$104:$A$191,4,1,1),"")</f>
        <v/>
      </c>
      <c r="G112" s="19" t="str">
        <f aca="false">IFERROR(F112-forecast.ets.confint($A112,$B$104:$B$191,$A$104:$A$191,0.95,4,1,1),"")</f>
        <v/>
      </c>
      <c r="H112" s="19" t="str">
        <f aca="false">IFERROR(F112+forecast.ets.confint($A112,$B$104:$B$191,$A$104:$A$191,0.95,4,1,1),"")</f>
        <v/>
      </c>
      <c r="J112" s="20" t="n">
        <v>2016</v>
      </c>
      <c r="K112" s="19" t="str">
        <f aca="false">IFERROR(AVERAGEIFS($B$104:$B$191,$A$104:$A$191,"&gt;="&amp;DATE(J112,1,1),$A$104:$A$191,"&lt;="&amp;DATE(J112,12,31)),"")</f>
        <v/>
      </c>
      <c r="L112" s="18" t="str">
        <f aca="false">IFERROR(K112/K111-1,"")</f>
        <v/>
      </c>
      <c r="M112" s="19" t="str">
        <f aca="false">IFERROR(AVERAGEIFS($F$104:$F$191,$A$104:$A$191,"&gt;="&amp;DATE(J112,1,1),$A$104:$A$191,"&lt;="&amp;DATE(J112,12,31)),"")</f>
        <v/>
      </c>
    </row>
    <row r="113" customFormat="false" ht="15" hidden="false" customHeight="false" outlineLevel="0" collapsed="false">
      <c r="A113" s="21" t="n">
        <v>40269</v>
      </c>
      <c r="B113" s="22" t="str">
        <f aca="false">IFERROR(haverdata(Codes!$D$6,$A113),"")</f>
        <v/>
      </c>
      <c r="C113" s="23" t="str">
        <f aca="false">IFERROR(B113/B112-1,"")</f>
        <v/>
      </c>
      <c r="D113" s="23" t="str">
        <f aca="false">IFERROR(B113/B109-1,"")</f>
        <v/>
      </c>
      <c r="E113" s="24" t="str">
        <f aca="false">IFERROR(IF(B113="",IFERROR(GROWTH($B$104:$B$191,$A$104:$A$191,$A113),TREND($B$104:$B$191,$A$104:$A$191,$A113)),""),"")</f>
        <v/>
      </c>
      <c r="F113" s="24" t="str">
        <f aca="false">IFERROR(forecast.ets($A113,$B$104:$B$191,$A$104:$A$191,4,1,1),"")</f>
        <v/>
      </c>
      <c r="G113" s="24" t="str">
        <f aca="false">IFERROR(F113-forecast.ets.confint($A113,$B$104:$B$191,$A$104:$A$191,0.95,4,1,1),"")</f>
        <v/>
      </c>
      <c r="H113" s="24" t="str">
        <f aca="false">IFERROR(F113+forecast.ets.confint($A113,$B$104:$B$191,$A$104:$A$191,0.95,4,1,1),"")</f>
        <v/>
      </c>
      <c r="J113" s="25" t="n">
        <v>2017</v>
      </c>
      <c r="K113" s="24" t="str">
        <f aca="false">IFERROR(AVERAGEIFS($B$104:$B$191,$A$104:$A$191,"&gt;="&amp;DATE(J113,1,1),$A$104:$A$191,"&lt;="&amp;DATE(J113,12,31)),"")</f>
        <v/>
      </c>
      <c r="L113" s="23" t="str">
        <f aca="false">IFERROR(K113/K112-1,"")</f>
        <v/>
      </c>
      <c r="M113" s="24" t="str">
        <f aca="false">IFERROR(AVERAGEIFS($F$104:$F$191,$A$104:$A$191,"&gt;="&amp;DATE(J113,1,1),$A$104:$A$191,"&lt;="&amp;DATE(J113,12,31)),"")</f>
        <v/>
      </c>
    </row>
    <row r="114" customFormat="false" ht="15" hidden="false" customHeight="false" outlineLevel="0" collapsed="false">
      <c r="A114" s="16" t="n">
        <v>40360</v>
      </c>
      <c r="B114" s="17" t="str">
        <f aca="false">IFERROR(haverdata(Codes!$D$6,$A114),"")</f>
        <v/>
      </c>
      <c r="C114" s="18" t="str">
        <f aca="false">IFERROR(B114/B113-1,"")</f>
        <v/>
      </c>
      <c r="D114" s="18" t="str">
        <f aca="false">IFERROR(B114/B110-1,"")</f>
        <v/>
      </c>
      <c r="E114" s="19" t="str">
        <f aca="false">IFERROR(IF(B114="",IFERROR(GROWTH($B$104:$B$191,$A$104:$A$191,$A114),TREND($B$104:$B$191,$A$104:$A$191,$A114)),""),"")</f>
        <v/>
      </c>
      <c r="F114" s="19" t="str">
        <f aca="false">IFERROR(forecast.ets($A114,$B$104:$B$191,$A$104:$A$191,4,1,1),"")</f>
        <v/>
      </c>
      <c r="G114" s="19" t="str">
        <f aca="false">IFERROR(F114-forecast.ets.confint($A114,$B$104:$B$191,$A$104:$A$191,0.95,4,1,1),"")</f>
        <v/>
      </c>
      <c r="H114" s="19" t="str">
        <f aca="false">IFERROR(F114+forecast.ets.confint($A114,$B$104:$B$191,$A$104:$A$191,0.95,4,1,1),"")</f>
        <v/>
      </c>
      <c r="J114" s="20" t="n">
        <v>2018</v>
      </c>
      <c r="K114" s="19" t="str">
        <f aca="false">IFERROR(AVERAGEIFS($B$104:$B$191,$A$104:$A$191,"&gt;="&amp;DATE(J114,1,1),$A$104:$A$191,"&lt;="&amp;DATE(J114,12,31)),"")</f>
        <v/>
      </c>
      <c r="L114" s="18" t="str">
        <f aca="false">IFERROR(K114/K113-1,"")</f>
        <v/>
      </c>
      <c r="M114" s="19" t="str">
        <f aca="false">IFERROR(AVERAGEIFS($F$104:$F$191,$A$104:$A$191,"&gt;="&amp;DATE(J114,1,1),$A$104:$A$191,"&lt;="&amp;DATE(J114,12,31)),"")</f>
        <v/>
      </c>
    </row>
    <row r="115" customFormat="false" ht="15" hidden="false" customHeight="false" outlineLevel="0" collapsed="false">
      <c r="A115" s="21" t="n">
        <v>40452</v>
      </c>
      <c r="B115" s="22" t="str">
        <f aca="false">IFERROR(haverdata(Codes!$D$6,$A115),"")</f>
        <v/>
      </c>
      <c r="C115" s="23" t="str">
        <f aca="false">IFERROR(B115/B114-1,"")</f>
        <v/>
      </c>
      <c r="D115" s="23" t="str">
        <f aca="false">IFERROR(B115/B111-1,"")</f>
        <v/>
      </c>
      <c r="E115" s="24" t="str">
        <f aca="false">IFERROR(IF(B115="",IFERROR(GROWTH($B$104:$B$191,$A$104:$A$191,$A115),TREND($B$104:$B$191,$A$104:$A$191,$A115)),""),"")</f>
        <v/>
      </c>
      <c r="F115" s="24" t="str">
        <f aca="false">IFERROR(forecast.ets($A115,$B$104:$B$191,$A$104:$A$191,4,1,1),"")</f>
        <v/>
      </c>
      <c r="G115" s="24" t="str">
        <f aca="false">IFERROR(F115-forecast.ets.confint($A115,$B$104:$B$191,$A$104:$A$191,0.95,4,1,1),"")</f>
        <v/>
      </c>
      <c r="H115" s="24" t="str">
        <f aca="false">IFERROR(F115+forecast.ets.confint($A115,$B$104:$B$191,$A$104:$A$191,0.95,4,1,1),"")</f>
        <v/>
      </c>
      <c r="J115" s="25" t="n">
        <v>2019</v>
      </c>
      <c r="K115" s="24" t="str">
        <f aca="false">IFERROR(AVERAGEIFS($B$104:$B$191,$A$104:$A$191,"&gt;="&amp;DATE(J115,1,1),$A$104:$A$191,"&lt;="&amp;DATE(J115,12,31)),"")</f>
        <v/>
      </c>
      <c r="L115" s="23" t="str">
        <f aca="false">IFERROR(K115/K114-1,"")</f>
        <v/>
      </c>
      <c r="M115" s="24" t="str">
        <f aca="false">IFERROR(AVERAGEIFS($F$104:$F$191,$A$104:$A$191,"&gt;="&amp;DATE(J115,1,1),$A$104:$A$191,"&lt;="&amp;DATE(J115,12,31)),"")</f>
        <v/>
      </c>
    </row>
    <row r="116" customFormat="false" ht="15" hidden="false" customHeight="false" outlineLevel="0" collapsed="false">
      <c r="A116" s="16" t="n">
        <v>40544</v>
      </c>
      <c r="B116" s="17" t="str">
        <f aca="false">IFERROR(haverdata(Codes!$D$6,$A116),"")</f>
        <v/>
      </c>
      <c r="C116" s="18" t="str">
        <f aca="false">IFERROR(B116/B115-1,"")</f>
        <v/>
      </c>
      <c r="D116" s="18" t="str">
        <f aca="false">IFERROR(B116/B112-1,"")</f>
        <v/>
      </c>
      <c r="E116" s="19" t="str">
        <f aca="false">IFERROR(IF(B116="",IFERROR(GROWTH($B$104:$B$191,$A$104:$A$191,$A116),TREND($B$104:$B$191,$A$104:$A$191,$A116)),""),"")</f>
        <v/>
      </c>
      <c r="F116" s="19" t="str">
        <f aca="false">IFERROR(forecast.ets($A116,$B$104:$B$191,$A$104:$A$191,4,1,1),"")</f>
        <v/>
      </c>
      <c r="G116" s="19" t="str">
        <f aca="false">IFERROR(F116-forecast.ets.confint($A116,$B$104:$B$191,$A$104:$A$191,0.95,4,1,1),"")</f>
        <v/>
      </c>
      <c r="H116" s="19" t="str">
        <f aca="false">IFERROR(F116+forecast.ets.confint($A116,$B$104:$B$191,$A$104:$A$191,0.95,4,1,1),"")</f>
        <v/>
      </c>
      <c r="J116" s="20" t="n">
        <v>2020</v>
      </c>
      <c r="K116" s="19" t="str">
        <f aca="false">IFERROR(AVERAGEIFS($B$104:$B$191,$A$104:$A$191,"&gt;="&amp;DATE(J116,1,1),$A$104:$A$191,"&lt;="&amp;DATE(J116,12,31)),"")</f>
        <v/>
      </c>
      <c r="L116" s="18" t="str">
        <f aca="false">IFERROR(K116/K115-1,"")</f>
        <v/>
      </c>
      <c r="M116" s="19" t="str">
        <f aca="false">IFERROR(AVERAGEIFS($F$104:$F$191,$A$104:$A$191,"&gt;="&amp;DATE(J116,1,1),$A$104:$A$191,"&lt;="&amp;DATE(J116,12,31)),"")</f>
        <v/>
      </c>
    </row>
    <row r="117" customFormat="false" ht="15" hidden="false" customHeight="false" outlineLevel="0" collapsed="false">
      <c r="A117" s="21" t="n">
        <v>40634</v>
      </c>
      <c r="B117" s="22" t="str">
        <f aca="false">IFERROR(haverdata(Codes!$D$6,$A117),"")</f>
        <v/>
      </c>
      <c r="C117" s="23" t="str">
        <f aca="false">IFERROR(B117/B116-1,"")</f>
        <v/>
      </c>
      <c r="D117" s="23" t="str">
        <f aca="false">IFERROR(B117/B113-1,"")</f>
        <v/>
      </c>
      <c r="E117" s="24" t="str">
        <f aca="false">IFERROR(IF(B117="",IFERROR(GROWTH($B$104:$B$191,$A$104:$A$191,$A117),TREND($B$104:$B$191,$A$104:$A$191,$A117)),""),"")</f>
        <v/>
      </c>
      <c r="F117" s="24" t="str">
        <f aca="false">IFERROR(forecast.ets($A117,$B$104:$B$191,$A$104:$A$191,4,1,1),"")</f>
        <v/>
      </c>
      <c r="G117" s="24" t="str">
        <f aca="false">IFERROR(F117-forecast.ets.confint($A117,$B$104:$B$191,$A$104:$A$191,0.95,4,1,1),"")</f>
        <v/>
      </c>
      <c r="H117" s="24" t="str">
        <f aca="false">IFERROR(F117+forecast.ets.confint($A117,$B$104:$B$191,$A$104:$A$191,0.95,4,1,1),"")</f>
        <v/>
      </c>
      <c r="J117" s="25" t="n">
        <v>2021</v>
      </c>
      <c r="K117" s="24" t="str">
        <f aca="false">IFERROR(AVERAGEIFS($B$104:$B$191,$A$104:$A$191,"&gt;="&amp;DATE(J117,1,1),$A$104:$A$191,"&lt;="&amp;DATE(J117,12,31)),"")</f>
        <v/>
      </c>
      <c r="L117" s="23" t="str">
        <f aca="false">IFERROR(K117/K116-1,"")</f>
        <v/>
      </c>
      <c r="M117" s="24" t="str">
        <f aca="false">IFERROR(AVERAGEIFS($F$104:$F$191,$A$104:$A$191,"&gt;="&amp;DATE(J117,1,1),$A$104:$A$191,"&lt;="&amp;DATE(J117,12,31)),"")</f>
        <v/>
      </c>
    </row>
    <row r="118" customFormat="false" ht="15" hidden="false" customHeight="false" outlineLevel="0" collapsed="false">
      <c r="A118" s="16" t="n">
        <v>40725</v>
      </c>
      <c r="B118" s="17" t="str">
        <f aca="false">IFERROR(haverdata(Codes!$D$6,$A118),"")</f>
        <v/>
      </c>
      <c r="C118" s="18" t="str">
        <f aca="false">IFERROR(B118/B117-1,"")</f>
        <v/>
      </c>
      <c r="D118" s="18" t="str">
        <f aca="false">IFERROR(B118/B114-1,"")</f>
        <v/>
      </c>
      <c r="E118" s="19" t="str">
        <f aca="false">IFERROR(IF(B118="",IFERROR(GROWTH($B$104:$B$191,$A$104:$A$191,$A118),TREND($B$104:$B$191,$A$104:$A$191,$A118)),""),"")</f>
        <v/>
      </c>
      <c r="F118" s="19" t="str">
        <f aca="false">IFERROR(forecast.ets($A118,$B$104:$B$191,$A$104:$A$191,4,1,1),"")</f>
        <v/>
      </c>
      <c r="G118" s="19" t="str">
        <f aca="false">IFERROR(F118-forecast.ets.confint($A118,$B$104:$B$191,$A$104:$A$191,0.95,4,1,1),"")</f>
        <v/>
      </c>
      <c r="H118" s="19" t="str">
        <f aca="false">IFERROR(F118+forecast.ets.confint($A118,$B$104:$B$191,$A$104:$A$191,0.95,4,1,1),"")</f>
        <v/>
      </c>
      <c r="J118" s="20" t="n">
        <v>2022</v>
      </c>
      <c r="K118" s="19" t="str">
        <f aca="false">IFERROR(AVERAGEIFS($B$104:$B$191,$A$104:$A$191,"&gt;="&amp;DATE(J118,1,1),$A$104:$A$191,"&lt;="&amp;DATE(J118,12,31)),"")</f>
        <v/>
      </c>
      <c r="L118" s="18" t="str">
        <f aca="false">IFERROR(K118/K117-1,"")</f>
        <v/>
      </c>
      <c r="M118" s="19" t="str">
        <f aca="false">IFERROR(AVERAGEIFS($F$104:$F$191,$A$104:$A$191,"&gt;="&amp;DATE(J118,1,1),$A$104:$A$191,"&lt;="&amp;DATE(J118,12,31)),"")</f>
        <v/>
      </c>
    </row>
    <row r="119" customFormat="false" ht="15" hidden="false" customHeight="false" outlineLevel="0" collapsed="false">
      <c r="A119" s="21" t="n">
        <v>40817</v>
      </c>
      <c r="B119" s="22" t="str">
        <f aca="false">IFERROR(haverdata(Codes!$D$6,$A119),"")</f>
        <v/>
      </c>
      <c r="C119" s="23" t="str">
        <f aca="false">IFERROR(B119/B118-1,"")</f>
        <v/>
      </c>
      <c r="D119" s="23" t="str">
        <f aca="false">IFERROR(B119/B115-1,"")</f>
        <v/>
      </c>
      <c r="E119" s="24" t="str">
        <f aca="false">IFERROR(IF(B119="",IFERROR(GROWTH($B$104:$B$191,$A$104:$A$191,$A119),TREND($B$104:$B$191,$A$104:$A$191,$A119)),""),"")</f>
        <v/>
      </c>
      <c r="F119" s="24" t="str">
        <f aca="false">IFERROR(forecast.ets($A119,$B$104:$B$191,$A$104:$A$191,4,1,1),"")</f>
        <v/>
      </c>
      <c r="G119" s="24" t="str">
        <f aca="false">IFERROR(F119-forecast.ets.confint($A119,$B$104:$B$191,$A$104:$A$191,0.95,4,1,1),"")</f>
        <v/>
      </c>
      <c r="H119" s="24" t="str">
        <f aca="false">IFERROR(F119+forecast.ets.confint($A119,$B$104:$B$191,$A$104:$A$191,0.95,4,1,1),"")</f>
        <v/>
      </c>
      <c r="J119" s="25" t="n">
        <v>2023</v>
      </c>
      <c r="K119" s="24" t="str">
        <f aca="false">IFERROR(AVERAGEIFS($B$104:$B$191,$A$104:$A$191,"&gt;="&amp;DATE(J119,1,1),$A$104:$A$191,"&lt;="&amp;DATE(J119,12,31)),"")</f>
        <v/>
      </c>
      <c r="L119" s="23" t="str">
        <f aca="false">IFERROR(K119/K118-1,"")</f>
        <v/>
      </c>
      <c r="M119" s="24" t="str">
        <f aca="false">IFERROR(AVERAGEIFS($F$104:$F$191,$A$104:$A$191,"&gt;="&amp;DATE(J119,1,1),$A$104:$A$191,"&lt;="&amp;DATE(J119,12,31)),"")</f>
        <v/>
      </c>
    </row>
    <row r="120" customFormat="false" ht="15" hidden="false" customHeight="false" outlineLevel="0" collapsed="false">
      <c r="A120" s="16" t="n">
        <v>40909</v>
      </c>
      <c r="B120" s="17" t="str">
        <f aca="false">IFERROR(haverdata(Codes!$D$6,$A120),"")</f>
        <v/>
      </c>
      <c r="C120" s="18" t="str">
        <f aca="false">IFERROR(B120/B119-1,"")</f>
        <v/>
      </c>
      <c r="D120" s="18" t="str">
        <f aca="false">IFERROR(B120/B116-1,"")</f>
        <v/>
      </c>
      <c r="E120" s="19" t="str">
        <f aca="false">IFERROR(IF(B120="",IFERROR(GROWTH($B$104:$B$191,$A$104:$A$191,$A120),TREND($B$104:$B$191,$A$104:$A$191,$A120)),""),"")</f>
        <v/>
      </c>
      <c r="F120" s="19" t="str">
        <f aca="false">IFERROR(forecast.ets($A120,$B$104:$B$191,$A$104:$A$191,4,1,1),"")</f>
        <v/>
      </c>
      <c r="G120" s="19" t="str">
        <f aca="false">IFERROR(F120-forecast.ets.confint($A120,$B$104:$B$191,$A$104:$A$191,0.95,4,1,1),"")</f>
        <v/>
      </c>
      <c r="H120" s="19" t="str">
        <f aca="false">IFERROR(F120+forecast.ets.confint($A120,$B$104:$B$191,$A$104:$A$191,0.95,4,1,1),"")</f>
        <v/>
      </c>
      <c r="J120" s="20" t="n">
        <v>2024</v>
      </c>
      <c r="K120" s="19" t="str">
        <f aca="false">IFERROR(AVERAGEIFS($B$104:$B$191,$A$104:$A$191,"&gt;="&amp;DATE(J120,1,1),$A$104:$A$191,"&lt;="&amp;DATE(J120,12,31)),"")</f>
        <v/>
      </c>
      <c r="L120" s="18" t="str">
        <f aca="false">IFERROR(K120/K119-1,"")</f>
        <v/>
      </c>
      <c r="M120" s="19" t="str">
        <f aca="false">IFERROR(AVERAGEIFS($F$104:$F$191,$A$104:$A$191,"&gt;="&amp;DATE(J120,1,1),$A$104:$A$191,"&lt;="&amp;DATE(J120,12,31)),"")</f>
        <v/>
      </c>
    </row>
    <row r="121" customFormat="false" ht="15" hidden="false" customHeight="false" outlineLevel="0" collapsed="false">
      <c r="A121" s="21" t="n">
        <v>41000</v>
      </c>
      <c r="B121" s="22" t="str">
        <f aca="false">IFERROR(haverdata(Codes!$D$6,$A121),"")</f>
        <v/>
      </c>
      <c r="C121" s="23" t="str">
        <f aca="false">IFERROR(B121/B120-1,"")</f>
        <v/>
      </c>
      <c r="D121" s="23" t="str">
        <f aca="false">IFERROR(B121/B117-1,"")</f>
        <v/>
      </c>
      <c r="E121" s="24" t="str">
        <f aca="false">IFERROR(IF(B121="",IFERROR(GROWTH($B$104:$B$191,$A$104:$A$191,$A121),TREND($B$104:$B$191,$A$104:$A$191,$A121)),""),"")</f>
        <v/>
      </c>
      <c r="F121" s="24" t="str">
        <f aca="false">IFERROR(forecast.ets($A121,$B$104:$B$191,$A$104:$A$191,4,1,1),"")</f>
        <v/>
      </c>
      <c r="G121" s="24" t="str">
        <f aca="false">IFERROR(F121-forecast.ets.confint($A121,$B$104:$B$191,$A$104:$A$191,0.95,4,1,1),"")</f>
        <v/>
      </c>
      <c r="H121" s="24" t="str">
        <f aca="false">IFERROR(F121+forecast.ets.confint($A121,$B$104:$B$191,$A$104:$A$191,0.95,4,1,1),"")</f>
        <v/>
      </c>
      <c r="J121" s="25" t="n">
        <v>2025</v>
      </c>
      <c r="K121" s="24" t="str">
        <f aca="false">IFERROR(AVERAGEIFS($B$104:$B$191,$A$104:$A$191,"&gt;="&amp;DATE(J121,1,1),$A$104:$A$191,"&lt;="&amp;DATE(J121,12,31)),"")</f>
        <v/>
      </c>
      <c r="L121" s="23" t="str">
        <f aca="false">IFERROR(K121/K120-1,"")</f>
        <v/>
      </c>
      <c r="M121" s="24" t="str">
        <f aca="false">IFERROR(AVERAGEIFS($F$104:$F$191,$A$104:$A$191,"&gt;="&amp;DATE(J121,1,1),$A$104:$A$191,"&lt;="&amp;DATE(J121,12,31)),"")</f>
        <v/>
      </c>
    </row>
    <row r="122" customFormat="false" ht="15" hidden="false" customHeight="false" outlineLevel="0" collapsed="false">
      <c r="A122" s="16" t="n">
        <v>41091</v>
      </c>
      <c r="B122" s="17" t="str">
        <f aca="false">IFERROR(haverdata(Codes!$D$6,$A122),"")</f>
        <v/>
      </c>
      <c r="C122" s="18" t="str">
        <f aca="false">IFERROR(B122/B121-1,"")</f>
        <v/>
      </c>
      <c r="D122" s="18" t="str">
        <f aca="false">IFERROR(B122/B118-1,"")</f>
        <v/>
      </c>
      <c r="E122" s="19" t="str">
        <f aca="false">IFERROR(IF(B122="",IFERROR(GROWTH($B$104:$B$191,$A$104:$A$191,$A122),TREND($B$104:$B$191,$A$104:$A$191,$A122)),""),"")</f>
        <v/>
      </c>
      <c r="F122" s="19" t="str">
        <f aca="false">IFERROR(forecast.ets($A122,$B$104:$B$191,$A$104:$A$191,4,1,1),"")</f>
        <v/>
      </c>
      <c r="G122" s="19" t="str">
        <f aca="false">IFERROR(F122-forecast.ets.confint($A122,$B$104:$B$191,$A$104:$A$191,0.95,4,1,1),"")</f>
        <v/>
      </c>
      <c r="H122" s="19" t="str">
        <f aca="false">IFERROR(F122+forecast.ets.confint($A122,$B$104:$B$191,$A$104:$A$191,0.95,4,1,1),"")</f>
        <v/>
      </c>
      <c r="J122" s="20" t="n">
        <v>2026</v>
      </c>
      <c r="K122" s="19" t="str">
        <f aca="false">IFERROR(AVERAGEIFS($B$104:$B$191,$A$104:$A$191,"&gt;="&amp;DATE(J122,1,1),$A$104:$A$191,"&lt;="&amp;DATE(J122,12,31)),"")</f>
        <v/>
      </c>
      <c r="L122" s="18" t="str">
        <f aca="false">IFERROR(K122/K121-1,"")</f>
        <v/>
      </c>
      <c r="M122" s="19" t="str">
        <f aca="false">IFERROR(AVERAGEIFS($F$104:$F$191,$A$104:$A$191,"&gt;="&amp;DATE(J122,1,1),$A$104:$A$191,"&lt;="&amp;DATE(J122,12,31)),"")</f>
        <v/>
      </c>
    </row>
    <row r="123" customFormat="false" ht="15" hidden="false" customHeight="false" outlineLevel="0" collapsed="false">
      <c r="A123" s="21" t="n">
        <v>41183</v>
      </c>
      <c r="B123" s="22" t="str">
        <f aca="false">IFERROR(haverdata(Codes!$D$6,$A123),"")</f>
        <v/>
      </c>
      <c r="C123" s="23" t="str">
        <f aca="false">IFERROR(B123/B122-1,"")</f>
        <v/>
      </c>
      <c r="D123" s="23" t="str">
        <f aca="false">IFERROR(B123/B119-1,"")</f>
        <v/>
      </c>
      <c r="E123" s="24" t="str">
        <f aca="false">IFERROR(IF(B123="",IFERROR(GROWTH($B$104:$B$191,$A$104:$A$191,$A123),TREND($B$104:$B$191,$A$104:$A$191,$A123)),""),"")</f>
        <v/>
      </c>
      <c r="F123" s="24" t="str">
        <f aca="false">IFERROR(forecast.ets($A123,$B$104:$B$191,$A$104:$A$191,4,1,1),"")</f>
        <v/>
      </c>
      <c r="G123" s="24" t="str">
        <f aca="false">IFERROR(F123-forecast.ets.confint($A123,$B$104:$B$191,$A$104:$A$191,0.95,4,1,1),"")</f>
        <v/>
      </c>
      <c r="H123" s="24" t="str">
        <f aca="false">IFERROR(F123+forecast.ets.confint($A123,$B$104:$B$191,$A$104:$A$191,0.95,4,1,1),"")</f>
        <v/>
      </c>
      <c r="J123" s="25" t="n">
        <v>2027</v>
      </c>
      <c r="K123" s="24" t="str">
        <f aca="false">IFERROR(AVERAGEIFS($B$104:$B$191,$A$104:$A$191,"&gt;="&amp;DATE(J123,1,1),$A$104:$A$191,"&lt;="&amp;DATE(J123,12,31)),"")</f>
        <v/>
      </c>
      <c r="L123" s="23" t="str">
        <f aca="false">IFERROR(K123/K122-1,"")</f>
        <v/>
      </c>
      <c r="M123" s="24" t="str">
        <f aca="false">IFERROR(AVERAGEIFS($F$104:$F$191,$A$104:$A$191,"&gt;="&amp;DATE(J123,1,1),$A$104:$A$191,"&lt;="&amp;DATE(J123,12,31)),"")</f>
        <v/>
      </c>
    </row>
    <row r="124" customFormat="false" ht="15" hidden="false" customHeight="false" outlineLevel="0" collapsed="false">
      <c r="A124" s="16" t="n">
        <v>41275</v>
      </c>
      <c r="B124" s="17" t="str">
        <f aca="false">IFERROR(haverdata(Codes!$D$6,$A124),"")</f>
        <v/>
      </c>
      <c r="C124" s="18" t="str">
        <f aca="false">IFERROR(B124/B123-1,"")</f>
        <v/>
      </c>
      <c r="D124" s="18" t="str">
        <f aca="false">IFERROR(B124/B120-1,"")</f>
        <v/>
      </c>
      <c r="E124" s="19" t="str">
        <f aca="false">IFERROR(IF(B124="",IFERROR(GROWTH($B$104:$B$191,$A$104:$A$191,$A124),TREND($B$104:$B$191,$A$104:$A$191,$A124)),""),"")</f>
        <v/>
      </c>
      <c r="F124" s="19" t="str">
        <f aca="false">IFERROR(forecast.ets($A124,$B$104:$B$191,$A$104:$A$191,4,1,1),"")</f>
        <v/>
      </c>
      <c r="G124" s="19" t="str">
        <f aca="false">IFERROR(F124-forecast.ets.confint($A124,$B$104:$B$191,$A$104:$A$191,0.95,4,1,1),"")</f>
        <v/>
      </c>
      <c r="H124" s="19" t="str">
        <f aca="false">IFERROR(F124+forecast.ets.confint($A124,$B$104:$B$191,$A$104:$A$191,0.95,4,1,1),"")</f>
        <v/>
      </c>
      <c r="J124" s="20" t="n">
        <v>2028</v>
      </c>
      <c r="K124" s="19" t="str">
        <f aca="false">IFERROR(AVERAGEIFS($B$104:$B$191,$A$104:$A$191,"&gt;="&amp;DATE(J124,1,1),$A$104:$A$191,"&lt;="&amp;DATE(J124,12,31)),"")</f>
        <v/>
      </c>
      <c r="L124" s="18" t="str">
        <f aca="false">IFERROR(K124/K123-1,"")</f>
        <v/>
      </c>
      <c r="M124" s="19" t="str">
        <f aca="false">IFERROR(AVERAGEIFS($F$104:$F$191,$A$104:$A$191,"&gt;="&amp;DATE(J124,1,1),$A$104:$A$191,"&lt;="&amp;DATE(J124,12,31)),"")</f>
        <v/>
      </c>
    </row>
    <row r="125" customFormat="false" ht="15" hidden="false" customHeight="false" outlineLevel="0" collapsed="false">
      <c r="A125" s="21" t="n">
        <v>41365</v>
      </c>
      <c r="B125" s="22" t="str">
        <f aca="false">IFERROR(haverdata(Codes!$D$6,$A125),"")</f>
        <v/>
      </c>
      <c r="C125" s="23" t="str">
        <f aca="false">IFERROR(B125/B124-1,"")</f>
        <v/>
      </c>
      <c r="D125" s="23" t="str">
        <f aca="false">IFERROR(B125/B121-1,"")</f>
        <v/>
      </c>
      <c r="E125" s="24" t="str">
        <f aca="false">IFERROR(IF(B125="",IFERROR(GROWTH($B$104:$B$191,$A$104:$A$191,$A125),TREND($B$104:$B$191,$A$104:$A$191,$A125)),""),"")</f>
        <v/>
      </c>
      <c r="F125" s="24" t="str">
        <f aca="false">IFERROR(forecast.ets($A125,$B$104:$B$191,$A$104:$A$191,4,1,1),"")</f>
        <v/>
      </c>
      <c r="G125" s="24" t="str">
        <f aca="false">IFERROR(F125-forecast.ets.confint($A125,$B$104:$B$191,$A$104:$A$191,0.95,4,1,1),"")</f>
        <v/>
      </c>
      <c r="H125" s="24" t="str">
        <f aca="false">IFERROR(F125+forecast.ets.confint($A125,$B$104:$B$191,$A$104:$A$191,0.95,4,1,1),"")</f>
        <v/>
      </c>
      <c r="J125" s="25" t="n">
        <v>2029</v>
      </c>
      <c r="K125" s="24" t="str">
        <f aca="false">IFERROR(AVERAGEIFS($B$104:$B$191,$A$104:$A$191,"&gt;="&amp;DATE(J125,1,1),$A$104:$A$191,"&lt;="&amp;DATE(J125,12,31)),"")</f>
        <v/>
      </c>
      <c r="L125" s="23" t="str">
        <f aca="false">IFERROR(K125/K124-1,"")</f>
        <v/>
      </c>
      <c r="M125" s="24" t="str">
        <f aca="false">IFERROR(AVERAGEIFS($F$104:$F$191,$A$104:$A$191,"&gt;="&amp;DATE(J125,1,1),$A$104:$A$191,"&lt;="&amp;DATE(J125,12,31)),"")</f>
        <v/>
      </c>
    </row>
    <row r="126" customFormat="false" ht="15" hidden="false" customHeight="false" outlineLevel="0" collapsed="false">
      <c r="A126" s="16" t="n">
        <v>41456</v>
      </c>
      <c r="B126" s="17" t="str">
        <f aca="false">IFERROR(haverdata(Codes!$D$6,$A126),"")</f>
        <v/>
      </c>
      <c r="C126" s="18" t="str">
        <f aca="false">IFERROR(B126/B125-1,"")</f>
        <v/>
      </c>
      <c r="D126" s="18" t="str">
        <f aca="false">IFERROR(B126/B122-1,"")</f>
        <v/>
      </c>
      <c r="E126" s="19" t="str">
        <f aca="false">IFERROR(IF(B126="",IFERROR(GROWTH($B$104:$B$191,$A$104:$A$191,$A126),TREND($B$104:$B$191,$A$104:$A$191,$A126)),""),"")</f>
        <v/>
      </c>
      <c r="F126" s="19" t="str">
        <f aca="false">IFERROR(forecast.ets($A126,$B$104:$B$191,$A$104:$A$191,4,1,1),"")</f>
        <v/>
      </c>
      <c r="G126" s="19" t="str">
        <f aca="false">IFERROR(F126-forecast.ets.confint($A126,$B$104:$B$191,$A$104:$A$191,0.95,4,1,1),"")</f>
        <v/>
      </c>
      <c r="H126" s="19" t="str">
        <f aca="false">IFERROR(F126+forecast.ets.confint($A126,$B$104:$B$191,$A$104:$A$191,0.95,4,1,1),"")</f>
        <v/>
      </c>
    </row>
    <row r="127" customFormat="false" ht="15" hidden="false" customHeight="false" outlineLevel="0" collapsed="false">
      <c r="A127" s="21" t="n">
        <v>41548</v>
      </c>
      <c r="B127" s="22" t="str">
        <f aca="false">IFERROR(haverdata(Codes!$D$6,$A127),"")</f>
        <v/>
      </c>
      <c r="C127" s="23" t="str">
        <f aca="false">IFERROR(B127/B126-1,"")</f>
        <v/>
      </c>
      <c r="D127" s="23" t="str">
        <f aca="false">IFERROR(B127/B123-1,"")</f>
        <v/>
      </c>
      <c r="E127" s="24" t="str">
        <f aca="false">IFERROR(IF(B127="",IFERROR(GROWTH($B$104:$B$191,$A$104:$A$191,$A127),TREND($B$104:$B$191,$A$104:$A$191,$A127)),""),"")</f>
        <v/>
      </c>
      <c r="F127" s="24" t="str">
        <f aca="false">IFERROR(forecast.ets($A127,$B$104:$B$191,$A$104:$A$191,4,1,1),"")</f>
        <v/>
      </c>
      <c r="G127" s="24" t="str">
        <f aca="false">IFERROR(F127-forecast.ets.confint($A127,$B$104:$B$191,$A$104:$A$191,0.95,4,1,1),"")</f>
        <v/>
      </c>
      <c r="H127" s="24" t="str">
        <f aca="false">IFERROR(F127+forecast.ets.confint($A127,$B$104:$B$191,$A$104:$A$191,0.95,4,1,1),"")</f>
        <v/>
      </c>
    </row>
    <row r="128" customFormat="false" ht="15" hidden="false" customHeight="false" outlineLevel="0" collapsed="false">
      <c r="A128" s="16" t="n">
        <v>41640</v>
      </c>
      <c r="B128" s="17" t="str">
        <f aca="false">IFERROR(haverdata(Codes!$D$6,$A128),"")</f>
        <v/>
      </c>
      <c r="C128" s="18" t="str">
        <f aca="false">IFERROR(B128/B127-1,"")</f>
        <v/>
      </c>
      <c r="D128" s="18" t="str">
        <f aca="false">IFERROR(B128/B124-1,"")</f>
        <v/>
      </c>
      <c r="E128" s="19" t="str">
        <f aca="false">IFERROR(IF(B128="",IFERROR(GROWTH($B$104:$B$191,$A$104:$A$191,$A128),TREND($B$104:$B$191,$A$104:$A$191,$A128)),""),"")</f>
        <v/>
      </c>
      <c r="F128" s="19" t="str">
        <f aca="false">IFERROR(forecast.ets($A128,$B$104:$B$191,$A$104:$A$191,4,1,1),"")</f>
        <v/>
      </c>
      <c r="G128" s="19" t="str">
        <f aca="false">IFERROR(F128-forecast.ets.confint($A128,$B$104:$B$191,$A$104:$A$191,0.95,4,1,1),"")</f>
        <v/>
      </c>
      <c r="H128" s="19" t="str">
        <f aca="false">IFERROR(F128+forecast.ets.confint($A128,$B$104:$B$191,$A$104:$A$191,0.95,4,1,1),"")</f>
        <v/>
      </c>
    </row>
    <row r="129" customFormat="false" ht="15" hidden="false" customHeight="false" outlineLevel="0" collapsed="false">
      <c r="A129" s="21" t="n">
        <v>41730</v>
      </c>
      <c r="B129" s="22" t="str">
        <f aca="false">IFERROR(haverdata(Codes!$D$6,$A129),"")</f>
        <v/>
      </c>
      <c r="C129" s="23" t="str">
        <f aca="false">IFERROR(B129/B128-1,"")</f>
        <v/>
      </c>
      <c r="D129" s="23" t="str">
        <f aca="false">IFERROR(B129/B125-1,"")</f>
        <v/>
      </c>
      <c r="E129" s="24" t="str">
        <f aca="false">IFERROR(IF(B129="",IFERROR(GROWTH($B$104:$B$191,$A$104:$A$191,$A129),TREND($B$104:$B$191,$A$104:$A$191,$A129)),""),"")</f>
        <v/>
      </c>
      <c r="F129" s="24" t="str">
        <f aca="false">IFERROR(forecast.ets($A129,$B$104:$B$191,$A$104:$A$191,4,1,1),"")</f>
        <v/>
      </c>
      <c r="G129" s="24" t="str">
        <f aca="false">IFERROR(F129-forecast.ets.confint($A129,$B$104:$B$191,$A$104:$A$191,0.95,4,1,1),"")</f>
        <v/>
      </c>
      <c r="H129" s="24" t="str">
        <f aca="false">IFERROR(F129+forecast.ets.confint($A129,$B$104:$B$191,$A$104:$A$191,0.95,4,1,1),"")</f>
        <v/>
      </c>
    </row>
    <row r="130" customFormat="false" ht="15" hidden="false" customHeight="false" outlineLevel="0" collapsed="false">
      <c r="A130" s="16" t="n">
        <v>41821</v>
      </c>
      <c r="B130" s="17" t="str">
        <f aca="false">IFERROR(haverdata(Codes!$D$6,$A130),"")</f>
        <v/>
      </c>
      <c r="C130" s="18" t="str">
        <f aca="false">IFERROR(B130/B129-1,"")</f>
        <v/>
      </c>
      <c r="D130" s="18" t="str">
        <f aca="false">IFERROR(B130/B126-1,"")</f>
        <v/>
      </c>
      <c r="E130" s="19" t="str">
        <f aca="false">IFERROR(IF(B130="",IFERROR(GROWTH($B$104:$B$191,$A$104:$A$191,$A130),TREND($B$104:$B$191,$A$104:$A$191,$A130)),""),"")</f>
        <v/>
      </c>
      <c r="F130" s="19" t="str">
        <f aca="false">IFERROR(forecast.ets($A130,$B$104:$B$191,$A$104:$A$191,4,1,1),"")</f>
        <v/>
      </c>
      <c r="G130" s="19" t="str">
        <f aca="false">IFERROR(F130-forecast.ets.confint($A130,$B$104:$B$191,$A$104:$A$191,0.95,4,1,1),"")</f>
        <v/>
      </c>
      <c r="H130" s="19" t="str">
        <f aca="false">IFERROR(F130+forecast.ets.confint($A130,$B$104:$B$191,$A$104:$A$191,0.95,4,1,1),"")</f>
        <v/>
      </c>
    </row>
    <row r="131" customFormat="false" ht="15" hidden="false" customHeight="false" outlineLevel="0" collapsed="false">
      <c r="A131" s="21" t="n">
        <v>41913</v>
      </c>
      <c r="B131" s="22" t="str">
        <f aca="false">IFERROR(haverdata(Codes!$D$6,$A131),"")</f>
        <v/>
      </c>
      <c r="C131" s="23" t="str">
        <f aca="false">IFERROR(B131/B130-1,"")</f>
        <v/>
      </c>
      <c r="D131" s="23" t="str">
        <f aca="false">IFERROR(B131/B127-1,"")</f>
        <v/>
      </c>
      <c r="E131" s="24" t="str">
        <f aca="false">IFERROR(IF(B131="",IFERROR(GROWTH($B$104:$B$191,$A$104:$A$191,$A131),TREND($B$104:$B$191,$A$104:$A$191,$A131)),""),"")</f>
        <v/>
      </c>
      <c r="F131" s="24" t="str">
        <f aca="false">IFERROR(forecast.ets($A131,$B$104:$B$191,$A$104:$A$191,4,1,1),"")</f>
        <v/>
      </c>
      <c r="G131" s="24" t="str">
        <f aca="false">IFERROR(F131-forecast.ets.confint($A131,$B$104:$B$191,$A$104:$A$191,0.95,4,1,1),"")</f>
        <v/>
      </c>
      <c r="H131" s="24" t="str">
        <f aca="false">IFERROR(F131+forecast.ets.confint($A131,$B$104:$B$191,$A$104:$A$191,0.95,4,1,1),"")</f>
        <v/>
      </c>
    </row>
    <row r="132" customFormat="false" ht="15" hidden="false" customHeight="false" outlineLevel="0" collapsed="false">
      <c r="A132" s="16" t="n">
        <v>42005</v>
      </c>
      <c r="B132" s="17" t="str">
        <f aca="false">IFERROR(haverdata(Codes!$D$6,$A132),"")</f>
        <v/>
      </c>
      <c r="C132" s="18" t="str">
        <f aca="false">IFERROR(B132/B131-1,"")</f>
        <v/>
      </c>
      <c r="D132" s="18" t="str">
        <f aca="false">IFERROR(B132/B128-1,"")</f>
        <v/>
      </c>
      <c r="E132" s="19" t="str">
        <f aca="false">IFERROR(IF(B132="",IFERROR(GROWTH($B$104:$B$191,$A$104:$A$191,$A132),TREND($B$104:$B$191,$A$104:$A$191,$A132)),""),"")</f>
        <v/>
      </c>
      <c r="F132" s="19" t="str">
        <f aca="false">IFERROR(forecast.ets($A132,$B$104:$B$191,$A$104:$A$191,4,1,1),"")</f>
        <v/>
      </c>
      <c r="G132" s="19" t="str">
        <f aca="false">IFERROR(F132-forecast.ets.confint($A132,$B$104:$B$191,$A$104:$A$191,0.95,4,1,1),"")</f>
        <v/>
      </c>
      <c r="H132" s="19" t="str">
        <f aca="false">IFERROR(F132+forecast.ets.confint($A132,$B$104:$B$191,$A$104:$A$191,0.95,4,1,1),"")</f>
        <v/>
      </c>
    </row>
    <row r="133" customFormat="false" ht="15" hidden="false" customHeight="false" outlineLevel="0" collapsed="false">
      <c r="A133" s="21" t="n">
        <v>42095</v>
      </c>
      <c r="B133" s="22" t="str">
        <f aca="false">IFERROR(haverdata(Codes!$D$6,$A133),"")</f>
        <v/>
      </c>
      <c r="C133" s="23" t="str">
        <f aca="false">IFERROR(B133/B132-1,"")</f>
        <v/>
      </c>
      <c r="D133" s="23" t="str">
        <f aca="false">IFERROR(B133/B129-1,"")</f>
        <v/>
      </c>
      <c r="E133" s="24" t="str">
        <f aca="false">IFERROR(IF(B133="",IFERROR(GROWTH($B$104:$B$191,$A$104:$A$191,$A133),TREND($B$104:$B$191,$A$104:$A$191,$A133)),""),"")</f>
        <v/>
      </c>
      <c r="F133" s="24" t="str">
        <f aca="false">IFERROR(forecast.ets($A133,$B$104:$B$191,$A$104:$A$191,4,1,1),"")</f>
        <v/>
      </c>
      <c r="G133" s="24" t="str">
        <f aca="false">IFERROR(F133-forecast.ets.confint($A133,$B$104:$B$191,$A$104:$A$191,0.95,4,1,1),"")</f>
        <v/>
      </c>
      <c r="H133" s="24" t="str">
        <f aca="false">IFERROR(F133+forecast.ets.confint($A133,$B$104:$B$191,$A$104:$A$191,0.95,4,1,1),"")</f>
        <v/>
      </c>
    </row>
    <row r="134" customFormat="false" ht="15" hidden="false" customHeight="false" outlineLevel="0" collapsed="false">
      <c r="A134" s="16" t="n">
        <v>42186</v>
      </c>
      <c r="B134" s="17" t="str">
        <f aca="false">IFERROR(haverdata(Codes!$D$6,$A134),"")</f>
        <v/>
      </c>
      <c r="C134" s="18" t="str">
        <f aca="false">IFERROR(B134/B133-1,"")</f>
        <v/>
      </c>
      <c r="D134" s="18" t="str">
        <f aca="false">IFERROR(B134/B130-1,"")</f>
        <v/>
      </c>
      <c r="E134" s="19" t="str">
        <f aca="false">IFERROR(IF(B134="",IFERROR(GROWTH($B$104:$B$191,$A$104:$A$191,$A134),TREND($B$104:$B$191,$A$104:$A$191,$A134)),""),"")</f>
        <v/>
      </c>
      <c r="F134" s="19" t="str">
        <f aca="false">IFERROR(forecast.ets($A134,$B$104:$B$191,$A$104:$A$191,4,1,1),"")</f>
        <v/>
      </c>
      <c r="G134" s="19" t="str">
        <f aca="false">IFERROR(F134-forecast.ets.confint($A134,$B$104:$B$191,$A$104:$A$191,0.95,4,1,1),"")</f>
        <v/>
      </c>
      <c r="H134" s="19" t="str">
        <f aca="false">IFERROR(F134+forecast.ets.confint($A134,$B$104:$B$191,$A$104:$A$191,0.95,4,1,1),"")</f>
        <v/>
      </c>
    </row>
    <row r="135" customFormat="false" ht="15" hidden="false" customHeight="false" outlineLevel="0" collapsed="false">
      <c r="A135" s="21" t="n">
        <v>42278</v>
      </c>
      <c r="B135" s="22" t="str">
        <f aca="false">IFERROR(haverdata(Codes!$D$6,$A135),"")</f>
        <v/>
      </c>
      <c r="C135" s="23" t="str">
        <f aca="false">IFERROR(B135/B134-1,"")</f>
        <v/>
      </c>
      <c r="D135" s="23" t="str">
        <f aca="false">IFERROR(B135/B131-1,"")</f>
        <v/>
      </c>
      <c r="E135" s="24" t="str">
        <f aca="false">IFERROR(IF(B135="",IFERROR(GROWTH($B$104:$B$191,$A$104:$A$191,$A135),TREND($B$104:$B$191,$A$104:$A$191,$A135)),""),"")</f>
        <v/>
      </c>
      <c r="F135" s="24" t="str">
        <f aca="false">IFERROR(forecast.ets($A135,$B$104:$B$191,$A$104:$A$191,4,1,1),"")</f>
        <v/>
      </c>
      <c r="G135" s="24" t="str">
        <f aca="false">IFERROR(F135-forecast.ets.confint($A135,$B$104:$B$191,$A$104:$A$191,0.95,4,1,1),"")</f>
        <v/>
      </c>
      <c r="H135" s="24" t="str">
        <f aca="false">IFERROR(F135+forecast.ets.confint($A135,$B$104:$B$191,$A$104:$A$191,0.95,4,1,1),"")</f>
        <v/>
      </c>
    </row>
    <row r="136" customFormat="false" ht="15" hidden="false" customHeight="false" outlineLevel="0" collapsed="false">
      <c r="A136" s="16" t="n">
        <v>42370</v>
      </c>
      <c r="B136" s="17" t="str">
        <f aca="false">IFERROR(haverdata(Codes!$D$6,$A136),"")</f>
        <v/>
      </c>
      <c r="C136" s="18" t="str">
        <f aca="false">IFERROR(B136/B135-1,"")</f>
        <v/>
      </c>
      <c r="D136" s="18" t="str">
        <f aca="false">IFERROR(B136/B132-1,"")</f>
        <v/>
      </c>
      <c r="E136" s="19" t="str">
        <f aca="false">IFERROR(IF(B136="",IFERROR(GROWTH($B$104:$B$191,$A$104:$A$191,$A136),TREND($B$104:$B$191,$A$104:$A$191,$A136)),""),"")</f>
        <v/>
      </c>
      <c r="F136" s="19" t="str">
        <f aca="false">IFERROR(forecast.ets($A136,$B$104:$B$191,$A$104:$A$191,4,1,1),"")</f>
        <v/>
      </c>
      <c r="G136" s="19" t="str">
        <f aca="false">IFERROR(F136-forecast.ets.confint($A136,$B$104:$B$191,$A$104:$A$191,0.95,4,1,1),"")</f>
        <v/>
      </c>
      <c r="H136" s="19" t="str">
        <f aca="false">IFERROR(F136+forecast.ets.confint($A136,$B$104:$B$191,$A$104:$A$191,0.95,4,1,1),"")</f>
        <v/>
      </c>
    </row>
    <row r="137" customFormat="false" ht="15" hidden="false" customHeight="false" outlineLevel="0" collapsed="false">
      <c r="A137" s="21" t="n">
        <v>42461</v>
      </c>
      <c r="B137" s="22" t="str">
        <f aca="false">IFERROR(haverdata(Codes!$D$6,$A137),"")</f>
        <v/>
      </c>
      <c r="C137" s="23" t="str">
        <f aca="false">IFERROR(B137/B136-1,"")</f>
        <v/>
      </c>
      <c r="D137" s="23" t="str">
        <f aca="false">IFERROR(B137/B133-1,"")</f>
        <v/>
      </c>
      <c r="E137" s="24" t="str">
        <f aca="false">IFERROR(IF(B137="",IFERROR(GROWTH($B$104:$B$191,$A$104:$A$191,$A137),TREND($B$104:$B$191,$A$104:$A$191,$A137)),""),"")</f>
        <v/>
      </c>
      <c r="F137" s="24" t="str">
        <f aca="false">IFERROR(forecast.ets($A137,$B$104:$B$191,$A$104:$A$191,4,1,1),"")</f>
        <v/>
      </c>
      <c r="G137" s="24" t="str">
        <f aca="false">IFERROR(F137-forecast.ets.confint($A137,$B$104:$B$191,$A$104:$A$191,0.95,4,1,1),"")</f>
        <v/>
      </c>
      <c r="H137" s="24" t="str">
        <f aca="false">IFERROR(F137+forecast.ets.confint($A137,$B$104:$B$191,$A$104:$A$191,0.95,4,1,1),"")</f>
        <v/>
      </c>
    </row>
    <row r="138" customFormat="false" ht="15" hidden="false" customHeight="false" outlineLevel="0" collapsed="false">
      <c r="A138" s="16" t="n">
        <v>42552</v>
      </c>
      <c r="B138" s="17" t="str">
        <f aca="false">IFERROR(haverdata(Codes!$D$6,$A138),"")</f>
        <v/>
      </c>
      <c r="C138" s="18" t="str">
        <f aca="false">IFERROR(B138/B137-1,"")</f>
        <v/>
      </c>
      <c r="D138" s="18" t="str">
        <f aca="false">IFERROR(B138/B134-1,"")</f>
        <v/>
      </c>
      <c r="E138" s="19" t="str">
        <f aca="false">IFERROR(IF(B138="",IFERROR(GROWTH($B$104:$B$191,$A$104:$A$191,$A138),TREND($B$104:$B$191,$A$104:$A$191,$A138)),""),"")</f>
        <v/>
      </c>
      <c r="F138" s="19" t="str">
        <f aca="false">IFERROR(forecast.ets($A138,$B$104:$B$191,$A$104:$A$191,4,1,1),"")</f>
        <v/>
      </c>
      <c r="G138" s="19" t="str">
        <f aca="false">IFERROR(F138-forecast.ets.confint($A138,$B$104:$B$191,$A$104:$A$191,0.95,4,1,1),"")</f>
        <v/>
      </c>
      <c r="H138" s="19" t="str">
        <f aca="false">IFERROR(F138+forecast.ets.confint($A138,$B$104:$B$191,$A$104:$A$191,0.95,4,1,1),"")</f>
        <v/>
      </c>
    </row>
    <row r="139" customFormat="false" ht="15" hidden="false" customHeight="false" outlineLevel="0" collapsed="false">
      <c r="A139" s="21" t="n">
        <v>42644</v>
      </c>
      <c r="B139" s="22" t="str">
        <f aca="false">IFERROR(haverdata(Codes!$D$6,$A139),"")</f>
        <v/>
      </c>
      <c r="C139" s="23" t="str">
        <f aca="false">IFERROR(B139/B138-1,"")</f>
        <v/>
      </c>
      <c r="D139" s="23" t="str">
        <f aca="false">IFERROR(B139/B135-1,"")</f>
        <v/>
      </c>
      <c r="E139" s="24" t="str">
        <f aca="false">IFERROR(IF(B139="",IFERROR(GROWTH($B$104:$B$191,$A$104:$A$191,$A139),TREND($B$104:$B$191,$A$104:$A$191,$A139)),""),"")</f>
        <v/>
      </c>
      <c r="F139" s="24" t="str">
        <f aca="false">IFERROR(forecast.ets($A139,$B$104:$B$191,$A$104:$A$191,4,1,1),"")</f>
        <v/>
      </c>
      <c r="G139" s="24" t="str">
        <f aca="false">IFERROR(F139-forecast.ets.confint($A139,$B$104:$B$191,$A$104:$A$191,0.95,4,1,1),"")</f>
        <v/>
      </c>
      <c r="H139" s="24" t="str">
        <f aca="false">IFERROR(F139+forecast.ets.confint($A139,$B$104:$B$191,$A$104:$A$191,0.95,4,1,1),"")</f>
        <v/>
      </c>
    </row>
    <row r="140" customFormat="false" ht="15" hidden="false" customHeight="false" outlineLevel="0" collapsed="false">
      <c r="A140" s="16" t="n">
        <v>42736</v>
      </c>
      <c r="B140" s="17" t="str">
        <f aca="false">IFERROR(haverdata(Codes!$D$6,$A140),"")</f>
        <v/>
      </c>
      <c r="C140" s="18" t="str">
        <f aca="false">IFERROR(B140/B139-1,"")</f>
        <v/>
      </c>
      <c r="D140" s="18" t="str">
        <f aca="false">IFERROR(B140/B136-1,"")</f>
        <v/>
      </c>
      <c r="E140" s="19" t="str">
        <f aca="false">IFERROR(IF(B140="",IFERROR(GROWTH($B$104:$B$191,$A$104:$A$191,$A140),TREND($B$104:$B$191,$A$104:$A$191,$A140)),""),"")</f>
        <v/>
      </c>
      <c r="F140" s="19" t="str">
        <f aca="false">IFERROR(forecast.ets($A140,$B$104:$B$191,$A$104:$A$191,4,1,1),"")</f>
        <v/>
      </c>
      <c r="G140" s="19" t="str">
        <f aca="false">IFERROR(F140-forecast.ets.confint($A140,$B$104:$B$191,$A$104:$A$191,0.95,4,1,1),"")</f>
        <v/>
      </c>
      <c r="H140" s="19" t="str">
        <f aca="false">IFERROR(F140+forecast.ets.confint($A140,$B$104:$B$191,$A$104:$A$191,0.95,4,1,1),"")</f>
        <v/>
      </c>
    </row>
    <row r="141" customFormat="false" ht="15" hidden="false" customHeight="false" outlineLevel="0" collapsed="false">
      <c r="A141" s="21" t="n">
        <v>42826</v>
      </c>
      <c r="B141" s="22" t="str">
        <f aca="false">IFERROR(haverdata(Codes!$D$6,$A141),"")</f>
        <v/>
      </c>
      <c r="C141" s="23" t="str">
        <f aca="false">IFERROR(B141/B140-1,"")</f>
        <v/>
      </c>
      <c r="D141" s="23" t="str">
        <f aca="false">IFERROR(B141/B137-1,"")</f>
        <v/>
      </c>
      <c r="E141" s="24" t="str">
        <f aca="false">IFERROR(IF(B141="",IFERROR(GROWTH($B$104:$B$191,$A$104:$A$191,$A141),TREND($B$104:$B$191,$A$104:$A$191,$A141)),""),"")</f>
        <v/>
      </c>
      <c r="F141" s="24" t="str">
        <f aca="false">IFERROR(forecast.ets($A141,$B$104:$B$191,$A$104:$A$191,4,1,1),"")</f>
        <v/>
      </c>
      <c r="G141" s="24" t="str">
        <f aca="false">IFERROR(F141-forecast.ets.confint($A141,$B$104:$B$191,$A$104:$A$191,0.95,4,1,1),"")</f>
        <v/>
      </c>
      <c r="H141" s="24" t="str">
        <f aca="false">IFERROR(F141+forecast.ets.confint($A141,$B$104:$B$191,$A$104:$A$191,0.95,4,1,1),"")</f>
        <v/>
      </c>
    </row>
    <row r="142" customFormat="false" ht="15" hidden="false" customHeight="false" outlineLevel="0" collapsed="false">
      <c r="A142" s="16" t="n">
        <v>42917</v>
      </c>
      <c r="B142" s="17" t="str">
        <f aca="false">IFERROR(haverdata(Codes!$D$6,$A142),"")</f>
        <v/>
      </c>
      <c r="C142" s="18" t="str">
        <f aca="false">IFERROR(B142/B141-1,"")</f>
        <v/>
      </c>
      <c r="D142" s="18" t="str">
        <f aca="false">IFERROR(B142/B138-1,"")</f>
        <v/>
      </c>
      <c r="E142" s="19" t="str">
        <f aca="false">IFERROR(IF(B142="",IFERROR(GROWTH($B$104:$B$191,$A$104:$A$191,$A142),TREND($B$104:$B$191,$A$104:$A$191,$A142)),""),"")</f>
        <v/>
      </c>
      <c r="F142" s="19" t="str">
        <f aca="false">IFERROR(forecast.ets($A142,$B$104:$B$191,$A$104:$A$191,4,1,1),"")</f>
        <v/>
      </c>
      <c r="G142" s="19" t="str">
        <f aca="false">IFERROR(F142-forecast.ets.confint($A142,$B$104:$B$191,$A$104:$A$191,0.95,4,1,1),"")</f>
        <v/>
      </c>
      <c r="H142" s="19" t="str">
        <f aca="false">IFERROR(F142+forecast.ets.confint($A142,$B$104:$B$191,$A$104:$A$191,0.95,4,1,1),"")</f>
        <v/>
      </c>
    </row>
    <row r="143" customFormat="false" ht="15" hidden="false" customHeight="false" outlineLevel="0" collapsed="false">
      <c r="A143" s="21" t="n">
        <v>43009</v>
      </c>
      <c r="B143" s="22" t="str">
        <f aca="false">IFERROR(haverdata(Codes!$D$6,$A143),"")</f>
        <v/>
      </c>
      <c r="C143" s="23" t="str">
        <f aca="false">IFERROR(B143/B142-1,"")</f>
        <v/>
      </c>
      <c r="D143" s="23" t="str">
        <f aca="false">IFERROR(B143/B139-1,"")</f>
        <v/>
      </c>
      <c r="E143" s="24" t="str">
        <f aca="false">IFERROR(IF(B143="",IFERROR(GROWTH($B$104:$B$191,$A$104:$A$191,$A143),TREND($B$104:$B$191,$A$104:$A$191,$A143)),""),"")</f>
        <v/>
      </c>
      <c r="F143" s="24" t="str">
        <f aca="false">IFERROR(forecast.ets($A143,$B$104:$B$191,$A$104:$A$191,4,1,1),"")</f>
        <v/>
      </c>
      <c r="G143" s="24" t="str">
        <f aca="false">IFERROR(F143-forecast.ets.confint($A143,$B$104:$B$191,$A$104:$A$191,0.95,4,1,1),"")</f>
        <v/>
      </c>
      <c r="H143" s="24" t="str">
        <f aca="false">IFERROR(F143+forecast.ets.confint($A143,$B$104:$B$191,$A$104:$A$191,0.95,4,1,1),"")</f>
        <v/>
      </c>
    </row>
    <row r="144" customFormat="false" ht="15" hidden="false" customHeight="false" outlineLevel="0" collapsed="false">
      <c r="A144" s="16" t="n">
        <v>43101</v>
      </c>
      <c r="B144" s="17" t="str">
        <f aca="false">IFERROR(haverdata(Codes!$D$6,$A144),"")</f>
        <v/>
      </c>
      <c r="C144" s="18" t="str">
        <f aca="false">IFERROR(B144/B143-1,"")</f>
        <v/>
      </c>
      <c r="D144" s="18" t="str">
        <f aca="false">IFERROR(B144/B140-1,"")</f>
        <v/>
      </c>
      <c r="E144" s="19" t="str">
        <f aca="false">IFERROR(IF(B144="",IFERROR(GROWTH($B$104:$B$191,$A$104:$A$191,$A144),TREND($B$104:$B$191,$A$104:$A$191,$A144)),""),"")</f>
        <v/>
      </c>
      <c r="F144" s="19" t="str">
        <f aca="false">IFERROR(forecast.ets($A144,$B$104:$B$191,$A$104:$A$191,4,1,1),"")</f>
        <v/>
      </c>
      <c r="G144" s="19" t="str">
        <f aca="false">IFERROR(F144-forecast.ets.confint($A144,$B$104:$B$191,$A$104:$A$191,0.95,4,1,1),"")</f>
        <v/>
      </c>
      <c r="H144" s="19" t="str">
        <f aca="false">IFERROR(F144+forecast.ets.confint($A144,$B$104:$B$191,$A$104:$A$191,0.95,4,1,1),"")</f>
        <v/>
      </c>
    </row>
    <row r="145" customFormat="false" ht="15" hidden="false" customHeight="false" outlineLevel="0" collapsed="false">
      <c r="A145" s="21" t="n">
        <v>43191</v>
      </c>
      <c r="B145" s="22" t="str">
        <f aca="false">IFERROR(haverdata(Codes!$D$6,$A145),"")</f>
        <v/>
      </c>
      <c r="C145" s="23" t="str">
        <f aca="false">IFERROR(B145/B144-1,"")</f>
        <v/>
      </c>
      <c r="D145" s="23" t="str">
        <f aca="false">IFERROR(B145/B141-1,"")</f>
        <v/>
      </c>
      <c r="E145" s="24" t="str">
        <f aca="false">IFERROR(IF(B145="",IFERROR(GROWTH($B$104:$B$191,$A$104:$A$191,$A145),TREND($B$104:$B$191,$A$104:$A$191,$A145)),""),"")</f>
        <v/>
      </c>
      <c r="F145" s="24" t="str">
        <f aca="false">IFERROR(forecast.ets($A145,$B$104:$B$191,$A$104:$A$191,4,1,1),"")</f>
        <v/>
      </c>
      <c r="G145" s="24" t="str">
        <f aca="false">IFERROR(F145-forecast.ets.confint($A145,$B$104:$B$191,$A$104:$A$191,0.95,4,1,1),"")</f>
        <v/>
      </c>
      <c r="H145" s="24" t="str">
        <f aca="false">IFERROR(F145+forecast.ets.confint($A145,$B$104:$B$191,$A$104:$A$191,0.95,4,1,1),"")</f>
        <v/>
      </c>
    </row>
    <row r="146" customFormat="false" ht="15" hidden="false" customHeight="false" outlineLevel="0" collapsed="false">
      <c r="A146" s="16" t="n">
        <v>43282</v>
      </c>
      <c r="B146" s="17" t="str">
        <f aca="false">IFERROR(haverdata(Codes!$D$6,$A146),"")</f>
        <v/>
      </c>
      <c r="C146" s="18" t="str">
        <f aca="false">IFERROR(B146/B145-1,"")</f>
        <v/>
      </c>
      <c r="D146" s="18" t="str">
        <f aca="false">IFERROR(B146/B142-1,"")</f>
        <v/>
      </c>
      <c r="E146" s="19" t="str">
        <f aca="false">IFERROR(IF(B146="",IFERROR(GROWTH($B$104:$B$191,$A$104:$A$191,$A146),TREND($B$104:$B$191,$A$104:$A$191,$A146)),""),"")</f>
        <v/>
      </c>
      <c r="F146" s="19" t="str">
        <f aca="false">IFERROR(forecast.ets($A146,$B$104:$B$191,$A$104:$A$191,4,1,1),"")</f>
        <v/>
      </c>
      <c r="G146" s="19" t="str">
        <f aca="false">IFERROR(F146-forecast.ets.confint($A146,$B$104:$B$191,$A$104:$A$191,0.95,4,1,1),"")</f>
        <v/>
      </c>
      <c r="H146" s="19" t="str">
        <f aca="false">IFERROR(F146+forecast.ets.confint($A146,$B$104:$B$191,$A$104:$A$191,0.95,4,1,1),"")</f>
        <v/>
      </c>
    </row>
    <row r="147" customFormat="false" ht="15" hidden="false" customHeight="false" outlineLevel="0" collapsed="false">
      <c r="A147" s="21" t="n">
        <v>43374</v>
      </c>
      <c r="B147" s="22" t="str">
        <f aca="false">IFERROR(haverdata(Codes!$D$6,$A147),"")</f>
        <v/>
      </c>
      <c r="C147" s="23" t="str">
        <f aca="false">IFERROR(B147/B146-1,"")</f>
        <v/>
      </c>
      <c r="D147" s="23" t="str">
        <f aca="false">IFERROR(B147/B143-1,"")</f>
        <v/>
      </c>
      <c r="E147" s="24" t="str">
        <f aca="false">IFERROR(IF(B147="",IFERROR(GROWTH($B$104:$B$191,$A$104:$A$191,$A147),TREND($B$104:$B$191,$A$104:$A$191,$A147)),""),"")</f>
        <v/>
      </c>
      <c r="F147" s="24" t="str">
        <f aca="false">IFERROR(forecast.ets($A147,$B$104:$B$191,$A$104:$A$191,4,1,1),"")</f>
        <v/>
      </c>
      <c r="G147" s="24" t="str">
        <f aca="false">IFERROR(F147-forecast.ets.confint($A147,$B$104:$B$191,$A$104:$A$191,0.95,4,1,1),"")</f>
        <v/>
      </c>
      <c r="H147" s="24" t="str">
        <f aca="false">IFERROR(F147+forecast.ets.confint($A147,$B$104:$B$191,$A$104:$A$191,0.95,4,1,1),"")</f>
        <v/>
      </c>
    </row>
    <row r="148" customFormat="false" ht="15" hidden="false" customHeight="false" outlineLevel="0" collapsed="false">
      <c r="A148" s="16" t="n">
        <v>43466</v>
      </c>
      <c r="B148" s="17" t="str">
        <f aca="false">IFERROR(haverdata(Codes!$D$6,$A148),"")</f>
        <v/>
      </c>
      <c r="C148" s="18" t="str">
        <f aca="false">IFERROR(B148/B147-1,"")</f>
        <v/>
      </c>
      <c r="D148" s="18" t="str">
        <f aca="false">IFERROR(B148/B144-1,"")</f>
        <v/>
      </c>
      <c r="E148" s="19" t="str">
        <f aca="false">IFERROR(IF(B148="",IFERROR(GROWTH($B$104:$B$191,$A$104:$A$191,$A148),TREND($B$104:$B$191,$A$104:$A$191,$A148)),""),"")</f>
        <v/>
      </c>
      <c r="F148" s="19" t="str">
        <f aca="false">IFERROR(forecast.ets($A148,$B$104:$B$191,$A$104:$A$191,4,1,1),"")</f>
        <v/>
      </c>
      <c r="G148" s="19" t="str">
        <f aca="false">IFERROR(F148-forecast.ets.confint($A148,$B$104:$B$191,$A$104:$A$191,0.95,4,1,1),"")</f>
        <v/>
      </c>
      <c r="H148" s="19" t="str">
        <f aca="false">IFERROR(F148+forecast.ets.confint($A148,$B$104:$B$191,$A$104:$A$191,0.95,4,1,1),"")</f>
        <v/>
      </c>
    </row>
    <row r="149" customFormat="false" ht="15" hidden="false" customHeight="false" outlineLevel="0" collapsed="false">
      <c r="A149" s="21" t="n">
        <v>43556</v>
      </c>
      <c r="B149" s="22" t="str">
        <f aca="false">IFERROR(haverdata(Codes!$D$6,$A149),"")</f>
        <v/>
      </c>
      <c r="C149" s="23" t="str">
        <f aca="false">IFERROR(B149/B148-1,"")</f>
        <v/>
      </c>
      <c r="D149" s="23" t="str">
        <f aca="false">IFERROR(B149/B145-1,"")</f>
        <v/>
      </c>
      <c r="E149" s="24" t="str">
        <f aca="false">IFERROR(IF(B149="",IFERROR(GROWTH($B$104:$B$191,$A$104:$A$191,$A149),TREND($B$104:$B$191,$A$104:$A$191,$A149)),""),"")</f>
        <v/>
      </c>
      <c r="F149" s="24" t="str">
        <f aca="false">IFERROR(forecast.ets($A149,$B$104:$B$191,$A$104:$A$191,4,1,1),"")</f>
        <v/>
      </c>
      <c r="G149" s="24" t="str">
        <f aca="false">IFERROR(F149-forecast.ets.confint($A149,$B$104:$B$191,$A$104:$A$191,0.95,4,1,1),"")</f>
        <v/>
      </c>
      <c r="H149" s="24" t="str">
        <f aca="false">IFERROR(F149+forecast.ets.confint($A149,$B$104:$B$191,$A$104:$A$191,0.95,4,1,1),"")</f>
        <v/>
      </c>
    </row>
    <row r="150" customFormat="false" ht="15" hidden="false" customHeight="false" outlineLevel="0" collapsed="false">
      <c r="A150" s="16" t="n">
        <v>43647</v>
      </c>
      <c r="B150" s="17" t="str">
        <f aca="false">IFERROR(haverdata(Codes!$D$6,$A150),"")</f>
        <v/>
      </c>
      <c r="C150" s="18" t="str">
        <f aca="false">IFERROR(B150/B149-1,"")</f>
        <v/>
      </c>
      <c r="D150" s="18" t="str">
        <f aca="false">IFERROR(B150/B146-1,"")</f>
        <v/>
      </c>
      <c r="E150" s="19" t="str">
        <f aca="false">IFERROR(IF(B150="",IFERROR(GROWTH($B$104:$B$191,$A$104:$A$191,$A150),TREND($B$104:$B$191,$A$104:$A$191,$A150)),""),"")</f>
        <v/>
      </c>
      <c r="F150" s="19" t="str">
        <f aca="false">IFERROR(forecast.ets($A150,$B$104:$B$191,$A$104:$A$191,4,1,1),"")</f>
        <v/>
      </c>
      <c r="G150" s="19" t="str">
        <f aca="false">IFERROR(F150-forecast.ets.confint($A150,$B$104:$B$191,$A$104:$A$191,0.95,4,1,1),"")</f>
        <v/>
      </c>
      <c r="H150" s="19" t="str">
        <f aca="false">IFERROR(F150+forecast.ets.confint($A150,$B$104:$B$191,$A$104:$A$191,0.95,4,1,1),"")</f>
        <v/>
      </c>
    </row>
    <row r="151" customFormat="false" ht="15" hidden="false" customHeight="false" outlineLevel="0" collapsed="false">
      <c r="A151" s="21" t="n">
        <v>43739</v>
      </c>
      <c r="B151" s="22" t="str">
        <f aca="false">IFERROR(haverdata(Codes!$D$6,$A151),"")</f>
        <v/>
      </c>
      <c r="C151" s="23" t="str">
        <f aca="false">IFERROR(B151/B150-1,"")</f>
        <v/>
      </c>
      <c r="D151" s="23" t="str">
        <f aca="false">IFERROR(B151/B147-1,"")</f>
        <v/>
      </c>
      <c r="E151" s="24" t="str">
        <f aca="false">IFERROR(IF(B151="",IFERROR(GROWTH($B$104:$B$191,$A$104:$A$191,$A151),TREND($B$104:$B$191,$A$104:$A$191,$A151)),""),"")</f>
        <v/>
      </c>
      <c r="F151" s="24" t="str">
        <f aca="false">IFERROR(forecast.ets($A151,$B$104:$B$191,$A$104:$A$191,4,1,1),"")</f>
        <v/>
      </c>
      <c r="G151" s="24" t="str">
        <f aca="false">IFERROR(F151-forecast.ets.confint($A151,$B$104:$B$191,$A$104:$A$191,0.95,4,1,1),"")</f>
        <v/>
      </c>
      <c r="H151" s="24" t="str">
        <f aca="false">IFERROR(F151+forecast.ets.confint($A151,$B$104:$B$191,$A$104:$A$191,0.95,4,1,1),"")</f>
        <v/>
      </c>
    </row>
    <row r="152" customFormat="false" ht="15" hidden="false" customHeight="false" outlineLevel="0" collapsed="false">
      <c r="A152" s="16" t="n">
        <v>43831</v>
      </c>
      <c r="B152" s="17" t="str">
        <f aca="false">IFERROR(haverdata(Codes!$D$6,$A152),"")</f>
        <v/>
      </c>
      <c r="C152" s="18" t="str">
        <f aca="false">IFERROR(B152/B151-1,"")</f>
        <v/>
      </c>
      <c r="D152" s="18" t="str">
        <f aca="false">IFERROR(B152/B148-1,"")</f>
        <v/>
      </c>
      <c r="E152" s="19" t="str">
        <f aca="false">IFERROR(IF(B152="",IFERROR(GROWTH($B$104:$B$191,$A$104:$A$191,$A152),TREND($B$104:$B$191,$A$104:$A$191,$A152)),""),"")</f>
        <v/>
      </c>
      <c r="F152" s="19" t="str">
        <f aca="false">IFERROR(forecast.ets($A152,$B$104:$B$191,$A$104:$A$191,4,1,1),"")</f>
        <v/>
      </c>
      <c r="G152" s="19" t="str">
        <f aca="false">IFERROR(F152-forecast.ets.confint($A152,$B$104:$B$191,$A$104:$A$191,0.95,4,1,1),"")</f>
        <v/>
      </c>
      <c r="H152" s="19" t="str">
        <f aca="false">IFERROR(F152+forecast.ets.confint($A152,$B$104:$B$191,$A$104:$A$191,0.95,4,1,1),"")</f>
        <v/>
      </c>
    </row>
    <row r="153" customFormat="false" ht="15" hidden="false" customHeight="false" outlineLevel="0" collapsed="false">
      <c r="A153" s="21" t="n">
        <v>43922</v>
      </c>
      <c r="B153" s="22" t="str">
        <f aca="false">IFERROR(haverdata(Codes!$D$6,$A153),"")</f>
        <v/>
      </c>
      <c r="C153" s="23" t="str">
        <f aca="false">IFERROR(B153/B152-1,"")</f>
        <v/>
      </c>
      <c r="D153" s="23" t="str">
        <f aca="false">IFERROR(B153/B149-1,"")</f>
        <v/>
      </c>
      <c r="E153" s="24" t="str">
        <f aca="false">IFERROR(IF(B153="",IFERROR(GROWTH($B$104:$B$191,$A$104:$A$191,$A153),TREND($B$104:$B$191,$A$104:$A$191,$A153)),""),"")</f>
        <v/>
      </c>
      <c r="F153" s="24" t="str">
        <f aca="false">IFERROR(forecast.ets($A153,$B$104:$B$191,$A$104:$A$191,4,1,1),"")</f>
        <v/>
      </c>
      <c r="G153" s="24" t="str">
        <f aca="false">IFERROR(F153-forecast.ets.confint($A153,$B$104:$B$191,$A$104:$A$191,0.95,4,1,1),"")</f>
        <v/>
      </c>
      <c r="H153" s="24" t="str">
        <f aca="false">IFERROR(F153+forecast.ets.confint($A153,$B$104:$B$191,$A$104:$A$191,0.95,4,1,1),"")</f>
        <v/>
      </c>
    </row>
    <row r="154" customFormat="false" ht="15" hidden="false" customHeight="false" outlineLevel="0" collapsed="false">
      <c r="A154" s="16" t="n">
        <v>44013</v>
      </c>
      <c r="B154" s="17" t="str">
        <f aca="false">IFERROR(haverdata(Codes!$D$6,$A154),"")</f>
        <v/>
      </c>
      <c r="C154" s="18" t="str">
        <f aca="false">IFERROR(B154/B153-1,"")</f>
        <v/>
      </c>
      <c r="D154" s="18" t="str">
        <f aca="false">IFERROR(B154/B150-1,"")</f>
        <v/>
      </c>
      <c r="E154" s="19" t="str">
        <f aca="false">IFERROR(IF(B154="",IFERROR(GROWTH($B$104:$B$191,$A$104:$A$191,$A154),TREND($B$104:$B$191,$A$104:$A$191,$A154)),""),"")</f>
        <v/>
      </c>
      <c r="F154" s="19" t="str">
        <f aca="false">IFERROR(forecast.ets($A154,$B$104:$B$191,$A$104:$A$191,4,1,1),"")</f>
        <v/>
      </c>
      <c r="G154" s="19" t="str">
        <f aca="false">IFERROR(F154-forecast.ets.confint($A154,$B$104:$B$191,$A$104:$A$191,0.95,4,1,1),"")</f>
        <v/>
      </c>
      <c r="H154" s="19" t="str">
        <f aca="false">IFERROR(F154+forecast.ets.confint($A154,$B$104:$B$191,$A$104:$A$191,0.95,4,1,1),"")</f>
        <v/>
      </c>
    </row>
    <row r="155" customFormat="false" ht="15" hidden="false" customHeight="false" outlineLevel="0" collapsed="false">
      <c r="A155" s="21" t="n">
        <v>44105</v>
      </c>
      <c r="B155" s="22" t="str">
        <f aca="false">IFERROR(haverdata(Codes!$D$6,$A155),"")</f>
        <v/>
      </c>
      <c r="C155" s="23" t="str">
        <f aca="false">IFERROR(B155/B154-1,"")</f>
        <v/>
      </c>
      <c r="D155" s="23" t="str">
        <f aca="false">IFERROR(B155/B151-1,"")</f>
        <v/>
      </c>
      <c r="E155" s="24" t="str">
        <f aca="false">IFERROR(IF(B155="",IFERROR(GROWTH($B$104:$B$191,$A$104:$A$191,$A155),TREND($B$104:$B$191,$A$104:$A$191,$A155)),""),"")</f>
        <v/>
      </c>
      <c r="F155" s="24" t="str">
        <f aca="false">IFERROR(forecast.ets($A155,$B$104:$B$191,$A$104:$A$191,4,1,1),"")</f>
        <v/>
      </c>
      <c r="G155" s="24" t="str">
        <f aca="false">IFERROR(F155-forecast.ets.confint($A155,$B$104:$B$191,$A$104:$A$191,0.95,4,1,1),"")</f>
        <v/>
      </c>
      <c r="H155" s="24" t="str">
        <f aca="false">IFERROR(F155+forecast.ets.confint($A155,$B$104:$B$191,$A$104:$A$191,0.95,4,1,1),"")</f>
        <v/>
      </c>
    </row>
    <row r="156" customFormat="false" ht="15" hidden="false" customHeight="false" outlineLevel="0" collapsed="false">
      <c r="A156" s="16" t="n">
        <v>44197</v>
      </c>
      <c r="B156" s="17" t="str">
        <f aca="false">IFERROR(haverdata(Codes!$D$6,$A156),"")</f>
        <v/>
      </c>
      <c r="C156" s="18" t="str">
        <f aca="false">IFERROR(B156/B155-1,"")</f>
        <v/>
      </c>
      <c r="D156" s="18" t="str">
        <f aca="false">IFERROR(B156/B152-1,"")</f>
        <v/>
      </c>
      <c r="E156" s="19" t="str">
        <f aca="false">IFERROR(IF(B156="",IFERROR(GROWTH($B$104:$B$191,$A$104:$A$191,$A156),TREND($B$104:$B$191,$A$104:$A$191,$A156)),""),"")</f>
        <v/>
      </c>
      <c r="F156" s="19" t="str">
        <f aca="false">IFERROR(forecast.ets($A156,$B$104:$B$191,$A$104:$A$191,4,1,1),"")</f>
        <v/>
      </c>
      <c r="G156" s="19" t="str">
        <f aca="false">IFERROR(F156-forecast.ets.confint($A156,$B$104:$B$191,$A$104:$A$191,0.95,4,1,1),"")</f>
        <v/>
      </c>
      <c r="H156" s="19" t="str">
        <f aca="false">IFERROR(F156+forecast.ets.confint($A156,$B$104:$B$191,$A$104:$A$191,0.95,4,1,1),"")</f>
        <v/>
      </c>
    </row>
    <row r="157" customFormat="false" ht="15" hidden="false" customHeight="false" outlineLevel="0" collapsed="false">
      <c r="A157" s="21" t="n">
        <v>44287</v>
      </c>
      <c r="B157" s="22" t="str">
        <f aca="false">IFERROR(haverdata(Codes!$D$6,$A157),"")</f>
        <v/>
      </c>
      <c r="C157" s="23" t="str">
        <f aca="false">IFERROR(B157/B156-1,"")</f>
        <v/>
      </c>
      <c r="D157" s="23" t="str">
        <f aca="false">IFERROR(B157/B153-1,"")</f>
        <v/>
      </c>
      <c r="E157" s="24" t="str">
        <f aca="false">IFERROR(IF(B157="",IFERROR(GROWTH($B$104:$B$191,$A$104:$A$191,$A157),TREND($B$104:$B$191,$A$104:$A$191,$A157)),""),"")</f>
        <v/>
      </c>
      <c r="F157" s="24" t="str">
        <f aca="false">IFERROR(forecast.ets($A157,$B$104:$B$191,$A$104:$A$191,4,1,1),"")</f>
        <v/>
      </c>
      <c r="G157" s="24" t="str">
        <f aca="false">IFERROR(F157-forecast.ets.confint($A157,$B$104:$B$191,$A$104:$A$191,0.95,4,1,1),"")</f>
        <v/>
      </c>
      <c r="H157" s="24" t="str">
        <f aca="false">IFERROR(F157+forecast.ets.confint($A157,$B$104:$B$191,$A$104:$A$191,0.95,4,1,1),"")</f>
        <v/>
      </c>
    </row>
    <row r="158" customFormat="false" ht="15" hidden="false" customHeight="false" outlineLevel="0" collapsed="false">
      <c r="A158" s="16" t="n">
        <v>44378</v>
      </c>
      <c r="B158" s="17" t="str">
        <f aca="false">IFERROR(haverdata(Codes!$D$6,$A158),"")</f>
        <v/>
      </c>
      <c r="C158" s="18" t="str">
        <f aca="false">IFERROR(B158/B157-1,"")</f>
        <v/>
      </c>
      <c r="D158" s="18" t="str">
        <f aca="false">IFERROR(B158/B154-1,"")</f>
        <v/>
      </c>
      <c r="E158" s="19" t="str">
        <f aca="false">IFERROR(IF(B158="",IFERROR(GROWTH($B$104:$B$191,$A$104:$A$191,$A158),TREND($B$104:$B$191,$A$104:$A$191,$A158)),""),"")</f>
        <v/>
      </c>
      <c r="F158" s="19" t="str">
        <f aca="false">IFERROR(forecast.ets($A158,$B$104:$B$191,$A$104:$A$191,4,1,1),"")</f>
        <v/>
      </c>
      <c r="G158" s="19" t="str">
        <f aca="false">IFERROR(F158-forecast.ets.confint($A158,$B$104:$B$191,$A$104:$A$191,0.95,4,1,1),"")</f>
        <v/>
      </c>
      <c r="H158" s="19" t="str">
        <f aca="false">IFERROR(F158+forecast.ets.confint($A158,$B$104:$B$191,$A$104:$A$191,0.95,4,1,1),"")</f>
        <v/>
      </c>
    </row>
    <row r="159" customFormat="false" ht="15" hidden="false" customHeight="false" outlineLevel="0" collapsed="false">
      <c r="A159" s="21" t="n">
        <v>44470</v>
      </c>
      <c r="B159" s="22" t="str">
        <f aca="false">IFERROR(haverdata(Codes!$D$6,$A159),"")</f>
        <v/>
      </c>
      <c r="C159" s="23" t="str">
        <f aca="false">IFERROR(B159/B158-1,"")</f>
        <v/>
      </c>
      <c r="D159" s="23" t="str">
        <f aca="false">IFERROR(B159/B155-1,"")</f>
        <v/>
      </c>
      <c r="E159" s="24" t="str">
        <f aca="false">IFERROR(IF(B159="",IFERROR(GROWTH($B$104:$B$191,$A$104:$A$191,$A159),TREND($B$104:$B$191,$A$104:$A$191,$A159)),""),"")</f>
        <v/>
      </c>
      <c r="F159" s="24" t="str">
        <f aca="false">IFERROR(forecast.ets($A159,$B$104:$B$191,$A$104:$A$191,4,1,1),"")</f>
        <v/>
      </c>
      <c r="G159" s="24" t="str">
        <f aca="false">IFERROR(F159-forecast.ets.confint($A159,$B$104:$B$191,$A$104:$A$191,0.95,4,1,1),"")</f>
        <v/>
      </c>
      <c r="H159" s="24" t="str">
        <f aca="false">IFERROR(F159+forecast.ets.confint($A159,$B$104:$B$191,$A$104:$A$191,0.95,4,1,1),"")</f>
        <v/>
      </c>
    </row>
    <row r="160" customFormat="false" ht="15" hidden="false" customHeight="false" outlineLevel="0" collapsed="false">
      <c r="A160" s="16" t="n">
        <v>44562</v>
      </c>
      <c r="B160" s="17" t="str">
        <f aca="false">IFERROR(haverdata(Codes!$D$6,$A160),"")</f>
        <v/>
      </c>
      <c r="C160" s="18" t="str">
        <f aca="false">IFERROR(B160/B159-1,"")</f>
        <v/>
      </c>
      <c r="D160" s="18" t="str">
        <f aca="false">IFERROR(B160/B156-1,"")</f>
        <v/>
      </c>
      <c r="E160" s="19" t="str">
        <f aca="false">IFERROR(IF(B160="",IFERROR(GROWTH($B$104:$B$191,$A$104:$A$191,$A160),TREND($B$104:$B$191,$A$104:$A$191,$A160)),""),"")</f>
        <v/>
      </c>
      <c r="F160" s="19" t="str">
        <f aca="false">IFERROR(forecast.ets($A160,$B$104:$B$191,$A$104:$A$191,4,1,1),"")</f>
        <v/>
      </c>
      <c r="G160" s="19" t="str">
        <f aca="false">IFERROR(F160-forecast.ets.confint($A160,$B$104:$B$191,$A$104:$A$191,0.95,4,1,1),"")</f>
        <v/>
      </c>
      <c r="H160" s="19" t="str">
        <f aca="false">IFERROR(F160+forecast.ets.confint($A160,$B$104:$B$191,$A$104:$A$191,0.95,4,1,1),"")</f>
        <v/>
      </c>
    </row>
    <row r="161" customFormat="false" ht="15" hidden="false" customHeight="false" outlineLevel="0" collapsed="false">
      <c r="A161" s="21" t="n">
        <v>44652</v>
      </c>
      <c r="B161" s="22" t="str">
        <f aca="false">IFERROR(haverdata(Codes!$D$6,$A161),"")</f>
        <v/>
      </c>
      <c r="C161" s="23" t="str">
        <f aca="false">IFERROR(B161/B160-1,"")</f>
        <v/>
      </c>
      <c r="D161" s="23" t="str">
        <f aca="false">IFERROR(B161/B157-1,"")</f>
        <v/>
      </c>
      <c r="E161" s="24" t="str">
        <f aca="false">IFERROR(IF(B161="",IFERROR(GROWTH($B$104:$B$191,$A$104:$A$191,$A161),TREND($B$104:$B$191,$A$104:$A$191,$A161)),""),"")</f>
        <v/>
      </c>
      <c r="F161" s="24" t="str">
        <f aca="false">IFERROR(forecast.ets($A161,$B$104:$B$191,$A$104:$A$191,4,1,1),"")</f>
        <v/>
      </c>
      <c r="G161" s="24" t="str">
        <f aca="false">IFERROR(F161-forecast.ets.confint($A161,$B$104:$B$191,$A$104:$A$191,0.95,4,1,1),"")</f>
        <v/>
      </c>
      <c r="H161" s="24" t="str">
        <f aca="false">IFERROR(F161+forecast.ets.confint($A161,$B$104:$B$191,$A$104:$A$191,0.95,4,1,1),"")</f>
        <v/>
      </c>
    </row>
    <row r="162" customFormat="false" ht="15" hidden="false" customHeight="false" outlineLevel="0" collapsed="false">
      <c r="A162" s="16" t="n">
        <v>44743</v>
      </c>
      <c r="B162" s="17" t="str">
        <f aca="false">IFERROR(haverdata(Codes!$D$6,$A162),"")</f>
        <v/>
      </c>
      <c r="C162" s="18" t="str">
        <f aca="false">IFERROR(B162/B161-1,"")</f>
        <v/>
      </c>
      <c r="D162" s="18" t="str">
        <f aca="false">IFERROR(B162/B158-1,"")</f>
        <v/>
      </c>
      <c r="E162" s="19" t="str">
        <f aca="false">IFERROR(IF(B162="",IFERROR(GROWTH($B$104:$B$191,$A$104:$A$191,$A162),TREND($B$104:$B$191,$A$104:$A$191,$A162)),""),"")</f>
        <v/>
      </c>
      <c r="F162" s="19" t="str">
        <f aca="false">IFERROR(forecast.ets($A162,$B$104:$B$191,$A$104:$A$191,4,1,1),"")</f>
        <v/>
      </c>
      <c r="G162" s="19" t="str">
        <f aca="false">IFERROR(F162-forecast.ets.confint($A162,$B$104:$B$191,$A$104:$A$191,0.95,4,1,1),"")</f>
        <v/>
      </c>
      <c r="H162" s="19" t="str">
        <f aca="false">IFERROR(F162+forecast.ets.confint($A162,$B$104:$B$191,$A$104:$A$191,0.95,4,1,1),"")</f>
        <v/>
      </c>
    </row>
    <row r="163" customFormat="false" ht="15" hidden="false" customHeight="false" outlineLevel="0" collapsed="false">
      <c r="A163" s="21" t="n">
        <v>44835</v>
      </c>
      <c r="B163" s="22" t="str">
        <f aca="false">IFERROR(haverdata(Codes!$D$6,$A163),"")</f>
        <v/>
      </c>
      <c r="C163" s="23" t="str">
        <f aca="false">IFERROR(B163/B162-1,"")</f>
        <v/>
      </c>
      <c r="D163" s="23" t="str">
        <f aca="false">IFERROR(B163/B159-1,"")</f>
        <v/>
      </c>
      <c r="E163" s="24" t="str">
        <f aca="false">IFERROR(IF(B163="",IFERROR(GROWTH($B$104:$B$191,$A$104:$A$191,$A163),TREND($B$104:$B$191,$A$104:$A$191,$A163)),""),"")</f>
        <v/>
      </c>
      <c r="F163" s="24" t="str">
        <f aca="false">IFERROR(forecast.ets($A163,$B$104:$B$191,$A$104:$A$191,4,1,1),"")</f>
        <v/>
      </c>
      <c r="G163" s="24" t="str">
        <f aca="false">IFERROR(F163-forecast.ets.confint($A163,$B$104:$B$191,$A$104:$A$191,0.95,4,1,1),"")</f>
        <v/>
      </c>
      <c r="H163" s="24" t="str">
        <f aca="false">IFERROR(F163+forecast.ets.confint($A163,$B$104:$B$191,$A$104:$A$191,0.95,4,1,1),"")</f>
        <v/>
      </c>
    </row>
    <row r="164" customFormat="false" ht="15" hidden="false" customHeight="false" outlineLevel="0" collapsed="false">
      <c r="A164" s="16" t="n">
        <v>44927</v>
      </c>
      <c r="B164" s="17" t="str">
        <f aca="false">IFERROR(haverdata(Codes!$D$6,$A164),"")</f>
        <v/>
      </c>
      <c r="C164" s="18" t="str">
        <f aca="false">IFERROR(B164/B163-1,"")</f>
        <v/>
      </c>
      <c r="D164" s="18" t="str">
        <f aca="false">IFERROR(B164/B160-1,"")</f>
        <v/>
      </c>
      <c r="E164" s="19" t="str">
        <f aca="false">IFERROR(IF(B164="",IFERROR(GROWTH($B$104:$B$191,$A$104:$A$191,$A164),TREND($B$104:$B$191,$A$104:$A$191,$A164)),""),"")</f>
        <v/>
      </c>
      <c r="F164" s="19" t="str">
        <f aca="false">IFERROR(forecast.ets($A164,$B$104:$B$191,$A$104:$A$191,4,1,1),"")</f>
        <v/>
      </c>
      <c r="G164" s="19" t="str">
        <f aca="false">IFERROR(F164-forecast.ets.confint($A164,$B$104:$B$191,$A$104:$A$191,0.95,4,1,1),"")</f>
        <v/>
      </c>
      <c r="H164" s="19" t="str">
        <f aca="false">IFERROR(F164+forecast.ets.confint($A164,$B$104:$B$191,$A$104:$A$191,0.95,4,1,1),"")</f>
        <v/>
      </c>
    </row>
    <row r="165" customFormat="false" ht="15" hidden="false" customHeight="false" outlineLevel="0" collapsed="false">
      <c r="A165" s="21" t="n">
        <v>45017</v>
      </c>
      <c r="B165" s="22" t="str">
        <f aca="false">IFERROR(haverdata(Codes!$D$6,$A165),"")</f>
        <v/>
      </c>
      <c r="C165" s="23" t="str">
        <f aca="false">IFERROR(B165/B164-1,"")</f>
        <v/>
      </c>
      <c r="D165" s="23" t="str">
        <f aca="false">IFERROR(B165/B161-1,"")</f>
        <v/>
      </c>
      <c r="E165" s="24" t="str">
        <f aca="false">IFERROR(IF(B165="",IFERROR(GROWTH($B$104:$B$191,$A$104:$A$191,$A165),TREND($B$104:$B$191,$A$104:$A$191,$A165)),""),"")</f>
        <v/>
      </c>
      <c r="F165" s="24" t="str">
        <f aca="false">IFERROR(forecast.ets($A165,$B$104:$B$191,$A$104:$A$191,4,1,1),"")</f>
        <v/>
      </c>
      <c r="G165" s="24" t="str">
        <f aca="false">IFERROR(F165-forecast.ets.confint($A165,$B$104:$B$191,$A$104:$A$191,0.95,4,1,1),"")</f>
        <v/>
      </c>
      <c r="H165" s="24" t="str">
        <f aca="false">IFERROR(F165+forecast.ets.confint($A165,$B$104:$B$191,$A$104:$A$191,0.95,4,1,1),"")</f>
        <v/>
      </c>
    </row>
    <row r="166" customFormat="false" ht="15" hidden="false" customHeight="false" outlineLevel="0" collapsed="false">
      <c r="A166" s="16" t="n">
        <v>45108</v>
      </c>
      <c r="B166" s="17" t="str">
        <f aca="false">IFERROR(haverdata(Codes!$D$6,$A166),"")</f>
        <v/>
      </c>
      <c r="C166" s="18" t="str">
        <f aca="false">IFERROR(B166/B165-1,"")</f>
        <v/>
      </c>
      <c r="D166" s="18" t="str">
        <f aca="false">IFERROR(B166/B162-1,"")</f>
        <v/>
      </c>
      <c r="E166" s="19" t="str">
        <f aca="false">IFERROR(IF(B166="",IFERROR(GROWTH($B$104:$B$191,$A$104:$A$191,$A166),TREND($B$104:$B$191,$A$104:$A$191,$A166)),""),"")</f>
        <v/>
      </c>
      <c r="F166" s="19" t="str">
        <f aca="false">IFERROR(forecast.ets($A166,$B$104:$B$191,$A$104:$A$191,4,1,1),"")</f>
        <v/>
      </c>
      <c r="G166" s="19" t="str">
        <f aca="false">IFERROR(F166-forecast.ets.confint($A166,$B$104:$B$191,$A$104:$A$191,0.95,4,1,1),"")</f>
        <v/>
      </c>
      <c r="H166" s="19" t="str">
        <f aca="false">IFERROR(F166+forecast.ets.confint($A166,$B$104:$B$191,$A$104:$A$191,0.95,4,1,1),"")</f>
        <v/>
      </c>
    </row>
    <row r="167" customFormat="false" ht="15" hidden="false" customHeight="false" outlineLevel="0" collapsed="false">
      <c r="A167" s="21" t="n">
        <v>45200</v>
      </c>
      <c r="B167" s="22" t="str">
        <f aca="false">IFERROR(haverdata(Codes!$D$6,$A167),"")</f>
        <v/>
      </c>
      <c r="C167" s="23" t="str">
        <f aca="false">IFERROR(B167/B166-1,"")</f>
        <v/>
      </c>
      <c r="D167" s="23" t="str">
        <f aca="false">IFERROR(B167/B163-1,"")</f>
        <v/>
      </c>
      <c r="E167" s="24" t="str">
        <f aca="false">IFERROR(IF(B167="",IFERROR(GROWTH($B$104:$B$191,$A$104:$A$191,$A167),TREND($B$104:$B$191,$A$104:$A$191,$A167)),""),"")</f>
        <v/>
      </c>
      <c r="F167" s="24" t="str">
        <f aca="false">IFERROR(forecast.ets($A167,$B$104:$B$191,$A$104:$A$191,4,1,1),"")</f>
        <v/>
      </c>
      <c r="G167" s="24" t="str">
        <f aca="false">IFERROR(F167-forecast.ets.confint($A167,$B$104:$B$191,$A$104:$A$191,0.95,4,1,1),"")</f>
        <v/>
      </c>
      <c r="H167" s="24" t="str">
        <f aca="false">IFERROR(F167+forecast.ets.confint($A167,$B$104:$B$191,$A$104:$A$191,0.95,4,1,1),"")</f>
        <v/>
      </c>
    </row>
    <row r="168" customFormat="false" ht="15" hidden="false" customHeight="false" outlineLevel="0" collapsed="false">
      <c r="A168" s="16" t="n">
        <v>45292</v>
      </c>
      <c r="B168" s="17" t="str">
        <f aca="false">IFERROR(haverdata(Codes!$D$6,$A168),"")</f>
        <v/>
      </c>
      <c r="C168" s="18" t="str">
        <f aca="false">IFERROR(B168/B167-1,"")</f>
        <v/>
      </c>
      <c r="D168" s="18" t="str">
        <f aca="false">IFERROR(B168/B164-1,"")</f>
        <v/>
      </c>
      <c r="E168" s="19" t="str">
        <f aca="false">IFERROR(IF(B168="",IFERROR(GROWTH($B$104:$B$191,$A$104:$A$191,$A168),TREND($B$104:$B$191,$A$104:$A$191,$A168)),""),"")</f>
        <v/>
      </c>
      <c r="F168" s="19" t="str">
        <f aca="false">IFERROR(forecast.ets($A168,$B$104:$B$191,$A$104:$A$191,4,1,1),"")</f>
        <v/>
      </c>
      <c r="G168" s="19" t="str">
        <f aca="false">IFERROR(F168-forecast.ets.confint($A168,$B$104:$B$191,$A$104:$A$191,0.95,4,1,1),"")</f>
        <v/>
      </c>
      <c r="H168" s="19" t="str">
        <f aca="false">IFERROR(F168+forecast.ets.confint($A168,$B$104:$B$191,$A$104:$A$191,0.95,4,1,1),"")</f>
        <v/>
      </c>
    </row>
    <row r="169" customFormat="false" ht="15" hidden="false" customHeight="false" outlineLevel="0" collapsed="false">
      <c r="A169" s="21" t="n">
        <v>45383</v>
      </c>
      <c r="B169" s="22" t="str">
        <f aca="false">IFERROR(haverdata(Codes!$D$6,$A169),"")</f>
        <v/>
      </c>
      <c r="C169" s="23" t="str">
        <f aca="false">IFERROR(B169/B168-1,"")</f>
        <v/>
      </c>
      <c r="D169" s="23" t="str">
        <f aca="false">IFERROR(B169/B165-1,"")</f>
        <v/>
      </c>
      <c r="E169" s="24" t="str">
        <f aca="false">IFERROR(IF(B169="",IFERROR(GROWTH($B$104:$B$191,$A$104:$A$191,$A169),TREND($B$104:$B$191,$A$104:$A$191,$A169)),""),"")</f>
        <v/>
      </c>
      <c r="F169" s="24" t="str">
        <f aca="false">IFERROR(forecast.ets($A169,$B$104:$B$191,$A$104:$A$191,4,1,1),"")</f>
        <v/>
      </c>
      <c r="G169" s="24" t="str">
        <f aca="false">IFERROR(F169-forecast.ets.confint($A169,$B$104:$B$191,$A$104:$A$191,0.95,4,1,1),"")</f>
        <v/>
      </c>
      <c r="H169" s="24" t="str">
        <f aca="false">IFERROR(F169+forecast.ets.confint($A169,$B$104:$B$191,$A$104:$A$191,0.95,4,1,1),"")</f>
        <v/>
      </c>
    </row>
    <row r="170" customFormat="false" ht="15" hidden="false" customHeight="false" outlineLevel="0" collapsed="false">
      <c r="A170" s="16" t="n">
        <v>45474</v>
      </c>
      <c r="B170" s="17" t="str">
        <f aca="false">IFERROR(haverdata(Codes!$D$6,$A170),"")</f>
        <v/>
      </c>
      <c r="C170" s="18" t="str">
        <f aca="false">IFERROR(B170/B169-1,"")</f>
        <v/>
      </c>
      <c r="D170" s="18" t="str">
        <f aca="false">IFERROR(B170/B166-1,"")</f>
        <v/>
      </c>
      <c r="E170" s="19" t="str">
        <f aca="false">IFERROR(IF(B170="",IFERROR(GROWTH($B$104:$B$191,$A$104:$A$191,$A170),TREND($B$104:$B$191,$A$104:$A$191,$A170)),""),"")</f>
        <v/>
      </c>
      <c r="F170" s="19" t="str">
        <f aca="false">IFERROR(forecast.ets($A170,$B$104:$B$191,$A$104:$A$191,4,1,1),"")</f>
        <v/>
      </c>
      <c r="G170" s="19" t="str">
        <f aca="false">IFERROR(F170-forecast.ets.confint($A170,$B$104:$B$191,$A$104:$A$191,0.95,4,1,1),"")</f>
        <v/>
      </c>
      <c r="H170" s="19" t="str">
        <f aca="false">IFERROR(F170+forecast.ets.confint($A170,$B$104:$B$191,$A$104:$A$191,0.95,4,1,1),"")</f>
        <v/>
      </c>
    </row>
    <row r="171" customFormat="false" ht="15" hidden="false" customHeight="false" outlineLevel="0" collapsed="false">
      <c r="A171" s="21" t="n">
        <v>45566</v>
      </c>
      <c r="B171" s="22" t="str">
        <f aca="false">IFERROR(haverdata(Codes!$D$6,$A171),"")</f>
        <v/>
      </c>
      <c r="C171" s="23" t="str">
        <f aca="false">IFERROR(B171/B170-1,"")</f>
        <v/>
      </c>
      <c r="D171" s="23" t="str">
        <f aca="false">IFERROR(B171/B167-1,"")</f>
        <v/>
      </c>
      <c r="E171" s="24" t="str">
        <f aca="false">IFERROR(IF(B171="",IFERROR(GROWTH($B$104:$B$191,$A$104:$A$191,$A171),TREND($B$104:$B$191,$A$104:$A$191,$A171)),""),"")</f>
        <v/>
      </c>
      <c r="F171" s="24" t="str">
        <f aca="false">IFERROR(forecast.ets($A171,$B$104:$B$191,$A$104:$A$191,4,1,1),"")</f>
        <v/>
      </c>
      <c r="G171" s="24" t="str">
        <f aca="false">IFERROR(F171-forecast.ets.confint($A171,$B$104:$B$191,$A$104:$A$191,0.95,4,1,1),"")</f>
        <v/>
      </c>
      <c r="H171" s="24" t="str">
        <f aca="false">IFERROR(F171+forecast.ets.confint($A171,$B$104:$B$191,$A$104:$A$191,0.95,4,1,1),"")</f>
        <v/>
      </c>
    </row>
    <row r="172" customFormat="false" ht="15" hidden="false" customHeight="false" outlineLevel="0" collapsed="false">
      <c r="A172" s="16" t="n">
        <v>45658</v>
      </c>
      <c r="B172" s="17" t="str">
        <f aca="false">IFERROR(haverdata(Codes!$D$6,$A172),"")</f>
        <v/>
      </c>
      <c r="C172" s="18" t="str">
        <f aca="false">IFERROR(B172/B171-1,"")</f>
        <v/>
      </c>
      <c r="D172" s="18" t="str">
        <f aca="false">IFERROR(B172/B168-1,"")</f>
        <v/>
      </c>
      <c r="E172" s="19" t="str">
        <f aca="false">IFERROR(IF(B172="",IFERROR(GROWTH($B$104:$B$191,$A$104:$A$191,$A172),TREND($B$104:$B$191,$A$104:$A$191,$A172)),""),"")</f>
        <v/>
      </c>
      <c r="F172" s="19" t="str">
        <f aca="false">IFERROR(forecast.ets($A172,$B$104:$B$191,$A$104:$A$191,4,1,1),"")</f>
        <v/>
      </c>
      <c r="G172" s="19" t="str">
        <f aca="false">IFERROR(F172-forecast.ets.confint($A172,$B$104:$B$191,$A$104:$A$191,0.95,4,1,1),"")</f>
        <v/>
      </c>
      <c r="H172" s="19" t="str">
        <f aca="false">IFERROR(F172+forecast.ets.confint($A172,$B$104:$B$191,$A$104:$A$191,0.95,4,1,1),"")</f>
        <v/>
      </c>
    </row>
    <row r="173" customFormat="false" ht="15" hidden="false" customHeight="false" outlineLevel="0" collapsed="false">
      <c r="A173" s="21" t="n">
        <v>45748</v>
      </c>
      <c r="B173" s="22" t="str">
        <f aca="false">IFERROR(haverdata(Codes!$D$6,$A173),"")</f>
        <v/>
      </c>
      <c r="C173" s="23" t="str">
        <f aca="false">IFERROR(B173/B172-1,"")</f>
        <v/>
      </c>
      <c r="D173" s="23" t="str">
        <f aca="false">IFERROR(B173/B169-1,"")</f>
        <v/>
      </c>
      <c r="E173" s="24" t="str">
        <f aca="false">IFERROR(IF(B173="",IFERROR(GROWTH($B$104:$B$191,$A$104:$A$191,$A173),TREND($B$104:$B$191,$A$104:$A$191,$A173)),""),"")</f>
        <v/>
      </c>
      <c r="F173" s="24" t="str">
        <f aca="false">IFERROR(forecast.ets($A173,$B$104:$B$191,$A$104:$A$191,4,1,1),"")</f>
        <v/>
      </c>
      <c r="G173" s="24" t="str">
        <f aca="false">IFERROR(F173-forecast.ets.confint($A173,$B$104:$B$191,$A$104:$A$191,0.95,4,1,1),"")</f>
        <v/>
      </c>
      <c r="H173" s="24" t="str">
        <f aca="false">IFERROR(F173+forecast.ets.confint($A173,$B$104:$B$191,$A$104:$A$191,0.95,4,1,1),"")</f>
        <v/>
      </c>
    </row>
    <row r="174" customFormat="false" ht="15" hidden="false" customHeight="false" outlineLevel="0" collapsed="false">
      <c r="A174" s="16" t="n">
        <v>45839</v>
      </c>
      <c r="B174" s="17" t="str">
        <f aca="false">IFERROR(haverdata(Codes!$D$6,$A174),"")</f>
        <v/>
      </c>
      <c r="C174" s="18" t="str">
        <f aca="false">IFERROR(B174/B173-1,"")</f>
        <v/>
      </c>
      <c r="D174" s="18" t="str">
        <f aca="false">IFERROR(B174/B170-1,"")</f>
        <v/>
      </c>
      <c r="E174" s="19" t="str">
        <f aca="false">IFERROR(IF(B174="",IFERROR(GROWTH($B$104:$B$191,$A$104:$A$191,$A174),TREND($B$104:$B$191,$A$104:$A$191,$A174)),""),"")</f>
        <v/>
      </c>
      <c r="F174" s="19" t="str">
        <f aca="false">IFERROR(forecast.ets($A174,$B$104:$B$191,$A$104:$A$191,4,1,1),"")</f>
        <v/>
      </c>
      <c r="G174" s="19" t="str">
        <f aca="false">IFERROR(F174-forecast.ets.confint($A174,$B$104:$B$191,$A$104:$A$191,0.95,4,1,1),"")</f>
        <v/>
      </c>
      <c r="H174" s="19" t="str">
        <f aca="false">IFERROR(F174+forecast.ets.confint($A174,$B$104:$B$191,$A$104:$A$191,0.95,4,1,1),"")</f>
        <v/>
      </c>
    </row>
    <row r="175" customFormat="false" ht="15" hidden="false" customHeight="false" outlineLevel="0" collapsed="false">
      <c r="A175" s="21" t="n">
        <v>45931</v>
      </c>
      <c r="B175" s="22" t="str">
        <f aca="false">IFERROR(haverdata(Codes!$D$6,$A175),"")</f>
        <v/>
      </c>
      <c r="C175" s="23" t="str">
        <f aca="false">IFERROR(B175/B174-1,"")</f>
        <v/>
      </c>
      <c r="D175" s="23" t="str">
        <f aca="false">IFERROR(B175/B171-1,"")</f>
        <v/>
      </c>
      <c r="E175" s="24" t="str">
        <f aca="false">IFERROR(IF(B175="",IFERROR(GROWTH($B$104:$B$191,$A$104:$A$191,$A175),TREND($B$104:$B$191,$A$104:$A$191,$A175)),""),"")</f>
        <v/>
      </c>
      <c r="F175" s="24" t="str">
        <f aca="false">IFERROR(forecast.ets($A175,$B$104:$B$191,$A$104:$A$191,4,1,1),"")</f>
        <v/>
      </c>
      <c r="G175" s="24" t="str">
        <f aca="false">IFERROR(F175-forecast.ets.confint($A175,$B$104:$B$191,$A$104:$A$191,0.95,4,1,1),"")</f>
        <v/>
      </c>
      <c r="H175" s="24" t="str">
        <f aca="false">IFERROR(F175+forecast.ets.confint($A175,$B$104:$B$191,$A$104:$A$191,0.95,4,1,1),"")</f>
        <v/>
      </c>
    </row>
    <row r="176" customFormat="false" ht="15" hidden="false" customHeight="false" outlineLevel="0" collapsed="false">
      <c r="A176" s="16" t="n">
        <v>46023</v>
      </c>
      <c r="B176" s="17" t="str">
        <f aca="false">IFERROR(haverdata(Codes!$D$6,$A176),"")</f>
        <v/>
      </c>
      <c r="C176" s="18" t="str">
        <f aca="false">IFERROR(B176/B175-1,"")</f>
        <v/>
      </c>
      <c r="D176" s="18" t="str">
        <f aca="false">IFERROR(B176/B172-1,"")</f>
        <v/>
      </c>
      <c r="E176" s="19" t="str">
        <f aca="false">IFERROR(IF(B176="",IFERROR(GROWTH($B$104:$B$191,$A$104:$A$191,$A176),TREND($B$104:$B$191,$A$104:$A$191,$A176)),""),"")</f>
        <v/>
      </c>
      <c r="F176" s="19" t="str">
        <f aca="false">IFERROR(forecast.ets($A176,$B$104:$B$191,$A$104:$A$191,4,1,1),"")</f>
        <v/>
      </c>
      <c r="G176" s="19" t="str">
        <f aca="false">IFERROR(F176-forecast.ets.confint($A176,$B$104:$B$191,$A$104:$A$191,0.95,4,1,1),"")</f>
        <v/>
      </c>
      <c r="H176" s="19" t="str">
        <f aca="false">IFERROR(F176+forecast.ets.confint($A176,$B$104:$B$191,$A$104:$A$191,0.95,4,1,1),"")</f>
        <v/>
      </c>
    </row>
    <row r="177" customFormat="false" ht="15" hidden="false" customHeight="false" outlineLevel="0" collapsed="false">
      <c r="A177" s="21" t="n">
        <v>46113</v>
      </c>
      <c r="B177" s="22" t="str">
        <f aca="false">IFERROR(haverdata(Codes!$D$6,$A177),"")</f>
        <v/>
      </c>
      <c r="C177" s="23" t="str">
        <f aca="false">IFERROR(B177/B176-1,"")</f>
        <v/>
      </c>
      <c r="D177" s="23" t="str">
        <f aca="false">IFERROR(B177/B173-1,"")</f>
        <v/>
      </c>
      <c r="E177" s="24" t="str">
        <f aca="false">IFERROR(IF(B177="",IFERROR(GROWTH($B$104:$B$191,$A$104:$A$191,$A177),TREND($B$104:$B$191,$A$104:$A$191,$A177)),""),"")</f>
        <v/>
      </c>
      <c r="F177" s="24" t="str">
        <f aca="false">IFERROR(forecast.ets($A177,$B$104:$B$191,$A$104:$A$191,4,1,1),"")</f>
        <v/>
      </c>
      <c r="G177" s="24" t="str">
        <f aca="false">IFERROR(F177-forecast.ets.confint($A177,$B$104:$B$191,$A$104:$A$191,0.95,4,1,1),"")</f>
        <v/>
      </c>
      <c r="H177" s="24" t="str">
        <f aca="false">IFERROR(F177+forecast.ets.confint($A177,$B$104:$B$191,$A$104:$A$191,0.95,4,1,1),"")</f>
        <v/>
      </c>
    </row>
    <row r="178" customFormat="false" ht="15" hidden="false" customHeight="false" outlineLevel="0" collapsed="false">
      <c r="A178" s="16" t="n">
        <v>46204</v>
      </c>
      <c r="B178" s="17" t="str">
        <f aca="false">IFERROR(haverdata(Codes!$D$6,$A178),"")</f>
        <v/>
      </c>
      <c r="C178" s="18" t="str">
        <f aca="false">IFERROR(B178/B177-1,"")</f>
        <v/>
      </c>
      <c r="D178" s="18" t="str">
        <f aca="false">IFERROR(B178/B174-1,"")</f>
        <v/>
      </c>
      <c r="E178" s="19" t="str">
        <f aca="false">IFERROR(IF(B178="",IFERROR(GROWTH($B$104:$B$191,$A$104:$A$191,$A178),TREND($B$104:$B$191,$A$104:$A$191,$A178)),""),"")</f>
        <v/>
      </c>
      <c r="F178" s="19" t="str">
        <f aca="false">IFERROR(forecast.ets($A178,$B$104:$B$191,$A$104:$A$191,4,1,1),"")</f>
        <v/>
      </c>
      <c r="G178" s="19" t="str">
        <f aca="false">IFERROR(F178-forecast.ets.confint($A178,$B$104:$B$191,$A$104:$A$191,0.95,4,1,1),"")</f>
        <v/>
      </c>
      <c r="H178" s="19" t="str">
        <f aca="false">IFERROR(F178+forecast.ets.confint($A178,$B$104:$B$191,$A$104:$A$191,0.95,4,1,1),"")</f>
        <v/>
      </c>
    </row>
    <row r="179" customFormat="false" ht="15" hidden="false" customHeight="false" outlineLevel="0" collapsed="false">
      <c r="A179" s="21" t="n">
        <v>46296</v>
      </c>
      <c r="B179" s="22" t="str">
        <f aca="false">IFERROR(haverdata(Codes!$D$6,$A179),"")</f>
        <v/>
      </c>
      <c r="C179" s="23" t="str">
        <f aca="false">IFERROR(B179/B178-1,"")</f>
        <v/>
      </c>
      <c r="D179" s="23" t="str">
        <f aca="false">IFERROR(B179/B175-1,"")</f>
        <v/>
      </c>
      <c r="E179" s="24" t="str">
        <f aca="false">IFERROR(IF(B179="",IFERROR(GROWTH($B$104:$B$191,$A$104:$A$191,$A179),TREND($B$104:$B$191,$A$104:$A$191,$A179)),""),"")</f>
        <v/>
      </c>
      <c r="F179" s="24" t="str">
        <f aca="false">IFERROR(forecast.ets($A179,$B$104:$B$191,$A$104:$A$191,4,1,1),"")</f>
        <v/>
      </c>
      <c r="G179" s="24" t="str">
        <f aca="false">IFERROR(F179-forecast.ets.confint($A179,$B$104:$B$191,$A$104:$A$191,0.95,4,1,1),"")</f>
        <v/>
      </c>
      <c r="H179" s="24" t="str">
        <f aca="false">IFERROR(F179+forecast.ets.confint($A179,$B$104:$B$191,$A$104:$A$191,0.95,4,1,1),"")</f>
        <v/>
      </c>
    </row>
    <row r="180" customFormat="false" ht="15" hidden="false" customHeight="false" outlineLevel="0" collapsed="false">
      <c r="A180" s="16" t="n">
        <v>46388</v>
      </c>
      <c r="B180" s="17" t="str">
        <f aca="false">IFERROR(haverdata(Codes!$D$6,$A180),"")</f>
        <v/>
      </c>
      <c r="C180" s="18" t="str">
        <f aca="false">IFERROR(B180/B179-1,"")</f>
        <v/>
      </c>
      <c r="D180" s="18" t="str">
        <f aca="false">IFERROR(B180/B176-1,"")</f>
        <v/>
      </c>
      <c r="E180" s="19" t="str">
        <f aca="false">IFERROR(IF(B180="",IFERROR(GROWTH($B$104:$B$191,$A$104:$A$191,$A180),TREND($B$104:$B$191,$A$104:$A$191,$A180)),""),"")</f>
        <v/>
      </c>
      <c r="F180" s="19" t="str">
        <f aca="false">IFERROR(forecast.ets($A180,$B$104:$B$191,$A$104:$A$191,4,1,1),"")</f>
        <v/>
      </c>
      <c r="G180" s="19" t="str">
        <f aca="false">IFERROR(F180-forecast.ets.confint($A180,$B$104:$B$191,$A$104:$A$191,0.95,4,1,1),"")</f>
        <v/>
      </c>
      <c r="H180" s="19" t="str">
        <f aca="false">IFERROR(F180+forecast.ets.confint($A180,$B$104:$B$191,$A$104:$A$191,0.95,4,1,1),"")</f>
        <v/>
      </c>
    </row>
    <row r="181" customFormat="false" ht="15" hidden="false" customHeight="false" outlineLevel="0" collapsed="false">
      <c r="A181" s="21" t="n">
        <v>46478</v>
      </c>
      <c r="B181" s="22" t="str">
        <f aca="false">IFERROR(haverdata(Codes!$D$6,$A181),"")</f>
        <v/>
      </c>
      <c r="C181" s="23" t="str">
        <f aca="false">IFERROR(B181/B180-1,"")</f>
        <v/>
      </c>
      <c r="D181" s="23" t="str">
        <f aca="false">IFERROR(B181/B177-1,"")</f>
        <v/>
      </c>
      <c r="E181" s="24" t="str">
        <f aca="false">IFERROR(IF(B181="",IFERROR(GROWTH($B$104:$B$191,$A$104:$A$191,$A181),TREND($B$104:$B$191,$A$104:$A$191,$A181)),""),"")</f>
        <v/>
      </c>
      <c r="F181" s="24" t="str">
        <f aca="false">IFERROR(forecast.ets($A181,$B$104:$B$191,$A$104:$A$191,4,1,1),"")</f>
        <v/>
      </c>
      <c r="G181" s="24" t="str">
        <f aca="false">IFERROR(F181-forecast.ets.confint($A181,$B$104:$B$191,$A$104:$A$191,0.95,4,1,1),"")</f>
        <v/>
      </c>
      <c r="H181" s="24" t="str">
        <f aca="false">IFERROR(F181+forecast.ets.confint($A181,$B$104:$B$191,$A$104:$A$191,0.95,4,1,1),"")</f>
        <v/>
      </c>
    </row>
    <row r="182" customFormat="false" ht="15" hidden="false" customHeight="false" outlineLevel="0" collapsed="false">
      <c r="A182" s="16" t="n">
        <v>46569</v>
      </c>
      <c r="B182" s="17" t="str">
        <f aca="false">IFERROR(haverdata(Codes!$D$6,$A182),"")</f>
        <v/>
      </c>
      <c r="C182" s="18" t="str">
        <f aca="false">IFERROR(B182/B181-1,"")</f>
        <v/>
      </c>
      <c r="D182" s="18" t="str">
        <f aca="false">IFERROR(B182/B178-1,"")</f>
        <v/>
      </c>
      <c r="E182" s="19" t="str">
        <f aca="false">IFERROR(IF(B182="",IFERROR(GROWTH($B$104:$B$191,$A$104:$A$191,$A182),TREND($B$104:$B$191,$A$104:$A$191,$A182)),""),"")</f>
        <v/>
      </c>
      <c r="F182" s="19" t="str">
        <f aca="false">IFERROR(forecast.ets($A182,$B$104:$B$191,$A$104:$A$191,4,1,1),"")</f>
        <v/>
      </c>
      <c r="G182" s="19" t="str">
        <f aca="false">IFERROR(F182-forecast.ets.confint($A182,$B$104:$B$191,$A$104:$A$191,0.95,4,1,1),"")</f>
        <v/>
      </c>
      <c r="H182" s="19" t="str">
        <f aca="false">IFERROR(F182+forecast.ets.confint($A182,$B$104:$B$191,$A$104:$A$191,0.95,4,1,1),"")</f>
        <v/>
      </c>
    </row>
    <row r="183" customFormat="false" ht="15" hidden="false" customHeight="false" outlineLevel="0" collapsed="false">
      <c r="A183" s="21" t="n">
        <v>46661</v>
      </c>
      <c r="B183" s="22" t="str">
        <f aca="false">IFERROR(haverdata(Codes!$D$6,$A183),"")</f>
        <v/>
      </c>
      <c r="C183" s="23" t="str">
        <f aca="false">IFERROR(B183/B182-1,"")</f>
        <v/>
      </c>
      <c r="D183" s="23" t="str">
        <f aca="false">IFERROR(B183/B179-1,"")</f>
        <v/>
      </c>
      <c r="E183" s="24" t="str">
        <f aca="false">IFERROR(IF(B183="",IFERROR(GROWTH($B$104:$B$191,$A$104:$A$191,$A183),TREND($B$104:$B$191,$A$104:$A$191,$A183)),""),"")</f>
        <v/>
      </c>
      <c r="F183" s="24" t="str">
        <f aca="false">IFERROR(forecast.ets($A183,$B$104:$B$191,$A$104:$A$191,4,1,1),"")</f>
        <v/>
      </c>
      <c r="G183" s="24" t="str">
        <f aca="false">IFERROR(F183-forecast.ets.confint($A183,$B$104:$B$191,$A$104:$A$191,0.95,4,1,1),"")</f>
        <v/>
      </c>
      <c r="H183" s="24" t="str">
        <f aca="false">IFERROR(F183+forecast.ets.confint($A183,$B$104:$B$191,$A$104:$A$191,0.95,4,1,1),"")</f>
        <v/>
      </c>
    </row>
    <row r="184" customFormat="false" ht="15" hidden="false" customHeight="false" outlineLevel="0" collapsed="false">
      <c r="A184" s="16" t="n">
        <v>46753</v>
      </c>
      <c r="B184" s="17" t="str">
        <f aca="false">IFERROR(haverdata(Codes!$D$6,$A184),"")</f>
        <v/>
      </c>
      <c r="C184" s="18" t="str">
        <f aca="false">IFERROR(B184/B183-1,"")</f>
        <v/>
      </c>
      <c r="D184" s="18" t="str">
        <f aca="false">IFERROR(B184/B180-1,"")</f>
        <v/>
      </c>
      <c r="E184" s="19" t="str">
        <f aca="false">IFERROR(IF(B184="",IFERROR(GROWTH($B$104:$B$191,$A$104:$A$191,$A184),TREND($B$104:$B$191,$A$104:$A$191,$A184)),""),"")</f>
        <v/>
      </c>
      <c r="F184" s="19" t="str">
        <f aca="false">IFERROR(forecast.ets($A184,$B$104:$B$191,$A$104:$A$191,4,1,1),"")</f>
        <v/>
      </c>
      <c r="G184" s="19" t="str">
        <f aca="false">IFERROR(F184-forecast.ets.confint($A184,$B$104:$B$191,$A$104:$A$191,0.95,4,1,1),"")</f>
        <v/>
      </c>
      <c r="H184" s="19" t="str">
        <f aca="false">IFERROR(F184+forecast.ets.confint($A184,$B$104:$B$191,$A$104:$A$191,0.95,4,1,1),"")</f>
        <v/>
      </c>
    </row>
    <row r="185" customFormat="false" ht="15" hidden="false" customHeight="false" outlineLevel="0" collapsed="false">
      <c r="A185" s="21" t="n">
        <v>46844</v>
      </c>
      <c r="B185" s="22" t="str">
        <f aca="false">IFERROR(haverdata(Codes!$D$6,$A185),"")</f>
        <v/>
      </c>
      <c r="C185" s="23" t="str">
        <f aca="false">IFERROR(B185/B184-1,"")</f>
        <v/>
      </c>
      <c r="D185" s="23" t="str">
        <f aca="false">IFERROR(B185/B181-1,"")</f>
        <v/>
      </c>
      <c r="E185" s="24" t="str">
        <f aca="false">IFERROR(IF(B185="",IFERROR(GROWTH($B$104:$B$191,$A$104:$A$191,$A185),TREND($B$104:$B$191,$A$104:$A$191,$A185)),""),"")</f>
        <v/>
      </c>
      <c r="F185" s="24" t="str">
        <f aca="false">IFERROR(forecast.ets($A185,$B$104:$B$191,$A$104:$A$191,4,1,1),"")</f>
        <v/>
      </c>
      <c r="G185" s="24" t="str">
        <f aca="false">IFERROR(F185-forecast.ets.confint($A185,$B$104:$B$191,$A$104:$A$191,0.95,4,1,1),"")</f>
        <v/>
      </c>
      <c r="H185" s="24" t="str">
        <f aca="false">IFERROR(F185+forecast.ets.confint($A185,$B$104:$B$191,$A$104:$A$191,0.95,4,1,1),"")</f>
        <v/>
      </c>
    </row>
    <row r="186" customFormat="false" ht="15" hidden="false" customHeight="false" outlineLevel="0" collapsed="false">
      <c r="A186" s="16" t="n">
        <v>46935</v>
      </c>
      <c r="B186" s="17" t="str">
        <f aca="false">IFERROR(haverdata(Codes!$D$6,$A186),"")</f>
        <v/>
      </c>
      <c r="C186" s="18" t="str">
        <f aca="false">IFERROR(B186/B185-1,"")</f>
        <v/>
      </c>
      <c r="D186" s="18" t="str">
        <f aca="false">IFERROR(B186/B182-1,"")</f>
        <v/>
      </c>
      <c r="E186" s="19" t="str">
        <f aca="false">IFERROR(IF(B186="",IFERROR(GROWTH($B$104:$B$191,$A$104:$A$191,$A186),TREND($B$104:$B$191,$A$104:$A$191,$A186)),""),"")</f>
        <v/>
      </c>
      <c r="F186" s="19" t="str">
        <f aca="false">IFERROR(forecast.ets($A186,$B$104:$B$191,$A$104:$A$191,4,1,1),"")</f>
        <v/>
      </c>
      <c r="G186" s="19" t="str">
        <f aca="false">IFERROR(F186-forecast.ets.confint($A186,$B$104:$B$191,$A$104:$A$191,0.95,4,1,1),"")</f>
        <v/>
      </c>
      <c r="H186" s="19" t="str">
        <f aca="false">IFERROR(F186+forecast.ets.confint($A186,$B$104:$B$191,$A$104:$A$191,0.95,4,1,1),"")</f>
        <v/>
      </c>
    </row>
    <row r="187" customFormat="false" ht="15" hidden="false" customHeight="false" outlineLevel="0" collapsed="false">
      <c r="A187" s="21" t="n">
        <v>47027</v>
      </c>
      <c r="B187" s="22" t="str">
        <f aca="false">IFERROR(haverdata(Codes!$D$6,$A187),"")</f>
        <v/>
      </c>
      <c r="C187" s="23" t="str">
        <f aca="false">IFERROR(B187/B186-1,"")</f>
        <v/>
      </c>
      <c r="D187" s="23" t="str">
        <f aca="false">IFERROR(B187/B183-1,"")</f>
        <v/>
      </c>
      <c r="E187" s="24" t="str">
        <f aca="false">IFERROR(IF(B187="",IFERROR(GROWTH($B$104:$B$191,$A$104:$A$191,$A187),TREND($B$104:$B$191,$A$104:$A$191,$A187)),""),"")</f>
        <v/>
      </c>
      <c r="F187" s="24" t="str">
        <f aca="false">IFERROR(forecast.ets($A187,$B$104:$B$191,$A$104:$A$191,4,1,1),"")</f>
        <v/>
      </c>
      <c r="G187" s="24" t="str">
        <f aca="false">IFERROR(F187-forecast.ets.confint($A187,$B$104:$B$191,$A$104:$A$191,0.95,4,1,1),"")</f>
        <v/>
      </c>
      <c r="H187" s="24" t="str">
        <f aca="false">IFERROR(F187+forecast.ets.confint($A187,$B$104:$B$191,$A$104:$A$191,0.95,4,1,1),"")</f>
        <v/>
      </c>
    </row>
    <row r="188" customFormat="false" ht="15" hidden="false" customHeight="false" outlineLevel="0" collapsed="false">
      <c r="A188" s="16" t="n">
        <v>47119</v>
      </c>
      <c r="B188" s="17" t="str">
        <f aca="false">IFERROR(haverdata(Codes!$D$6,$A188),"")</f>
        <v/>
      </c>
      <c r="C188" s="18" t="str">
        <f aca="false">IFERROR(B188/B187-1,"")</f>
        <v/>
      </c>
      <c r="D188" s="18" t="str">
        <f aca="false">IFERROR(B188/B184-1,"")</f>
        <v/>
      </c>
      <c r="E188" s="19" t="str">
        <f aca="false">IFERROR(IF(B188="",IFERROR(GROWTH($B$104:$B$191,$A$104:$A$191,$A188),TREND($B$104:$B$191,$A$104:$A$191,$A188)),""),"")</f>
        <v/>
      </c>
      <c r="F188" s="19" t="str">
        <f aca="false">IFERROR(forecast.ets($A188,$B$104:$B$191,$A$104:$A$191,4,1,1),"")</f>
        <v/>
      </c>
      <c r="G188" s="19" t="str">
        <f aca="false">IFERROR(F188-forecast.ets.confint($A188,$B$104:$B$191,$A$104:$A$191,0.95,4,1,1),"")</f>
        <v/>
      </c>
      <c r="H188" s="19" t="str">
        <f aca="false">IFERROR(F188+forecast.ets.confint($A188,$B$104:$B$191,$A$104:$A$191,0.95,4,1,1),"")</f>
        <v/>
      </c>
    </row>
    <row r="189" customFormat="false" ht="15" hidden="false" customHeight="false" outlineLevel="0" collapsed="false">
      <c r="A189" s="21" t="n">
        <v>47209</v>
      </c>
      <c r="B189" s="22" t="str">
        <f aca="false">IFERROR(haverdata(Codes!$D$6,$A189),"")</f>
        <v/>
      </c>
      <c r="C189" s="23" t="str">
        <f aca="false">IFERROR(B189/B188-1,"")</f>
        <v/>
      </c>
      <c r="D189" s="23" t="str">
        <f aca="false">IFERROR(B189/B185-1,"")</f>
        <v/>
      </c>
      <c r="E189" s="24" t="str">
        <f aca="false">IFERROR(IF(B189="",IFERROR(GROWTH($B$104:$B$191,$A$104:$A$191,$A189),TREND($B$104:$B$191,$A$104:$A$191,$A189)),""),"")</f>
        <v/>
      </c>
      <c r="F189" s="24" t="str">
        <f aca="false">IFERROR(forecast.ets($A189,$B$104:$B$191,$A$104:$A$191,4,1,1),"")</f>
        <v/>
      </c>
      <c r="G189" s="24" t="str">
        <f aca="false">IFERROR(F189-forecast.ets.confint($A189,$B$104:$B$191,$A$104:$A$191,0.95,4,1,1),"")</f>
        <v/>
      </c>
      <c r="H189" s="24" t="str">
        <f aca="false">IFERROR(F189+forecast.ets.confint($A189,$B$104:$B$191,$A$104:$A$191,0.95,4,1,1),"")</f>
        <v/>
      </c>
    </row>
    <row r="190" customFormat="false" ht="15" hidden="false" customHeight="false" outlineLevel="0" collapsed="false">
      <c r="A190" s="16" t="n">
        <v>47300</v>
      </c>
      <c r="B190" s="17" t="str">
        <f aca="false">IFERROR(haverdata(Codes!$D$6,$A190),"")</f>
        <v/>
      </c>
      <c r="C190" s="18" t="str">
        <f aca="false">IFERROR(B190/B189-1,"")</f>
        <v/>
      </c>
      <c r="D190" s="18" t="str">
        <f aca="false">IFERROR(B190/B186-1,"")</f>
        <v/>
      </c>
      <c r="E190" s="19" t="str">
        <f aca="false">IFERROR(IF(B190="",IFERROR(GROWTH($B$104:$B$191,$A$104:$A$191,$A190),TREND($B$104:$B$191,$A$104:$A$191,$A190)),""),"")</f>
        <v/>
      </c>
      <c r="F190" s="19" t="str">
        <f aca="false">IFERROR(forecast.ets($A190,$B$104:$B$191,$A$104:$A$191,4,1,1),"")</f>
        <v/>
      </c>
      <c r="G190" s="19" t="str">
        <f aca="false">IFERROR(F190-forecast.ets.confint($A190,$B$104:$B$191,$A$104:$A$191,0.95,4,1,1),"")</f>
        <v/>
      </c>
      <c r="H190" s="19" t="str">
        <f aca="false">IFERROR(F190+forecast.ets.confint($A190,$B$104:$B$191,$A$104:$A$191,0.95,4,1,1),"")</f>
        <v/>
      </c>
    </row>
    <row r="191" customFormat="false" ht="15" hidden="false" customHeight="false" outlineLevel="0" collapsed="false">
      <c r="A191" s="21" t="n">
        <v>47392</v>
      </c>
      <c r="B191" s="22" t="str">
        <f aca="false">IFERROR(haverdata(Codes!$D$6,$A191),"")</f>
        <v/>
      </c>
      <c r="C191" s="23" t="str">
        <f aca="false">IFERROR(B191/B190-1,"")</f>
        <v/>
      </c>
      <c r="D191" s="23" t="str">
        <f aca="false">IFERROR(B191/B187-1,"")</f>
        <v/>
      </c>
      <c r="E191" s="24" t="str">
        <f aca="false">IFERROR(IF(B191="",IFERROR(GROWTH($B$104:$B$191,$A$104:$A$191,$A191),TREND($B$104:$B$191,$A$104:$A$191,$A191)),""),"")</f>
        <v/>
      </c>
      <c r="F191" s="24" t="str">
        <f aca="false">IFERROR(forecast.ets($A191,$B$104:$B$191,$A$104:$A$191,4,1,1),"")</f>
        <v/>
      </c>
      <c r="G191" s="24" t="str">
        <f aca="false">IFERROR(F191-forecast.ets.confint($A191,$B$104:$B$191,$A$104:$A$191,0.95,4,1,1),"")</f>
        <v/>
      </c>
      <c r="H191" s="24" t="str">
        <f aca="false">IFERROR(F191+forecast.ets.confint($A191,$B$104:$B$191,$A$104:$A$191,0.95,4,1,1),"")</f>
        <v/>
      </c>
    </row>
    <row r="196" customFormat="false" ht="21.75" hidden="false" customHeight="true" outlineLevel="0" collapsed="false">
      <c r="A196" s="13" t="str">
        <f aca="false">Codes!$B$7&amp;"   ["&amp;Codes!$D$7&amp;"]   "&amp;Codes!$F$7</f>
        <v>EMAE Activity Index   [EMAE@ARGEN]   Index 2004=100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customFormat="false" ht="15" hidden="false" customHeight="false" outlineLevel="0" collapsed="false">
      <c r="A197" s="4" t="s">
        <v>107</v>
      </c>
      <c r="B197" s="14" t="str">
        <f aca="false">Codes!$G$7</f>
        <v>avg</v>
      </c>
      <c r="D197" s="4" t="s">
        <v>108</v>
      </c>
      <c r="E197" s="6" t="str">
        <f aca="false">Codes!$H$7</f>
        <v>INDEC monthly activity proxy. [VERIFY] code on your subscription.</v>
      </c>
      <c r="F197" s="6"/>
      <c r="G197" s="6"/>
      <c r="H197" s="6"/>
      <c r="I197" s="6"/>
      <c r="J197" s="6"/>
      <c r="K197" s="6"/>
      <c r="L197" s="6"/>
      <c r="M197" s="6"/>
    </row>
    <row r="198" customFormat="false" ht="18" hidden="false" customHeight="true" outlineLevel="0" collapsed="false">
      <c r="A198" s="15" t="s">
        <v>109</v>
      </c>
      <c r="B198" s="15"/>
      <c r="C198" s="15"/>
      <c r="D198" s="15"/>
      <c r="E198" s="15"/>
      <c r="F198" s="15"/>
      <c r="G198" s="15"/>
      <c r="H198" s="15"/>
      <c r="J198" s="15" t="s">
        <v>110</v>
      </c>
      <c r="K198" s="15"/>
      <c r="L198" s="15"/>
      <c r="M198" s="15"/>
    </row>
    <row r="199" customFormat="false" ht="15" hidden="false" customHeight="false" outlineLevel="0" collapsed="false">
      <c r="A199" s="7" t="s">
        <v>111</v>
      </c>
      <c r="B199" s="7" t="s">
        <v>112</v>
      </c>
      <c r="C199" s="7" t="s">
        <v>113</v>
      </c>
      <c r="D199" s="7" t="s">
        <v>114</v>
      </c>
      <c r="E199" s="7" t="s">
        <v>115</v>
      </c>
      <c r="F199" s="7" t="s">
        <v>116</v>
      </c>
      <c r="G199" s="7" t="s">
        <v>117</v>
      </c>
      <c r="H199" s="7" t="s">
        <v>118</v>
      </c>
      <c r="J199" s="7" t="s">
        <v>119</v>
      </c>
      <c r="K199" s="7" t="s">
        <v>112</v>
      </c>
      <c r="L199" s="7" t="s">
        <v>114</v>
      </c>
      <c r="M199" s="7" t="s">
        <v>120</v>
      </c>
    </row>
    <row r="200" customFormat="false" ht="15" hidden="false" customHeight="false" outlineLevel="0" collapsed="false">
      <c r="A200" s="16" t="n">
        <v>39448</v>
      </c>
      <c r="B200" s="17" t="str">
        <f aca="false">IFERROR(haverdata(Codes!$D$7,$A200),"")</f>
        <v/>
      </c>
      <c r="C200" s="18"/>
      <c r="D200" s="18"/>
      <c r="E200" s="19" t="str">
        <f aca="false">IFERROR(IF(B200="",IFERROR(GROWTH($B$200:$B$287,$A$200:$A$287,$A200),TREND($B$200:$B$287,$A$200:$A$287,$A200)),""),"")</f>
        <v/>
      </c>
      <c r="F200" s="19" t="str">
        <f aca="false">IFERROR(forecast.ets($A200,$B$200:$B$287,$A$200:$A$287,4,1,1),"")</f>
        <v/>
      </c>
      <c r="G200" s="19" t="str">
        <f aca="false">IFERROR(F200-forecast.ets.confint($A200,$B$200:$B$287,$A$200:$A$287,0.95,4,1,1),"")</f>
        <v/>
      </c>
      <c r="H200" s="19" t="str">
        <f aca="false">IFERROR(F200+forecast.ets.confint($A200,$B$200:$B$287,$A$200:$A$287,0.95,4,1,1),"")</f>
        <v/>
      </c>
      <c r="J200" s="20" t="n">
        <v>2008</v>
      </c>
      <c r="K200" s="19" t="str">
        <f aca="false">IFERROR(AVERAGEIFS($B$200:$B$287,$A$200:$A$287,"&gt;="&amp;DATE(J200,1,1),$A$200:$A$287,"&lt;="&amp;DATE(J200,12,31)),"")</f>
        <v/>
      </c>
      <c r="L200" s="18"/>
      <c r="M200" s="19" t="str">
        <f aca="false">IFERROR(AVERAGEIFS($F$200:$F$287,$A$200:$A$287,"&gt;="&amp;DATE(J200,1,1),$A$200:$A$287,"&lt;="&amp;DATE(J200,12,31)),"")</f>
        <v/>
      </c>
    </row>
    <row r="201" customFormat="false" ht="15" hidden="false" customHeight="false" outlineLevel="0" collapsed="false">
      <c r="A201" s="21" t="n">
        <v>39539</v>
      </c>
      <c r="B201" s="22" t="str">
        <f aca="false">IFERROR(haverdata(Codes!$D$7,$A201),"")</f>
        <v/>
      </c>
      <c r="C201" s="23" t="str">
        <f aca="false">IFERROR(B201/B200-1,"")</f>
        <v/>
      </c>
      <c r="D201" s="23"/>
      <c r="E201" s="24" t="str">
        <f aca="false">IFERROR(IF(B201="",IFERROR(GROWTH($B$200:$B$287,$A$200:$A$287,$A201),TREND($B$200:$B$287,$A$200:$A$287,$A201)),""),"")</f>
        <v/>
      </c>
      <c r="F201" s="24" t="str">
        <f aca="false">IFERROR(forecast.ets($A201,$B$200:$B$287,$A$200:$A$287,4,1,1),"")</f>
        <v/>
      </c>
      <c r="G201" s="24" t="str">
        <f aca="false">IFERROR(F201-forecast.ets.confint($A201,$B$200:$B$287,$A$200:$A$287,0.95,4,1,1),"")</f>
        <v/>
      </c>
      <c r="H201" s="24" t="str">
        <f aca="false">IFERROR(F201+forecast.ets.confint($A201,$B$200:$B$287,$A$200:$A$287,0.95,4,1,1),"")</f>
        <v/>
      </c>
      <c r="J201" s="25" t="n">
        <v>2009</v>
      </c>
      <c r="K201" s="24" t="str">
        <f aca="false">IFERROR(AVERAGEIFS($B$200:$B$287,$A$200:$A$287,"&gt;="&amp;DATE(J201,1,1),$A$200:$A$287,"&lt;="&amp;DATE(J201,12,31)),"")</f>
        <v/>
      </c>
      <c r="L201" s="23" t="str">
        <f aca="false">IFERROR(K201/K200-1,"")</f>
        <v/>
      </c>
      <c r="M201" s="24" t="str">
        <f aca="false">IFERROR(AVERAGEIFS($F$200:$F$287,$A$200:$A$287,"&gt;="&amp;DATE(J201,1,1),$A$200:$A$287,"&lt;="&amp;DATE(J201,12,31)),"")</f>
        <v/>
      </c>
    </row>
    <row r="202" customFormat="false" ht="15" hidden="false" customHeight="false" outlineLevel="0" collapsed="false">
      <c r="A202" s="16" t="n">
        <v>39630</v>
      </c>
      <c r="B202" s="17" t="str">
        <f aca="false">IFERROR(haverdata(Codes!$D$7,$A202),"")</f>
        <v/>
      </c>
      <c r="C202" s="18" t="str">
        <f aca="false">IFERROR(B202/B201-1,"")</f>
        <v/>
      </c>
      <c r="D202" s="18"/>
      <c r="E202" s="19" t="str">
        <f aca="false">IFERROR(IF(B202="",IFERROR(GROWTH($B$200:$B$287,$A$200:$A$287,$A202),TREND($B$200:$B$287,$A$200:$A$287,$A202)),""),"")</f>
        <v/>
      </c>
      <c r="F202" s="19" t="str">
        <f aca="false">IFERROR(forecast.ets($A202,$B$200:$B$287,$A$200:$A$287,4,1,1),"")</f>
        <v/>
      </c>
      <c r="G202" s="19" t="str">
        <f aca="false">IFERROR(F202-forecast.ets.confint($A202,$B$200:$B$287,$A$200:$A$287,0.95,4,1,1),"")</f>
        <v/>
      </c>
      <c r="H202" s="19" t="str">
        <f aca="false">IFERROR(F202+forecast.ets.confint($A202,$B$200:$B$287,$A$200:$A$287,0.95,4,1,1),"")</f>
        <v/>
      </c>
      <c r="J202" s="20" t="n">
        <v>2010</v>
      </c>
      <c r="K202" s="19" t="str">
        <f aca="false">IFERROR(AVERAGEIFS($B$200:$B$287,$A$200:$A$287,"&gt;="&amp;DATE(J202,1,1),$A$200:$A$287,"&lt;="&amp;DATE(J202,12,31)),"")</f>
        <v/>
      </c>
      <c r="L202" s="18" t="str">
        <f aca="false">IFERROR(K202/K201-1,"")</f>
        <v/>
      </c>
      <c r="M202" s="19" t="str">
        <f aca="false">IFERROR(AVERAGEIFS($F$200:$F$287,$A$200:$A$287,"&gt;="&amp;DATE(J202,1,1),$A$200:$A$287,"&lt;="&amp;DATE(J202,12,31)),"")</f>
        <v/>
      </c>
    </row>
    <row r="203" customFormat="false" ht="15" hidden="false" customHeight="false" outlineLevel="0" collapsed="false">
      <c r="A203" s="21" t="n">
        <v>39722</v>
      </c>
      <c r="B203" s="22" t="str">
        <f aca="false">IFERROR(haverdata(Codes!$D$7,$A203),"")</f>
        <v/>
      </c>
      <c r="C203" s="23" t="str">
        <f aca="false">IFERROR(B203/B202-1,"")</f>
        <v/>
      </c>
      <c r="D203" s="23"/>
      <c r="E203" s="24" t="str">
        <f aca="false">IFERROR(IF(B203="",IFERROR(GROWTH($B$200:$B$287,$A$200:$A$287,$A203),TREND($B$200:$B$287,$A$200:$A$287,$A203)),""),"")</f>
        <v/>
      </c>
      <c r="F203" s="24" t="str">
        <f aca="false">IFERROR(forecast.ets($A203,$B$200:$B$287,$A$200:$A$287,4,1,1),"")</f>
        <v/>
      </c>
      <c r="G203" s="24" t="str">
        <f aca="false">IFERROR(F203-forecast.ets.confint($A203,$B$200:$B$287,$A$200:$A$287,0.95,4,1,1),"")</f>
        <v/>
      </c>
      <c r="H203" s="24" t="str">
        <f aca="false">IFERROR(F203+forecast.ets.confint($A203,$B$200:$B$287,$A$200:$A$287,0.95,4,1,1),"")</f>
        <v/>
      </c>
      <c r="J203" s="25" t="n">
        <v>2011</v>
      </c>
      <c r="K203" s="24" t="str">
        <f aca="false">IFERROR(AVERAGEIFS($B$200:$B$287,$A$200:$A$287,"&gt;="&amp;DATE(J203,1,1),$A$200:$A$287,"&lt;="&amp;DATE(J203,12,31)),"")</f>
        <v/>
      </c>
      <c r="L203" s="23" t="str">
        <f aca="false">IFERROR(K203/K202-1,"")</f>
        <v/>
      </c>
      <c r="M203" s="24" t="str">
        <f aca="false">IFERROR(AVERAGEIFS($F$200:$F$287,$A$200:$A$287,"&gt;="&amp;DATE(J203,1,1),$A$200:$A$287,"&lt;="&amp;DATE(J203,12,31)),"")</f>
        <v/>
      </c>
    </row>
    <row r="204" customFormat="false" ht="15" hidden="false" customHeight="false" outlineLevel="0" collapsed="false">
      <c r="A204" s="16" t="n">
        <v>39814</v>
      </c>
      <c r="B204" s="17" t="str">
        <f aca="false">IFERROR(haverdata(Codes!$D$7,$A204),"")</f>
        <v/>
      </c>
      <c r="C204" s="18" t="str">
        <f aca="false">IFERROR(B204/B203-1,"")</f>
        <v/>
      </c>
      <c r="D204" s="18" t="str">
        <f aca="false">IFERROR(B204/B200-1,"")</f>
        <v/>
      </c>
      <c r="E204" s="19" t="str">
        <f aca="false">IFERROR(IF(B204="",IFERROR(GROWTH($B$200:$B$287,$A$200:$A$287,$A204),TREND($B$200:$B$287,$A$200:$A$287,$A204)),""),"")</f>
        <v/>
      </c>
      <c r="F204" s="19" t="str">
        <f aca="false">IFERROR(forecast.ets($A204,$B$200:$B$287,$A$200:$A$287,4,1,1),"")</f>
        <v/>
      </c>
      <c r="G204" s="19" t="str">
        <f aca="false">IFERROR(F204-forecast.ets.confint($A204,$B$200:$B$287,$A$200:$A$287,0.95,4,1,1),"")</f>
        <v/>
      </c>
      <c r="H204" s="19" t="str">
        <f aca="false">IFERROR(F204+forecast.ets.confint($A204,$B$200:$B$287,$A$200:$A$287,0.95,4,1,1),"")</f>
        <v/>
      </c>
      <c r="J204" s="20" t="n">
        <v>2012</v>
      </c>
      <c r="K204" s="19" t="str">
        <f aca="false">IFERROR(AVERAGEIFS($B$200:$B$287,$A$200:$A$287,"&gt;="&amp;DATE(J204,1,1),$A$200:$A$287,"&lt;="&amp;DATE(J204,12,31)),"")</f>
        <v/>
      </c>
      <c r="L204" s="18" t="str">
        <f aca="false">IFERROR(K204/K203-1,"")</f>
        <v/>
      </c>
      <c r="M204" s="19" t="str">
        <f aca="false">IFERROR(AVERAGEIFS($F$200:$F$287,$A$200:$A$287,"&gt;="&amp;DATE(J204,1,1),$A$200:$A$287,"&lt;="&amp;DATE(J204,12,31)),"")</f>
        <v/>
      </c>
    </row>
    <row r="205" customFormat="false" ht="15" hidden="false" customHeight="false" outlineLevel="0" collapsed="false">
      <c r="A205" s="21" t="n">
        <v>39904</v>
      </c>
      <c r="B205" s="22" t="str">
        <f aca="false">IFERROR(haverdata(Codes!$D$7,$A205),"")</f>
        <v/>
      </c>
      <c r="C205" s="23" t="str">
        <f aca="false">IFERROR(B205/B204-1,"")</f>
        <v/>
      </c>
      <c r="D205" s="23" t="str">
        <f aca="false">IFERROR(B205/B201-1,"")</f>
        <v/>
      </c>
      <c r="E205" s="24" t="str">
        <f aca="false">IFERROR(IF(B205="",IFERROR(GROWTH($B$200:$B$287,$A$200:$A$287,$A205),TREND($B$200:$B$287,$A$200:$A$287,$A205)),""),"")</f>
        <v/>
      </c>
      <c r="F205" s="24" t="str">
        <f aca="false">IFERROR(forecast.ets($A205,$B$200:$B$287,$A$200:$A$287,4,1,1),"")</f>
        <v/>
      </c>
      <c r="G205" s="24" t="str">
        <f aca="false">IFERROR(F205-forecast.ets.confint($A205,$B$200:$B$287,$A$200:$A$287,0.95,4,1,1),"")</f>
        <v/>
      </c>
      <c r="H205" s="24" t="str">
        <f aca="false">IFERROR(F205+forecast.ets.confint($A205,$B$200:$B$287,$A$200:$A$287,0.95,4,1,1),"")</f>
        <v/>
      </c>
      <c r="J205" s="25" t="n">
        <v>2013</v>
      </c>
      <c r="K205" s="24" t="str">
        <f aca="false">IFERROR(AVERAGEIFS($B$200:$B$287,$A$200:$A$287,"&gt;="&amp;DATE(J205,1,1),$A$200:$A$287,"&lt;="&amp;DATE(J205,12,31)),"")</f>
        <v/>
      </c>
      <c r="L205" s="23" t="str">
        <f aca="false">IFERROR(K205/K204-1,"")</f>
        <v/>
      </c>
      <c r="M205" s="24" t="str">
        <f aca="false">IFERROR(AVERAGEIFS($F$200:$F$287,$A$200:$A$287,"&gt;="&amp;DATE(J205,1,1),$A$200:$A$287,"&lt;="&amp;DATE(J205,12,31)),"")</f>
        <v/>
      </c>
    </row>
    <row r="206" customFormat="false" ht="15" hidden="false" customHeight="false" outlineLevel="0" collapsed="false">
      <c r="A206" s="16" t="n">
        <v>39995</v>
      </c>
      <c r="B206" s="17" t="str">
        <f aca="false">IFERROR(haverdata(Codes!$D$7,$A206),"")</f>
        <v/>
      </c>
      <c r="C206" s="18" t="str">
        <f aca="false">IFERROR(B206/B205-1,"")</f>
        <v/>
      </c>
      <c r="D206" s="18" t="str">
        <f aca="false">IFERROR(B206/B202-1,"")</f>
        <v/>
      </c>
      <c r="E206" s="19" t="str">
        <f aca="false">IFERROR(IF(B206="",IFERROR(GROWTH($B$200:$B$287,$A$200:$A$287,$A206),TREND($B$200:$B$287,$A$200:$A$287,$A206)),""),"")</f>
        <v/>
      </c>
      <c r="F206" s="19" t="str">
        <f aca="false">IFERROR(forecast.ets($A206,$B$200:$B$287,$A$200:$A$287,4,1,1),"")</f>
        <v/>
      </c>
      <c r="G206" s="19" t="str">
        <f aca="false">IFERROR(F206-forecast.ets.confint($A206,$B$200:$B$287,$A$200:$A$287,0.95,4,1,1),"")</f>
        <v/>
      </c>
      <c r="H206" s="19" t="str">
        <f aca="false">IFERROR(F206+forecast.ets.confint($A206,$B$200:$B$287,$A$200:$A$287,0.95,4,1,1),"")</f>
        <v/>
      </c>
      <c r="J206" s="20" t="n">
        <v>2014</v>
      </c>
      <c r="K206" s="19" t="str">
        <f aca="false">IFERROR(AVERAGEIFS($B$200:$B$287,$A$200:$A$287,"&gt;="&amp;DATE(J206,1,1),$A$200:$A$287,"&lt;="&amp;DATE(J206,12,31)),"")</f>
        <v/>
      </c>
      <c r="L206" s="18" t="str">
        <f aca="false">IFERROR(K206/K205-1,"")</f>
        <v/>
      </c>
      <c r="M206" s="19" t="str">
        <f aca="false">IFERROR(AVERAGEIFS($F$200:$F$287,$A$200:$A$287,"&gt;="&amp;DATE(J206,1,1),$A$200:$A$287,"&lt;="&amp;DATE(J206,12,31)),"")</f>
        <v/>
      </c>
    </row>
    <row r="207" customFormat="false" ht="15" hidden="false" customHeight="false" outlineLevel="0" collapsed="false">
      <c r="A207" s="21" t="n">
        <v>40087</v>
      </c>
      <c r="B207" s="22" t="str">
        <f aca="false">IFERROR(haverdata(Codes!$D$7,$A207),"")</f>
        <v/>
      </c>
      <c r="C207" s="23" t="str">
        <f aca="false">IFERROR(B207/B206-1,"")</f>
        <v/>
      </c>
      <c r="D207" s="23" t="str">
        <f aca="false">IFERROR(B207/B203-1,"")</f>
        <v/>
      </c>
      <c r="E207" s="24" t="str">
        <f aca="false">IFERROR(IF(B207="",IFERROR(GROWTH($B$200:$B$287,$A$200:$A$287,$A207),TREND($B$200:$B$287,$A$200:$A$287,$A207)),""),"")</f>
        <v/>
      </c>
      <c r="F207" s="24" t="str">
        <f aca="false">IFERROR(forecast.ets($A207,$B$200:$B$287,$A$200:$A$287,4,1,1),"")</f>
        <v/>
      </c>
      <c r="G207" s="24" t="str">
        <f aca="false">IFERROR(F207-forecast.ets.confint($A207,$B$200:$B$287,$A$200:$A$287,0.95,4,1,1),"")</f>
        <v/>
      </c>
      <c r="H207" s="24" t="str">
        <f aca="false">IFERROR(F207+forecast.ets.confint($A207,$B$200:$B$287,$A$200:$A$287,0.95,4,1,1),"")</f>
        <v/>
      </c>
      <c r="J207" s="25" t="n">
        <v>2015</v>
      </c>
      <c r="K207" s="24" t="str">
        <f aca="false">IFERROR(AVERAGEIFS($B$200:$B$287,$A$200:$A$287,"&gt;="&amp;DATE(J207,1,1),$A$200:$A$287,"&lt;="&amp;DATE(J207,12,31)),"")</f>
        <v/>
      </c>
      <c r="L207" s="23" t="str">
        <f aca="false">IFERROR(K207/K206-1,"")</f>
        <v/>
      </c>
      <c r="M207" s="24" t="str">
        <f aca="false">IFERROR(AVERAGEIFS($F$200:$F$287,$A$200:$A$287,"&gt;="&amp;DATE(J207,1,1),$A$200:$A$287,"&lt;="&amp;DATE(J207,12,31)),"")</f>
        <v/>
      </c>
    </row>
    <row r="208" customFormat="false" ht="15" hidden="false" customHeight="false" outlineLevel="0" collapsed="false">
      <c r="A208" s="16" t="n">
        <v>40179</v>
      </c>
      <c r="B208" s="17" t="str">
        <f aca="false">IFERROR(haverdata(Codes!$D$7,$A208),"")</f>
        <v/>
      </c>
      <c r="C208" s="18" t="str">
        <f aca="false">IFERROR(B208/B207-1,"")</f>
        <v/>
      </c>
      <c r="D208" s="18" t="str">
        <f aca="false">IFERROR(B208/B204-1,"")</f>
        <v/>
      </c>
      <c r="E208" s="19" t="str">
        <f aca="false">IFERROR(IF(B208="",IFERROR(GROWTH($B$200:$B$287,$A$200:$A$287,$A208),TREND($B$200:$B$287,$A$200:$A$287,$A208)),""),"")</f>
        <v/>
      </c>
      <c r="F208" s="19" t="str">
        <f aca="false">IFERROR(forecast.ets($A208,$B$200:$B$287,$A$200:$A$287,4,1,1),"")</f>
        <v/>
      </c>
      <c r="G208" s="19" t="str">
        <f aca="false">IFERROR(F208-forecast.ets.confint($A208,$B$200:$B$287,$A$200:$A$287,0.95,4,1,1),"")</f>
        <v/>
      </c>
      <c r="H208" s="19" t="str">
        <f aca="false">IFERROR(F208+forecast.ets.confint($A208,$B$200:$B$287,$A$200:$A$287,0.95,4,1,1),"")</f>
        <v/>
      </c>
      <c r="J208" s="20" t="n">
        <v>2016</v>
      </c>
      <c r="K208" s="19" t="str">
        <f aca="false">IFERROR(AVERAGEIFS($B$200:$B$287,$A$200:$A$287,"&gt;="&amp;DATE(J208,1,1),$A$200:$A$287,"&lt;="&amp;DATE(J208,12,31)),"")</f>
        <v/>
      </c>
      <c r="L208" s="18" t="str">
        <f aca="false">IFERROR(K208/K207-1,"")</f>
        <v/>
      </c>
      <c r="M208" s="19" t="str">
        <f aca="false">IFERROR(AVERAGEIFS($F$200:$F$287,$A$200:$A$287,"&gt;="&amp;DATE(J208,1,1),$A$200:$A$287,"&lt;="&amp;DATE(J208,12,31)),"")</f>
        <v/>
      </c>
    </row>
    <row r="209" customFormat="false" ht="15" hidden="false" customHeight="false" outlineLevel="0" collapsed="false">
      <c r="A209" s="21" t="n">
        <v>40269</v>
      </c>
      <c r="B209" s="22" t="str">
        <f aca="false">IFERROR(haverdata(Codes!$D$7,$A209),"")</f>
        <v/>
      </c>
      <c r="C209" s="23" t="str">
        <f aca="false">IFERROR(B209/B208-1,"")</f>
        <v/>
      </c>
      <c r="D209" s="23" t="str">
        <f aca="false">IFERROR(B209/B205-1,"")</f>
        <v/>
      </c>
      <c r="E209" s="24" t="str">
        <f aca="false">IFERROR(IF(B209="",IFERROR(GROWTH($B$200:$B$287,$A$200:$A$287,$A209),TREND($B$200:$B$287,$A$200:$A$287,$A209)),""),"")</f>
        <v/>
      </c>
      <c r="F209" s="24" t="str">
        <f aca="false">IFERROR(forecast.ets($A209,$B$200:$B$287,$A$200:$A$287,4,1,1),"")</f>
        <v/>
      </c>
      <c r="G209" s="24" t="str">
        <f aca="false">IFERROR(F209-forecast.ets.confint($A209,$B$200:$B$287,$A$200:$A$287,0.95,4,1,1),"")</f>
        <v/>
      </c>
      <c r="H209" s="24" t="str">
        <f aca="false">IFERROR(F209+forecast.ets.confint($A209,$B$200:$B$287,$A$200:$A$287,0.95,4,1,1),"")</f>
        <v/>
      </c>
      <c r="J209" s="25" t="n">
        <v>2017</v>
      </c>
      <c r="K209" s="24" t="str">
        <f aca="false">IFERROR(AVERAGEIFS($B$200:$B$287,$A$200:$A$287,"&gt;="&amp;DATE(J209,1,1),$A$200:$A$287,"&lt;="&amp;DATE(J209,12,31)),"")</f>
        <v/>
      </c>
      <c r="L209" s="23" t="str">
        <f aca="false">IFERROR(K209/K208-1,"")</f>
        <v/>
      </c>
      <c r="M209" s="24" t="str">
        <f aca="false">IFERROR(AVERAGEIFS($F$200:$F$287,$A$200:$A$287,"&gt;="&amp;DATE(J209,1,1),$A$200:$A$287,"&lt;="&amp;DATE(J209,12,31)),"")</f>
        <v/>
      </c>
    </row>
    <row r="210" customFormat="false" ht="15" hidden="false" customHeight="false" outlineLevel="0" collapsed="false">
      <c r="A210" s="16" t="n">
        <v>40360</v>
      </c>
      <c r="B210" s="17" t="str">
        <f aca="false">IFERROR(haverdata(Codes!$D$7,$A210),"")</f>
        <v/>
      </c>
      <c r="C210" s="18" t="str">
        <f aca="false">IFERROR(B210/B209-1,"")</f>
        <v/>
      </c>
      <c r="D210" s="18" t="str">
        <f aca="false">IFERROR(B210/B206-1,"")</f>
        <v/>
      </c>
      <c r="E210" s="19" t="str">
        <f aca="false">IFERROR(IF(B210="",IFERROR(GROWTH($B$200:$B$287,$A$200:$A$287,$A210),TREND($B$200:$B$287,$A$200:$A$287,$A210)),""),"")</f>
        <v/>
      </c>
      <c r="F210" s="19" t="str">
        <f aca="false">IFERROR(forecast.ets($A210,$B$200:$B$287,$A$200:$A$287,4,1,1),"")</f>
        <v/>
      </c>
      <c r="G210" s="19" t="str">
        <f aca="false">IFERROR(F210-forecast.ets.confint($A210,$B$200:$B$287,$A$200:$A$287,0.95,4,1,1),"")</f>
        <v/>
      </c>
      <c r="H210" s="19" t="str">
        <f aca="false">IFERROR(F210+forecast.ets.confint($A210,$B$200:$B$287,$A$200:$A$287,0.95,4,1,1),"")</f>
        <v/>
      </c>
      <c r="J210" s="20" t="n">
        <v>2018</v>
      </c>
      <c r="K210" s="19" t="str">
        <f aca="false">IFERROR(AVERAGEIFS($B$200:$B$287,$A$200:$A$287,"&gt;="&amp;DATE(J210,1,1),$A$200:$A$287,"&lt;="&amp;DATE(J210,12,31)),"")</f>
        <v/>
      </c>
      <c r="L210" s="18" t="str">
        <f aca="false">IFERROR(K210/K209-1,"")</f>
        <v/>
      </c>
      <c r="M210" s="19" t="str">
        <f aca="false">IFERROR(AVERAGEIFS($F$200:$F$287,$A$200:$A$287,"&gt;="&amp;DATE(J210,1,1),$A$200:$A$287,"&lt;="&amp;DATE(J210,12,31)),"")</f>
        <v/>
      </c>
    </row>
    <row r="211" customFormat="false" ht="15" hidden="false" customHeight="false" outlineLevel="0" collapsed="false">
      <c r="A211" s="21" t="n">
        <v>40452</v>
      </c>
      <c r="B211" s="22" t="str">
        <f aca="false">IFERROR(haverdata(Codes!$D$7,$A211),"")</f>
        <v/>
      </c>
      <c r="C211" s="23" t="str">
        <f aca="false">IFERROR(B211/B210-1,"")</f>
        <v/>
      </c>
      <c r="D211" s="23" t="str">
        <f aca="false">IFERROR(B211/B207-1,"")</f>
        <v/>
      </c>
      <c r="E211" s="24" t="str">
        <f aca="false">IFERROR(IF(B211="",IFERROR(GROWTH($B$200:$B$287,$A$200:$A$287,$A211),TREND($B$200:$B$287,$A$200:$A$287,$A211)),""),"")</f>
        <v/>
      </c>
      <c r="F211" s="24" t="str">
        <f aca="false">IFERROR(forecast.ets($A211,$B$200:$B$287,$A$200:$A$287,4,1,1),"")</f>
        <v/>
      </c>
      <c r="G211" s="24" t="str">
        <f aca="false">IFERROR(F211-forecast.ets.confint($A211,$B$200:$B$287,$A$200:$A$287,0.95,4,1,1),"")</f>
        <v/>
      </c>
      <c r="H211" s="24" t="str">
        <f aca="false">IFERROR(F211+forecast.ets.confint($A211,$B$200:$B$287,$A$200:$A$287,0.95,4,1,1),"")</f>
        <v/>
      </c>
      <c r="J211" s="25" t="n">
        <v>2019</v>
      </c>
      <c r="K211" s="24" t="str">
        <f aca="false">IFERROR(AVERAGEIFS($B$200:$B$287,$A$200:$A$287,"&gt;="&amp;DATE(J211,1,1),$A$200:$A$287,"&lt;="&amp;DATE(J211,12,31)),"")</f>
        <v/>
      </c>
      <c r="L211" s="23" t="str">
        <f aca="false">IFERROR(K211/K210-1,"")</f>
        <v/>
      </c>
      <c r="M211" s="24" t="str">
        <f aca="false">IFERROR(AVERAGEIFS($F$200:$F$287,$A$200:$A$287,"&gt;="&amp;DATE(J211,1,1),$A$200:$A$287,"&lt;="&amp;DATE(J211,12,31)),"")</f>
        <v/>
      </c>
    </row>
    <row r="212" customFormat="false" ht="15" hidden="false" customHeight="false" outlineLevel="0" collapsed="false">
      <c r="A212" s="16" t="n">
        <v>40544</v>
      </c>
      <c r="B212" s="17" t="str">
        <f aca="false">IFERROR(haverdata(Codes!$D$7,$A212),"")</f>
        <v/>
      </c>
      <c r="C212" s="18" t="str">
        <f aca="false">IFERROR(B212/B211-1,"")</f>
        <v/>
      </c>
      <c r="D212" s="18" t="str">
        <f aca="false">IFERROR(B212/B208-1,"")</f>
        <v/>
      </c>
      <c r="E212" s="19" t="str">
        <f aca="false">IFERROR(IF(B212="",IFERROR(GROWTH($B$200:$B$287,$A$200:$A$287,$A212),TREND($B$200:$B$287,$A$200:$A$287,$A212)),""),"")</f>
        <v/>
      </c>
      <c r="F212" s="19" t="str">
        <f aca="false">IFERROR(forecast.ets($A212,$B$200:$B$287,$A$200:$A$287,4,1,1),"")</f>
        <v/>
      </c>
      <c r="G212" s="19" t="str">
        <f aca="false">IFERROR(F212-forecast.ets.confint($A212,$B$200:$B$287,$A$200:$A$287,0.95,4,1,1),"")</f>
        <v/>
      </c>
      <c r="H212" s="19" t="str">
        <f aca="false">IFERROR(F212+forecast.ets.confint($A212,$B$200:$B$287,$A$200:$A$287,0.95,4,1,1),"")</f>
        <v/>
      </c>
      <c r="J212" s="20" t="n">
        <v>2020</v>
      </c>
      <c r="K212" s="19" t="str">
        <f aca="false">IFERROR(AVERAGEIFS($B$200:$B$287,$A$200:$A$287,"&gt;="&amp;DATE(J212,1,1),$A$200:$A$287,"&lt;="&amp;DATE(J212,12,31)),"")</f>
        <v/>
      </c>
      <c r="L212" s="18" t="str">
        <f aca="false">IFERROR(K212/K211-1,"")</f>
        <v/>
      </c>
      <c r="M212" s="19" t="str">
        <f aca="false">IFERROR(AVERAGEIFS($F$200:$F$287,$A$200:$A$287,"&gt;="&amp;DATE(J212,1,1),$A$200:$A$287,"&lt;="&amp;DATE(J212,12,31)),"")</f>
        <v/>
      </c>
    </row>
    <row r="213" customFormat="false" ht="15" hidden="false" customHeight="false" outlineLevel="0" collapsed="false">
      <c r="A213" s="21" t="n">
        <v>40634</v>
      </c>
      <c r="B213" s="22" t="str">
        <f aca="false">IFERROR(haverdata(Codes!$D$7,$A213),"")</f>
        <v/>
      </c>
      <c r="C213" s="23" t="str">
        <f aca="false">IFERROR(B213/B212-1,"")</f>
        <v/>
      </c>
      <c r="D213" s="23" t="str">
        <f aca="false">IFERROR(B213/B209-1,"")</f>
        <v/>
      </c>
      <c r="E213" s="24" t="str">
        <f aca="false">IFERROR(IF(B213="",IFERROR(GROWTH($B$200:$B$287,$A$200:$A$287,$A213),TREND($B$200:$B$287,$A$200:$A$287,$A213)),""),"")</f>
        <v/>
      </c>
      <c r="F213" s="24" t="str">
        <f aca="false">IFERROR(forecast.ets($A213,$B$200:$B$287,$A$200:$A$287,4,1,1),"")</f>
        <v/>
      </c>
      <c r="G213" s="24" t="str">
        <f aca="false">IFERROR(F213-forecast.ets.confint($A213,$B$200:$B$287,$A$200:$A$287,0.95,4,1,1),"")</f>
        <v/>
      </c>
      <c r="H213" s="24" t="str">
        <f aca="false">IFERROR(F213+forecast.ets.confint($A213,$B$200:$B$287,$A$200:$A$287,0.95,4,1,1),"")</f>
        <v/>
      </c>
      <c r="J213" s="25" t="n">
        <v>2021</v>
      </c>
      <c r="K213" s="24" t="str">
        <f aca="false">IFERROR(AVERAGEIFS($B$200:$B$287,$A$200:$A$287,"&gt;="&amp;DATE(J213,1,1),$A$200:$A$287,"&lt;="&amp;DATE(J213,12,31)),"")</f>
        <v/>
      </c>
      <c r="L213" s="23" t="str">
        <f aca="false">IFERROR(K213/K212-1,"")</f>
        <v/>
      </c>
      <c r="M213" s="24" t="str">
        <f aca="false">IFERROR(AVERAGEIFS($F$200:$F$287,$A$200:$A$287,"&gt;="&amp;DATE(J213,1,1),$A$200:$A$287,"&lt;="&amp;DATE(J213,12,31)),"")</f>
        <v/>
      </c>
    </row>
    <row r="214" customFormat="false" ht="15" hidden="false" customHeight="false" outlineLevel="0" collapsed="false">
      <c r="A214" s="16" t="n">
        <v>40725</v>
      </c>
      <c r="B214" s="17" t="str">
        <f aca="false">IFERROR(haverdata(Codes!$D$7,$A214),"")</f>
        <v/>
      </c>
      <c r="C214" s="18" t="str">
        <f aca="false">IFERROR(B214/B213-1,"")</f>
        <v/>
      </c>
      <c r="D214" s="18" t="str">
        <f aca="false">IFERROR(B214/B210-1,"")</f>
        <v/>
      </c>
      <c r="E214" s="19" t="str">
        <f aca="false">IFERROR(IF(B214="",IFERROR(GROWTH($B$200:$B$287,$A$200:$A$287,$A214),TREND($B$200:$B$287,$A$200:$A$287,$A214)),""),"")</f>
        <v/>
      </c>
      <c r="F214" s="19" t="str">
        <f aca="false">IFERROR(forecast.ets($A214,$B$200:$B$287,$A$200:$A$287,4,1,1),"")</f>
        <v/>
      </c>
      <c r="G214" s="19" t="str">
        <f aca="false">IFERROR(F214-forecast.ets.confint($A214,$B$200:$B$287,$A$200:$A$287,0.95,4,1,1),"")</f>
        <v/>
      </c>
      <c r="H214" s="19" t="str">
        <f aca="false">IFERROR(F214+forecast.ets.confint($A214,$B$200:$B$287,$A$200:$A$287,0.95,4,1,1),"")</f>
        <v/>
      </c>
      <c r="J214" s="20" t="n">
        <v>2022</v>
      </c>
      <c r="K214" s="19" t="str">
        <f aca="false">IFERROR(AVERAGEIFS($B$200:$B$287,$A$200:$A$287,"&gt;="&amp;DATE(J214,1,1),$A$200:$A$287,"&lt;="&amp;DATE(J214,12,31)),"")</f>
        <v/>
      </c>
      <c r="L214" s="18" t="str">
        <f aca="false">IFERROR(K214/K213-1,"")</f>
        <v/>
      </c>
      <c r="M214" s="19" t="str">
        <f aca="false">IFERROR(AVERAGEIFS($F$200:$F$287,$A$200:$A$287,"&gt;="&amp;DATE(J214,1,1),$A$200:$A$287,"&lt;="&amp;DATE(J214,12,31)),"")</f>
        <v/>
      </c>
    </row>
    <row r="215" customFormat="false" ht="15" hidden="false" customHeight="false" outlineLevel="0" collapsed="false">
      <c r="A215" s="21" t="n">
        <v>40817</v>
      </c>
      <c r="B215" s="22" t="str">
        <f aca="false">IFERROR(haverdata(Codes!$D$7,$A215),"")</f>
        <v/>
      </c>
      <c r="C215" s="23" t="str">
        <f aca="false">IFERROR(B215/B214-1,"")</f>
        <v/>
      </c>
      <c r="D215" s="23" t="str">
        <f aca="false">IFERROR(B215/B211-1,"")</f>
        <v/>
      </c>
      <c r="E215" s="24" t="str">
        <f aca="false">IFERROR(IF(B215="",IFERROR(GROWTH($B$200:$B$287,$A$200:$A$287,$A215),TREND($B$200:$B$287,$A$200:$A$287,$A215)),""),"")</f>
        <v/>
      </c>
      <c r="F215" s="24" t="str">
        <f aca="false">IFERROR(forecast.ets($A215,$B$200:$B$287,$A$200:$A$287,4,1,1),"")</f>
        <v/>
      </c>
      <c r="G215" s="24" t="str">
        <f aca="false">IFERROR(F215-forecast.ets.confint($A215,$B$200:$B$287,$A$200:$A$287,0.95,4,1,1),"")</f>
        <v/>
      </c>
      <c r="H215" s="24" t="str">
        <f aca="false">IFERROR(F215+forecast.ets.confint($A215,$B$200:$B$287,$A$200:$A$287,0.95,4,1,1),"")</f>
        <v/>
      </c>
      <c r="J215" s="25" t="n">
        <v>2023</v>
      </c>
      <c r="K215" s="24" t="str">
        <f aca="false">IFERROR(AVERAGEIFS($B$200:$B$287,$A$200:$A$287,"&gt;="&amp;DATE(J215,1,1),$A$200:$A$287,"&lt;="&amp;DATE(J215,12,31)),"")</f>
        <v/>
      </c>
      <c r="L215" s="23" t="str">
        <f aca="false">IFERROR(K215/K214-1,"")</f>
        <v/>
      </c>
      <c r="M215" s="24" t="str">
        <f aca="false">IFERROR(AVERAGEIFS($F$200:$F$287,$A$200:$A$287,"&gt;="&amp;DATE(J215,1,1),$A$200:$A$287,"&lt;="&amp;DATE(J215,12,31)),"")</f>
        <v/>
      </c>
    </row>
    <row r="216" customFormat="false" ht="15" hidden="false" customHeight="false" outlineLevel="0" collapsed="false">
      <c r="A216" s="16" t="n">
        <v>40909</v>
      </c>
      <c r="B216" s="17" t="str">
        <f aca="false">IFERROR(haverdata(Codes!$D$7,$A216),"")</f>
        <v/>
      </c>
      <c r="C216" s="18" t="str">
        <f aca="false">IFERROR(B216/B215-1,"")</f>
        <v/>
      </c>
      <c r="D216" s="18" t="str">
        <f aca="false">IFERROR(B216/B212-1,"")</f>
        <v/>
      </c>
      <c r="E216" s="19" t="str">
        <f aca="false">IFERROR(IF(B216="",IFERROR(GROWTH($B$200:$B$287,$A$200:$A$287,$A216),TREND($B$200:$B$287,$A$200:$A$287,$A216)),""),"")</f>
        <v/>
      </c>
      <c r="F216" s="19" t="str">
        <f aca="false">IFERROR(forecast.ets($A216,$B$200:$B$287,$A$200:$A$287,4,1,1),"")</f>
        <v/>
      </c>
      <c r="G216" s="19" t="str">
        <f aca="false">IFERROR(F216-forecast.ets.confint($A216,$B$200:$B$287,$A$200:$A$287,0.95,4,1,1),"")</f>
        <v/>
      </c>
      <c r="H216" s="19" t="str">
        <f aca="false">IFERROR(F216+forecast.ets.confint($A216,$B$200:$B$287,$A$200:$A$287,0.95,4,1,1),"")</f>
        <v/>
      </c>
      <c r="J216" s="20" t="n">
        <v>2024</v>
      </c>
      <c r="K216" s="19" t="str">
        <f aca="false">IFERROR(AVERAGEIFS($B$200:$B$287,$A$200:$A$287,"&gt;="&amp;DATE(J216,1,1),$A$200:$A$287,"&lt;="&amp;DATE(J216,12,31)),"")</f>
        <v/>
      </c>
      <c r="L216" s="18" t="str">
        <f aca="false">IFERROR(K216/K215-1,"")</f>
        <v/>
      </c>
      <c r="M216" s="19" t="str">
        <f aca="false">IFERROR(AVERAGEIFS($F$200:$F$287,$A$200:$A$287,"&gt;="&amp;DATE(J216,1,1),$A$200:$A$287,"&lt;="&amp;DATE(J216,12,31)),"")</f>
        <v/>
      </c>
    </row>
    <row r="217" customFormat="false" ht="15" hidden="false" customHeight="false" outlineLevel="0" collapsed="false">
      <c r="A217" s="21" t="n">
        <v>41000</v>
      </c>
      <c r="B217" s="22" t="str">
        <f aca="false">IFERROR(haverdata(Codes!$D$7,$A217),"")</f>
        <v/>
      </c>
      <c r="C217" s="23" t="str">
        <f aca="false">IFERROR(B217/B216-1,"")</f>
        <v/>
      </c>
      <c r="D217" s="23" t="str">
        <f aca="false">IFERROR(B217/B213-1,"")</f>
        <v/>
      </c>
      <c r="E217" s="24" t="str">
        <f aca="false">IFERROR(IF(B217="",IFERROR(GROWTH($B$200:$B$287,$A$200:$A$287,$A217),TREND($B$200:$B$287,$A$200:$A$287,$A217)),""),"")</f>
        <v/>
      </c>
      <c r="F217" s="24" t="str">
        <f aca="false">IFERROR(forecast.ets($A217,$B$200:$B$287,$A$200:$A$287,4,1,1),"")</f>
        <v/>
      </c>
      <c r="G217" s="24" t="str">
        <f aca="false">IFERROR(F217-forecast.ets.confint($A217,$B$200:$B$287,$A$200:$A$287,0.95,4,1,1),"")</f>
        <v/>
      </c>
      <c r="H217" s="24" t="str">
        <f aca="false">IFERROR(F217+forecast.ets.confint($A217,$B$200:$B$287,$A$200:$A$287,0.95,4,1,1),"")</f>
        <v/>
      </c>
      <c r="J217" s="25" t="n">
        <v>2025</v>
      </c>
      <c r="K217" s="24" t="str">
        <f aca="false">IFERROR(AVERAGEIFS($B$200:$B$287,$A$200:$A$287,"&gt;="&amp;DATE(J217,1,1),$A$200:$A$287,"&lt;="&amp;DATE(J217,12,31)),"")</f>
        <v/>
      </c>
      <c r="L217" s="23" t="str">
        <f aca="false">IFERROR(K217/K216-1,"")</f>
        <v/>
      </c>
      <c r="M217" s="24" t="str">
        <f aca="false">IFERROR(AVERAGEIFS($F$200:$F$287,$A$200:$A$287,"&gt;="&amp;DATE(J217,1,1),$A$200:$A$287,"&lt;="&amp;DATE(J217,12,31)),"")</f>
        <v/>
      </c>
    </row>
    <row r="218" customFormat="false" ht="15" hidden="false" customHeight="false" outlineLevel="0" collapsed="false">
      <c r="A218" s="16" t="n">
        <v>41091</v>
      </c>
      <c r="B218" s="17" t="str">
        <f aca="false">IFERROR(haverdata(Codes!$D$7,$A218),"")</f>
        <v/>
      </c>
      <c r="C218" s="18" t="str">
        <f aca="false">IFERROR(B218/B217-1,"")</f>
        <v/>
      </c>
      <c r="D218" s="18" t="str">
        <f aca="false">IFERROR(B218/B214-1,"")</f>
        <v/>
      </c>
      <c r="E218" s="19" t="str">
        <f aca="false">IFERROR(IF(B218="",IFERROR(GROWTH($B$200:$B$287,$A$200:$A$287,$A218),TREND($B$200:$B$287,$A$200:$A$287,$A218)),""),"")</f>
        <v/>
      </c>
      <c r="F218" s="19" t="str">
        <f aca="false">IFERROR(forecast.ets($A218,$B$200:$B$287,$A$200:$A$287,4,1,1),"")</f>
        <v/>
      </c>
      <c r="G218" s="19" t="str">
        <f aca="false">IFERROR(F218-forecast.ets.confint($A218,$B$200:$B$287,$A$200:$A$287,0.95,4,1,1),"")</f>
        <v/>
      </c>
      <c r="H218" s="19" t="str">
        <f aca="false">IFERROR(F218+forecast.ets.confint($A218,$B$200:$B$287,$A$200:$A$287,0.95,4,1,1),"")</f>
        <v/>
      </c>
      <c r="J218" s="20" t="n">
        <v>2026</v>
      </c>
      <c r="K218" s="19" t="str">
        <f aca="false">IFERROR(AVERAGEIFS($B$200:$B$287,$A$200:$A$287,"&gt;="&amp;DATE(J218,1,1),$A$200:$A$287,"&lt;="&amp;DATE(J218,12,31)),"")</f>
        <v/>
      </c>
      <c r="L218" s="18" t="str">
        <f aca="false">IFERROR(K218/K217-1,"")</f>
        <v/>
      </c>
      <c r="M218" s="19" t="str">
        <f aca="false">IFERROR(AVERAGEIFS($F$200:$F$287,$A$200:$A$287,"&gt;="&amp;DATE(J218,1,1),$A$200:$A$287,"&lt;="&amp;DATE(J218,12,31)),"")</f>
        <v/>
      </c>
    </row>
    <row r="219" customFormat="false" ht="15" hidden="false" customHeight="false" outlineLevel="0" collapsed="false">
      <c r="A219" s="21" t="n">
        <v>41183</v>
      </c>
      <c r="B219" s="22" t="str">
        <f aca="false">IFERROR(haverdata(Codes!$D$7,$A219),"")</f>
        <v/>
      </c>
      <c r="C219" s="23" t="str">
        <f aca="false">IFERROR(B219/B218-1,"")</f>
        <v/>
      </c>
      <c r="D219" s="23" t="str">
        <f aca="false">IFERROR(B219/B215-1,"")</f>
        <v/>
      </c>
      <c r="E219" s="24" t="str">
        <f aca="false">IFERROR(IF(B219="",IFERROR(GROWTH($B$200:$B$287,$A$200:$A$287,$A219),TREND($B$200:$B$287,$A$200:$A$287,$A219)),""),"")</f>
        <v/>
      </c>
      <c r="F219" s="24" t="str">
        <f aca="false">IFERROR(forecast.ets($A219,$B$200:$B$287,$A$200:$A$287,4,1,1),"")</f>
        <v/>
      </c>
      <c r="G219" s="24" t="str">
        <f aca="false">IFERROR(F219-forecast.ets.confint($A219,$B$200:$B$287,$A$200:$A$287,0.95,4,1,1),"")</f>
        <v/>
      </c>
      <c r="H219" s="24" t="str">
        <f aca="false">IFERROR(F219+forecast.ets.confint($A219,$B$200:$B$287,$A$200:$A$287,0.95,4,1,1),"")</f>
        <v/>
      </c>
      <c r="J219" s="25" t="n">
        <v>2027</v>
      </c>
      <c r="K219" s="24" t="str">
        <f aca="false">IFERROR(AVERAGEIFS($B$200:$B$287,$A$200:$A$287,"&gt;="&amp;DATE(J219,1,1),$A$200:$A$287,"&lt;="&amp;DATE(J219,12,31)),"")</f>
        <v/>
      </c>
      <c r="L219" s="23" t="str">
        <f aca="false">IFERROR(K219/K218-1,"")</f>
        <v/>
      </c>
      <c r="M219" s="24" t="str">
        <f aca="false">IFERROR(AVERAGEIFS($F$200:$F$287,$A$200:$A$287,"&gt;="&amp;DATE(J219,1,1),$A$200:$A$287,"&lt;="&amp;DATE(J219,12,31)),"")</f>
        <v/>
      </c>
    </row>
    <row r="220" customFormat="false" ht="15" hidden="false" customHeight="false" outlineLevel="0" collapsed="false">
      <c r="A220" s="16" t="n">
        <v>41275</v>
      </c>
      <c r="B220" s="17" t="str">
        <f aca="false">IFERROR(haverdata(Codes!$D$7,$A220),"")</f>
        <v/>
      </c>
      <c r="C220" s="18" t="str">
        <f aca="false">IFERROR(B220/B219-1,"")</f>
        <v/>
      </c>
      <c r="D220" s="18" t="str">
        <f aca="false">IFERROR(B220/B216-1,"")</f>
        <v/>
      </c>
      <c r="E220" s="19" t="str">
        <f aca="false">IFERROR(IF(B220="",IFERROR(GROWTH($B$200:$B$287,$A$200:$A$287,$A220),TREND($B$200:$B$287,$A$200:$A$287,$A220)),""),"")</f>
        <v/>
      </c>
      <c r="F220" s="19" t="str">
        <f aca="false">IFERROR(forecast.ets($A220,$B$200:$B$287,$A$200:$A$287,4,1,1),"")</f>
        <v/>
      </c>
      <c r="G220" s="19" t="str">
        <f aca="false">IFERROR(F220-forecast.ets.confint($A220,$B$200:$B$287,$A$200:$A$287,0.95,4,1,1),"")</f>
        <v/>
      </c>
      <c r="H220" s="19" t="str">
        <f aca="false">IFERROR(F220+forecast.ets.confint($A220,$B$200:$B$287,$A$200:$A$287,0.95,4,1,1),"")</f>
        <v/>
      </c>
      <c r="J220" s="20" t="n">
        <v>2028</v>
      </c>
      <c r="K220" s="19" t="str">
        <f aca="false">IFERROR(AVERAGEIFS($B$200:$B$287,$A$200:$A$287,"&gt;="&amp;DATE(J220,1,1),$A$200:$A$287,"&lt;="&amp;DATE(J220,12,31)),"")</f>
        <v/>
      </c>
      <c r="L220" s="18" t="str">
        <f aca="false">IFERROR(K220/K219-1,"")</f>
        <v/>
      </c>
      <c r="M220" s="19" t="str">
        <f aca="false">IFERROR(AVERAGEIFS($F$200:$F$287,$A$200:$A$287,"&gt;="&amp;DATE(J220,1,1),$A$200:$A$287,"&lt;="&amp;DATE(J220,12,31)),"")</f>
        <v/>
      </c>
    </row>
    <row r="221" customFormat="false" ht="15" hidden="false" customHeight="false" outlineLevel="0" collapsed="false">
      <c r="A221" s="21" t="n">
        <v>41365</v>
      </c>
      <c r="B221" s="22" t="str">
        <f aca="false">IFERROR(haverdata(Codes!$D$7,$A221),"")</f>
        <v/>
      </c>
      <c r="C221" s="23" t="str">
        <f aca="false">IFERROR(B221/B220-1,"")</f>
        <v/>
      </c>
      <c r="D221" s="23" t="str">
        <f aca="false">IFERROR(B221/B217-1,"")</f>
        <v/>
      </c>
      <c r="E221" s="24" t="str">
        <f aca="false">IFERROR(IF(B221="",IFERROR(GROWTH($B$200:$B$287,$A$200:$A$287,$A221),TREND($B$200:$B$287,$A$200:$A$287,$A221)),""),"")</f>
        <v/>
      </c>
      <c r="F221" s="24" t="str">
        <f aca="false">IFERROR(forecast.ets($A221,$B$200:$B$287,$A$200:$A$287,4,1,1),"")</f>
        <v/>
      </c>
      <c r="G221" s="24" t="str">
        <f aca="false">IFERROR(F221-forecast.ets.confint($A221,$B$200:$B$287,$A$200:$A$287,0.95,4,1,1),"")</f>
        <v/>
      </c>
      <c r="H221" s="24" t="str">
        <f aca="false">IFERROR(F221+forecast.ets.confint($A221,$B$200:$B$287,$A$200:$A$287,0.95,4,1,1),"")</f>
        <v/>
      </c>
      <c r="J221" s="25" t="n">
        <v>2029</v>
      </c>
      <c r="K221" s="24" t="str">
        <f aca="false">IFERROR(AVERAGEIFS($B$200:$B$287,$A$200:$A$287,"&gt;="&amp;DATE(J221,1,1),$A$200:$A$287,"&lt;="&amp;DATE(J221,12,31)),"")</f>
        <v/>
      </c>
      <c r="L221" s="23" t="str">
        <f aca="false">IFERROR(K221/K220-1,"")</f>
        <v/>
      </c>
      <c r="M221" s="24" t="str">
        <f aca="false">IFERROR(AVERAGEIFS($F$200:$F$287,$A$200:$A$287,"&gt;="&amp;DATE(J221,1,1),$A$200:$A$287,"&lt;="&amp;DATE(J221,12,31)),"")</f>
        <v/>
      </c>
    </row>
    <row r="222" customFormat="false" ht="15" hidden="false" customHeight="false" outlineLevel="0" collapsed="false">
      <c r="A222" s="16" t="n">
        <v>41456</v>
      </c>
      <c r="B222" s="17" t="str">
        <f aca="false">IFERROR(haverdata(Codes!$D$7,$A222),"")</f>
        <v/>
      </c>
      <c r="C222" s="18" t="str">
        <f aca="false">IFERROR(B222/B221-1,"")</f>
        <v/>
      </c>
      <c r="D222" s="18" t="str">
        <f aca="false">IFERROR(B222/B218-1,"")</f>
        <v/>
      </c>
      <c r="E222" s="19" t="str">
        <f aca="false">IFERROR(IF(B222="",IFERROR(GROWTH($B$200:$B$287,$A$200:$A$287,$A222),TREND($B$200:$B$287,$A$200:$A$287,$A222)),""),"")</f>
        <v/>
      </c>
      <c r="F222" s="19" t="str">
        <f aca="false">IFERROR(forecast.ets($A222,$B$200:$B$287,$A$200:$A$287,4,1,1),"")</f>
        <v/>
      </c>
      <c r="G222" s="19" t="str">
        <f aca="false">IFERROR(F222-forecast.ets.confint($A222,$B$200:$B$287,$A$200:$A$287,0.95,4,1,1),"")</f>
        <v/>
      </c>
      <c r="H222" s="19" t="str">
        <f aca="false">IFERROR(F222+forecast.ets.confint($A222,$B$200:$B$287,$A$200:$A$287,0.95,4,1,1),"")</f>
        <v/>
      </c>
    </row>
    <row r="223" customFormat="false" ht="15" hidden="false" customHeight="false" outlineLevel="0" collapsed="false">
      <c r="A223" s="21" t="n">
        <v>41548</v>
      </c>
      <c r="B223" s="22" t="str">
        <f aca="false">IFERROR(haverdata(Codes!$D$7,$A223),"")</f>
        <v/>
      </c>
      <c r="C223" s="23" t="str">
        <f aca="false">IFERROR(B223/B222-1,"")</f>
        <v/>
      </c>
      <c r="D223" s="23" t="str">
        <f aca="false">IFERROR(B223/B219-1,"")</f>
        <v/>
      </c>
      <c r="E223" s="24" t="str">
        <f aca="false">IFERROR(IF(B223="",IFERROR(GROWTH($B$200:$B$287,$A$200:$A$287,$A223),TREND($B$200:$B$287,$A$200:$A$287,$A223)),""),"")</f>
        <v/>
      </c>
      <c r="F223" s="24" t="str">
        <f aca="false">IFERROR(forecast.ets($A223,$B$200:$B$287,$A$200:$A$287,4,1,1),"")</f>
        <v/>
      </c>
      <c r="G223" s="24" t="str">
        <f aca="false">IFERROR(F223-forecast.ets.confint($A223,$B$200:$B$287,$A$200:$A$287,0.95,4,1,1),"")</f>
        <v/>
      </c>
      <c r="H223" s="24" t="str">
        <f aca="false">IFERROR(F223+forecast.ets.confint($A223,$B$200:$B$287,$A$200:$A$287,0.95,4,1,1),"")</f>
        <v/>
      </c>
    </row>
    <row r="224" customFormat="false" ht="15" hidden="false" customHeight="false" outlineLevel="0" collapsed="false">
      <c r="A224" s="16" t="n">
        <v>41640</v>
      </c>
      <c r="B224" s="17" t="str">
        <f aca="false">IFERROR(haverdata(Codes!$D$7,$A224),"")</f>
        <v/>
      </c>
      <c r="C224" s="18" t="str">
        <f aca="false">IFERROR(B224/B223-1,"")</f>
        <v/>
      </c>
      <c r="D224" s="18" t="str">
        <f aca="false">IFERROR(B224/B220-1,"")</f>
        <v/>
      </c>
      <c r="E224" s="19" t="str">
        <f aca="false">IFERROR(IF(B224="",IFERROR(GROWTH($B$200:$B$287,$A$200:$A$287,$A224),TREND($B$200:$B$287,$A$200:$A$287,$A224)),""),"")</f>
        <v/>
      </c>
      <c r="F224" s="19" t="str">
        <f aca="false">IFERROR(forecast.ets($A224,$B$200:$B$287,$A$200:$A$287,4,1,1),"")</f>
        <v/>
      </c>
      <c r="G224" s="19" t="str">
        <f aca="false">IFERROR(F224-forecast.ets.confint($A224,$B$200:$B$287,$A$200:$A$287,0.95,4,1,1),"")</f>
        <v/>
      </c>
      <c r="H224" s="19" t="str">
        <f aca="false">IFERROR(F224+forecast.ets.confint($A224,$B$200:$B$287,$A$200:$A$287,0.95,4,1,1),"")</f>
        <v/>
      </c>
    </row>
    <row r="225" customFormat="false" ht="15" hidden="false" customHeight="false" outlineLevel="0" collapsed="false">
      <c r="A225" s="21" t="n">
        <v>41730</v>
      </c>
      <c r="B225" s="22" t="str">
        <f aca="false">IFERROR(haverdata(Codes!$D$7,$A225),"")</f>
        <v/>
      </c>
      <c r="C225" s="23" t="str">
        <f aca="false">IFERROR(B225/B224-1,"")</f>
        <v/>
      </c>
      <c r="D225" s="23" t="str">
        <f aca="false">IFERROR(B225/B221-1,"")</f>
        <v/>
      </c>
      <c r="E225" s="24" t="str">
        <f aca="false">IFERROR(IF(B225="",IFERROR(GROWTH($B$200:$B$287,$A$200:$A$287,$A225),TREND($B$200:$B$287,$A$200:$A$287,$A225)),""),"")</f>
        <v/>
      </c>
      <c r="F225" s="24" t="str">
        <f aca="false">IFERROR(forecast.ets($A225,$B$200:$B$287,$A$200:$A$287,4,1,1),"")</f>
        <v/>
      </c>
      <c r="G225" s="24" t="str">
        <f aca="false">IFERROR(F225-forecast.ets.confint($A225,$B$200:$B$287,$A$200:$A$287,0.95,4,1,1),"")</f>
        <v/>
      </c>
      <c r="H225" s="24" t="str">
        <f aca="false">IFERROR(F225+forecast.ets.confint($A225,$B$200:$B$287,$A$200:$A$287,0.95,4,1,1),"")</f>
        <v/>
      </c>
    </row>
    <row r="226" customFormat="false" ht="15" hidden="false" customHeight="false" outlineLevel="0" collapsed="false">
      <c r="A226" s="16" t="n">
        <v>41821</v>
      </c>
      <c r="B226" s="17" t="str">
        <f aca="false">IFERROR(haverdata(Codes!$D$7,$A226),"")</f>
        <v/>
      </c>
      <c r="C226" s="18" t="str">
        <f aca="false">IFERROR(B226/B225-1,"")</f>
        <v/>
      </c>
      <c r="D226" s="18" t="str">
        <f aca="false">IFERROR(B226/B222-1,"")</f>
        <v/>
      </c>
      <c r="E226" s="19" t="str">
        <f aca="false">IFERROR(IF(B226="",IFERROR(GROWTH($B$200:$B$287,$A$200:$A$287,$A226),TREND($B$200:$B$287,$A$200:$A$287,$A226)),""),"")</f>
        <v/>
      </c>
      <c r="F226" s="19" t="str">
        <f aca="false">IFERROR(forecast.ets($A226,$B$200:$B$287,$A$200:$A$287,4,1,1),"")</f>
        <v/>
      </c>
      <c r="G226" s="19" t="str">
        <f aca="false">IFERROR(F226-forecast.ets.confint($A226,$B$200:$B$287,$A$200:$A$287,0.95,4,1,1),"")</f>
        <v/>
      </c>
      <c r="H226" s="19" t="str">
        <f aca="false">IFERROR(F226+forecast.ets.confint($A226,$B$200:$B$287,$A$200:$A$287,0.95,4,1,1),"")</f>
        <v/>
      </c>
    </row>
    <row r="227" customFormat="false" ht="15" hidden="false" customHeight="false" outlineLevel="0" collapsed="false">
      <c r="A227" s="21" t="n">
        <v>41913</v>
      </c>
      <c r="B227" s="22" t="str">
        <f aca="false">IFERROR(haverdata(Codes!$D$7,$A227),"")</f>
        <v/>
      </c>
      <c r="C227" s="23" t="str">
        <f aca="false">IFERROR(B227/B226-1,"")</f>
        <v/>
      </c>
      <c r="D227" s="23" t="str">
        <f aca="false">IFERROR(B227/B223-1,"")</f>
        <v/>
      </c>
      <c r="E227" s="24" t="str">
        <f aca="false">IFERROR(IF(B227="",IFERROR(GROWTH($B$200:$B$287,$A$200:$A$287,$A227),TREND($B$200:$B$287,$A$200:$A$287,$A227)),""),"")</f>
        <v/>
      </c>
      <c r="F227" s="24" t="str">
        <f aca="false">IFERROR(forecast.ets($A227,$B$200:$B$287,$A$200:$A$287,4,1,1),"")</f>
        <v/>
      </c>
      <c r="G227" s="24" t="str">
        <f aca="false">IFERROR(F227-forecast.ets.confint($A227,$B$200:$B$287,$A$200:$A$287,0.95,4,1,1),"")</f>
        <v/>
      </c>
      <c r="H227" s="24" t="str">
        <f aca="false">IFERROR(F227+forecast.ets.confint($A227,$B$200:$B$287,$A$200:$A$287,0.95,4,1,1),"")</f>
        <v/>
      </c>
    </row>
    <row r="228" customFormat="false" ht="15" hidden="false" customHeight="false" outlineLevel="0" collapsed="false">
      <c r="A228" s="16" t="n">
        <v>42005</v>
      </c>
      <c r="B228" s="17" t="str">
        <f aca="false">IFERROR(haverdata(Codes!$D$7,$A228),"")</f>
        <v/>
      </c>
      <c r="C228" s="18" t="str">
        <f aca="false">IFERROR(B228/B227-1,"")</f>
        <v/>
      </c>
      <c r="D228" s="18" t="str">
        <f aca="false">IFERROR(B228/B224-1,"")</f>
        <v/>
      </c>
      <c r="E228" s="19" t="str">
        <f aca="false">IFERROR(IF(B228="",IFERROR(GROWTH($B$200:$B$287,$A$200:$A$287,$A228),TREND($B$200:$B$287,$A$200:$A$287,$A228)),""),"")</f>
        <v/>
      </c>
      <c r="F228" s="19" t="str">
        <f aca="false">IFERROR(forecast.ets($A228,$B$200:$B$287,$A$200:$A$287,4,1,1),"")</f>
        <v/>
      </c>
      <c r="G228" s="19" t="str">
        <f aca="false">IFERROR(F228-forecast.ets.confint($A228,$B$200:$B$287,$A$200:$A$287,0.95,4,1,1),"")</f>
        <v/>
      </c>
      <c r="H228" s="19" t="str">
        <f aca="false">IFERROR(F228+forecast.ets.confint($A228,$B$200:$B$287,$A$200:$A$287,0.95,4,1,1),"")</f>
        <v/>
      </c>
    </row>
    <row r="229" customFormat="false" ht="15" hidden="false" customHeight="false" outlineLevel="0" collapsed="false">
      <c r="A229" s="21" t="n">
        <v>42095</v>
      </c>
      <c r="B229" s="22" t="str">
        <f aca="false">IFERROR(haverdata(Codes!$D$7,$A229),"")</f>
        <v/>
      </c>
      <c r="C229" s="23" t="str">
        <f aca="false">IFERROR(B229/B228-1,"")</f>
        <v/>
      </c>
      <c r="D229" s="23" t="str">
        <f aca="false">IFERROR(B229/B225-1,"")</f>
        <v/>
      </c>
      <c r="E229" s="24" t="str">
        <f aca="false">IFERROR(IF(B229="",IFERROR(GROWTH($B$200:$B$287,$A$200:$A$287,$A229),TREND($B$200:$B$287,$A$200:$A$287,$A229)),""),"")</f>
        <v/>
      </c>
      <c r="F229" s="24" t="str">
        <f aca="false">IFERROR(forecast.ets($A229,$B$200:$B$287,$A$200:$A$287,4,1,1),"")</f>
        <v/>
      </c>
      <c r="G229" s="24" t="str">
        <f aca="false">IFERROR(F229-forecast.ets.confint($A229,$B$200:$B$287,$A$200:$A$287,0.95,4,1,1),"")</f>
        <v/>
      </c>
      <c r="H229" s="24" t="str">
        <f aca="false">IFERROR(F229+forecast.ets.confint($A229,$B$200:$B$287,$A$200:$A$287,0.95,4,1,1),"")</f>
        <v/>
      </c>
    </row>
    <row r="230" customFormat="false" ht="15" hidden="false" customHeight="false" outlineLevel="0" collapsed="false">
      <c r="A230" s="16" t="n">
        <v>42186</v>
      </c>
      <c r="B230" s="17" t="str">
        <f aca="false">IFERROR(haverdata(Codes!$D$7,$A230),"")</f>
        <v/>
      </c>
      <c r="C230" s="18" t="str">
        <f aca="false">IFERROR(B230/B229-1,"")</f>
        <v/>
      </c>
      <c r="D230" s="18" t="str">
        <f aca="false">IFERROR(B230/B226-1,"")</f>
        <v/>
      </c>
      <c r="E230" s="19" t="str">
        <f aca="false">IFERROR(IF(B230="",IFERROR(GROWTH($B$200:$B$287,$A$200:$A$287,$A230),TREND($B$200:$B$287,$A$200:$A$287,$A230)),""),"")</f>
        <v/>
      </c>
      <c r="F230" s="19" t="str">
        <f aca="false">IFERROR(forecast.ets($A230,$B$200:$B$287,$A$200:$A$287,4,1,1),"")</f>
        <v/>
      </c>
      <c r="G230" s="19" t="str">
        <f aca="false">IFERROR(F230-forecast.ets.confint($A230,$B$200:$B$287,$A$200:$A$287,0.95,4,1,1),"")</f>
        <v/>
      </c>
      <c r="H230" s="19" t="str">
        <f aca="false">IFERROR(F230+forecast.ets.confint($A230,$B$200:$B$287,$A$200:$A$287,0.95,4,1,1),"")</f>
        <v/>
      </c>
    </row>
    <row r="231" customFormat="false" ht="15" hidden="false" customHeight="false" outlineLevel="0" collapsed="false">
      <c r="A231" s="21" t="n">
        <v>42278</v>
      </c>
      <c r="B231" s="22" t="str">
        <f aca="false">IFERROR(haverdata(Codes!$D$7,$A231),"")</f>
        <v/>
      </c>
      <c r="C231" s="23" t="str">
        <f aca="false">IFERROR(B231/B230-1,"")</f>
        <v/>
      </c>
      <c r="D231" s="23" t="str">
        <f aca="false">IFERROR(B231/B227-1,"")</f>
        <v/>
      </c>
      <c r="E231" s="24" t="str">
        <f aca="false">IFERROR(IF(B231="",IFERROR(GROWTH($B$200:$B$287,$A$200:$A$287,$A231),TREND($B$200:$B$287,$A$200:$A$287,$A231)),""),"")</f>
        <v/>
      </c>
      <c r="F231" s="24" t="str">
        <f aca="false">IFERROR(forecast.ets($A231,$B$200:$B$287,$A$200:$A$287,4,1,1),"")</f>
        <v/>
      </c>
      <c r="G231" s="24" t="str">
        <f aca="false">IFERROR(F231-forecast.ets.confint($A231,$B$200:$B$287,$A$200:$A$287,0.95,4,1,1),"")</f>
        <v/>
      </c>
      <c r="H231" s="24" t="str">
        <f aca="false">IFERROR(F231+forecast.ets.confint($A231,$B$200:$B$287,$A$200:$A$287,0.95,4,1,1),"")</f>
        <v/>
      </c>
    </row>
    <row r="232" customFormat="false" ht="15" hidden="false" customHeight="false" outlineLevel="0" collapsed="false">
      <c r="A232" s="16" t="n">
        <v>42370</v>
      </c>
      <c r="B232" s="17" t="str">
        <f aca="false">IFERROR(haverdata(Codes!$D$7,$A232),"")</f>
        <v/>
      </c>
      <c r="C232" s="18" t="str">
        <f aca="false">IFERROR(B232/B231-1,"")</f>
        <v/>
      </c>
      <c r="D232" s="18" t="str">
        <f aca="false">IFERROR(B232/B228-1,"")</f>
        <v/>
      </c>
      <c r="E232" s="19" t="str">
        <f aca="false">IFERROR(IF(B232="",IFERROR(GROWTH($B$200:$B$287,$A$200:$A$287,$A232),TREND($B$200:$B$287,$A$200:$A$287,$A232)),""),"")</f>
        <v/>
      </c>
      <c r="F232" s="19" t="str">
        <f aca="false">IFERROR(forecast.ets($A232,$B$200:$B$287,$A$200:$A$287,4,1,1),"")</f>
        <v/>
      </c>
      <c r="G232" s="19" t="str">
        <f aca="false">IFERROR(F232-forecast.ets.confint($A232,$B$200:$B$287,$A$200:$A$287,0.95,4,1,1),"")</f>
        <v/>
      </c>
      <c r="H232" s="19" t="str">
        <f aca="false">IFERROR(F232+forecast.ets.confint($A232,$B$200:$B$287,$A$200:$A$287,0.95,4,1,1),"")</f>
        <v/>
      </c>
    </row>
    <row r="233" customFormat="false" ht="15" hidden="false" customHeight="false" outlineLevel="0" collapsed="false">
      <c r="A233" s="21" t="n">
        <v>42461</v>
      </c>
      <c r="B233" s="22" t="str">
        <f aca="false">IFERROR(haverdata(Codes!$D$7,$A233),"")</f>
        <v/>
      </c>
      <c r="C233" s="23" t="str">
        <f aca="false">IFERROR(B233/B232-1,"")</f>
        <v/>
      </c>
      <c r="D233" s="23" t="str">
        <f aca="false">IFERROR(B233/B229-1,"")</f>
        <v/>
      </c>
      <c r="E233" s="24" t="str">
        <f aca="false">IFERROR(IF(B233="",IFERROR(GROWTH($B$200:$B$287,$A$200:$A$287,$A233),TREND($B$200:$B$287,$A$200:$A$287,$A233)),""),"")</f>
        <v/>
      </c>
      <c r="F233" s="24" t="str">
        <f aca="false">IFERROR(forecast.ets($A233,$B$200:$B$287,$A$200:$A$287,4,1,1),"")</f>
        <v/>
      </c>
      <c r="G233" s="24" t="str">
        <f aca="false">IFERROR(F233-forecast.ets.confint($A233,$B$200:$B$287,$A$200:$A$287,0.95,4,1,1),"")</f>
        <v/>
      </c>
      <c r="H233" s="24" t="str">
        <f aca="false">IFERROR(F233+forecast.ets.confint($A233,$B$200:$B$287,$A$200:$A$287,0.95,4,1,1),"")</f>
        <v/>
      </c>
    </row>
    <row r="234" customFormat="false" ht="15" hidden="false" customHeight="false" outlineLevel="0" collapsed="false">
      <c r="A234" s="16" t="n">
        <v>42552</v>
      </c>
      <c r="B234" s="17" t="str">
        <f aca="false">IFERROR(haverdata(Codes!$D$7,$A234),"")</f>
        <v/>
      </c>
      <c r="C234" s="18" t="str">
        <f aca="false">IFERROR(B234/B233-1,"")</f>
        <v/>
      </c>
      <c r="D234" s="18" t="str">
        <f aca="false">IFERROR(B234/B230-1,"")</f>
        <v/>
      </c>
      <c r="E234" s="19" t="str">
        <f aca="false">IFERROR(IF(B234="",IFERROR(GROWTH($B$200:$B$287,$A$200:$A$287,$A234),TREND($B$200:$B$287,$A$200:$A$287,$A234)),""),"")</f>
        <v/>
      </c>
      <c r="F234" s="19" t="str">
        <f aca="false">IFERROR(forecast.ets($A234,$B$200:$B$287,$A$200:$A$287,4,1,1),"")</f>
        <v/>
      </c>
      <c r="G234" s="19" t="str">
        <f aca="false">IFERROR(F234-forecast.ets.confint($A234,$B$200:$B$287,$A$200:$A$287,0.95,4,1,1),"")</f>
        <v/>
      </c>
      <c r="H234" s="19" t="str">
        <f aca="false">IFERROR(F234+forecast.ets.confint($A234,$B$200:$B$287,$A$200:$A$287,0.95,4,1,1),"")</f>
        <v/>
      </c>
    </row>
    <row r="235" customFormat="false" ht="15" hidden="false" customHeight="false" outlineLevel="0" collapsed="false">
      <c r="A235" s="21" t="n">
        <v>42644</v>
      </c>
      <c r="B235" s="22" t="str">
        <f aca="false">IFERROR(haverdata(Codes!$D$7,$A235),"")</f>
        <v/>
      </c>
      <c r="C235" s="23" t="str">
        <f aca="false">IFERROR(B235/B234-1,"")</f>
        <v/>
      </c>
      <c r="D235" s="23" t="str">
        <f aca="false">IFERROR(B235/B231-1,"")</f>
        <v/>
      </c>
      <c r="E235" s="24" t="str">
        <f aca="false">IFERROR(IF(B235="",IFERROR(GROWTH($B$200:$B$287,$A$200:$A$287,$A235),TREND($B$200:$B$287,$A$200:$A$287,$A235)),""),"")</f>
        <v/>
      </c>
      <c r="F235" s="24" t="str">
        <f aca="false">IFERROR(forecast.ets($A235,$B$200:$B$287,$A$200:$A$287,4,1,1),"")</f>
        <v/>
      </c>
      <c r="G235" s="24" t="str">
        <f aca="false">IFERROR(F235-forecast.ets.confint($A235,$B$200:$B$287,$A$200:$A$287,0.95,4,1,1),"")</f>
        <v/>
      </c>
      <c r="H235" s="24" t="str">
        <f aca="false">IFERROR(F235+forecast.ets.confint($A235,$B$200:$B$287,$A$200:$A$287,0.95,4,1,1),"")</f>
        <v/>
      </c>
    </row>
    <row r="236" customFormat="false" ht="15" hidden="false" customHeight="false" outlineLevel="0" collapsed="false">
      <c r="A236" s="16" t="n">
        <v>42736</v>
      </c>
      <c r="B236" s="17" t="str">
        <f aca="false">IFERROR(haverdata(Codes!$D$7,$A236),"")</f>
        <v/>
      </c>
      <c r="C236" s="18" t="str">
        <f aca="false">IFERROR(B236/B235-1,"")</f>
        <v/>
      </c>
      <c r="D236" s="18" t="str">
        <f aca="false">IFERROR(B236/B232-1,"")</f>
        <v/>
      </c>
      <c r="E236" s="19" t="str">
        <f aca="false">IFERROR(IF(B236="",IFERROR(GROWTH($B$200:$B$287,$A$200:$A$287,$A236),TREND($B$200:$B$287,$A$200:$A$287,$A236)),""),"")</f>
        <v/>
      </c>
      <c r="F236" s="19" t="str">
        <f aca="false">IFERROR(forecast.ets($A236,$B$200:$B$287,$A$200:$A$287,4,1,1),"")</f>
        <v/>
      </c>
      <c r="G236" s="19" t="str">
        <f aca="false">IFERROR(F236-forecast.ets.confint($A236,$B$200:$B$287,$A$200:$A$287,0.95,4,1,1),"")</f>
        <v/>
      </c>
      <c r="H236" s="19" t="str">
        <f aca="false">IFERROR(F236+forecast.ets.confint($A236,$B$200:$B$287,$A$200:$A$287,0.95,4,1,1),"")</f>
        <v/>
      </c>
    </row>
    <row r="237" customFormat="false" ht="15" hidden="false" customHeight="false" outlineLevel="0" collapsed="false">
      <c r="A237" s="21" t="n">
        <v>42826</v>
      </c>
      <c r="B237" s="22" t="str">
        <f aca="false">IFERROR(haverdata(Codes!$D$7,$A237),"")</f>
        <v/>
      </c>
      <c r="C237" s="23" t="str">
        <f aca="false">IFERROR(B237/B236-1,"")</f>
        <v/>
      </c>
      <c r="D237" s="23" t="str">
        <f aca="false">IFERROR(B237/B233-1,"")</f>
        <v/>
      </c>
      <c r="E237" s="24" t="str">
        <f aca="false">IFERROR(IF(B237="",IFERROR(GROWTH($B$200:$B$287,$A$200:$A$287,$A237),TREND($B$200:$B$287,$A$200:$A$287,$A237)),""),"")</f>
        <v/>
      </c>
      <c r="F237" s="24" t="str">
        <f aca="false">IFERROR(forecast.ets($A237,$B$200:$B$287,$A$200:$A$287,4,1,1),"")</f>
        <v/>
      </c>
      <c r="G237" s="24" t="str">
        <f aca="false">IFERROR(F237-forecast.ets.confint($A237,$B$200:$B$287,$A$200:$A$287,0.95,4,1,1),"")</f>
        <v/>
      </c>
      <c r="H237" s="24" t="str">
        <f aca="false">IFERROR(F237+forecast.ets.confint($A237,$B$200:$B$287,$A$200:$A$287,0.95,4,1,1),"")</f>
        <v/>
      </c>
    </row>
    <row r="238" customFormat="false" ht="15" hidden="false" customHeight="false" outlineLevel="0" collapsed="false">
      <c r="A238" s="16" t="n">
        <v>42917</v>
      </c>
      <c r="B238" s="17" t="str">
        <f aca="false">IFERROR(haverdata(Codes!$D$7,$A238),"")</f>
        <v/>
      </c>
      <c r="C238" s="18" t="str">
        <f aca="false">IFERROR(B238/B237-1,"")</f>
        <v/>
      </c>
      <c r="D238" s="18" t="str">
        <f aca="false">IFERROR(B238/B234-1,"")</f>
        <v/>
      </c>
      <c r="E238" s="19" t="str">
        <f aca="false">IFERROR(IF(B238="",IFERROR(GROWTH($B$200:$B$287,$A$200:$A$287,$A238),TREND($B$200:$B$287,$A$200:$A$287,$A238)),""),"")</f>
        <v/>
      </c>
      <c r="F238" s="19" t="str">
        <f aca="false">IFERROR(forecast.ets($A238,$B$200:$B$287,$A$200:$A$287,4,1,1),"")</f>
        <v/>
      </c>
      <c r="G238" s="19" t="str">
        <f aca="false">IFERROR(F238-forecast.ets.confint($A238,$B$200:$B$287,$A$200:$A$287,0.95,4,1,1),"")</f>
        <v/>
      </c>
      <c r="H238" s="19" t="str">
        <f aca="false">IFERROR(F238+forecast.ets.confint($A238,$B$200:$B$287,$A$200:$A$287,0.95,4,1,1),"")</f>
        <v/>
      </c>
    </row>
    <row r="239" customFormat="false" ht="15" hidden="false" customHeight="false" outlineLevel="0" collapsed="false">
      <c r="A239" s="21" t="n">
        <v>43009</v>
      </c>
      <c r="B239" s="22" t="str">
        <f aca="false">IFERROR(haverdata(Codes!$D$7,$A239),"")</f>
        <v/>
      </c>
      <c r="C239" s="23" t="str">
        <f aca="false">IFERROR(B239/B238-1,"")</f>
        <v/>
      </c>
      <c r="D239" s="23" t="str">
        <f aca="false">IFERROR(B239/B235-1,"")</f>
        <v/>
      </c>
      <c r="E239" s="24" t="str">
        <f aca="false">IFERROR(IF(B239="",IFERROR(GROWTH($B$200:$B$287,$A$200:$A$287,$A239),TREND($B$200:$B$287,$A$200:$A$287,$A239)),""),"")</f>
        <v/>
      </c>
      <c r="F239" s="24" t="str">
        <f aca="false">IFERROR(forecast.ets($A239,$B$200:$B$287,$A$200:$A$287,4,1,1),"")</f>
        <v/>
      </c>
      <c r="G239" s="24" t="str">
        <f aca="false">IFERROR(F239-forecast.ets.confint($A239,$B$200:$B$287,$A$200:$A$287,0.95,4,1,1),"")</f>
        <v/>
      </c>
      <c r="H239" s="24" t="str">
        <f aca="false">IFERROR(F239+forecast.ets.confint($A239,$B$200:$B$287,$A$200:$A$287,0.95,4,1,1),"")</f>
        <v/>
      </c>
    </row>
    <row r="240" customFormat="false" ht="15" hidden="false" customHeight="false" outlineLevel="0" collapsed="false">
      <c r="A240" s="16" t="n">
        <v>43101</v>
      </c>
      <c r="B240" s="17" t="str">
        <f aca="false">IFERROR(haverdata(Codes!$D$7,$A240),"")</f>
        <v/>
      </c>
      <c r="C240" s="18" t="str">
        <f aca="false">IFERROR(B240/B239-1,"")</f>
        <v/>
      </c>
      <c r="D240" s="18" t="str">
        <f aca="false">IFERROR(B240/B236-1,"")</f>
        <v/>
      </c>
      <c r="E240" s="19" t="str">
        <f aca="false">IFERROR(IF(B240="",IFERROR(GROWTH($B$200:$B$287,$A$200:$A$287,$A240),TREND($B$200:$B$287,$A$200:$A$287,$A240)),""),"")</f>
        <v/>
      </c>
      <c r="F240" s="19" t="str">
        <f aca="false">IFERROR(forecast.ets($A240,$B$200:$B$287,$A$200:$A$287,4,1,1),"")</f>
        <v/>
      </c>
      <c r="G240" s="19" t="str">
        <f aca="false">IFERROR(F240-forecast.ets.confint($A240,$B$200:$B$287,$A$200:$A$287,0.95,4,1,1),"")</f>
        <v/>
      </c>
      <c r="H240" s="19" t="str">
        <f aca="false">IFERROR(F240+forecast.ets.confint($A240,$B$200:$B$287,$A$200:$A$287,0.95,4,1,1),"")</f>
        <v/>
      </c>
    </row>
    <row r="241" customFormat="false" ht="15" hidden="false" customHeight="false" outlineLevel="0" collapsed="false">
      <c r="A241" s="21" t="n">
        <v>43191</v>
      </c>
      <c r="B241" s="22" t="str">
        <f aca="false">IFERROR(haverdata(Codes!$D$7,$A241),"")</f>
        <v/>
      </c>
      <c r="C241" s="23" t="str">
        <f aca="false">IFERROR(B241/B240-1,"")</f>
        <v/>
      </c>
      <c r="D241" s="23" t="str">
        <f aca="false">IFERROR(B241/B237-1,"")</f>
        <v/>
      </c>
      <c r="E241" s="24" t="str">
        <f aca="false">IFERROR(IF(B241="",IFERROR(GROWTH($B$200:$B$287,$A$200:$A$287,$A241),TREND($B$200:$B$287,$A$200:$A$287,$A241)),""),"")</f>
        <v/>
      </c>
      <c r="F241" s="24" t="str">
        <f aca="false">IFERROR(forecast.ets($A241,$B$200:$B$287,$A$200:$A$287,4,1,1),"")</f>
        <v/>
      </c>
      <c r="G241" s="24" t="str">
        <f aca="false">IFERROR(F241-forecast.ets.confint($A241,$B$200:$B$287,$A$200:$A$287,0.95,4,1,1),"")</f>
        <v/>
      </c>
      <c r="H241" s="24" t="str">
        <f aca="false">IFERROR(F241+forecast.ets.confint($A241,$B$200:$B$287,$A$200:$A$287,0.95,4,1,1),"")</f>
        <v/>
      </c>
    </row>
    <row r="242" customFormat="false" ht="15" hidden="false" customHeight="false" outlineLevel="0" collapsed="false">
      <c r="A242" s="16" t="n">
        <v>43282</v>
      </c>
      <c r="B242" s="17" t="str">
        <f aca="false">IFERROR(haverdata(Codes!$D$7,$A242),"")</f>
        <v/>
      </c>
      <c r="C242" s="18" t="str">
        <f aca="false">IFERROR(B242/B241-1,"")</f>
        <v/>
      </c>
      <c r="D242" s="18" t="str">
        <f aca="false">IFERROR(B242/B238-1,"")</f>
        <v/>
      </c>
      <c r="E242" s="19" t="str">
        <f aca="false">IFERROR(IF(B242="",IFERROR(GROWTH($B$200:$B$287,$A$200:$A$287,$A242),TREND($B$200:$B$287,$A$200:$A$287,$A242)),""),"")</f>
        <v/>
      </c>
      <c r="F242" s="19" t="str">
        <f aca="false">IFERROR(forecast.ets($A242,$B$200:$B$287,$A$200:$A$287,4,1,1),"")</f>
        <v/>
      </c>
      <c r="G242" s="19" t="str">
        <f aca="false">IFERROR(F242-forecast.ets.confint($A242,$B$200:$B$287,$A$200:$A$287,0.95,4,1,1),"")</f>
        <v/>
      </c>
      <c r="H242" s="19" t="str">
        <f aca="false">IFERROR(F242+forecast.ets.confint($A242,$B$200:$B$287,$A$200:$A$287,0.95,4,1,1),"")</f>
        <v/>
      </c>
    </row>
    <row r="243" customFormat="false" ht="15" hidden="false" customHeight="false" outlineLevel="0" collapsed="false">
      <c r="A243" s="21" t="n">
        <v>43374</v>
      </c>
      <c r="B243" s="22" t="str">
        <f aca="false">IFERROR(haverdata(Codes!$D$7,$A243),"")</f>
        <v/>
      </c>
      <c r="C243" s="23" t="str">
        <f aca="false">IFERROR(B243/B242-1,"")</f>
        <v/>
      </c>
      <c r="D243" s="23" t="str">
        <f aca="false">IFERROR(B243/B239-1,"")</f>
        <v/>
      </c>
      <c r="E243" s="24" t="str">
        <f aca="false">IFERROR(IF(B243="",IFERROR(GROWTH($B$200:$B$287,$A$200:$A$287,$A243),TREND($B$200:$B$287,$A$200:$A$287,$A243)),""),"")</f>
        <v/>
      </c>
      <c r="F243" s="24" t="str">
        <f aca="false">IFERROR(forecast.ets($A243,$B$200:$B$287,$A$200:$A$287,4,1,1),"")</f>
        <v/>
      </c>
      <c r="G243" s="24" t="str">
        <f aca="false">IFERROR(F243-forecast.ets.confint($A243,$B$200:$B$287,$A$200:$A$287,0.95,4,1,1),"")</f>
        <v/>
      </c>
      <c r="H243" s="24" t="str">
        <f aca="false">IFERROR(F243+forecast.ets.confint($A243,$B$200:$B$287,$A$200:$A$287,0.95,4,1,1),"")</f>
        <v/>
      </c>
    </row>
    <row r="244" customFormat="false" ht="15" hidden="false" customHeight="false" outlineLevel="0" collapsed="false">
      <c r="A244" s="16" t="n">
        <v>43466</v>
      </c>
      <c r="B244" s="17" t="str">
        <f aca="false">IFERROR(haverdata(Codes!$D$7,$A244),"")</f>
        <v/>
      </c>
      <c r="C244" s="18" t="str">
        <f aca="false">IFERROR(B244/B243-1,"")</f>
        <v/>
      </c>
      <c r="D244" s="18" t="str">
        <f aca="false">IFERROR(B244/B240-1,"")</f>
        <v/>
      </c>
      <c r="E244" s="19" t="str">
        <f aca="false">IFERROR(IF(B244="",IFERROR(GROWTH($B$200:$B$287,$A$200:$A$287,$A244),TREND($B$200:$B$287,$A$200:$A$287,$A244)),""),"")</f>
        <v/>
      </c>
      <c r="F244" s="19" t="str">
        <f aca="false">IFERROR(forecast.ets($A244,$B$200:$B$287,$A$200:$A$287,4,1,1),"")</f>
        <v/>
      </c>
      <c r="G244" s="19" t="str">
        <f aca="false">IFERROR(F244-forecast.ets.confint($A244,$B$200:$B$287,$A$200:$A$287,0.95,4,1,1),"")</f>
        <v/>
      </c>
      <c r="H244" s="19" t="str">
        <f aca="false">IFERROR(F244+forecast.ets.confint($A244,$B$200:$B$287,$A$200:$A$287,0.95,4,1,1),"")</f>
        <v/>
      </c>
    </row>
    <row r="245" customFormat="false" ht="15" hidden="false" customHeight="false" outlineLevel="0" collapsed="false">
      <c r="A245" s="21" t="n">
        <v>43556</v>
      </c>
      <c r="B245" s="22" t="str">
        <f aca="false">IFERROR(haverdata(Codes!$D$7,$A245),"")</f>
        <v/>
      </c>
      <c r="C245" s="23" t="str">
        <f aca="false">IFERROR(B245/B244-1,"")</f>
        <v/>
      </c>
      <c r="D245" s="23" t="str">
        <f aca="false">IFERROR(B245/B241-1,"")</f>
        <v/>
      </c>
      <c r="E245" s="24" t="str">
        <f aca="false">IFERROR(IF(B245="",IFERROR(GROWTH($B$200:$B$287,$A$200:$A$287,$A245),TREND($B$200:$B$287,$A$200:$A$287,$A245)),""),"")</f>
        <v/>
      </c>
      <c r="F245" s="24" t="str">
        <f aca="false">IFERROR(forecast.ets($A245,$B$200:$B$287,$A$200:$A$287,4,1,1),"")</f>
        <v/>
      </c>
      <c r="G245" s="24" t="str">
        <f aca="false">IFERROR(F245-forecast.ets.confint($A245,$B$200:$B$287,$A$200:$A$287,0.95,4,1,1),"")</f>
        <v/>
      </c>
      <c r="H245" s="24" t="str">
        <f aca="false">IFERROR(F245+forecast.ets.confint($A245,$B$200:$B$287,$A$200:$A$287,0.95,4,1,1),"")</f>
        <v/>
      </c>
    </row>
    <row r="246" customFormat="false" ht="15" hidden="false" customHeight="false" outlineLevel="0" collapsed="false">
      <c r="A246" s="16" t="n">
        <v>43647</v>
      </c>
      <c r="B246" s="17" t="str">
        <f aca="false">IFERROR(haverdata(Codes!$D$7,$A246),"")</f>
        <v/>
      </c>
      <c r="C246" s="18" t="str">
        <f aca="false">IFERROR(B246/B245-1,"")</f>
        <v/>
      </c>
      <c r="D246" s="18" t="str">
        <f aca="false">IFERROR(B246/B242-1,"")</f>
        <v/>
      </c>
      <c r="E246" s="19" t="str">
        <f aca="false">IFERROR(IF(B246="",IFERROR(GROWTH($B$200:$B$287,$A$200:$A$287,$A246),TREND($B$200:$B$287,$A$200:$A$287,$A246)),""),"")</f>
        <v/>
      </c>
      <c r="F246" s="19" t="str">
        <f aca="false">IFERROR(forecast.ets($A246,$B$200:$B$287,$A$200:$A$287,4,1,1),"")</f>
        <v/>
      </c>
      <c r="G246" s="19" t="str">
        <f aca="false">IFERROR(F246-forecast.ets.confint($A246,$B$200:$B$287,$A$200:$A$287,0.95,4,1,1),"")</f>
        <v/>
      </c>
      <c r="H246" s="19" t="str">
        <f aca="false">IFERROR(F246+forecast.ets.confint($A246,$B$200:$B$287,$A$200:$A$287,0.95,4,1,1),"")</f>
        <v/>
      </c>
    </row>
    <row r="247" customFormat="false" ht="15" hidden="false" customHeight="false" outlineLevel="0" collapsed="false">
      <c r="A247" s="21" t="n">
        <v>43739</v>
      </c>
      <c r="B247" s="22" t="str">
        <f aca="false">IFERROR(haverdata(Codes!$D$7,$A247),"")</f>
        <v/>
      </c>
      <c r="C247" s="23" t="str">
        <f aca="false">IFERROR(B247/B246-1,"")</f>
        <v/>
      </c>
      <c r="D247" s="23" t="str">
        <f aca="false">IFERROR(B247/B243-1,"")</f>
        <v/>
      </c>
      <c r="E247" s="24" t="str">
        <f aca="false">IFERROR(IF(B247="",IFERROR(GROWTH($B$200:$B$287,$A$200:$A$287,$A247),TREND($B$200:$B$287,$A$200:$A$287,$A247)),""),"")</f>
        <v/>
      </c>
      <c r="F247" s="24" t="str">
        <f aca="false">IFERROR(forecast.ets($A247,$B$200:$B$287,$A$200:$A$287,4,1,1),"")</f>
        <v/>
      </c>
      <c r="G247" s="24" t="str">
        <f aca="false">IFERROR(F247-forecast.ets.confint($A247,$B$200:$B$287,$A$200:$A$287,0.95,4,1,1),"")</f>
        <v/>
      </c>
      <c r="H247" s="24" t="str">
        <f aca="false">IFERROR(F247+forecast.ets.confint($A247,$B$200:$B$287,$A$200:$A$287,0.95,4,1,1),"")</f>
        <v/>
      </c>
    </row>
    <row r="248" customFormat="false" ht="15" hidden="false" customHeight="false" outlineLevel="0" collapsed="false">
      <c r="A248" s="16" t="n">
        <v>43831</v>
      </c>
      <c r="B248" s="17" t="str">
        <f aca="false">IFERROR(haverdata(Codes!$D$7,$A248),"")</f>
        <v/>
      </c>
      <c r="C248" s="18" t="str">
        <f aca="false">IFERROR(B248/B247-1,"")</f>
        <v/>
      </c>
      <c r="D248" s="18" t="str">
        <f aca="false">IFERROR(B248/B244-1,"")</f>
        <v/>
      </c>
      <c r="E248" s="19" t="str">
        <f aca="false">IFERROR(IF(B248="",IFERROR(GROWTH($B$200:$B$287,$A$200:$A$287,$A248),TREND($B$200:$B$287,$A$200:$A$287,$A248)),""),"")</f>
        <v/>
      </c>
      <c r="F248" s="19" t="str">
        <f aca="false">IFERROR(forecast.ets($A248,$B$200:$B$287,$A$200:$A$287,4,1,1),"")</f>
        <v/>
      </c>
      <c r="G248" s="19" t="str">
        <f aca="false">IFERROR(F248-forecast.ets.confint($A248,$B$200:$B$287,$A$200:$A$287,0.95,4,1,1),"")</f>
        <v/>
      </c>
      <c r="H248" s="19" t="str">
        <f aca="false">IFERROR(F248+forecast.ets.confint($A248,$B$200:$B$287,$A$200:$A$287,0.95,4,1,1),"")</f>
        <v/>
      </c>
    </row>
    <row r="249" customFormat="false" ht="15" hidden="false" customHeight="false" outlineLevel="0" collapsed="false">
      <c r="A249" s="21" t="n">
        <v>43922</v>
      </c>
      <c r="B249" s="22" t="str">
        <f aca="false">IFERROR(haverdata(Codes!$D$7,$A249),"")</f>
        <v/>
      </c>
      <c r="C249" s="23" t="str">
        <f aca="false">IFERROR(B249/B248-1,"")</f>
        <v/>
      </c>
      <c r="D249" s="23" t="str">
        <f aca="false">IFERROR(B249/B245-1,"")</f>
        <v/>
      </c>
      <c r="E249" s="24" t="str">
        <f aca="false">IFERROR(IF(B249="",IFERROR(GROWTH($B$200:$B$287,$A$200:$A$287,$A249),TREND($B$200:$B$287,$A$200:$A$287,$A249)),""),"")</f>
        <v/>
      </c>
      <c r="F249" s="24" t="str">
        <f aca="false">IFERROR(forecast.ets($A249,$B$200:$B$287,$A$200:$A$287,4,1,1),"")</f>
        <v/>
      </c>
      <c r="G249" s="24" t="str">
        <f aca="false">IFERROR(F249-forecast.ets.confint($A249,$B$200:$B$287,$A$200:$A$287,0.95,4,1,1),"")</f>
        <v/>
      </c>
      <c r="H249" s="24" t="str">
        <f aca="false">IFERROR(F249+forecast.ets.confint($A249,$B$200:$B$287,$A$200:$A$287,0.95,4,1,1),"")</f>
        <v/>
      </c>
    </row>
    <row r="250" customFormat="false" ht="15" hidden="false" customHeight="false" outlineLevel="0" collapsed="false">
      <c r="A250" s="16" t="n">
        <v>44013</v>
      </c>
      <c r="B250" s="17" t="str">
        <f aca="false">IFERROR(haverdata(Codes!$D$7,$A250),"")</f>
        <v/>
      </c>
      <c r="C250" s="18" t="str">
        <f aca="false">IFERROR(B250/B249-1,"")</f>
        <v/>
      </c>
      <c r="D250" s="18" t="str">
        <f aca="false">IFERROR(B250/B246-1,"")</f>
        <v/>
      </c>
      <c r="E250" s="19" t="str">
        <f aca="false">IFERROR(IF(B250="",IFERROR(GROWTH($B$200:$B$287,$A$200:$A$287,$A250),TREND($B$200:$B$287,$A$200:$A$287,$A250)),""),"")</f>
        <v/>
      </c>
      <c r="F250" s="19" t="str">
        <f aca="false">IFERROR(forecast.ets($A250,$B$200:$B$287,$A$200:$A$287,4,1,1),"")</f>
        <v/>
      </c>
      <c r="G250" s="19" t="str">
        <f aca="false">IFERROR(F250-forecast.ets.confint($A250,$B$200:$B$287,$A$200:$A$287,0.95,4,1,1),"")</f>
        <v/>
      </c>
      <c r="H250" s="19" t="str">
        <f aca="false">IFERROR(F250+forecast.ets.confint($A250,$B$200:$B$287,$A$200:$A$287,0.95,4,1,1),"")</f>
        <v/>
      </c>
    </row>
    <row r="251" customFormat="false" ht="15" hidden="false" customHeight="false" outlineLevel="0" collapsed="false">
      <c r="A251" s="21" t="n">
        <v>44105</v>
      </c>
      <c r="B251" s="22" t="str">
        <f aca="false">IFERROR(haverdata(Codes!$D$7,$A251),"")</f>
        <v/>
      </c>
      <c r="C251" s="23" t="str">
        <f aca="false">IFERROR(B251/B250-1,"")</f>
        <v/>
      </c>
      <c r="D251" s="23" t="str">
        <f aca="false">IFERROR(B251/B247-1,"")</f>
        <v/>
      </c>
      <c r="E251" s="24" t="str">
        <f aca="false">IFERROR(IF(B251="",IFERROR(GROWTH($B$200:$B$287,$A$200:$A$287,$A251),TREND($B$200:$B$287,$A$200:$A$287,$A251)),""),"")</f>
        <v/>
      </c>
      <c r="F251" s="24" t="str">
        <f aca="false">IFERROR(forecast.ets($A251,$B$200:$B$287,$A$200:$A$287,4,1,1),"")</f>
        <v/>
      </c>
      <c r="G251" s="24" t="str">
        <f aca="false">IFERROR(F251-forecast.ets.confint($A251,$B$200:$B$287,$A$200:$A$287,0.95,4,1,1),"")</f>
        <v/>
      </c>
      <c r="H251" s="24" t="str">
        <f aca="false">IFERROR(F251+forecast.ets.confint($A251,$B$200:$B$287,$A$200:$A$287,0.95,4,1,1),"")</f>
        <v/>
      </c>
    </row>
    <row r="252" customFormat="false" ht="15" hidden="false" customHeight="false" outlineLevel="0" collapsed="false">
      <c r="A252" s="16" t="n">
        <v>44197</v>
      </c>
      <c r="B252" s="17" t="str">
        <f aca="false">IFERROR(haverdata(Codes!$D$7,$A252),"")</f>
        <v/>
      </c>
      <c r="C252" s="18" t="str">
        <f aca="false">IFERROR(B252/B251-1,"")</f>
        <v/>
      </c>
      <c r="D252" s="18" t="str">
        <f aca="false">IFERROR(B252/B248-1,"")</f>
        <v/>
      </c>
      <c r="E252" s="19" t="str">
        <f aca="false">IFERROR(IF(B252="",IFERROR(GROWTH($B$200:$B$287,$A$200:$A$287,$A252),TREND($B$200:$B$287,$A$200:$A$287,$A252)),""),"")</f>
        <v/>
      </c>
      <c r="F252" s="19" t="str">
        <f aca="false">IFERROR(forecast.ets($A252,$B$200:$B$287,$A$200:$A$287,4,1,1),"")</f>
        <v/>
      </c>
      <c r="G252" s="19" t="str">
        <f aca="false">IFERROR(F252-forecast.ets.confint($A252,$B$200:$B$287,$A$200:$A$287,0.95,4,1,1),"")</f>
        <v/>
      </c>
      <c r="H252" s="19" t="str">
        <f aca="false">IFERROR(F252+forecast.ets.confint($A252,$B$200:$B$287,$A$200:$A$287,0.95,4,1,1),"")</f>
        <v/>
      </c>
    </row>
    <row r="253" customFormat="false" ht="15" hidden="false" customHeight="false" outlineLevel="0" collapsed="false">
      <c r="A253" s="21" t="n">
        <v>44287</v>
      </c>
      <c r="B253" s="22" t="str">
        <f aca="false">IFERROR(haverdata(Codes!$D$7,$A253),"")</f>
        <v/>
      </c>
      <c r="C253" s="23" t="str">
        <f aca="false">IFERROR(B253/B252-1,"")</f>
        <v/>
      </c>
      <c r="D253" s="23" t="str">
        <f aca="false">IFERROR(B253/B249-1,"")</f>
        <v/>
      </c>
      <c r="E253" s="24" t="str">
        <f aca="false">IFERROR(IF(B253="",IFERROR(GROWTH($B$200:$B$287,$A$200:$A$287,$A253),TREND($B$200:$B$287,$A$200:$A$287,$A253)),""),"")</f>
        <v/>
      </c>
      <c r="F253" s="24" t="str">
        <f aca="false">IFERROR(forecast.ets($A253,$B$200:$B$287,$A$200:$A$287,4,1,1),"")</f>
        <v/>
      </c>
      <c r="G253" s="24" t="str">
        <f aca="false">IFERROR(F253-forecast.ets.confint($A253,$B$200:$B$287,$A$200:$A$287,0.95,4,1,1),"")</f>
        <v/>
      </c>
      <c r="H253" s="24" t="str">
        <f aca="false">IFERROR(F253+forecast.ets.confint($A253,$B$200:$B$287,$A$200:$A$287,0.95,4,1,1),"")</f>
        <v/>
      </c>
    </row>
    <row r="254" customFormat="false" ht="15" hidden="false" customHeight="false" outlineLevel="0" collapsed="false">
      <c r="A254" s="16" t="n">
        <v>44378</v>
      </c>
      <c r="B254" s="17" t="str">
        <f aca="false">IFERROR(haverdata(Codes!$D$7,$A254),"")</f>
        <v/>
      </c>
      <c r="C254" s="18" t="str">
        <f aca="false">IFERROR(B254/B253-1,"")</f>
        <v/>
      </c>
      <c r="D254" s="18" t="str">
        <f aca="false">IFERROR(B254/B250-1,"")</f>
        <v/>
      </c>
      <c r="E254" s="19" t="str">
        <f aca="false">IFERROR(IF(B254="",IFERROR(GROWTH($B$200:$B$287,$A$200:$A$287,$A254),TREND($B$200:$B$287,$A$200:$A$287,$A254)),""),"")</f>
        <v/>
      </c>
      <c r="F254" s="19" t="str">
        <f aca="false">IFERROR(forecast.ets($A254,$B$200:$B$287,$A$200:$A$287,4,1,1),"")</f>
        <v/>
      </c>
      <c r="G254" s="19" t="str">
        <f aca="false">IFERROR(F254-forecast.ets.confint($A254,$B$200:$B$287,$A$200:$A$287,0.95,4,1,1),"")</f>
        <v/>
      </c>
      <c r="H254" s="19" t="str">
        <f aca="false">IFERROR(F254+forecast.ets.confint($A254,$B$200:$B$287,$A$200:$A$287,0.95,4,1,1),"")</f>
        <v/>
      </c>
    </row>
    <row r="255" customFormat="false" ht="15" hidden="false" customHeight="false" outlineLevel="0" collapsed="false">
      <c r="A255" s="21" t="n">
        <v>44470</v>
      </c>
      <c r="B255" s="22" t="str">
        <f aca="false">IFERROR(haverdata(Codes!$D$7,$A255),"")</f>
        <v/>
      </c>
      <c r="C255" s="23" t="str">
        <f aca="false">IFERROR(B255/B254-1,"")</f>
        <v/>
      </c>
      <c r="D255" s="23" t="str">
        <f aca="false">IFERROR(B255/B251-1,"")</f>
        <v/>
      </c>
      <c r="E255" s="24" t="str">
        <f aca="false">IFERROR(IF(B255="",IFERROR(GROWTH($B$200:$B$287,$A$200:$A$287,$A255),TREND($B$200:$B$287,$A$200:$A$287,$A255)),""),"")</f>
        <v/>
      </c>
      <c r="F255" s="24" t="str">
        <f aca="false">IFERROR(forecast.ets($A255,$B$200:$B$287,$A$200:$A$287,4,1,1),"")</f>
        <v/>
      </c>
      <c r="G255" s="24" t="str">
        <f aca="false">IFERROR(F255-forecast.ets.confint($A255,$B$200:$B$287,$A$200:$A$287,0.95,4,1,1),"")</f>
        <v/>
      </c>
      <c r="H255" s="24" t="str">
        <f aca="false">IFERROR(F255+forecast.ets.confint($A255,$B$200:$B$287,$A$200:$A$287,0.95,4,1,1),"")</f>
        <v/>
      </c>
    </row>
    <row r="256" customFormat="false" ht="15" hidden="false" customHeight="false" outlineLevel="0" collapsed="false">
      <c r="A256" s="16" t="n">
        <v>44562</v>
      </c>
      <c r="B256" s="17" t="str">
        <f aca="false">IFERROR(haverdata(Codes!$D$7,$A256),"")</f>
        <v/>
      </c>
      <c r="C256" s="18" t="str">
        <f aca="false">IFERROR(B256/B255-1,"")</f>
        <v/>
      </c>
      <c r="D256" s="18" t="str">
        <f aca="false">IFERROR(B256/B252-1,"")</f>
        <v/>
      </c>
      <c r="E256" s="19" t="str">
        <f aca="false">IFERROR(IF(B256="",IFERROR(GROWTH($B$200:$B$287,$A$200:$A$287,$A256),TREND($B$200:$B$287,$A$200:$A$287,$A256)),""),"")</f>
        <v/>
      </c>
      <c r="F256" s="19" t="str">
        <f aca="false">IFERROR(forecast.ets($A256,$B$200:$B$287,$A$200:$A$287,4,1,1),"")</f>
        <v/>
      </c>
      <c r="G256" s="19" t="str">
        <f aca="false">IFERROR(F256-forecast.ets.confint($A256,$B$200:$B$287,$A$200:$A$287,0.95,4,1,1),"")</f>
        <v/>
      </c>
      <c r="H256" s="19" t="str">
        <f aca="false">IFERROR(F256+forecast.ets.confint($A256,$B$200:$B$287,$A$200:$A$287,0.95,4,1,1),"")</f>
        <v/>
      </c>
    </row>
    <row r="257" customFormat="false" ht="15" hidden="false" customHeight="false" outlineLevel="0" collapsed="false">
      <c r="A257" s="21" t="n">
        <v>44652</v>
      </c>
      <c r="B257" s="22" t="str">
        <f aca="false">IFERROR(haverdata(Codes!$D$7,$A257),"")</f>
        <v/>
      </c>
      <c r="C257" s="23" t="str">
        <f aca="false">IFERROR(B257/B256-1,"")</f>
        <v/>
      </c>
      <c r="D257" s="23" t="str">
        <f aca="false">IFERROR(B257/B253-1,"")</f>
        <v/>
      </c>
      <c r="E257" s="24" t="str">
        <f aca="false">IFERROR(IF(B257="",IFERROR(GROWTH($B$200:$B$287,$A$200:$A$287,$A257),TREND($B$200:$B$287,$A$200:$A$287,$A257)),""),"")</f>
        <v/>
      </c>
      <c r="F257" s="24" t="str">
        <f aca="false">IFERROR(forecast.ets($A257,$B$200:$B$287,$A$200:$A$287,4,1,1),"")</f>
        <v/>
      </c>
      <c r="G257" s="24" t="str">
        <f aca="false">IFERROR(F257-forecast.ets.confint($A257,$B$200:$B$287,$A$200:$A$287,0.95,4,1,1),"")</f>
        <v/>
      </c>
      <c r="H257" s="24" t="str">
        <f aca="false">IFERROR(F257+forecast.ets.confint($A257,$B$200:$B$287,$A$200:$A$287,0.95,4,1,1),"")</f>
        <v/>
      </c>
    </row>
    <row r="258" customFormat="false" ht="15" hidden="false" customHeight="false" outlineLevel="0" collapsed="false">
      <c r="A258" s="16" t="n">
        <v>44743</v>
      </c>
      <c r="B258" s="17" t="str">
        <f aca="false">IFERROR(haverdata(Codes!$D$7,$A258),"")</f>
        <v/>
      </c>
      <c r="C258" s="18" t="str">
        <f aca="false">IFERROR(B258/B257-1,"")</f>
        <v/>
      </c>
      <c r="D258" s="18" t="str">
        <f aca="false">IFERROR(B258/B254-1,"")</f>
        <v/>
      </c>
      <c r="E258" s="19" t="str">
        <f aca="false">IFERROR(IF(B258="",IFERROR(GROWTH($B$200:$B$287,$A$200:$A$287,$A258),TREND($B$200:$B$287,$A$200:$A$287,$A258)),""),"")</f>
        <v/>
      </c>
      <c r="F258" s="19" t="str">
        <f aca="false">IFERROR(forecast.ets($A258,$B$200:$B$287,$A$200:$A$287,4,1,1),"")</f>
        <v/>
      </c>
      <c r="G258" s="19" t="str">
        <f aca="false">IFERROR(F258-forecast.ets.confint($A258,$B$200:$B$287,$A$200:$A$287,0.95,4,1,1),"")</f>
        <v/>
      </c>
      <c r="H258" s="19" t="str">
        <f aca="false">IFERROR(F258+forecast.ets.confint($A258,$B$200:$B$287,$A$200:$A$287,0.95,4,1,1),"")</f>
        <v/>
      </c>
    </row>
    <row r="259" customFormat="false" ht="15" hidden="false" customHeight="false" outlineLevel="0" collapsed="false">
      <c r="A259" s="21" t="n">
        <v>44835</v>
      </c>
      <c r="B259" s="22" t="str">
        <f aca="false">IFERROR(haverdata(Codes!$D$7,$A259),"")</f>
        <v/>
      </c>
      <c r="C259" s="23" t="str">
        <f aca="false">IFERROR(B259/B258-1,"")</f>
        <v/>
      </c>
      <c r="D259" s="23" t="str">
        <f aca="false">IFERROR(B259/B255-1,"")</f>
        <v/>
      </c>
      <c r="E259" s="24" t="str">
        <f aca="false">IFERROR(IF(B259="",IFERROR(GROWTH($B$200:$B$287,$A$200:$A$287,$A259),TREND($B$200:$B$287,$A$200:$A$287,$A259)),""),"")</f>
        <v/>
      </c>
      <c r="F259" s="24" t="str">
        <f aca="false">IFERROR(forecast.ets($A259,$B$200:$B$287,$A$200:$A$287,4,1,1),"")</f>
        <v/>
      </c>
      <c r="G259" s="24" t="str">
        <f aca="false">IFERROR(F259-forecast.ets.confint($A259,$B$200:$B$287,$A$200:$A$287,0.95,4,1,1),"")</f>
        <v/>
      </c>
      <c r="H259" s="24" t="str">
        <f aca="false">IFERROR(F259+forecast.ets.confint($A259,$B$200:$B$287,$A$200:$A$287,0.95,4,1,1),"")</f>
        <v/>
      </c>
    </row>
    <row r="260" customFormat="false" ht="15" hidden="false" customHeight="false" outlineLevel="0" collapsed="false">
      <c r="A260" s="16" t="n">
        <v>44927</v>
      </c>
      <c r="B260" s="17" t="str">
        <f aca="false">IFERROR(haverdata(Codes!$D$7,$A260),"")</f>
        <v/>
      </c>
      <c r="C260" s="18" t="str">
        <f aca="false">IFERROR(B260/B259-1,"")</f>
        <v/>
      </c>
      <c r="D260" s="18" t="str">
        <f aca="false">IFERROR(B260/B256-1,"")</f>
        <v/>
      </c>
      <c r="E260" s="19" t="str">
        <f aca="false">IFERROR(IF(B260="",IFERROR(GROWTH($B$200:$B$287,$A$200:$A$287,$A260),TREND($B$200:$B$287,$A$200:$A$287,$A260)),""),"")</f>
        <v/>
      </c>
      <c r="F260" s="19" t="str">
        <f aca="false">IFERROR(forecast.ets($A260,$B$200:$B$287,$A$200:$A$287,4,1,1),"")</f>
        <v/>
      </c>
      <c r="G260" s="19" t="str">
        <f aca="false">IFERROR(F260-forecast.ets.confint($A260,$B$200:$B$287,$A$200:$A$287,0.95,4,1,1),"")</f>
        <v/>
      </c>
      <c r="H260" s="19" t="str">
        <f aca="false">IFERROR(F260+forecast.ets.confint($A260,$B$200:$B$287,$A$200:$A$287,0.95,4,1,1),"")</f>
        <v/>
      </c>
    </row>
    <row r="261" customFormat="false" ht="15" hidden="false" customHeight="false" outlineLevel="0" collapsed="false">
      <c r="A261" s="21" t="n">
        <v>45017</v>
      </c>
      <c r="B261" s="22" t="str">
        <f aca="false">IFERROR(haverdata(Codes!$D$7,$A261),"")</f>
        <v/>
      </c>
      <c r="C261" s="23" t="str">
        <f aca="false">IFERROR(B261/B260-1,"")</f>
        <v/>
      </c>
      <c r="D261" s="23" t="str">
        <f aca="false">IFERROR(B261/B257-1,"")</f>
        <v/>
      </c>
      <c r="E261" s="24" t="str">
        <f aca="false">IFERROR(IF(B261="",IFERROR(GROWTH($B$200:$B$287,$A$200:$A$287,$A261),TREND($B$200:$B$287,$A$200:$A$287,$A261)),""),"")</f>
        <v/>
      </c>
      <c r="F261" s="24" t="str">
        <f aca="false">IFERROR(forecast.ets($A261,$B$200:$B$287,$A$200:$A$287,4,1,1),"")</f>
        <v/>
      </c>
      <c r="G261" s="24" t="str">
        <f aca="false">IFERROR(F261-forecast.ets.confint($A261,$B$200:$B$287,$A$200:$A$287,0.95,4,1,1),"")</f>
        <v/>
      </c>
      <c r="H261" s="24" t="str">
        <f aca="false">IFERROR(F261+forecast.ets.confint($A261,$B$200:$B$287,$A$200:$A$287,0.95,4,1,1),"")</f>
        <v/>
      </c>
    </row>
    <row r="262" customFormat="false" ht="15" hidden="false" customHeight="false" outlineLevel="0" collapsed="false">
      <c r="A262" s="16" t="n">
        <v>45108</v>
      </c>
      <c r="B262" s="17" t="str">
        <f aca="false">IFERROR(haverdata(Codes!$D$7,$A262),"")</f>
        <v/>
      </c>
      <c r="C262" s="18" t="str">
        <f aca="false">IFERROR(B262/B261-1,"")</f>
        <v/>
      </c>
      <c r="D262" s="18" t="str">
        <f aca="false">IFERROR(B262/B258-1,"")</f>
        <v/>
      </c>
      <c r="E262" s="19" t="str">
        <f aca="false">IFERROR(IF(B262="",IFERROR(GROWTH($B$200:$B$287,$A$200:$A$287,$A262),TREND($B$200:$B$287,$A$200:$A$287,$A262)),""),"")</f>
        <v/>
      </c>
      <c r="F262" s="19" t="str">
        <f aca="false">IFERROR(forecast.ets($A262,$B$200:$B$287,$A$200:$A$287,4,1,1),"")</f>
        <v/>
      </c>
      <c r="G262" s="19" t="str">
        <f aca="false">IFERROR(F262-forecast.ets.confint($A262,$B$200:$B$287,$A$200:$A$287,0.95,4,1,1),"")</f>
        <v/>
      </c>
      <c r="H262" s="19" t="str">
        <f aca="false">IFERROR(F262+forecast.ets.confint($A262,$B$200:$B$287,$A$200:$A$287,0.95,4,1,1),"")</f>
        <v/>
      </c>
    </row>
    <row r="263" customFormat="false" ht="15" hidden="false" customHeight="false" outlineLevel="0" collapsed="false">
      <c r="A263" s="21" t="n">
        <v>45200</v>
      </c>
      <c r="B263" s="22" t="str">
        <f aca="false">IFERROR(haverdata(Codes!$D$7,$A263),"")</f>
        <v/>
      </c>
      <c r="C263" s="23" t="str">
        <f aca="false">IFERROR(B263/B262-1,"")</f>
        <v/>
      </c>
      <c r="D263" s="23" t="str">
        <f aca="false">IFERROR(B263/B259-1,"")</f>
        <v/>
      </c>
      <c r="E263" s="24" t="str">
        <f aca="false">IFERROR(IF(B263="",IFERROR(GROWTH($B$200:$B$287,$A$200:$A$287,$A263),TREND($B$200:$B$287,$A$200:$A$287,$A263)),""),"")</f>
        <v/>
      </c>
      <c r="F263" s="24" t="str">
        <f aca="false">IFERROR(forecast.ets($A263,$B$200:$B$287,$A$200:$A$287,4,1,1),"")</f>
        <v/>
      </c>
      <c r="G263" s="24" t="str">
        <f aca="false">IFERROR(F263-forecast.ets.confint($A263,$B$200:$B$287,$A$200:$A$287,0.95,4,1,1),"")</f>
        <v/>
      </c>
      <c r="H263" s="24" t="str">
        <f aca="false">IFERROR(F263+forecast.ets.confint($A263,$B$200:$B$287,$A$200:$A$287,0.95,4,1,1),"")</f>
        <v/>
      </c>
    </row>
    <row r="264" customFormat="false" ht="15" hidden="false" customHeight="false" outlineLevel="0" collapsed="false">
      <c r="A264" s="16" t="n">
        <v>45292</v>
      </c>
      <c r="B264" s="17" t="str">
        <f aca="false">IFERROR(haverdata(Codes!$D$7,$A264),"")</f>
        <v/>
      </c>
      <c r="C264" s="18" t="str">
        <f aca="false">IFERROR(B264/B263-1,"")</f>
        <v/>
      </c>
      <c r="D264" s="18" t="str">
        <f aca="false">IFERROR(B264/B260-1,"")</f>
        <v/>
      </c>
      <c r="E264" s="19" t="str">
        <f aca="false">IFERROR(IF(B264="",IFERROR(GROWTH($B$200:$B$287,$A$200:$A$287,$A264),TREND($B$200:$B$287,$A$200:$A$287,$A264)),""),"")</f>
        <v/>
      </c>
      <c r="F264" s="19" t="str">
        <f aca="false">IFERROR(forecast.ets($A264,$B$200:$B$287,$A$200:$A$287,4,1,1),"")</f>
        <v/>
      </c>
      <c r="G264" s="19" t="str">
        <f aca="false">IFERROR(F264-forecast.ets.confint($A264,$B$200:$B$287,$A$200:$A$287,0.95,4,1,1),"")</f>
        <v/>
      </c>
      <c r="H264" s="19" t="str">
        <f aca="false">IFERROR(F264+forecast.ets.confint($A264,$B$200:$B$287,$A$200:$A$287,0.95,4,1,1),"")</f>
        <v/>
      </c>
    </row>
    <row r="265" customFormat="false" ht="15" hidden="false" customHeight="false" outlineLevel="0" collapsed="false">
      <c r="A265" s="21" t="n">
        <v>45383</v>
      </c>
      <c r="B265" s="22" t="str">
        <f aca="false">IFERROR(haverdata(Codes!$D$7,$A265),"")</f>
        <v/>
      </c>
      <c r="C265" s="23" t="str">
        <f aca="false">IFERROR(B265/B264-1,"")</f>
        <v/>
      </c>
      <c r="D265" s="23" t="str">
        <f aca="false">IFERROR(B265/B261-1,"")</f>
        <v/>
      </c>
      <c r="E265" s="24" t="str">
        <f aca="false">IFERROR(IF(B265="",IFERROR(GROWTH($B$200:$B$287,$A$200:$A$287,$A265),TREND($B$200:$B$287,$A$200:$A$287,$A265)),""),"")</f>
        <v/>
      </c>
      <c r="F265" s="24" t="str">
        <f aca="false">IFERROR(forecast.ets($A265,$B$200:$B$287,$A$200:$A$287,4,1,1),"")</f>
        <v/>
      </c>
      <c r="G265" s="24" t="str">
        <f aca="false">IFERROR(F265-forecast.ets.confint($A265,$B$200:$B$287,$A$200:$A$287,0.95,4,1,1),"")</f>
        <v/>
      </c>
      <c r="H265" s="24" t="str">
        <f aca="false">IFERROR(F265+forecast.ets.confint($A265,$B$200:$B$287,$A$200:$A$287,0.95,4,1,1),"")</f>
        <v/>
      </c>
    </row>
    <row r="266" customFormat="false" ht="15" hidden="false" customHeight="false" outlineLevel="0" collapsed="false">
      <c r="A266" s="16" t="n">
        <v>45474</v>
      </c>
      <c r="B266" s="17" t="str">
        <f aca="false">IFERROR(haverdata(Codes!$D$7,$A266),"")</f>
        <v/>
      </c>
      <c r="C266" s="18" t="str">
        <f aca="false">IFERROR(B266/B265-1,"")</f>
        <v/>
      </c>
      <c r="D266" s="18" t="str">
        <f aca="false">IFERROR(B266/B262-1,"")</f>
        <v/>
      </c>
      <c r="E266" s="19" t="str">
        <f aca="false">IFERROR(IF(B266="",IFERROR(GROWTH($B$200:$B$287,$A$200:$A$287,$A266),TREND($B$200:$B$287,$A$200:$A$287,$A266)),""),"")</f>
        <v/>
      </c>
      <c r="F266" s="19" t="str">
        <f aca="false">IFERROR(forecast.ets($A266,$B$200:$B$287,$A$200:$A$287,4,1,1),"")</f>
        <v/>
      </c>
      <c r="G266" s="19" t="str">
        <f aca="false">IFERROR(F266-forecast.ets.confint($A266,$B$200:$B$287,$A$200:$A$287,0.95,4,1,1),"")</f>
        <v/>
      </c>
      <c r="H266" s="19" t="str">
        <f aca="false">IFERROR(F266+forecast.ets.confint($A266,$B$200:$B$287,$A$200:$A$287,0.95,4,1,1),"")</f>
        <v/>
      </c>
    </row>
    <row r="267" customFormat="false" ht="15" hidden="false" customHeight="false" outlineLevel="0" collapsed="false">
      <c r="A267" s="21" t="n">
        <v>45566</v>
      </c>
      <c r="B267" s="22" t="str">
        <f aca="false">IFERROR(haverdata(Codes!$D$7,$A267),"")</f>
        <v/>
      </c>
      <c r="C267" s="23" t="str">
        <f aca="false">IFERROR(B267/B266-1,"")</f>
        <v/>
      </c>
      <c r="D267" s="23" t="str">
        <f aca="false">IFERROR(B267/B263-1,"")</f>
        <v/>
      </c>
      <c r="E267" s="24" t="str">
        <f aca="false">IFERROR(IF(B267="",IFERROR(GROWTH($B$200:$B$287,$A$200:$A$287,$A267),TREND($B$200:$B$287,$A$200:$A$287,$A267)),""),"")</f>
        <v/>
      </c>
      <c r="F267" s="24" t="str">
        <f aca="false">IFERROR(forecast.ets($A267,$B$200:$B$287,$A$200:$A$287,4,1,1),"")</f>
        <v/>
      </c>
      <c r="G267" s="24" t="str">
        <f aca="false">IFERROR(F267-forecast.ets.confint($A267,$B$200:$B$287,$A$200:$A$287,0.95,4,1,1),"")</f>
        <v/>
      </c>
      <c r="H267" s="24" t="str">
        <f aca="false">IFERROR(F267+forecast.ets.confint($A267,$B$200:$B$287,$A$200:$A$287,0.95,4,1,1),"")</f>
        <v/>
      </c>
    </row>
    <row r="268" customFormat="false" ht="15" hidden="false" customHeight="false" outlineLevel="0" collapsed="false">
      <c r="A268" s="16" t="n">
        <v>45658</v>
      </c>
      <c r="B268" s="17" t="str">
        <f aca="false">IFERROR(haverdata(Codes!$D$7,$A268),"")</f>
        <v/>
      </c>
      <c r="C268" s="18" t="str">
        <f aca="false">IFERROR(B268/B267-1,"")</f>
        <v/>
      </c>
      <c r="D268" s="18" t="str">
        <f aca="false">IFERROR(B268/B264-1,"")</f>
        <v/>
      </c>
      <c r="E268" s="19" t="str">
        <f aca="false">IFERROR(IF(B268="",IFERROR(GROWTH($B$200:$B$287,$A$200:$A$287,$A268),TREND($B$200:$B$287,$A$200:$A$287,$A268)),""),"")</f>
        <v/>
      </c>
      <c r="F268" s="19" t="str">
        <f aca="false">IFERROR(forecast.ets($A268,$B$200:$B$287,$A$200:$A$287,4,1,1),"")</f>
        <v/>
      </c>
      <c r="G268" s="19" t="str">
        <f aca="false">IFERROR(F268-forecast.ets.confint($A268,$B$200:$B$287,$A$200:$A$287,0.95,4,1,1),"")</f>
        <v/>
      </c>
      <c r="H268" s="19" t="str">
        <f aca="false">IFERROR(F268+forecast.ets.confint($A268,$B$200:$B$287,$A$200:$A$287,0.95,4,1,1),"")</f>
        <v/>
      </c>
    </row>
    <row r="269" customFormat="false" ht="15" hidden="false" customHeight="false" outlineLevel="0" collapsed="false">
      <c r="A269" s="21" t="n">
        <v>45748</v>
      </c>
      <c r="B269" s="22" t="str">
        <f aca="false">IFERROR(haverdata(Codes!$D$7,$A269),"")</f>
        <v/>
      </c>
      <c r="C269" s="23" t="str">
        <f aca="false">IFERROR(B269/B268-1,"")</f>
        <v/>
      </c>
      <c r="D269" s="23" t="str">
        <f aca="false">IFERROR(B269/B265-1,"")</f>
        <v/>
      </c>
      <c r="E269" s="24" t="str">
        <f aca="false">IFERROR(IF(B269="",IFERROR(GROWTH($B$200:$B$287,$A$200:$A$287,$A269),TREND($B$200:$B$287,$A$200:$A$287,$A269)),""),"")</f>
        <v/>
      </c>
      <c r="F269" s="24" t="str">
        <f aca="false">IFERROR(forecast.ets($A269,$B$200:$B$287,$A$200:$A$287,4,1,1),"")</f>
        <v/>
      </c>
      <c r="G269" s="24" t="str">
        <f aca="false">IFERROR(F269-forecast.ets.confint($A269,$B$200:$B$287,$A$200:$A$287,0.95,4,1,1),"")</f>
        <v/>
      </c>
      <c r="H269" s="24" t="str">
        <f aca="false">IFERROR(F269+forecast.ets.confint($A269,$B$200:$B$287,$A$200:$A$287,0.95,4,1,1),"")</f>
        <v/>
      </c>
    </row>
    <row r="270" customFormat="false" ht="15" hidden="false" customHeight="false" outlineLevel="0" collapsed="false">
      <c r="A270" s="16" t="n">
        <v>45839</v>
      </c>
      <c r="B270" s="17" t="str">
        <f aca="false">IFERROR(haverdata(Codes!$D$7,$A270),"")</f>
        <v/>
      </c>
      <c r="C270" s="18" t="str">
        <f aca="false">IFERROR(B270/B269-1,"")</f>
        <v/>
      </c>
      <c r="D270" s="18" t="str">
        <f aca="false">IFERROR(B270/B266-1,"")</f>
        <v/>
      </c>
      <c r="E270" s="19" t="str">
        <f aca="false">IFERROR(IF(B270="",IFERROR(GROWTH($B$200:$B$287,$A$200:$A$287,$A270),TREND($B$200:$B$287,$A$200:$A$287,$A270)),""),"")</f>
        <v/>
      </c>
      <c r="F270" s="19" t="str">
        <f aca="false">IFERROR(forecast.ets($A270,$B$200:$B$287,$A$200:$A$287,4,1,1),"")</f>
        <v/>
      </c>
      <c r="G270" s="19" t="str">
        <f aca="false">IFERROR(F270-forecast.ets.confint($A270,$B$200:$B$287,$A$200:$A$287,0.95,4,1,1),"")</f>
        <v/>
      </c>
      <c r="H270" s="19" t="str">
        <f aca="false">IFERROR(F270+forecast.ets.confint($A270,$B$200:$B$287,$A$200:$A$287,0.95,4,1,1),"")</f>
        <v/>
      </c>
    </row>
    <row r="271" customFormat="false" ht="15" hidden="false" customHeight="false" outlineLevel="0" collapsed="false">
      <c r="A271" s="21" t="n">
        <v>45931</v>
      </c>
      <c r="B271" s="22" t="str">
        <f aca="false">IFERROR(haverdata(Codes!$D$7,$A271),"")</f>
        <v/>
      </c>
      <c r="C271" s="23" t="str">
        <f aca="false">IFERROR(B271/B270-1,"")</f>
        <v/>
      </c>
      <c r="D271" s="23" t="str">
        <f aca="false">IFERROR(B271/B267-1,"")</f>
        <v/>
      </c>
      <c r="E271" s="24" t="str">
        <f aca="false">IFERROR(IF(B271="",IFERROR(GROWTH($B$200:$B$287,$A$200:$A$287,$A271),TREND($B$200:$B$287,$A$200:$A$287,$A271)),""),"")</f>
        <v/>
      </c>
      <c r="F271" s="24" t="str">
        <f aca="false">IFERROR(forecast.ets($A271,$B$200:$B$287,$A$200:$A$287,4,1,1),"")</f>
        <v/>
      </c>
      <c r="G271" s="24" t="str">
        <f aca="false">IFERROR(F271-forecast.ets.confint($A271,$B$200:$B$287,$A$200:$A$287,0.95,4,1,1),"")</f>
        <v/>
      </c>
      <c r="H271" s="24" t="str">
        <f aca="false">IFERROR(F271+forecast.ets.confint($A271,$B$200:$B$287,$A$200:$A$287,0.95,4,1,1),"")</f>
        <v/>
      </c>
    </row>
    <row r="272" customFormat="false" ht="15" hidden="false" customHeight="false" outlineLevel="0" collapsed="false">
      <c r="A272" s="16" t="n">
        <v>46023</v>
      </c>
      <c r="B272" s="17" t="str">
        <f aca="false">IFERROR(haverdata(Codes!$D$7,$A272),"")</f>
        <v/>
      </c>
      <c r="C272" s="18" t="str">
        <f aca="false">IFERROR(B272/B271-1,"")</f>
        <v/>
      </c>
      <c r="D272" s="18" t="str">
        <f aca="false">IFERROR(B272/B268-1,"")</f>
        <v/>
      </c>
      <c r="E272" s="19" t="str">
        <f aca="false">IFERROR(IF(B272="",IFERROR(GROWTH($B$200:$B$287,$A$200:$A$287,$A272),TREND($B$200:$B$287,$A$200:$A$287,$A272)),""),"")</f>
        <v/>
      </c>
      <c r="F272" s="19" t="str">
        <f aca="false">IFERROR(forecast.ets($A272,$B$200:$B$287,$A$200:$A$287,4,1,1),"")</f>
        <v/>
      </c>
      <c r="G272" s="19" t="str">
        <f aca="false">IFERROR(F272-forecast.ets.confint($A272,$B$200:$B$287,$A$200:$A$287,0.95,4,1,1),"")</f>
        <v/>
      </c>
      <c r="H272" s="19" t="str">
        <f aca="false">IFERROR(F272+forecast.ets.confint($A272,$B$200:$B$287,$A$200:$A$287,0.95,4,1,1),"")</f>
        <v/>
      </c>
    </row>
    <row r="273" customFormat="false" ht="15" hidden="false" customHeight="false" outlineLevel="0" collapsed="false">
      <c r="A273" s="21" t="n">
        <v>46113</v>
      </c>
      <c r="B273" s="22" t="str">
        <f aca="false">IFERROR(haverdata(Codes!$D$7,$A273),"")</f>
        <v/>
      </c>
      <c r="C273" s="23" t="str">
        <f aca="false">IFERROR(B273/B272-1,"")</f>
        <v/>
      </c>
      <c r="D273" s="23" t="str">
        <f aca="false">IFERROR(B273/B269-1,"")</f>
        <v/>
      </c>
      <c r="E273" s="24" t="str">
        <f aca="false">IFERROR(IF(B273="",IFERROR(GROWTH($B$200:$B$287,$A$200:$A$287,$A273),TREND($B$200:$B$287,$A$200:$A$287,$A273)),""),"")</f>
        <v/>
      </c>
      <c r="F273" s="24" t="str">
        <f aca="false">IFERROR(forecast.ets($A273,$B$200:$B$287,$A$200:$A$287,4,1,1),"")</f>
        <v/>
      </c>
      <c r="G273" s="24" t="str">
        <f aca="false">IFERROR(F273-forecast.ets.confint($A273,$B$200:$B$287,$A$200:$A$287,0.95,4,1,1),"")</f>
        <v/>
      </c>
      <c r="H273" s="24" t="str">
        <f aca="false">IFERROR(F273+forecast.ets.confint($A273,$B$200:$B$287,$A$200:$A$287,0.95,4,1,1),"")</f>
        <v/>
      </c>
    </row>
    <row r="274" customFormat="false" ht="15" hidden="false" customHeight="false" outlineLevel="0" collapsed="false">
      <c r="A274" s="16" t="n">
        <v>46204</v>
      </c>
      <c r="B274" s="17" t="str">
        <f aca="false">IFERROR(haverdata(Codes!$D$7,$A274),"")</f>
        <v/>
      </c>
      <c r="C274" s="18" t="str">
        <f aca="false">IFERROR(B274/B273-1,"")</f>
        <v/>
      </c>
      <c r="D274" s="18" t="str">
        <f aca="false">IFERROR(B274/B270-1,"")</f>
        <v/>
      </c>
      <c r="E274" s="19" t="str">
        <f aca="false">IFERROR(IF(B274="",IFERROR(GROWTH($B$200:$B$287,$A$200:$A$287,$A274),TREND($B$200:$B$287,$A$200:$A$287,$A274)),""),"")</f>
        <v/>
      </c>
      <c r="F274" s="19" t="str">
        <f aca="false">IFERROR(forecast.ets($A274,$B$200:$B$287,$A$200:$A$287,4,1,1),"")</f>
        <v/>
      </c>
      <c r="G274" s="19" t="str">
        <f aca="false">IFERROR(F274-forecast.ets.confint($A274,$B$200:$B$287,$A$200:$A$287,0.95,4,1,1),"")</f>
        <v/>
      </c>
      <c r="H274" s="19" t="str">
        <f aca="false">IFERROR(F274+forecast.ets.confint($A274,$B$200:$B$287,$A$200:$A$287,0.95,4,1,1),"")</f>
        <v/>
      </c>
    </row>
    <row r="275" customFormat="false" ht="15" hidden="false" customHeight="false" outlineLevel="0" collapsed="false">
      <c r="A275" s="21" t="n">
        <v>46296</v>
      </c>
      <c r="B275" s="22" t="str">
        <f aca="false">IFERROR(haverdata(Codes!$D$7,$A275),"")</f>
        <v/>
      </c>
      <c r="C275" s="23" t="str">
        <f aca="false">IFERROR(B275/B274-1,"")</f>
        <v/>
      </c>
      <c r="D275" s="23" t="str">
        <f aca="false">IFERROR(B275/B271-1,"")</f>
        <v/>
      </c>
      <c r="E275" s="24" t="str">
        <f aca="false">IFERROR(IF(B275="",IFERROR(GROWTH($B$200:$B$287,$A$200:$A$287,$A275),TREND($B$200:$B$287,$A$200:$A$287,$A275)),""),"")</f>
        <v/>
      </c>
      <c r="F275" s="24" t="str">
        <f aca="false">IFERROR(forecast.ets($A275,$B$200:$B$287,$A$200:$A$287,4,1,1),"")</f>
        <v/>
      </c>
      <c r="G275" s="24" t="str">
        <f aca="false">IFERROR(F275-forecast.ets.confint($A275,$B$200:$B$287,$A$200:$A$287,0.95,4,1,1),"")</f>
        <v/>
      </c>
      <c r="H275" s="24" t="str">
        <f aca="false">IFERROR(F275+forecast.ets.confint($A275,$B$200:$B$287,$A$200:$A$287,0.95,4,1,1),"")</f>
        <v/>
      </c>
    </row>
    <row r="276" customFormat="false" ht="15" hidden="false" customHeight="false" outlineLevel="0" collapsed="false">
      <c r="A276" s="16" t="n">
        <v>46388</v>
      </c>
      <c r="B276" s="17" t="str">
        <f aca="false">IFERROR(haverdata(Codes!$D$7,$A276),"")</f>
        <v/>
      </c>
      <c r="C276" s="18" t="str">
        <f aca="false">IFERROR(B276/B275-1,"")</f>
        <v/>
      </c>
      <c r="D276" s="18" t="str">
        <f aca="false">IFERROR(B276/B272-1,"")</f>
        <v/>
      </c>
      <c r="E276" s="19" t="str">
        <f aca="false">IFERROR(IF(B276="",IFERROR(GROWTH($B$200:$B$287,$A$200:$A$287,$A276),TREND($B$200:$B$287,$A$200:$A$287,$A276)),""),"")</f>
        <v/>
      </c>
      <c r="F276" s="19" t="str">
        <f aca="false">IFERROR(forecast.ets($A276,$B$200:$B$287,$A$200:$A$287,4,1,1),"")</f>
        <v/>
      </c>
      <c r="G276" s="19" t="str">
        <f aca="false">IFERROR(F276-forecast.ets.confint($A276,$B$200:$B$287,$A$200:$A$287,0.95,4,1,1),"")</f>
        <v/>
      </c>
      <c r="H276" s="19" t="str">
        <f aca="false">IFERROR(F276+forecast.ets.confint($A276,$B$200:$B$287,$A$200:$A$287,0.95,4,1,1),"")</f>
        <v/>
      </c>
    </row>
    <row r="277" customFormat="false" ht="15" hidden="false" customHeight="false" outlineLevel="0" collapsed="false">
      <c r="A277" s="21" t="n">
        <v>46478</v>
      </c>
      <c r="B277" s="22" t="str">
        <f aca="false">IFERROR(haverdata(Codes!$D$7,$A277),"")</f>
        <v/>
      </c>
      <c r="C277" s="23" t="str">
        <f aca="false">IFERROR(B277/B276-1,"")</f>
        <v/>
      </c>
      <c r="D277" s="23" t="str">
        <f aca="false">IFERROR(B277/B273-1,"")</f>
        <v/>
      </c>
      <c r="E277" s="24" t="str">
        <f aca="false">IFERROR(IF(B277="",IFERROR(GROWTH($B$200:$B$287,$A$200:$A$287,$A277),TREND($B$200:$B$287,$A$200:$A$287,$A277)),""),"")</f>
        <v/>
      </c>
      <c r="F277" s="24" t="str">
        <f aca="false">IFERROR(forecast.ets($A277,$B$200:$B$287,$A$200:$A$287,4,1,1),"")</f>
        <v/>
      </c>
      <c r="G277" s="24" t="str">
        <f aca="false">IFERROR(F277-forecast.ets.confint($A277,$B$200:$B$287,$A$200:$A$287,0.95,4,1,1),"")</f>
        <v/>
      </c>
      <c r="H277" s="24" t="str">
        <f aca="false">IFERROR(F277+forecast.ets.confint($A277,$B$200:$B$287,$A$200:$A$287,0.95,4,1,1),"")</f>
        <v/>
      </c>
    </row>
    <row r="278" customFormat="false" ht="15" hidden="false" customHeight="false" outlineLevel="0" collapsed="false">
      <c r="A278" s="16" t="n">
        <v>46569</v>
      </c>
      <c r="B278" s="17" t="str">
        <f aca="false">IFERROR(haverdata(Codes!$D$7,$A278),"")</f>
        <v/>
      </c>
      <c r="C278" s="18" t="str">
        <f aca="false">IFERROR(B278/B277-1,"")</f>
        <v/>
      </c>
      <c r="D278" s="18" t="str">
        <f aca="false">IFERROR(B278/B274-1,"")</f>
        <v/>
      </c>
      <c r="E278" s="19" t="str">
        <f aca="false">IFERROR(IF(B278="",IFERROR(GROWTH($B$200:$B$287,$A$200:$A$287,$A278),TREND($B$200:$B$287,$A$200:$A$287,$A278)),""),"")</f>
        <v/>
      </c>
      <c r="F278" s="19" t="str">
        <f aca="false">IFERROR(forecast.ets($A278,$B$200:$B$287,$A$200:$A$287,4,1,1),"")</f>
        <v/>
      </c>
      <c r="G278" s="19" t="str">
        <f aca="false">IFERROR(F278-forecast.ets.confint($A278,$B$200:$B$287,$A$200:$A$287,0.95,4,1,1),"")</f>
        <v/>
      </c>
      <c r="H278" s="19" t="str">
        <f aca="false">IFERROR(F278+forecast.ets.confint($A278,$B$200:$B$287,$A$200:$A$287,0.95,4,1,1),"")</f>
        <v/>
      </c>
    </row>
    <row r="279" customFormat="false" ht="15" hidden="false" customHeight="false" outlineLevel="0" collapsed="false">
      <c r="A279" s="21" t="n">
        <v>46661</v>
      </c>
      <c r="B279" s="22" t="str">
        <f aca="false">IFERROR(haverdata(Codes!$D$7,$A279),"")</f>
        <v/>
      </c>
      <c r="C279" s="23" t="str">
        <f aca="false">IFERROR(B279/B278-1,"")</f>
        <v/>
      </c>
      <c r="D279" s="23" t="str">
        <f aca="false">IFERROR(B279/B275-1,"")</f>
        <v/>
      </c>
      <c r="E279" s="24" t="str">
        <f aca="false">IFERROR(IF(B279="",IFERROR(GROWTH($B$200:$B$287,$A$200:$A$287,$A279),TREND($B$200:$B$287,$A$200:$A$287,$A279)),""),"")</f>
        <v/>
      </c>
      <c r="F279" s="24" t="str">
        <f aca="false">IFERROR(forecast.ets($A279,$B$200:$B$287,$A$200:$A$287,4,1,1),"")</f>
        <v/>
      </c>
      <c r="G279" s="24" t="str">
        <f aca="false">IFERROR(F279-forecast.ets.confint($A279,$B$200:$B$287,$A$200:$A$287,0.95,4,1,1),"")</f>
        <v/>
      </c>
      <c r="H279" s="24" t="str">
        <f aca="false">IFERROR(F279+forecast.ets.confint($A279,$B$200:$B$287,$A$200:$A$287,0.95,4,1,1),"")</f>
        <v/>
      </c>
    </row>
    <row r="280" customFormat="false" ht="15" hidden="false" customHeight="false" outlineLevel="0" collapsed="false">
      <c r="A280" s="16" t="n">
        <v>46753</v>
      </c>
      <c r="B280" s="17" t="str">
        <f aca="false">IFERROR(haverdata(Codes!$D$7,$A280),"")</f>
        <v/>
      </c>
      <c r="C280" s="18" t="str">
        <f aca="false">IFERROR(B280/B279-1,"")</f>
        <v/>
      </c>
      <c r="D280" s="18" t="str">
        <f aca="false">IFERROR(B280/B276-1,"")</f>
        <v/>
      </c>
      <c r="E280" s="19" t="str">
        <f aca="false">IFERROR(IF(B280="",IFERROR(GROWTH($B$200:$B$287,$A$200:$A$287,$A280),TREND($B$200:$B$287,$A$200:$A$287,$A280)),""),"")</f>
        <v/>
      </c>
      <c r="F280" s="19" t="str">
        <f aca="false">IFERROR(forecast.ets($A280,$B$200:$B$287,$A$200:$A$287,4,1,1),"")</f>
        <v/>
      </c>
      <c r="G280" s="19" t="str">
        <f aca="false">IFERROR(F280-forecast.ets.confint($A280,$B$200:$B$287,$A$200:$A$287,0.95,4,1,1),"")</f>
        <v/>
      </c>
      <c r="H280" s="19" t="str">
        <f aca="false">IFERROR(F280+forecast.ets.confint($A280,$B$200:$B$287,$A$200:$A$287,0.95,4,1,1),"")</f>
        <v/>
      </c>
    </row>
    <row r="281" customFormat="false" ht="15" hidden="false" customHeight="false" outlineLevel="0" collapsed="false">
      <c r="A281" s="21" t="n">
        <v>46844</v>
      </c>
      <c r="B281" s="22" t="str">
        <f aca="false">IFERROR(haverdata(Codes!$D$7,$A281),"")</f>
        <v/>
      </c>
      <c r="C281" s="23" t="str">
        <f aca="false">IFERROR(B281/B280-1,"")</f>
        <v/>
      </c>
      <c r="D281" s="23" t="str">
        <f aca="false">IFERROR(B281/B277-1,"")</f>
        <v/>
      </c>
      <c r="E281" s="24" t="str">
        <f aca="false">IFERROR(IF(B281="",IFERROR(GROWTH($B$200:$B$287,$A$200:$A$287,$A281),TREND($B$200:$B$287,$A$200:$A$287,$A281)),""),"")</f>
        <v/>
      </c>
      <c r="F281" s="24" t="str">
        <f aca="false">IFERROR(forecast.ets($A281,$B$200:$B$287,$A$200:$A$287,4,1,1),"")</f>
        <v/>
      </c>
      <c r="G281" s="24" t="str">
        <f aca="false">IFERROR(F281-forecast.ets.confint($A281,$B$200:$B$287,$A$200:$A$287,0.95,4,1,1),"")</f>
        <v/>
      </c>
      <c r="H281" s="24" t="str">
        <f aca="false">IFERROR(F281+forecast.ets.confint($A281,$B$200:$B$287,$A$200:$A$287,0.95,4,1,1),"")</f>
        <v/>
      </c>
    </row>
    <row r="282" customFormat="false" ht="15" hidden="false" customHeight="false" outlineLevel="0" collapsed="false">
      <c r="A282" s="16" t="n">
        <v>46935</v>
      </c>
      <c r="B282" s="17" t="str">
        <f aca="false">IFERROR(haverdata(Codes!$D$7,$A282),"")</f>
        <v/>
      </c>
      <c r="C282" s="18" t="str">
        <f aca="false">IFERROR(B282/B281-1,"")</f>
        <v/>
      </c>
      <c r="D282" s="18" t="str">
        <f aca="false">IFERROR(B282/B278-1,"")</f>
        <v/>
      </c>
      <c r="E282" s="19" t="str">
        <f aca="false">IFERROR(IF(B282="",IFERROR(GROWTH($B$200:$B$287,$A$200:$A$287,$A282),TREND($B$200:$B$287,$A$200:$A$287,$A282)),""),"")</f>
        <v/>
      </c>
      <c r="F282" s="19" t="str">
        <f aca="false">IFERROR(forecast.ets($A282,$B$200:$B$287,$A$200:$A$287,4,1,1),"")</f>
        <v/>
      </c>
      <c r="G282" s="19" t="str">
        <f aca="false">IFERROR(F282-forecast.ets.confint($A282,$B$200:$B$287,$A$200:$A$287,0.95,4,1,1),"")</f>
        <v/>
      </c>
      <c r="H282" s="19" t="str">
        <f aca="false">IFERROR(F282+forecast.ets.confint($A282,$B$200:$B$287,$A$200:$A$287,0.95,4,1,1),"")</f>
        <v/>
      </c>
    </row>
    <row r="283" customFormat="false" ht="15" hidden="false" customHeight="false" outlineLevel="0" collapsed="false">
      <c r="A283" s="21" t="n">
        <v>47027</v>
      </c>
      <c r="B283" s="22" t="str">
        <f aca="false">IFERROR(haverdata(Codes!$D$7,$A283),"")</f>
        <v/>
      </c>
      <c r="C283" s="23" t="str">
        <f aca="false">IFERROR(B283/B282-1,"")</f>
        <v/>
      </c>
      <c r="D283" s="23" t="str">
        <f aca="false">IFERROR(B283/B279-1,"")</f>
        <v/>
      </c>
      <c r="E283" s="24" t="str">
        <f aca="false">IFERROR(IF(B283="",IFERROR(GROWTH($B$200:$B$287,$A$200:$A$287,$A283),TREND($B$200:$B$287,$A$200:$A$287,$A283)),""),"")</f>
        <v/>
      </c>
      <c r="F283" s="24" t="str">
        <f aca="false">IFERROR(forecast.ets($A283,$B$200:$B$287,$A$200:$A$287,4,1,1),"")</f>
        <v/>
      </c>
      <c r="G283" s="24" t="str">
        <f aca="false">IFERROR(F283-forecast.ets.confint($A283,$B$200:$B$287,$A$200:$A$287,0.95,4,1,1),"")</f>
        <v/>
      </c>
      <c r="H283" s="24" t="str">
        <f aca="false">IFERROR(F283+forecast.ets.confint($A283,$B$200:$B$287,$A$200:$A$287,0.95,4,1,1),"")</f>
        <v/>
      </c>
    </row>
    <row r="284" customFormat="false" ht="15" hidden="false" customHeight="false" outlineLevel="0" collapsed="false">
      <c r="A284" s="16" t="n">
        <v>47119</v>
      </c>
      <c r="B284" s="17" t="str">
        <f aca="false">IFERROR(haverdata(Codes!$D$7,$A284),"")</f>
        <v/>
      </c>
      <c r="C284" s="18" t="str">
        <f aca="false">IFERROR(B284/B283-1,"")</f>
        <v/>
      </c>
      <c r="D284" s="18" t="str">
        <f aca="false">IFERROR(B284/B280-1,"")</f>
        <v/>
      </c>
      <c r="E284" s="19" t="str">
        <f aca="false">IFERROR(IF(B284="",IFERROR(GROWTH($B$200:$B$287,$A$200:$A$287,$A284),TREND($B$200:$B$287,$A$200:$A$287,$A284)),""),"")</f>
        <v/>
      </c>
      <c r="F284" s="19" t="str">
        <f aca="false">IFERROR(forecast.ets($A284,$B$200:$B$287,$A$200:$A$287,4,1,1),"")</f>
        <v/>
      </c>
      <c r="G284" s="19" t="str">
        <f aca="false">IFERROR(F284-forecast.ets.confint($A284,$B$200:$B$287,$A$200:$A$287,0.95,4,1,1),"")</f>
        <v/>
      </c>
      <c r="H284" s="19" t="str">
        <f aca="false">IFERROR(F284+forecast.ets.confint($A284,$B$200:$B$287,$A$200:$A$287,0.95,4,1,1),"")</f>
        <v/>
      </c>
    </row>
    <row r="285" customFormat="false" ht="15" hidden="false" customHeight="false" outlineLevel="0" collapsed="false">
      <c r="A285" s="21" t="n">
        <v>47209</v>
      </c>
      <c r="B285" s="22" t="str">
        <f aca="false">IFERROR(haverdata(Codes!$D$7,$A285),"")</f>
        <v/>
      </c>
      <c r="C285" s="23" t="str">
        <f aca="false">IFERROR(B285/B284-1,"")</f>
        <v/>
      </c>
      <c r="D285" s="23" t="str">
        <f aca="false">IFERROR(B285/B281-1,"")</f>
        <v/>
      </c>
      <c r="E285" s="24" t="str">
        <f aca="false">IFERROR(IF(B285="",IFERROR(GROWTH($B$200:$B$287,$A$200:$A$287,$A285),TREND($B$200:$B$287,$A$200:$A$287,$A285)),""),"")</f>
        <v/>
      </c>
      <c r="F285" s="24" t="str">
        <f aca="false">IFERROR(forecast.ets($A285,$B$200:$B$287,$A$200:$A$287,4,1,1),"")</f>
        <v/>
      </c>
      <c r="G285" s="24" t="str">
        <f aca="false">IFERROR(F285-forecast.ets.confint($A285,$B$200:$B$287,$A$200:$A$287,0.95,4,1,1),"")</f>
        <v/>
      </c>
      <c r="H285" s="24" t="str">
        <f aca="false">IFERROR(F285+forecast.ets.confint($A285,$B$200:$B$287,$A$200:$A$287,0.95,4,1,1),"")</f>
        <v/>
      </c>
    </row>
    <row r="286" customFormat="false" ht="15" hidden="false" customHeight="false" outlineLevel="0" collapsed="false">
      <c r="A286" s="16" t="n">
        <v>47300</v>
      </c>
      <c r="B286" s="17" t="str">
        <f aca="false">IFERROR(haverdata(Codes!$D$7,$A286),"")</f>
        <v/>
      </c>
      <c r="C286" s="18" t="str">
        <f aca="false">IFERROR(B286/B285-1,"")</f>
        <v/>
      </c>
      <c r="D286" s="18" t="str">
        <f aca="false">IFERROR(B286/B282-1,"")</f>
        <v/>
      </c>
      <c r="E286" s="19" t="str">
        <f aca="false">IFERROR(IF(B286="",IFERROR(GROWTH($B$200:$B$287,$A$200:$A$287,$A286),TREND($B$200:$B$287,$A$200:$A$287,$A286)),""),"")</f>
        <v/>
      </c>
      <c r="F286" s="19" t="str">
        <f aca="false">IFERROR(forecast.ets($A286,$B$200:$B$287,$A$200:$A$287,4,1,1),"")</f>
        <v/>
      </c>
      <c r="G286" s="19" t="str">
        <f aca="false">IFERROR(F286-forecast.ets.confint($A286,$B$200:$B$287,$A$200:$A$287,0.95,4,1,1),"")</f>
        <v/>
      </c>
      <c r="H286" s="19" t="str">
        <f aca="false">IFERROR(F286+forecast.ets.confint($A286,$B$200:$B$287,$A$200:$A$287,0.95,4,1,1),"")</f>
        <v/>
      </c>
    </row>
    <row r="287" customFormat="false" ht="15" hidden="false" customHeight="false" outlineLevel="0" collapsed="false">
      <c r="A287" s="21" t="n">
        <v>47392</v>
      </c>
      <c r="B287" s="22" t="str">
        <f aca="false">IFERROR(haverdata(Codes!$D$7,$A287),"")</f>
        <v/>
      </c>
      <c r="C287" s="23" t="str">
        <f aca="false">IFERROR(B287/B286-1,"")</f>
        <v/>
      </c>
      <c r="D287" s="23" t="str">
        <f aca="false">IFERROR(B287/B283-1,"")</f>
        <v/>
      </c>
      <c r="E287" s="24" t="str">
        <f aca="false">IFERROR(IF(B287="",IFERROR(GROWTH($B$200:$B$287,$A$200:$A$287,$A287),TREND($B$200:$B$287,$A$200:$A$287,$A287)),""),"")</f>
        <v/>
      </c>
      <c r="F287" s="24" t="str">
        <f aca="false">IFERROR(forecast.ets($A287,$B$200:$B$287,$A$200:$A$287,4,1,1),"")</f>
        <v/>
      </c>
      <c r="G287" s="24" t="str">
        <f aca="false">IFERROR(F287-forecast.ets.confint($A287,$B$200:$B$287,$A$200:$A$287,0.95,4,1,1),"")</f>
        <v/>
      </c>
      <c r="H287" s="24" t="str">
        <f aca="false">IFERROR(F287+forecast.ets.confint($A287,$B$200:$B$287,$A$200:$A$287,0.95,4,1,1),"")</f>
        <v/>
      </c>
    </row>
  </sheetData>
  <mergeCells count="13">
    <mergeCell ref="A2:O2"/>
    <mergeCell ref="A4:M4"/>
    <mergeCell ref="E5:M5"/>
    <mergeCell ref="A6:H6"/>
    <mergeCell ref="J6:M6"/>
    <mergeCell ref="A100:M100"/>
    <mergeCell ref="E101:M101"/>
    <mergeCell ref="A102:H102"/>
    <mergeCell ref="J102:M102"/>
    <mergeCell ref="A196:M196"/>
    <mergeCell ref="E197:M197"/>
    <mergeCell ref="A198:H198"/>
    <mergeCell ref="J198:M1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8" min="5" style="0" width="12"/>
    <col collapsed="false" customWidth="true" hidden="false" outlineLevel="0" max="9" min="9" style="0" width="2"/>
    <col collapsed="false" customWidth="true" hidden="false" outlineLevel="0" max="10" min="10" style="0" width="7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"/>
  </cols>
  <sheetData>
    <row r="1" customFormat="false" ht="22.0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6" t="s">
        <v>106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customFormat="false" ht="21.75" hidden="false" customHeight="true" outlineLevel="0" collapsed="false">
      <c r="A4" s="13" t="str">
        <f aca="false">Codes!$B$8&amp;"   ["&amp;Codes!$D$8&amp;"]   "&amp;Codes!$F$8</f>
        <v>CPI National (IPC nacional)   [IPCNAC@ARGEN]   Index Dec-16=100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customFormat="false" ht="15" hidden="false" customHeight="false" outlineLevel="0" collapsed="false">
      <c r="A5" s="4" t="s">
        <v>107</v>
      </c>
      <c r="B5" s="14" t="str">
        <f aca="false">Codes!$G$8</f>
        <v>avg</v>
      </c>
      <c r="D5" s="4" t="s">
        <v>108</v>
      </c>
      <c r="E5" s="6" t="str">
        <f aca="false">Codes!$H$8</f>
        <v>INDEC. Pre-2017 series has structural breaks (INDEC reform).</v>
      </c>
      <c r="F5" s="6"/>
      <c r="G5" s="6"/>
      <c r="H5" s="6"/>
      <c r="I5" s="6"/>
      <c r="J5" s="6"/>
      <c r="K5" s="6"/>
      <c r="L5" s="6"/>
      <c r="M5" s="6"/>
    </row>
    <row r="6" customFormat="false" ht="18" hidden="false" customHeight="true" outlineLevel="0" collapsed="false">
      <c r="A6" s="15" t="s">
        <v>109</v>
      </c>
      <c r="B6" s="15"/>
      <c r="C6" s="15"/>
      <c r="D6" s="15"/>
      <c r="E6" s="15"/>
      <c r="F6" s="15"/>
      <c r="G6" s="15"/>
      <c r="H6" s="15"/>
      <c r="J6" s="15" t="s">
        <v>110</v>
      </c>
      <c r="K6" s="15"/>
      <c r="L6" s="15"/>
      <c r="M6" s="15"/>
    </row>
    <row r="7" customFormat="false" ht="15" hidden="false" customHeight="false" outlineLevel="0" collapsed="false">
      <c r="A7" s="7" t="s">
        <v>111</v>
      </c>
      <c r="B7" s="7" t="s">
        <v>112</v>
      </c>
      <c r="C7" s="7" t="s">
        <v>113</v>
      </c>
      <c r="D7" s="7" t="s">
        <v>114</v>
      </c>
      <c r="E7" s="7" t="s">
        <v>115</v>
      </c>
      <c r="F7" s="7" t="s">
        <v>116</v>
      </c>
      <c r="G7" s="7" t="s">
        <v>117</v>
      </c>
      <c r="H7" s="7" t="s">
        <v>118</v>
      </c>
      <c r="J7" s="7" t="s">
        <v>119</v>
      </c>
      <c r="K7" s="7" t="s">
        <v>112</v>
      </c>
      <c r="L7" s="7" t="s">
        <v>114</v>
      </c>
      <c r="M7" s="7" t="s">
        <v>120</v>
      </c>
    </row>
    <row r="8" customFormat="false" ht="15" hidden="false" customHeight="false" outlineLevel="0" collapsed="false">
      <c r="A8" s="16" t="n">
        <v>39448</v>
      </c>
      <c r="B8" s="17" t="str">
        <f aca="false">IFERROR(haverdata(Codes!$D$8,$A8),"")</f>
        <v/>
      </c>
      <c r="C8" s="18"/>
      <c r="D8" s="18"/>
      <c r="E8" s="19" t="str">
        <f aca="false">IFERROR(IF(B8="",IFERROR(GROWTH($B$8:$B$95,$A$8:$A$95,$A8),TREND($B$8:$B$95,$A$8:$A$95,$A8)),""),"")</f>
        <v/>
      </c>
      <c r="F8" s="19" t="str">
        <f aca="false">IFERROR(forecast.ets($A8,$B$8:$B$95,$A$8:$A$95,4,1,1),"")</f>
        <v/>
      </c>
      <c r="G8" s="19" t="str">
        <f aca="false">IFERROR(F8-forecast.ets.confint($A8,$B$8:$B$95,$A$8:$A$95,0.95,4,1,1),"")</f>
        <v/>
      </c>
      <c r="H8" s="19" t="str">
        <f aca="false">IFERROR(F8+forecast.ets.confint($A8,$B$8:$B$95,$A$8:$A$95,0.95,4,1,1),"")</f>
        <v/>
      </c>
      <c r="J8" s="20" t="n">
        <v>2008</v>
      </c>
      <c r="K8" s="19" t="str">
        <f aca="false">IFERROR(AVERAGEIFS($B$8:$B$95,$A$8:$A$95,"&gt;="&amp;DATE(J8,1,1),$A$8:$A$95,"&lt;="&amp;DATE(J8,12,31)),"")</f>
        <v/>
      </c>
      <c r="L8" s="18"/>
      <c r="M8" s="19" t="str">
        <f aca="false">IFERROR(AVERAGEIFS($F$8:$F$95,$A$8:$A$95,"&gt;="&amp;DATE(J8,1,1),$A$8:$A$95,"&lt;="&amp;DATE(J8,12,31)),"")</f>
        <v/>
      </c>
    </row>
    <row r="9" customFormat="false" ht="15" hidden="false" customHeight="false" outlineLevel="0" collapsed="false">
      <c r="A9" s="21" t="n">
        <v>39539</v>
      </c>
      <c r="B9" s="22" t="str">
        <f aca="false">IFERROR(haverdata(Codes!$D$8,$A9),"")</f>
        <v/>
      </c>
      <c r="C9" s="23" t="str">
        <f aca="false">IFERROR(B9/B8-1,"")</f>
        <v/>
      </c>
      <c r="D9" s="23"/>
      <c r="E9" s="24" t="str">
        <f aca="false">IFERROR(IF(B9="",IFERROR(GROWTH($B$8:$B$95,$A$8:$A$95,$A9),TREND($B$8:$B$95,$A$8:$A$95,$A9)),""),"")</f>
        <v/>
      </c>
      <c r="F9" s="24" t="str">
        <f aca="false">IFERROR(forecast.ets($A9,$B$8:$B$95,$A$8:$A$95,4,1,1),"")</f>
        <v/>
      </c>
      <c r="G9" s="24" t="str">
        <f aca="false">IFERROR(F9-forecast.ets.confint($A9,$B$8:$B$95,$A$8:$A$95,0.95,4,1,1),"")</f>
        <v/>
      </c>
      <c r="H9" s="24" t="str">
        <f aca="false">IFERROR(F9+forecast.ets.confint($A9,$B$8:$B$95,$A$8:$A$95,0.95,4,1,1),"")</f>
        <v/>
      </c>
      <c r="J9" s="25" t="n">
        <v>2009</v>
      </c>
      <c r="K9" s="24" t="str">
        <f aca="false">IFERROR(AVERAGEIFS($B$8:$B$95,$A$8:$A$95,"&gt;="&amp;DATE(J9,1,1),$A$8:$A$95,"&lt;="&amp;DATE(J9,12,31)),"")</f>
        <v/>
      </c>
      <c r="L9" s="23" t="str">
        <f aca="false">IFERROR(K9/K8-1,"")</f>
        <v/>
      </c>
      <c r="M9" s="24" t="str">
        <f aca="false">IFERROR(AVERAGEIFS($F$8:$F$95,$A$8:$A$95,"&gt;="&amp;DATE(J9,1,1),$A$8:$A$95,"&lt;="&amp;DATE(J9,12,31)),"")</f>
        <v/>
      </c>
    </row>
    <row r="10" customFormat="false" ht="15" hidden="false" customHeight="false" outlineLevel="0" collapsed="false">
      <c r="A10" s="16" t="n">
        <v>39630</v>
      </c>
      <c r="B10" s="17" t="str">
        <f aca="false">IFERROR(haverdata(Codes!$D$8,$A10),"")</f>
        <v/>
      </c>
      <c r="C10" s="18" t="str">
        <f aca="false">IFERROR(B10/B9-1,"")</f>
        <v/>
      </c>
      <c r="D10" s="18"/>
      <c r="E10" s="19" t="str">
        <f aca="false">IFERROR(IF(B10="",IFERROR(GROWTH($B$8:$B$95,$A$8:$A$95,$A10),TREND($B$8:$B$95,$A$8:$A$95,$A10)),""),"")</f>
        <v/>
      </c>
      <c r="F10" s="19" t="str">
        <f aca="false">IFERROR(forecast.ets($A10,$B$8:$B$95,$A$8:$A$95,4,1,1),"")</f>
        <v/>
      </c>
      <c r="G10" s="19" t="str">
        <f aca="false">IFERROR(F10-forecast.ets.confint($A10,$B$8:$B$95,$A$8:$A$95,0.95,4,1,1),"")</f>
        <v/>
      </c>
      <c r="H10" s="19" t="str">
        <f aca="false">IFERROR(F10+forecast.ets.confint($A10,$B$8:$B$95,$A$8:$A$95,0.95,4,1,1),"")</f>
        <v/>
      </c>
      <c r="J10" s="20" t="n">
        <v>2010</v>
      </c>
      <c r="K10" s="19" t="str">
        <f aca="false">IFERROR(AVERAGEIFS($B$8:$B$95,$A$8:$A$95,"&gt;="&amp;DATE(J10,1,1),$A$8:$A$95,"&lt;="&amp;DATE(J10,12,31)),"")</f>
        <v/>
      </c>
      <c r="L10" s="18" t="str">
        <f aca="false">IFERROR(K10/K9-1,"")</f>
        <v/>
      </c>
      <c r="M10" s="19" t="str">
        <f aca="false">IFERROR(AVERAGEIFS($F$8:$F$95,$A$8:$A$95,"&gt;="&amp;DATE(J10,1,1),$A$8:$A$95,"&lt;="&amp;DATE(J10,12,31)),"")</f>
        <v/>
      </c>
    </row>
    <row r="11" customFormat="false" ht="15" hidden="false" customHeight="false" outlineLevel="0" collapsed="false">
      <c r="A11" s="21" t="n">
        <v>39722</v>
      </c>
      <c r="B11" s="22" t="str">
        <f aca="false">IFERROR(haverdata(Codes!$D$8,$A11),"")</f>
        <v/>
      </c>
      <c r="C11" s="23" t="str">
        <f aca="false">IFERROR(B11/B10-1,"")</f>
        <v/>
      </c>
      <c r="D11" s="23"/>
      <c r="E11" s="24" t="str">
        <f aca="false">IFERROR(IF(B11="",IFERROR(GROWTH($B$8:$B$95,$A$8:$A$95,$A11),TREND($B$8:$B$95,$A$8:$A$95,$A11)),""),"")</f>
        <v/>
      </c>
      <c r="F11" s="24" t="str">
        <f aca="false">IFERROR(forecast.ets($A11,$B$8:$B$95,$A$8:$A$95,4,1,1),"")</f>
        <v/>
      </c>
      <c r="G11" s="24" t="str">
        <f aca="false">IFERROR(F11-forecast.ets.confint($A11,$B$8:$B$95,$A$8:$A$95,0.95,4,1,1),"")</f>
        <v/>
      </c>
      <c r="H11" s="24" t="str">
        <f aca="false">IFERROR(F11+forecast.ets.confint($A11,$B$8:$B$95,$A$8:$A$95,0.95,4,1,1),"")</f>
        <v/>
      </c>
      <c r="J11" s="25" t="n">
        <v>2011</v>
      </c>
      <c r="K11" s="24" t="str">
        <f aca="false">IFERROR(AVERAGEIFS($B$8:$B$95,$A$8:$A$95,"&gt;="&amp;DATE(J11,1,1),$A$8:$A$95,"&lt;="&amp;DATE(J11,12,31)),"")</f>
        <v/>
      </c>
      <c r="L11" s="23" t="str">
        <f aca="false">IFERROR(K11/K10-1,"")</f>
        <v/>
      </c>
      <c r="M11" s="24" t="str">
        <f aca="false">IFERROR(AVERAGEIFS($F$8:$F$95,$A$8:$A$95,"&gt;="&amp;DATE(J11,1,1),$A$8:$A$95,"&lt;="&amp;DATE(J11,12,31)),"")</f>
        <v/>
      </c>
    </row>
    <row r="12" customFormat="false" ht="15" hidden="false" customHeight="false" outlineLevel="0" collapsed="false">
      <c r="A12" s="16" t="n">
        <v>39814</v>
      </c>
      <c r="B12" s="17" t="str">
        <f aca="false">IFERROR(haverdata(Codes!$D$8,$A12),"")</f>
        <v/>
      </c>
      <c r="C12" s="18" t="str">
        <f aca="false">IFERROR(B12/B11-1,"")</f>
        <v/>
      </c>
      <c r="D12" s="18" t="str">
        <f aca="false">IFERROR(B12/B8-1,"")</f>
        <v/>
      </c>
      <c r="E12" s="19" t="str">
        <f aca="false">IFERROR(IF(B12="",IFERROR(GROWTH($B$8:$B$95,$A$8:$A$95,$A12),TREND($B$8:$B$95,$A$8:$A$95,$A12)),""),"")</f>
        <v/>
      </c>
      <c r="F12" s="19" t="str">
        <f aca="false">IFERROR(forecast.ets($A12,$B$8:$B$95,$A$8:$A$95,4,1,1),"")</f>
        <v/>
      </c>
      <c r="G12" s="19" t="str">
        <f aca="false">IFERROR(F12-forecast.ets.confint($A12,$B$8:$B$95,$A$8:$A$95,0.95,4,1,1),"")</f>
        <v/>
      </c>
      <c r="H12" s="19" t="str">
        <f aca="false">IFERROR(F12+forecast.ets.confint($A12,$B$8:$B$95,$A$8:$A$95,0.95,4,1,1),"")</f>
        <v/>
      </c>
      <c r="J12" s="20" t="n">
        <v>2012</v>
      </c>
      <c r="K12" s="19" t="str">
        <f aca="false">IFERROR(AVERAGEIFS($B$8:$B$95,$A$8:$A$95,"&gt;="&amp;DATE(J12,1,1),$A$8:$A$95,"&lt;="&amp;DATE(J12,12,31)),"")</f>
        <v/>
      </c>
      <c r="L12" s="18" t="str">
        <f aca="false">IFERROR(K12/K11-1,"")</f>
        <v/>
      </c>
      <c r="M12" s="19" t="str">
        <f aca="false">IFERROR(AVERAGEIFS($F$8:$F$95,$A$8:$A$95,"&gt;="&amp;DATE(J12,1,1),$A$8:$A$95,"&lt;="&amp;DATE(J12,12,31)),"")</f>
        <v/>
      </c>
    </row>
    <row r="13" customFormat="false" ht="15" hidden="false" customHeight="false" outlineLevel="0" collapsed="false">
      <c r="A13" s="21" t="n">
        <v>39904</v>
      </c>
      <c r="B13" s="22" t="str">
        <f aca="false">IFERROR(haverdata(Codes!$D$8,$A13),"")</f>
        <v/>
      </c>
      <c r="C13" s="23" t="str">
        <f aca="false">IFERROR(B13/B12-1,"")</f>
        <v/>
      </c>
      <c r="D13" s="23" t="str">
        <f aca="false">IFERROR(B13/B9-1,"")</f>
        <v/>
      </c>
      <c r="E13" s="24" t="str">
        <f aca="false">IFERROR(IF(B13="",IFERROR(GROWTH($B$8:$B$95,$A$8:$A$95,$A13),TREND($B$8:$B$95,$A$8:$A$95,$A13)),""),"")</f>
        <v/>
      </c>
      <c r="F13" s="24" t="str">
        <f aca="false">IFERROR(forecast.ets($A13,$B$8:$B$95,$A$8:$A$95,4,1,1),"")</f>
        <v/>
      </c>
      <c r="G13" s="24" t="str">
        <f aca="false">IFERROR(F13-forecast.ets.confint($A13,$B$8:$B$95,$A$8:$A$95,0.95,4,1,1),"")</f>
        <v/>
      </c>
      <c r="H13" s="24" t="str">
        <f aca="false">IFERROR(F13+forecast.ets.confint($A13,$B$8:$B$95,$A$8:$A$95,0.95,4,1,1),"")</f>
        <v/>
      </c>
      <c r="J13" s="25" t="n">
        <v>2013</v>
      </c>
      <c r="K13" s="24" t="str">
        <f aca="false">IFERROR(AVERAGEIFS($B$8:$B$95,$A$8:$A$95,"&gt;="&amp;DATE(J13,1,1),$A$8:$A$95,"&lt;="&amp;DATE(J13,12,31)),"")</f>
        <v/>
      </c>
      <c r="L13" s="23" t="str">
        <f aca="false">IFERROR(K13/K12-1,"")</f>
        <v/>
      </c>
      <c r="M13" s="24" t="str">
        <f aca="false">IFERROR(AVERAGEIFS($F$8:$F$95,$A$8:$A$95,"&gt;="&amp;DATE(J13,1,1),$A$8:$A$95,"&lt;="&amp;DATE(J13,12,31)),"")</f>
        <v/>
      </c>
    </row>
    <row r="14" customFormat="false" ht="15" hidden="false" customHeight="false" outlineLevel="0" collapsed="false">
      <c r="A14" s="16" t="n">
        <v>39995</v>
      </c>
      <c r="B14" s="17" t="str">
        <f aca="false">IFERROR(haverdata(Codes!$D$8,$A14),"")</f>
        <v/>
      </c>
      <c r="C14" s="18" t="str">
        <f aca="false">IFERROR(B14/B13-1,"")</f>
        <v/>
      </c>
      <c r="D14" s="18" t="str">
        <f aca="false">IFERROR(B14/B10-1,"")</f>
        <v/>
      </c>
      <c r="E14" s="19" t="str">
        <f aca="false">IFERROR(IF(B14="",IFERROR(GROWTH($B$8:$B$95,$A$8:$A$95,$A14),TREND($B$8:$B$95,$A$8:$A$95,$A14)),""),"")</f>
        <v/>
      </c>
      <c r="F14" s="19" t="str">
        <f aca="false">IFERROR(forecast.ets($A14,$B$8:$B$95,$A$8:$A$95,4,1,1),"")</f>
        <v/>
      </c>
      <c r="G14" s="19" t="str">
        <f aca="false">IFERROR(F14-forecast.ets.confint($A14,$B$8:$B$95,$A$8:$A$95,0.95,4,1,1),"")</f>
        <v/>
      </c>
      <c r="H14" s="19" t="str">
        <f aca="false">IFERROR(F14+forecast.ets.confint($A14,$B$8:$B$95,$A$8:$A$95,0.95,4,1,1),"")</f>
        <v/>
      </c>
      <c r="J14" s="20" t="n">
        <v>2014</v>
      </c>
      <c r="K14" s="19" t="str">
        <f aca="false">IFERROR(AVERAGEIFS($B$8:$B$95,$A$8:$A$95,"&gt;="&amp;DATE(J14,1,1),$A$8:$A$95,"&lt;="&amp;DATE(J14,12,31)),"")</f>
        <v/>
      </c>
      <c r="L14" s="18" t="str">
        <f aca="false">IFERROR(K14/K13-1,"")</f>
        <v/>
      </c>
      <c r="M14" s="19" t="str">
        <f aca="false">IFERROR(AVERAGEIFS($F$8:$F$95,$A$8:$A$95,"&gt;="&amp;DATE(J14,1,1),$A$8:$A$95,"&lt;="&amp;DATE(J14,12,31)),"")</f>
        <v/>
      </c>
    </row>
    <row r="15" customFormat="false" ht="15" hidden="false" customHeight="false" outlineLevel="0" collapsed="false">
      <c r="A15" s="21" t="n">
        <v>40087</v>
      </c>
      <c r="B15" s="22" t="str">
        <f aca="false">IFERROR(haverdata(Codes!$D$8,$A15),"")</f>
        <v/>
      </c>
      <c r="C15" s="23" t="str">
        <f aca="false">IFERROR(B15/B14-1,"")</f>
        <v/>
      </c>
      <c r="D15" s="23" t="str">
        <f aca="false">IFERROR(B15/B11-1,"")</f>
        <v/>
      </c>
      <c r="E15" s="24" t="str">
        <f aca="false">IFERROR(IF(B15="",IFERROR(GROWTH($B$8:$B$95,$A$8:$A$95,$A15),TREND($B$8:$B$95,$A$8:$A$95,$A15)),""),"")</f>
        <v/>
      </c>
      <c r="F15" s="24" t="str">
        <f aca="false">IFERROR(forecast.ets($A15,$B$8:$B$95,$A$8:$A$95,4,1,1),"")</f>
        <v/>
      </c>
      <c r="G15" s="24" t="str">
        <f aca="false">IFERROR(F15-forecast.ets.confint($A15,$B$8:$B$95,$A$8:$A$95,0.95,4,1,1),"")</f>
        <v/>
      </c>
      <c r="H15" s="24" t="str">
        <f aca="false">IFERROR(F15+forecast.ets.confint($A15,$B$8:$B$95,$A$8:$A$95,0.95,4,1,1),"")</f>
        <v/>
      </c>
      <c r="J15" s="25" t="n">
        <v>2015</v>
      </c>
      <c r="K15" s="24" t="str">
        <f aca="false">IFERROR(AVERAGEIFS($B$8:$B$95,$A$8:$A$95,"&gt;="&amp;DATE(J15,1,1),$A$8:$A$95,"&lt;="&amp;DATE(J15,12,31)),"")</f>
        <v/>
      </c>
      <c r="L15" s="23" t="str">
        <f aca="false">IFERROR(K15/K14-1,"")</f>
        <v/>
      </c>
      <c r="M15" s="24" t="str">
        <f aca="false">IFERROR(AVERAGEIFS($F$8:$F$95,$A$8:$A$95,"&gt;="&amp;DATE(J15,1,1),$A$8:$A$95,"&lt;="&amp;DATE(J15,12,31)),"")</f>
        <v/>
      </c>
    </row>
    <row r="16" customFormat="false" ht="15" hidden="false" customHeight="false" outlineLevel="0" collapsed="false">
      <c r="A16" s="16" t="n">
        <v>40179</v>
      </c>
      <c r="B16" s="17" t="str">
        <f aca="false">IFERROR(haverdata(Codes!$D$8,$A16),"")</f>
        <v/>
      </c>
      <c r="C16" s="18" t="str">
        <f aca="false">IFERROR(B16/B15-1,"")</f>
        <v/>
      </c>
      <c r="D16" s="18" t="str">
        <f aca="false">IFERROR(B16/B12-1,"")</f>
        <v/>
      </c>
      <c r="E16" s="19" t="str">
        <f aca="false">IFERROR(IF(B16="",IFERROR(GROWTH($B$8:$B$95,$A$8:$A$95,$A16),TREND($B$8:$B$95,$A$8:$A$95,$A16)),""),"")</f>
        <v/>
      </c>
      <c r="F16" s="19" t="str">
        <f aca="false">IFERROR(forecast.ets($A16,$B$8:$B$95,$A$8:$A$95,4,1,1),"")</f>
        <v/>
      </c>
      <c r="G16" s="19" t="str">
        <f aca="false">IFERROR(F16-forecast.ets.confint($A16,$B$8:$B$95,$A$8:$A$95,0.95,4,1,1),"")</f>
        <v/>
      </c>
      <c r="H16" s="19" t="str">
        <f aca="false">IFERROR(F16+forecast.ets.confint($A16,$B$8:$B$95,$A$8:$A$95,0.95,4,1,1),"")</f>
        <v/>
      </c>
      <c r="J16" s="20" t="n">
        <v>2016</v>
      </c>
      <c r="K16" s="19" t="str">
        <f aca="false">IFERROR(AVERAGEIFS($B$8:$B$95,$A$8:$A$95,"&gt;="&amp;DATE(J16,1,1),$A$8:$A$95,"&lt;="&amp;DATE(J16,12,31)),"")</f>
        <v/>
      </c>
      <c r="L16" s="18" t="str">
        <f aca="false">IFERROR(K16/K15-1,"")</f>
        <v/>
      </c>
      <c r="M16" s="19" t="str">
        <f aca="false">IFERROR(AVERAGEIFS($F$8:$F$95,$A$8:$A$95,"&gt;="&amp;DATE(J16,1,1),$A$8:$A$95,"&lt;="&amp;DATE(J16,12,31)),"")</f>
        <v/>
      </c>
    </row>
    <row r="17" customFormat="false" ht="15" hidden="false" customHeight="false" outlineLevel="0" collapsed="false">
      <c r="A17" s="21" t="n">
        <v>40269</v>
      </c>
      <c r="B17" s="22" t="str">
        <f aca="false">IFERROR(haverdata(Codes!$D$8,$A17),"")</f>
        <v/>
      </c>
      <c r="C17" s="23" t="str">
        <f aca="false">IFERROR(B17/B16-1,"")</f>
        <v/>
      </c>
      <c r="D17" s="23" t="str">
        <f aca="false">IFERROR(B17/B13-1,"")</f>
        <v/>
      </c>
      <c r="E17" s="24" t="str">
        <f aca="false">IFERROR(IF(B17="",IFERROR(GROWTH($B$8:$B$95,$A$8:$A$95,$A17),TREND($B$8:$B$95,$A$8:$A$95,$A17)),""),"")</f>
        <v/>
      </c>
      <c r="F17" s="24" t="str">
        <f aca="false">IFERROR(forecast.ets($A17,$B$8:$B$95,$A$8:$A$95,4,1,1),"")</f>
        <v/>
      </c>
      <c r="G17" s="24" t="str">
        <f aca="false">IFERROR(F17-forecast.ets.confint($A17,$B$8:$B$95,$A$8:$A$95,0.95,4,1,1),"")</f>
        <v/>
      </c>
      <c r="H17" s="24" t="str">
        <f aca="false">IFERROR(F17+forecast.ets.confint($A17,$B$8:$B$95,$A$8:$A$95,0.95,4,1,1),"")</f>
        <v/>
      </c>
      <c r="J17" s="25" t="n">
        <v>2017</v>
      </c>
      <c r="K17" s="24" t="str">
        <f aca="false">IFERROR(AVERAGEIFS($B$8:$B$95,$A$8:$A$95,"&gt;="&amp;DATE(J17,1,1),$A$8:$A$95,"&lt;="&amp;DATE(J17,12,31)),"")</f>
        <v/>
      </c>
      <c r="L17" s="23" t="str">
        <f aca="false">IFERROR(K17/K16-1,"")</f>
        <v/>
      </c>
      <c r="M17" s="24" t="str">
        <f aca="false">IFERROR(AVERAGEIFS($F$8:$F$95,$A$8:$A$95,"&gt;="&amp;DATE(J17,1,1),$A$8:$A$95,"&lt;="&amp;DATE(J17,12,31)),"")</f>
        <v/>
      </c>
    </row>
    <row r="18" customFormat="false" ht="15" hidden="false" customHeight="false" outlineLevel="0" collapsed="false">
      <c r="A18" s="16" t="n">
        <v>40360</v>
      </c>
      <c r="B18" s="17" t="str">
        <f aca="false">IFERROR(haverdata(Codes!$D$8,$A18),"")</f>
        <v/>
      </c>
      <c r="C18" s="18" t="str">
        <f aca="false">IFERROR(B18/B17-1,"")</f>
        <v/>
      </c>
      <c r="D18" s="18" t="str">
        <f aca="false">IFERROR(B18/B14-1,"")</f>
        <v/>
      </c>
      <c r="E18" s="19" t="str">
        <f aca="false">IFERROR(IF(B18="",IFERROR(GROWTH($B$8:$B$95,$A$8:$A$95,$A18),TREND($B$8:$B$95,$A$8:$A$95,$A18)),""),"")</f>
        <v/>
      </c>
      <c r="F18" s="19" t="str">
        <f aca="false">IFERROR(forecast.ets($A18,$B$8:$B$95,$A$8:$A$95,4,1,1),"")</f>
        <v/>
      </c>
      <c r="G18" s="19" t="str">
        <f aca="false">IFERROR(F18-forecast.ets.confint($A18,$B$8:$B$95,$A$8:$A$95,0.95,4,1,1),"")</f>
        <v/>
      </c>
      <c r="H18" s="19" t="str">
        <f aca="false">IFERROR(F18+forecast.ets.confint($A18,$B$8:$B$95,$A$8:$A$95,0.95,4,1,1),"")</f>
        <v/>
      </c>
      <c r="J18" s="20" t="n">
        <v>2018</v>
      </c>
      <c r="K18" s="19" t="str">
        <f aca="false">IFERROR(AVERAGEIFS($B$8:$B$95,$A$8:$A$95,"&gt;="&amp;DATE(J18,1,1),$A$8:$A$95,"&lt;="&amp;DATE(J18,12,31)),"")</f>
        <v/>
      </c>
      <c r="L18" s="18" t="str">
        <f aca="false">IFERROR(K18/K17-1,"")</f>
        <v/>
      </c>
      <c r="M18" s="19" t="str">
        <f aca="false">IFERROR(AVERAGEIFS($F$8:$F$95,$A$8:$A$95,"&gt;="&amp;DATE(J18,1,1),$A$8:$A$95,"&lt;="&amp;DATE(J18,12,31)),"")</f>
        <v/>
      </c>
    </row>
    <row r="19" customFormat="false" ht="15" hidden="false" customHeight="false" outlineLevel="0" collapsed="false">
      <c r="A19" s="21" t="n">
        <v>40452</v>
      </c>
      <c r="B19" s="22" t="str">
        <f aca="false">IFERROR(haverdata(Codes!$D$8,$A19),"")</f>
        <v/>
      </c>
      <c r="C19" s="23" t="str">
        <f aca="false">IFERROR(B19/B18-1,"")</f>
        <v/>
      </c>
      <c r="D19" s="23" t="str">
        <f aca="false">IFERROR(B19/B15-1,"")</f>
        <v/>
      </c>
      <c r="E19" s="24" t="str">
        <f aca="false">IFERROR(IF(B19="",IFERROR(GROWTH($B$8:$B$95,$A$8:$A$95,$A19),TREND($B$8:$B$95,$A$8:$A$95,$A19)),""),"")</f>
        <v/>
      </c>
      <c r="F19" s="24" t="str">
        <f aca="false">IFERROR(forecast.ets($A19,$B$8:$B$95,$A$8:$A$95,4,1,1),"")</f>
        <v/>
      </c>
      <c r="G19" s="24" t="str">
        <f aca="false">IFERROR(F19-forecast.ets.confint($A19,$B$8:$B$95,$A$8:$A$95,0.95,4,1,1),"")</f>
        <v/>
      </c>
      <c r="H19" s="24" t="str">
        <f aca="false">IFERROR(F19+forecast.ets.confint($A19,$B$8:$B$95,$A$8:$A$95,0.95,4,1,1),"")</f>
        <v/>
      </c>
      <c r="J19" s="25" t="n">
        <v>2019</v>
      </c>
      <c r="K19" s="24" t="str">
        <f aca="false">IFERROR(AVERAGEIFS($B$8:$B$95,$A$8:$A$95,"&gt;="&amp;DATE(J19,1,1),$A$8:$A$95,"&lt;="&amp;DATE(J19,12,31)),"")</f>
        <v/>
      </c>
      <c r="L19" s="23" t="str">
        <f aca="false">IFERROR(K19/K18-1,"")</f>
        <v/>
      </c>
      <c r="M19" s="24" t="str">
        <f aca="false">IFERROR(AVERAGEIFS($F$8:$F$95,$A$8:$A$95,"&gt;="&amp;DATE(J19,1,1),$A$8:$A$95,"&lt;="&amp;DATE(J19,12,31)),"")</f>
        <v/>
      </c>
    </row>
    <row r="20" customFormat="false" ht="15" hidden="false" customHeight="false" outlineLevel="0" collapsed="false">
      <c r="A20" s="16" t="n">
        <v>40544</v>
      </c>
      <c r="B20" s="17" t="str">
        <f aca="false">IFERROR(haverdata(Codes!$D$8,$A20),"")</f>
        <v/>
      </c>
      <c r="C20" s="18" t="str">
        <f aca="false">IFERROR(B20/B19-1,"")</f>
        <v/>
      </c>
      <c r="D20" s="18" t="str">
        <f aca="false">IFERROR(B20/B16-1,"")</f>
        <v/>
      </c>
      <c r="E20" s="19" t="str">
        <f aca="false">IFERROR(IF(B20="",IFERROR(GROWTH($B$8:$B$95,$A$8:$A$95,$A20),TREND($B$8:$B$95,$A$8:$A$95,$A20)),""),"")</f>
        <v/>
      </c>
      <c r="F20" s="19" t="str">
        <f aca="false">IFERROR(forecast.ets($A20,$B$8:$B$95,$A$8:$A$95,4,1,1),"")</f>
        <v/>
      </c>
      <c r="G20" s="19" t="str">
        <f aca="false">IFERROR(F20-forecast.ets.confint($A20,$B$8:$B$95,$A$8:$A$95,0.95,4,1,1),"")</f>
        <v/>
      </c>
      <c r="H20" s="19" t="str">
        <f aca="false">IFERROR(F20+forecast.ets.confint($A20,$B$8:$B$95,$A$8:$A$95,0.95,4,1,1),"")</f>
        <v/>
      </c>
      <c r="J20" s="20" t="n">
        <v>2020</v>
      </c>
      <c r="K20" s="19" t="str">
        <f aca="false">IFERROR(AVERAGEIFS($B$8:$B$95,$A$8:$A$95,"&gt;="&amp;DATE(J20,1,1),$A$8:$A$95,"&lt;="&amp;DATE(J20,12,31)),"")</f>
        <v/>
      </c>
      <c r="L20" s="18" t="str">
        <f aca="false">IFERROR(K20/K19-1,"")</f>
        <v/>
      </c>
      <c r="M20" s="19" t="str">
        <f aca="false">IFERROR(AVERAGEIFS($F$8:$F$95,$A$8:$A$95,"&gt;="&amp;DATE(J20,1,1),$A$8:$A$95,"&lt;="&amp;DATE(J20,12,31)),"")</f>
        <v/>
      </c>
    </row>
    <row r="21" customFormat="false" ht="15" hidden="false" customHeight="false" outlineLevel="0" collapsed="false">
      <c r="A21" s="21" t="n">
        <v>40634</v>
      </c>
      <c r="B21" s="22" t="str">
        <f aca="false">IFERROR(haverdata(Codes!$D$8,$A21),"")</f>
        <v/>
      </c>
      <c r="C21" s="23" t="str">
        <f aca="false">IFERROR(B21/B20-1,"")</f>
        <v/>
      </c>
      <c r="D21" s="23" t="str">
        <f aca="false">IFERROR(B21/B17-1,"")</f>
        <v/>
      </c>
      <c r="E21" s="24" t="str">
        <f aca="false">IFERROR(IF(B21="",IFERROR(GROWTH($B$8:$B$95,$A$8:$A$95,$A21),TREND($B$8:$B$95,$A$8:$A$95,$A21)),""),"")</f>
        <v/>
      </c>
      <c r="F21" s="24" t="str">
        <f aca="false">IFERROR(forecast.ets($A21,$B$8:$B$95,$A$8:$A$95,4,1,1),"")</f>
        <v/>
      </c>
      <c r="G21" s="24" t="str">
        <f aca="false">IFERROR(F21-forecast.ets.confint($A21,$B$8:$B$95,$A$8:$A$95,0.95,4,1,1),"")</f>
        <v/>
      </c>
      <c r="H21" s="24" t="str">
        <f aca="false">IFERROR(F21+forecast.ets.confint($A21,$B$8:$B$95,$A$8:$A$95,0.95,4,1,1),"")</f>
        <v/>
      </c>
      <c r="J21" s="25" t="n">
        <v>2021</v>
      </c>
      <c r="K21" s="24" t="str">
        <f aca="false">IFERROR(AVERAGEIFS($B$8:$B$95,$A$8:$A$95,"&gt;="&amp;DATE(J21,1,1),$A$8:$A$95,"&lt;="&amp;DATE(J21,12,31)),"")</f>
        <v/>
      </c>
      <c r="L21" s="23" t="str">
        <f aca="false">IFERROR(K21/K20-1,"")</f>
        <v/>
      </c>
      <c r="M21" s="24" t="str">
        <f aca="false">IFERROR(AVERAGEIFS($F$8:$F$95,$A$8:$A$95,"&gt;="&amp;DATE(J21,1,1),$A$8:$A$95,"&lt;="&amp;DATE(J21,12,31)),"")</f>
        <v/>
      </c>
    </row>
    <row r="22" customFormat="false" ht="15" hidden="false" customHeight="false" outlineLevel="0" collapsed="false">
      <c r="A22" s="16" t="n">
        <v>40725</v>
      </c>
      <c r="B22" s="17" t="str">
        <f aca="false">IFERROR(haverdata(Codes!$D$8,$A22),"")</f>
        <v/>
      </c>
      <c r="C22" s="18" t="str">
        <f aca="false">IFERROR(B22/B21-1,"")</f>
        <v/>
      </c>
      <c r="D22" s="18" t="str">
        <f aca="false">IFERROR(B22/B18-1,"")</f>
        <v/>
      </c>
      <c r="E22" s="19" t="str">
        <f aca="false">IFERROR(IF(B22="",IFERROR(GROWTH($B$8:$B$95,$A$8:$A$95,$A22),TREND($B$8:$B$95,$A$8:$A$95,$A22)),""),"")</f>
        <v/>
      </c>
      <c r="F22" s="19" t="str">
        <f aca="false">IFERROR(forecast.ets($A22,$B$8:$B$95,$A$8:$A$95,4,1,1),"")</f>
        <v/>
      </c>
      <c r="G22" s="19" t="str">
        <f aca="false">IFERROR(F22-forecast.ets.confint($A22,$B$8:$B$95,$A$8:$A$95,0.95,4,1,1),"")</f>
        <v/>
      </c>
      <c r="H22" s="19" t="str">
        <f aca="false">IFERROR(F22+forecast.ets.confint($A22,$B$8:$B$95,$A$8:$A$95,0.95,4,1,1),"")</f>
        <v/>
      </c>
      <c r="J22" s="20" t="n">
        <v>2022</v>
      </c>
      <c r="K22" s="19" t="str">
        <f aca="false">IFERROR(AVERAGEIFS($B$8:$B$95,$A$8:$A$95,"&gt;="&amp;DATE(J22,1,1),$A$8:$A$95,"&lt;="&amp;DATE(J22,12,31)),"")</f>
        <v/>
      </c>
      <c r="L22" s="18" t="str">
        <f aca="false">IFERROR(K22/K21-1,"")</f>
        <v/>
      </c>
      <c r="M22" s="19" t="str">
        <f aca="false">IFERROR(AVERAGEIFS($F$8:$F$95,$A$8:$A$95,"&gt;="&amp;DATE(J22,1,1),$A$8:$A$95,"&lt;="&amp;DATE(J22,12,31)),"")</f>
        <v/>
      </c>
    </row>
    <row r="23" customFormat="false" ht="15" hidden="false" customHeight="false" outlineLevel="0" collapsed="false">
      <c r="A23" s="21" t="n">
        <v>40817</v>
      </c>
      <c r="B23" s="22" t="str">
        <f aca="false">IFERROR(haverdata(Codes!$D$8,$A23),"")</f>
        <v/>
      </c>
      <c r="C23" s="23" t="str">
        <f aca="false">IFERROR(B23/B22-1,"")</f>
        <v/>
      </c>
      <c r="D23" s="23" t="str">
        <f aca="false">IFERROR(B23/B19-1,"")</f>
        <v/>
      </c>
      <c r="E23" s="24" t="str">
        <f aca="false">IFERROR(IF(B23="",IFERROR(GROWTH($B$8:$B$95,$A$8:$A$95,$A23),TREND($B$8:$B$95,$A$8:$A$95,$A23)),""),"")</f>
        <v/>
      </c>
      <c r="F23" s="24" t="str">
        <f aca="false">IFERROR(forecast.ets($A23,$B$8:$B$95,$A$8:$A$95,4,1,1),"")</f>
        <v/>
      </c>
      <c r="G23" s="24" t="str">
        <f aca="false">IFERROR(F23-forecast.ets.confint($A23,$B$8:$B$95,$A$8:$A$95,0.95,4,1,1),"")</f>
        <v/>
      </c>
      <c r="H23" s="24" t="str">
        <f aca="false">IFERROR(F23+forecast.ets.confint($A23,$B$8:$B$95,$A$8:$A$95,0.95,4,1,1),"")</f>
        <v/>
      </c>
      <c r="J23" s="25" t="n">
        <v>2023</v>
      </c>
      <c r="K23" s="24" t="str">
        <f aca="false">IFERROR(AVERAGEIFS($B$8:$B$95,$A$8:$A$95,"&gt;="&amp;DATE(J23,1,1),$A$8:$A$95,"&lt;="&amp;DATE(J23,12,31)),"")</f>
        <v/>
      </c>
      <c r="L23" s="23" t="str">
        <f aca="false">IFERROR(K23/K22-1,"")</f>
        <v/>
      </c>
      <c r="M23" s="24" t="str">
        <f aca="false">IFERROR(AVERAGEIFS($F$8:$F$95,$A$8:$A$95,"&gt;="&amp;DATE(J23,1,1),$A$8:$A$95,"&lt;="&amp;DATE(J23,12,31)),"")</f>
        <v/>
      </c>
    </row>
    <row r="24" customFormat="false" ht="15" hidden="false" customHeight="false" outlineLevel="0" collapsed="false">
      <c r="A24" s="16" t="n">
        <v>40909</v>
      </c>
      <c r="B24" s="17" t="str">
        <f aca="false">IFERROR(haverdata(Codes!$D$8,$A24),"")</f>
        <v/>
      </c>
      <c r="C24" s="18" t="str">
        <f aca="false">IFERROR(B24/B23-1,"")</f>
        <v/>
      </c>
      <c r="D24" s="18" t="str">
        <f aca="false">IFERROR(B24/B20-1,"")</f>
        <v/>
      </c>
      <c r="E24" s="19" t="str">
        <f aca="false">IFERROR(IF(B24="",IFERROR(GROWTH($B$8:$B$95,$A$8:$A$95,$A24),TREND($B$8:$B$95,$A$8:$A$95,$A24)),""),"")</f>
        <v/>
      </c>
      <c r="F24" s="19" t="str">
        <f aca="false">IFERROR(forecast.ets($A24,$B$8:$B$95,$A$8:$A$95,4,1,1),"")</f>
        <v/>
      </c>
      <c r="G24" s="19" t="str">
        <f aca="false">IFERROR(F24-forecast.ets.confint($A24,$B$8:$B$95,$A$8:$A$95,0.95,4,1,1),"")</f>
        <v/>
      </c>
      <c r="H24" s="19" t="str">
        <f aca="false">IFERROR(F24+forecast.ets.confint($A24,$B$8:$B$95,$A$8:$A$95,0.95,4,1,1),"")</f>
        <v/>
      </c>
      <c r="J24" s="20" t="n">
        <v>2024</v>
      </c>
      <c r="K24" s="19" t="str">
        <f aca="false">IFERROR(AVERAGEIFS($B$8:$B$95,$A$8:$A$95,"&gt;="&amp;DATE(J24,1,1),$A$8:$A$95,"&lt;="&amp;DATE(J24,12,31)),"")</f>
        <v/>
      </c>
      <c r="L24" s="18" t="str">
        <f aca="false">IFERROR(K24/K23-1,"")</f>
        <v/>
      </c>
      <c r="M24" s="19" t="str">
        <f aca="false">IFERROR(AVERAGEIFS($F$8:$F$95,$A$8:$A$95,"&gt;="&amp;DATE(J24,1,1),$A$8:$A$95,"&lt;="&amp;DATE(J24,12,31)),"")</f>
        <v/>
      </c>
    </row>
    <row r="25" customFormat="false" ht="15" hidden="false" customHeight="false" outlineLevel="0" collapsed="false">
      <c r="A25" s="21" t="n">
        <v>41000</v>
      </c>
      <c r="B25" s="22" t="str">
        <f aca="false">IFERROR(haverdata(Codes!$D$8,$A25),"")</f>
        <v/>
      </c>
      <c r="C25" s="23" t="str">
        <f aca="false">IFERROR(B25/B24-1,"")</f>
        <v/>
      </c>
      <c r="D25" s="23" t="str">
        <f aca="false">IFERROR(B25/B21-1,"")</f>
        <v/>
      </c>
      <c r="E25" s="24" t="str">
        <f aca="false">IFERROR(IF(B25="",IFERROR(GROWTH($B$8:$B$95,$A$8:$A$95,$A25),TREND($B$8:$B$95,$A$8:$A$95,$A25)),""),"")</f>
        <v/>
      </c>
      <c r="F25" s="24" t="str">
        <f aca="false">IFERROR(forecast.ets($A25,$B$8:$B$95,$A$8:$A$95,4,1,1),"")</f>
        <v/>
      </c>
      <c r="G25" s="24" t="str">
        <f aca="false">IFERROR(F25-forecast.ets.confint($A25,$B$8:$B$95,$A$8:$A$95,0.95,4,1,1),"")</f>
        <v/>
      </c>
      <c r="H25" s="24" t="str">
        <f aca="false">IFERROR(F25+forecast.ets.confint($A25,$B$8:$B$95,$A$8:$A$95,0.95,4,1,1),"")</f>
        <v/>
      </c>
      <c r="J25" s="25" t="n">
        <v>2025</v>
      </c>
      <c r="K25" s="24" t="str">
        <f aca="false">IFERROR(AVERAGEIFS($B$8:$B$95,$A$8:$A$95,"&gt;="&amp;DATE(J25,1,1),$A$8:$A$95,"&lt;="&amp;DATE(J25,12,31)),"")</f>
        <v/>
      </c>
      <c r="L25" s="23" t="str">
        <f aca="false">IFERROR(K25/K24-1,"")</f>
        <v/>
      </c>
      <c r="M25" s="24" t="str">
        <f aca="false">IFERROR(AVERAGEIFS($F$8:$F$95,$A$8:$A$95,"&gt;="&amp;DATE(J25,1,1),$A$8:$A$95,"&lt;="&amp;DATE(J25,12,31)),"")</f>
        <v/>
      </c>
    </row>
    <row r="26" customFormat="false" ht="15" hidden="false" customHeight="false" outlineLevel="0" collapsed="false">
      <c r="A26" s="16" t="n">
        <v>41091</v>
      </c>
      <c r="B26" s="17" t="str">
        <f aca="false">IFERROR(haverdata(Codes!$D$8,$A26),"")</f>
        <v/>
      </c>
      <c r="C26" s="18" t="str">
        <f aca="false">IFERROR(B26/B25-1,"")</f>
        <v/>
      </c>
      <c r="D26" s="18" t="str">
        <f aca="false">IFERROR(B26/B22-1,"")</f>
        <v/>
      </c>
      <c r="E26" s="19" t="str">
        <f aca="false">IFERROR(IF(B26="",IFERROR(GROWTH($B$8:$B$95,$A$8:$A$95,$A26),TREND($B$8:$B$95,$A$8:$A$95,$A26)),""),"")</f>
        <v/>
      </c>
      <c r="F26" s="19" t="str">
        <f aca="false">IFERROR(forecast.ets($A26,$B$8:$B$95,$A$8:$A$95,4,1,1),"")</f>
        <v/>
      </c>
      <c r="G26" s="19" t="str">
        <f aca="false">IFERROR(F26-forecast.ets.confint($A26,$B$8:$B$95,$A$8:$A$95,0.95,4,1,1),"")</f>
        <v/>
      </c>
      <c r="H26" s="19" t="str">
        <f aca="false">IFERROR(F26+forecast.ets.confint($A26,$B$8:$B$95,$A$8:$A$95,0.95,4,1,1),"")</f>
        <v/>
      </c>
      <c r="J26" s="20" t="n">
        <v>2026</v>
      </c>
      <c r="K26" s="19" t="str">
        <f aca="false">IFERROR(AVERAGEIFS($B$8:$B$95,$A$8:$A$95,"&gt;="&amp;DATE(J26,1,1),$A$8:$A$95,"&lt;="&amp;DATE(J26,12,31)),"")</f>
        <v/>
      </c>
      <c r="L26" s="18" t="str">
        <f aca="false">IFERROR(K26/K25-1,"")</f>
        <v/>
      </c>
      <c r="M26" s="19" t="str">
        <f aca="false">IFERROR(AVERAGEIFS($F$8:$F$95,$A$8:$A$95,"&gt;="&amp;DATE(J26,1,1),$A$8:$A$95,"&lt;="&amp;DATE(J26,12,31)),"")</f>
        <v/>
      </c>
    </row>
    <row r="27" customFormat="false" ht="15" hidden="false" customHeight="false" outlineLevel="0" collapsed="false">
      <c r="A27" s="21" t="n">
        <v>41183</v>
      </c>
      <c r="B27" s="22" t="str">
        <f aca="false">IFERROR(haverdata(Codes!$D$8,$A27),"")</f>
        <v/>
      </c>
      <c r="C27" s="23" t="str">
        <f aca="false">IFERROR(B27/B26-1,"")</f>
        <v/>
      </c>
      <c r="D27" s="23" t="str">
        <f aca="false">IFERROR(B27/B23-1,"")</f>
        <v/>
      </c>
      <c r="E27" s="24" t="str">
        <f aca="false">IFERROR(IF(B27="",IFERROR(GROWTH($B$8:$B$95,$A$8:$A$95,$A27),TREND($B$8:$B$95,$A$8:$A$95,$A27)),""),"")</f>
        <v/>
      </c>
      <c r="F27" s="24" t="str">
        <f aca="false">IFERROR(forecast.ets($A27,$B$8:$B$95,$A$8:$A$95,4,1,1),"")</f>
        <v/>
      </c>
      <c r="G27" s="24" t="str">
        <f aca="false">IFERROR(F27-forecast.ets.confint($A27,$B$8:$B$95,$A$8:$A$95,0.95,4,1,1),"")</f>
        <v/>
      </c>
      <c r="H27" s="24" t="str">
        <f aca="false">IFERROR(F27+forecast.ets.confint($A27,$B$8:$B$95,$A$8:$A$95,0.95,4,1,1),"")</f>
        <v/>
      </c>
      <c r="J27" s="25" t="n">
        <v>2027</v>
      </c>
      <c r="K27" s="24" t="str">
        <f aca="false">IFERROR(AVERAGEIFS($B$8:$B$95,$A$8:$A$95,"&gt;="&amp;DATE(J27,1,1),$A$8:$A$95,"&lt;="&amp;DATE(J27,12,31)),"")</f>
        <v/>
      </c>
      <c r="L27" s="23" t="str">
        <f aca="false">IFERROR(K27/K26-1,"")</f>
        <v/>
      </c>
      <c r="M27" s="24" t="str">
        <f aca="false">IFERROR(AVERAGEIFS($F$8:$F$95,$A$8:$A$95,"&gt;="&amp;DATE(J27,1,1),$A$8:$A$95,"&lt;="&amp;DATE(J27,12,31)),"")</f>
        <v/>
      </c>
    </row>
    <row r="28" customFormat="false" ht="15" hidden="false" customHeight="false" outlineLevel="0" collapsed="false">
      <c r="A28" s="16" t="n">
        <v>41275</v>
      </c>
      <c r="B28" s="17" t="str">
        <f aca="false">IFERROR(haverdata(Codes!$D$8,$A28),"")</f>
        <v/>
      </c>
      <c r="C28" s="18" t="str">
        <f aca="false">IFERROR(B28/B27-1,"")</f>
        <v/>
      </c>
      <c r="D28" s="18" t="str">
        <f aca="false">IFERROR(B28/B24-1,"")</f>
        <v/>
      </c>
      <c r="E28" s="19" t="str">
        <f aca="false">IFERROR(IF(B28="",IFERROR(GROWTH($B$8:$B$95,$A$8:$A$95,$A28),TREND($B$8:$B$95,$A$8:$A$95,$A28)),""),"")</f>
        <v/>
      </c>
      <c r="F28" s="19" t="str">
        <f aca="false">IFERROR(forecast.ets($A28,$B$8:$B$95,$A$8:$A$95,4,1,1),"")</f>
        <v/>
      </c>
      <c r="G28" s="19" t="str">
        <f aca="false">IFERROR(F28-forecast.ets.confint($A28,$B$8:$B$95,$A$8:$A$95,0.95,4,1,1),"")</f>
        <v/>
      </c>
      <c r="H28" s="19" t="str">
        <f aca="false">IFERROR(F28+forecast.ets.confint($A28,$B$8:$B$95,$A$8:$A$95,0.95,4,1,1),"")</f>
        <v/>
      </c>
      <c r="J28" s="20" t="n">
        <v>2028</v>
      </c>
      <c r="K28" s="19" t="str">
        <f aca="false">IFERROR(AVERAGEIFS($B$8:$B$95,$A$8:$A$95,"&gt;="&amp;DATE(J28,1,1),$A$8:$A$95,"&lt;="&amp;DATE(J28,12,31)),"")</f>
        <v/>
      </c>
      <c r="L28" s="18" t="str">
        <f aca="false">IFERROR(K28/K27-1,"")</f>
        <v/>
      </c>
      <c r="M28" s="19" t="str">
        <f aca="false">IFERROR(AVERAGEIFS($F$8:$F$95,$A$8:$A$95,"&gt;="&amp;DATE(J28,1,1),$A$8:$A$95,"&lt;="&amp;DATE(J28,12,31)),"")</f>
        <v/>
      </c>
    </row>
    <row r="29" customFormat="false" ht="15" hidden="false" customHeight="false" outlineLevel="0" collapsed="false">
      <c r="A29" s="21" t="n">
        <v>41365</v>
      </c>
      <c r="B29" s="22" t="str">
        <f aca="false">IFERROR(haverdata(Codes!$D$8,$A29),"")</f>
        <v/>
      </c>
      <c r="C29" s="23" t="str">
        <f aca="false">IFERROR(B29/B28-1,"")</f>
        <v/>
      </c>
      <c r="D29" s="23" t="str">
        <f aca="false">IFERROR(B29/B25-1,"")</f>
        <v/>
      </c>
      <c r="E29" s="24" t="str">
        <f aca="false">IFERROR(IF(B29="",IFERROR(GROWTH($B$8:$B$95,$A$8:$A$95,$A29),TREND($B$8:$B$95,$A$8:$A$95,$A29)),""),"")</f>
        <v/>
      </c>
      <c r="F29" s="24" t="str">
        <f aca="false">IFERROR(forecast.ets($A29,$B$8:$B$95,$A$8:$A$95,4,1,1),"")</f>
        <v/>
      </c>
      <c r="G29" s="24" t="str">
        <f aca="false">IFERROR(F29-forecast.ets.confint($A29,$B$8:$B$95,$A$8:$A$95,0.95,4,1,1),"")</f>
        <v/>
      </c>
      <c r="H29" s="24" t="str">
        <f aca="false">IFERROR(F29+forecast.ets.confint($A29,$B$8:$B$95,$A$8:$A$95,0.95,4,1,1),"")</f>
        <v/>
      </c>
      <c r="J29" s="25" t="n">
        <v>2029</v>
      </c>
      <c r="K29" s="24" t="str">
        <f aca="false">IFERROR(AVERAGEIFS($B$8:$B$95,$A$8:$A$95,"&gt;="&amp;DATE(J29,1,1),$A$8:$A$95,"&lt;="&amp;DATE(J29,12,31)),"")</f>
        <v/>
      </c>
      <c r="L29" s="23" t="str">
        <f aca="false">IFERROR(K29/K28-1,"")</f>
        <v/>
      </c>
      <c r="M29" s="24" t="str">
        <f aca="false">IFERROR(AVERAGEIFS($F$8:$F$95,$A$8:$A$95,"&gt;="&amp;DATE(J29,1,1),$A$8:$A$95,"&lt;="&amp;DATE(J29,12,31)),"")</f>
        <v/>
      </c>
    </row>
    <row r="30" customFormat="false" ht="15" hidden="false" customHeight="false" outlineLevel="0" collapsed="false">
      <c r="A30" s="16" t="n">
        <v>41456</v>
      </c>
      <c r="B30" s="17" t="str">
        <f aca="false">IFERROR(haverdata(Codes!$D$8,$A30),"")</f>
        <v/>
      </c>
      <c r="C30" s="18" t="str">
        <f aca="false">IFERROR(B30/B29-1,"")</f>
        <v/>
      </c>
      <c r="D30" s="18" t="str">
        <f aca="false">IFERROR(B30/B26-1,"")</f>
        <v/>
      </c>
      <c r="E30" s="19" t="str">
        <f aca="false">IFERROR(IF(B30="",IFERROR(GROWTH($B$8:$B$95,$A$8:$A$95,$A30),TREND($B$8:$B$95,$A$8:$A$95,$A30)),""),"")</f>
        <v/>
      </c>
      <c r="F30" s="19" t="str">
        <f aca="false">IFERROR(forecast.ets($A30,$B$8:$B$95,$A$8:$A$95,4,1,1),"")</f>
        <v/>
      </c>
      <c r="G30" s="19" t="str">
        <f aca="false">IFERROR(F30-forecast.ets.confint($A30,$B$8:$B$95,$A$8:$A$95,0.95,4,1,1),"")</f>
        <v/>
      </c>
      <c r="H30" s="19" t="str">
        <f aca="false">IFERROR(F30+forecast.ets.confint($A30,$B$8:$B$95,$A$8:$A$95,0.95,4,1,1),"")</f>
        <v/>
      </c>
    </row>
    <row r="31" customFormat="false" ht="15" hidden="false" customHeight="false" outlineLevel="0" collapsed="false">
      <c r="A31" s="21" t="n">
        <v>41548</v>
      </c>
      <c r="B31" s="22" t="str">
        <f aca="false">IFERROR(haverdata(Codes!$D$8,$A31),"")</f>
        <v/>
      </c>
      <c r="C31" s="23" t="str">
        <f aca="false">IFERROR(B31/B30-1,"")</f>
        <v/>
      </c>
      <c r="D31" s="23" t="str">
        <f aca="false">IFERROR(B31/B27-1,"")</f>
        <v/>
      </c>
      <c r="E31" s="24" t="str">
        <f aca="false">IFERROR(IF(B31="",IFERROR(GROWTH($B$8:$B$95,$A$8:$A$95,$A31),TREND($B$8:$B$95,$A$8:$A$95,$A31)),""),"")</f>
        <v/>
      </c>
      <c r="F31" s="24" t="str">
        <f aca="false">IFERROR(forecast.ets($A31,$B$8:$B$95,$A$8:$A$95,4,1,1),"")</f>
        <v/>
      </c>
      <c r="G31" s="24" t="str">
        <f aca="false">IFERROR(F31-forecast.ets.confint($A31,$B$8:$B$95,$A$8:$A$95,0.95,4,1,1),"")</f>
        <v/>
      </c>
      <c r="H31" s="24" t="str">
        <f aca="false">IFERROR(F31+forecast.ets.confint($A31,$B$8:$B$95,$A$8:$A$95,0.95,4,1,1),"")</f>
        <v/>
      </c>
    </row>
    <row r="32" customFormat="false" ht="15" hidden="false" customHeight="false" outlineLevel="0" collapsed="false">
      <c r="A32" s="16" t="n">
        <v>41640</v>
      </c>
      <c r="B32" s="17" t="str">
        <f aca="false">IFERROR(haverdata(Codes!$D$8,$A32),"")</f>
        <v/>
      </c>
      <c r="C32" s="18" t="str">
        <f aca="false">IFERROR(B32/B31-1,"")</f>
        <v/>
      </c>
      <c r="D32" s="18" t="str">
        <f aca="false">IFERROR(B32/B28-1,"")</f>
        <v/>
      </c>
      <c r="E32" s="19" t="str">
        <f aca="false">IFERROR(IF(B32="",IFERROR(GROWTH($B$8:$B$95,$A$8:$A$95,$A32),TREND($B$8:$B$95,$A$8:$A$95,$A32)),""),"")</f>
        <v/>
      </c>
      <c r="F32" s="19" t="str">
        <f aca="false">IFERROR(forecast.ets($A32,$B$8:$B$95,$A$8:$A$95,4,1,1),"")</f>
        <v/>
      </c>
      <c r="G32" s="19" t="str">
        <f aca="false">IFERROR(F32-forecast.ets.confint($A32,$B$8:$B$95,$A$8:$A$95,0.95,4,1,1),"")</f>
        <v/>
      </c>
      <c r="H32" s="19" t="str">
        <f aca="false">IFERROR(F32+forecast.ets.confint($A32,$B$8:$B$95,$A$8:$A$95,0.95,4,1,1),"")</f>
        <v/>
      </c>
    </row>
    <row r="33" customFormat="false" ht="15" hidden="false" customHeight="false" outlineLevel="0" collapsed="false">
      <c r="A33" s="21" t="n">
        <v>41730</v>
      </c>
      <c r="B33" s="22" t="str">
        <f aca="false">IFERROR(haverdata(Codes!$D$8,$A33),"")</f>
        <v/>
      </c>
      <c r="C33" s="23" t="str">
        <f aca="false">IFERROR(B33/B32-1,"")</f>
        <v/>
      </c>
      <c r="D33" s="23" t="str">
        <f aca="false">IFERROR(B33/B29-1,"")</f>
        <v/>
      </c>
      <c r="E33" s="24" t="str">
        <f aca="false">IFERROR(IF(B33="",IFERROR(GROWTH($B$8:$B$95,$A$8:$A$95,$A33),TREND($B$8:$B$95,$A$8:$A$95,$A33)),""),"")</f>
        <v/>
      </c>
      <c r="F33" s="24" t="str">
        <f aca="false">IFERROR(forecast.ets($A33,$B$8:$B$95,$A$8:$A$95,4,1,1),"")</f>
        <v/>
      </c>
      <c r="G33" s="24" t="str">
        <f aca="false">IFERROR(F33-forecast.ets.confint($A33,$B$8:$B$95,$A$8:$A$95,0.95,4,1,1),"")</f>
        <v/>
      </c>
      <c r="H33" s="24" t="str">
        <f aca="false">IFERROR(F33+forecast.ets.confint($A33,$B$8:$B$95,$A$8:$A$95,0.95,4,1,1),"")</f>
        <v/>
      </c>
    </row>
    <row r="34" customFormat="false" ht="15" hidden="false" customHeight="false" outlineLevel="0" collapsed="false">
      <c r="A34" s="16" t="n">
        <v>41821</v>
      </c>
      <c r="B34" s="17" t="str">
        <f aca="false">IFERROR(haverdata(Codes!$D$8,$A34),"")</f>
        <v/>
      </c>
      <c r="C34" s="18" t="str">
        <f aca="false">IFERROR(B34/B33-1,"")</f>
        <v/>
      </c>
      <c r="D34" s="18" t="str">
        <f aca="false">IFERROR(B34/B30-1,"")</f>
        <v/>
      </c>
      <c r="E34" s="19" t="str">
        <f aca="false">IFERROR(IF(B34="",IFERROR(GROWTH($B$8:$B$95,$A$8:$A$95,$A34),TREND($B$8:$B$95,$A$8:$A$95,$A34)),""),"")</f>
        <v/>
      </c>
      <c r="F34" s="19" t="str">
        <f aca="false">IFERROR(forecast.ets($A34,$B$8:$B$95,$A$8:$A$95,4,1,1),"")</f>
        <v/>
      </c>
      <c r="G34" s="19" t="str">
        <f aca="false">IFERROR(F34-forecast.ets.confint($A34,$B$8:$B$95,$A$8:$A$95,0.95,4,1,1),"")</f>
        <v/>
      </c>
      <c r="H34" s="19" t="str">
        <f aca="false">IFERROR(F34+forecast.ets.confint($A34,$B$8:$B$95,$A$8:$A$95,0.95,4,1,1),"")</f>
        <v/>
      </c>
    </row>
    <row r="35" customFormat="false" ht="15" hidden="false" customHeight="false" outlineLevel="0" collapsed="false">
      <c r="A35" s="21" t="n">
        <v>41913</v>
      </c>
      <c r="B35" s="22" t="str">
        <f aca="false">IFERROR(haverdata(Codes!$D$8,$A35),"")</f>
        <v/>
      </c>
      <c r="C35" s="23" t="str">
        <f aca="false">IFERROR(B35/B34-1,"")</f>
        <v/>
      </c>
      <c r="D35" s="23" t="str">
        <f aca="false">IFERROR(B35/B31-1,"")</f>
        <v/>
      </c>
      <c r="E35" s="24" t="str">
        <f aca="false">IFERROR(IF(B35="",IFERROR(GROWTH($B$8:$B$95,$A$8:$A$95,$A35),TREND($B$8:$B$95,$A$8:$A$95,$A35)),""),"")</f>
        <v/>
      </c>
      <c r="F35" s="24" t="str">
        <f aca="false">IFERROR(forecast.ets($A35,$B$8:$B$95,$A$8:$A$95,4,1,1),"")</f>
        <v/>
      </c>
      <c r="G35" s="24" t="str">
        <f aca="false">IFERROR(F35-forecast.ets.confint($A35,$B$8:$B$95,$A$8:$A$95,0.95,4,1,1),"")</f>
        <v/>
      </c>
      <c r="H35" s="24" t="str">
        <f aca="false">IFERROR(F35+forecast.ets.confint($A35,$B$8:$B$95,$A$8:$A$95,0.95,4,1,1),"")</f>
        <v/>
      </c>
    </row>
    <row r="36" customFormat="false" ht="15" hidden="false" customHeight="false" outlineLevel="0" collapsed="false">
      <c r="A36" s="16" t="n">
        <v>42005</v>
      </c>
      <c r="B36" s="17" t="str">
        <f aca="false">IFERROR(haverdata(Codes!$D$8,$A36),"")</f>
        <v/>
      </c>
      <c r="C36" s="18" t="str">
        <f aca="false">IFERROR(B36/B35-1,"")</f>
        <v/>
      </c>
      <c r="D36" s="18" t="str">
        <f aca="false">IFERROR(B36/B32-1,"")</f>
        <v/>
      </c>
      <c r="E36" s="19" t="str">
        <f aca="false">IFERROR(IF(B36="",IFERROR(GROWTH($B$8:$B$95,$A$8:$A$95,$A36),TREND($B$8:$B$95,$A$8:$A$95,$A36)),""),"")</f>
        <v/>
      </c>
      <c r="F36" s="19" t="str">
        <f aca="false">IFERROR(forecast.ets($A36,$B$8:$B$95,$A$8:$A$95,4,1,1),"")</f>
        <v/>
      </c>
      <c r="G36" s="19" t="str">
        <f aca="false">IFERROR(F36-forecast.ets.confint($A36,$B$8:$B$95,$A$8:$A$95,0.95,4,1,1),"")</f>
        <v/>
      </c>
      <c r="H36" s="19" t="str">
        <f aca="false">IFERROR(F36+forecast.ets.confint($A36,$B$8:$B$95,$A$8:$A$95,0.95,4,1,1),"")</f>
        <v/>
      </c>
    </row>
    <row r="37" customFormat="false" ht="15" hidden="false" customHeight="false" outlineLevel="0" collapsed="false">
      <c r="A37" s="21" t="n">
        <v>42095</v>
      </c>
      <c r="B37" s="22" t="str">
        <f aca="false">IFERROR(haverdata(Codes!$D$8,$A37),"")</f>
        <v/>
      </c>
      <c r="C37" s="23" t="str">
        <f aca="false">IFERROR(B37/B36-1,"")</f>
        <v/>
      </c>
      <c r="D37" s="23" t="str">
        <f aca="false">IFERROR(B37/B33-1,"")</f>
        <v/>
      </c>
      <c r="E37" s="24" t="str">
        <f aca="false">IFERROR(IF(B37="",IFERROR(GROWTH($B$8:$B$95,$A$8:$A$95,$A37),TREND($B$8:$B$95,$A$8:$A$95,$A37)),""),"")</f>
        <v/>
      </c>
      <c r="F37" s="24" t="str">
        <f aca="false">IFERROR(forecast.ets($A37,$B$8:$B$95,$A$8:$A$95,4,1,1),"")</f>
        <v/>
      </c>
      <c r="G37" s="24" t="str">
        <f aca="false">IFERROR(F37-forecast.ets.confint($A37,$B$8:$B$95,$A$8:$A$95,0.95,4,1,1),"")</f>
        <v/>
      </c>
      <c r="H37" s="24" t="str">
        <f aca="false">IFERROR(F37+forecast.ets.confint($A37,$B$8:$B$95,$A$8:$A$95,0.95,4,1,1),"")</f>
        <v/>
      </c>
    </row>
    <row r="38" customFormat="false" ht="15" hidden="false" customHeight="false" outlineLevel="0" collapsed="false">
      <c r="A38" s="16" t="n">
        <v>42186</v>
      </c>
      <c r="B38" s="17" t="str">
        <f aca="false">IFERROR(haverdata(Codes!$D$8,$A38),"")</f>
        <v/>
      </c>
      <c r="C38" s="18" t="str">
        <f aca="false">IFERROR(B38/B37-1,"")</f>
        <v/>
      </c>
      <c r="D38" s="18" t="str">
        <f aca="false">IFERROR(B38/B34-1,"")</f>
        <v/>
      </c>
      <c r="E38" s="19" t="str">
        <f aca="false">IFERROR(IF(B38="",IFERROR(GROWTH($B$8:$B$95,$A$8:$A$95,$A38),TREND($B$8:$B$95,$A$8:$A$95,$A38)),""),"")</f>
        <v/>
      </c>
      <c r="F38" s="19" t="str">
        <f aca="false">IFERROR(forecast.ets($A38,$B$8:$B$95,$A$8:$A$95,4,1,1),"")</f>
        <v/>
      </c>
      <c r="G38" s="19" t="str">
        <f aca="false">IFERROR(F38-forecast.ets.confint($A38,$B$8:$B$95,$A$8:$A$95,0.95,4,1,1),"")</f>
        <v/>
      </c>
      <c r="H38" s="19" t="str">
        <f aca="false">IFERROR(F38+forecast.ets.confint($A38,$B$8:$B$95,$A$8:$A$95,0.95,4,1,1),"")</f>
        <v/>
      </c>
    </row>
    <row r="39" customFormat="false" ht="15" hidden="false" customHeight="false" outlineLevel="0" collapsed="false">
      <c r="A39" s="21" t="n">
        <v>42278</v>
      </c>
      <c r="B39" s="22" t="str">
        <f aca="false">IFERROR(haverdata(Codes!$D$8,$A39),"")</f>
        <v/>
      </c>
      <c r="C39" s="23" t="str">
        <f aca="false">IFERROR(B39/B38-1,"")</f>
        <v/>
      </c>
      <c r="D39" s="23" t="str">
        <f aca="false">IFERROR(B39/B35-1,"")</f>
        <v/>
      </c>
      <c r="E39" s="24" t="str">
        <f aca="false">IFERROR(IF(B39="",IFERROR(GROWTH($B$8:$B$95,$A$8:$A$95,$A39),TREND($B$8:$B$95,$A$8:$A$95,$A39)),""),"")</f>
        <v/>
      </c>
      <c r="F39" s="24" t="str">
        <f aca="false">IFERROR(forecast.ets($A39,$B$8:$B$95,$A$8:$A$95,4,1,1),"")</f>
        <v/>
      </c>
      <c r="G39" s="24" t="str">
        <f aca="false">IFERROR(F39-forecast.ets.confint($A39,$B$8:$B$95,$A$8:$A$95,0.95,4,1,1),"")</f>
        <v/>
      </c>
      <c r="H39" s="24" t="str">
        <f aca="false">IFERROR(F39+forecast.ets.confint($A39,$B$8:$B$95,$A$8:$A$95,0.95,4,1,1),"")</f>
        <v/>
      </c>
    </row>
    <row r="40" customFormat="false" ht="15" hidden="false" customHeight="false" outlineLevel="0" collapsed="false">
      <c r="A40" s="16" t="n">
        <v>42370</v>
      </c>
      <c r="B40" s="17" t="str">
        <f aca="false">IFERROR(haverdata(Codes!$D$8,$A40),"")</f>
        <v/>
      </c>
      <c r="C40" s="18" t="str">
        <f aca="false">IFERROR(B40/B39-1,"")</f>
        <v/>
      </c>
      <c r="D40" s="18" t="str">
        <f aca="false">IFERROR(B40/B36-1,"")</f>
        <v/>
      </c>
      <c r="E40" s="19" t="str">
        <f aca="false">IFERROR(IF(B40="",IFERROR(GROWTH($B$8:$B$95,$A$8:$A$95,$A40),TREND($B$8:$B$95,$A$8:$A$95,$A40)),""),"")</f>
        <v/>
      </c>
      <c r="F40" s="19" t="str">
        <f aca="false">IFERROR(forecast.ets($A40,$B$8:$B$95,$A$8:$A$95,4,1,1),"")</f>
        <v/>
      </c>
      <c r="G40" s="19" t="str">
        <f aca="false">IFERROR(F40-forecast.ets.confint($A40,$B$8:$B$95,$A$8:$A$95,0.95,4,1,1),"")</f>
        <v/>
      </c>
      <c r="H40" s="19" t="str">
        <f aca="false">IFERROR(F40+forecast.ets.confint($A40,$B$8:$B$95,$A$8:$A$95,0.95,4,1,1),"")</f>
        <v/>
      </c>
    </row>
    <row r="41" customFormat="false" ht="15" hidden="false" customHeight="false" outlineLevel="0" collapsed="false">
      <c r="A41" s="21" t="n">
        <v>42461</v>
      </c>
      <c r="B41" s="22" t="str">
        <f aca="false">IFERROR(haverdata(Codes!$D$8,$A41),"")</f>
        <v/>
      </c>
      <c r="C41" s="23" t="str">
        <f aca="false">IFERROR(B41/B40-1,"")</f>
        <v/>
      </c>
      <c r="D41" s="23" t="str">
        <f aca="false">IFERROR(B41/B37-1,"")</f>
        <v/>
      </c>
      <c r="E41" s="24" t="str">
        <f aca="false">IFERROR(IF(B41="",IFERROR(GROWTH($B$8:$B$95,$A$8:$A$95,$A41),TREND($B$8:$B$95,$A$8:$A$95,$A41)),""),"")</f>
        <v/>
      </c>
      <c r="F41" s="24" t="str">
        <f aca="false">IFERROR(forecast.ets($A41,$B$8:$B$95,$A$8:$A$95,4,1,1),"")</f>
        <v/>
      </c>
      <c r="G41" s="24" t="str">
        <f aca="false">IFERROR(F41-forecast.ets.confint($A41,$B$8:$B$95,$A$8:$A$95,0.95,4,1,1),"")</f>
        <v/>
      </c>
      <c r="H41" s="24" t="str">
        <f aca="false">IFERROR(F41+forecast.ets.confint($A41,$B$8:$B$95,$A$8:$A$95,0.95,4,1,1),"")</f>
        <v/>
      </c>
    </row>
    <row r="42" customFormat="false" ht="15" hidden="false" customHeight="false" outlineLevel="0" collapsed="false">
      <c r="A42" s="16" t="n">
        <v>42552</v>
      </c>
      <c r="B42" s="17" t="str">
        <f aca="false">IFERROR(haverdata(Codes!$D$8,$A42),"")</f>
        <v/>
      </c>
      <c r="C42" s="18" t="str">
        <f aca="false">IFERROR(B42/B41-1,"")</f>
        <v/>
      </c>
      <c r="D42" s="18" t="str">
        <f aca="false">IFERROR(B42/B38-1,"")</f>
        <v/>
      </c>
      <c r="E42" s="19" t="str">
        <f aca="false">IFERROR(IF(B42="",IFERROR(GROWTH($B$8:$B$95,$A$8:$A$95,$A42),TREND($B$8:$B$95,$A$8:$A$95,$A42)),""),"")</f>
        <v/>
      </c>
      <c r="F42" s="19" t="str">
        <f aca="false">IFERROR(forecast.ets($A42,$B$8:$B$95,$A$8:$A$95,4,1,1),"")</f>
        <v/>
      </c>
      <c r="G42" s="19" t="str">
        <f aca="false">IFERROR(F42-forecast.ets.confint($A42,$B$8:$B$95,$A$8:$A$95,0.95,4,1,1),"")</f>
        <v/>
      </c>
      <c r="H42" s="19" t="str">
        <f aca="false">IFERROR(F42+forecast.ets.confint($A42,$B$8:$B$95,$A$8:$A$95,0.95,4,1,1),"")</f>
        <v/>
      </c>
    </row>
    <row r="43" customFormat="false" ht="15" hidden="false" customHeight="false" outlineLevel="0" collapsed="false">
      <c r="A43" s="21" t="n">
        <v>42644</v>
      </c>
      <c r="B43" s="22" t="str">
        <f aca="false">IFERROR(haverdata(Codes!$D$8,$A43),"")</f>
        <v/>
      </c>
      <c r="C43" s="23" t="str">
        <f aca="false">IFERROR(B43/B42-1,"")</f>
        <v/>
      </c>
      <c r="D43" s="23" t="str">
        <f aca="false">IFERROR(B43/B39-1,"")</f>
        <v/>
      </c>
      <c r="E43" s="24" t="str">
        <f aca="false">IFERROR(IF(B43="",IFERROR(GROWTH($B$8:$B$95,$A$8:$A$95,$A43),TREND($B$8:$B$95,$A$8:$A$95,$A43)),""),"")</f>
        <v/>
      </c>
      <c r="F43" s="24" t="str">
        <f aca="false">IFERROR(forecast.ets($A43,$B$8:$B$95,$A$8:$A$95,4,1,1),"")</f>
        <v/>
      </c>
      <c r="G43" s="24" t="str">
        <f aca="false">IFERROR(F43-forecast.ets.confint($A43,$B$8:$B$95,$A$8:$A$95,0.95,4,1,1),"")</f>
        <v/>
      </c>
      <c r="H43" s="24" t="str">
        <f aca="false">IFERROR(F43+forecast.ets.confint($A43,$B$8:$B$95,$A$8:$A$95,0.95,4,1,1),"")</f>
        <v/>
      </c>
    </row>
    <row r="44" customFormat="false" ht="15" hidden="false" customHeight="false" outlineLevel="0" collapsed="false">
      <c r="A44" s="16" t="n">
        <v>42736</v>
      </c>
      <c r="B44" s="17" t="str">
        <f aca="false">IFERROR(haverdata(Codes!$D$8,$A44),"")</f>
        <v/>
      </c>
      <c r="C44" s="18" t="str">
        <f aca="false">IFERROR(B44/B43-1,"")</f>
        <v/>
      </c>
      <c r="D44" s="18" t="str">
        <f aca="false">IFERROR(B44/B40-1,"")</f>
        <v/>
      </c>
      <c r="E44" s="19" t="str">
        <f aca="false">IFERROR(IF(B44="",IFERROR(GROWTH($B$8:$B$95,$A$8:$A$95,$A44),TREND($B$8:$B$95,$A$8:$A$95,$A44)),""),"")</f>
        <v/>
      </c>
      <c r="F44" s="19" t="str">
        <f aca="false">IFERROR(forecast.ets($A44,$B$8:$B$95,$A$8:$A$95,4,1,1),"")</f>
        <v/>
      </c>
      <c r="G44" s="19" t="str">
        <f aca="false">IFERROR(F44-forecast.ets.confint($A44,$B$8:$B$95,$A$8:$A$95,0.95,4,1,1),"")</f>
        <v/>
      </c>
      <c r="H44" s="19" t="str">
        <f aca="false">IFERROR(F44+forecast.ets.confint($A44,$B$8:$B$95,$A$8:$A$95,0.95,4,1,1),"")</f>
        <v/>
      </c>
    </row>
    <row r="45" customFormat="false" ht="15" hidden="false" customHeight="false" outlineLevel="0" collapsed="false">
      <c r="A45" s="21" t="n">
        <v>42826</v>
      </c>
      <c r="B45" s="22" t="str">
        <f aca="false">IFERROR(haverdata(Codes!$D$8,$A45),"")</f>
        <v/>
      </c>
      <c r="C45" s="23" t="str">
        <f aca="false">IFERROR(B45/B44-1,"")</f>
        <v/>
      </c>
      <c r="D45" s="23" t="str">
        <f aca="false">IFERROR(B45/B41-1,"")</f>
        <v/>
      </c>
      <c r="E45" s="24" t="str">
        <f aca="false">IFERROR(IF(B45="",IFERROR(GROWTH($B$8:$B$95,$A$8:$A$95,$A45),TREND($B$8:$B$95,$A$8:$A$95,$A45)),""),"")</f>
        <v/>
      </c>
      <c r="F45" s="24" t="str">
        <f aca="false">IFERROR(forecast.ets($A45,$B$8:$B$95,$A$8:$A$95,4,1,1),"")</f>
        <v/>
      </c>
      <c r="G45" s="24" t="str">
        <f aca="false">IFERROR(F45-forecast.ets.confint($A45,$B$8:$B$95,$A$8:$A$95,0.95,4,1,1),"")</f>
        <v/>
      </c>
      <c r="H45" s="24" t="str">
        <f aca="false">IFERROR(F45+forecast.ets.confint($A45,$B$8:$B$95,$A$8:$A$95,0.95,4,1,1),"")</f>
        <v/>
      </c>
    </row>
    <row r="46" customFormat="false" ht="15" hidden="false" customHeight="false" outlineLevel="0" collapsed="false">
      <c r="A46" s="16" t="n">
        <v>42917</v>
      </c>
      <c r="B46" s="17" t="str">
        <f aca="false">IFERROR(haverdata(Codes!$D$8,$A46),"")</f>
        <v/>
      </c>
      <c r="C46" s="18" t="str">
        <f aca="false">IFERROR(B46/B45-1,"")</f>
        <v/>
      </c>
      <c r="D46" s="18" t="str">
        <f aca="false">IFERROR(B46/B42-1,"")</f>
        <v/>
      </c>
      <c r="E46" s="19" t="str">
        <f aca="false">IFERROR(IF(B46="",IFERROR(GROWTH($B$8:$B$95,$A$8:$A$95,$A46),TREND($B$8:$B$95,$A$8:$A$95,$A46)),""),"")</f>
        <v/>
      </c>
      <c r="F46" s="19" t="str">
        <f aca="false">IFERROR(forecast.ets($A46,$B$8:$B$95,$A$8:$A$95,4,1,1),"")</f>
        <v/>
      </c>
      <c r="G46" s="19" t="str">
        <f aca="false">IFERROR(F46-forecast.ets.confint($A46,$B$8:$B$95,$A$8:$A$95,0.95,4,1,1),"")</f>
        <v/>
      </c>
      <c r="H46" s="19" t="str">
        <f aca="false">IFERROR(F46+forecast.ets.confint($A46,$B$8:$B$95,$A$8:$A$95,0.95,4,1,1),"")</f>
        <v/>
      </c>
    </row>
    <row r="47" customFormat="false" ht="15" hidden="false" customHeight="false" outlineLevel="0" collapsed="false">
      <c r="A47" s="21" t="n">
        <v>43009</v>
      </c>
      <c r="B47" s="22" t="str">
        <f aca="false">IFERROR(haverdata(Codes!$D$8,$A47),"")</f>
        <v/>
      </c>
      <c r="C47" s="23" t="str">
        <f aca="false">IFERROR(B47/B46-1,"")</f>
        <v/>
      </c>
      <c r="D47" s="23" t="str">
        <f aca="false">IFERROR(B47/B43-1,"")</f>
        <v/>
      </c>
      <c r="E47" s="24" t="str">
        <f aca="false">IFERROR(IF(B47="",IFERROR(GROWTH($B$8:$B$95,$A$8:$A$95,$A47),TREND($B$8:$B$95,$A$8:$A$95,$A47)),""),"")</f>
        <v/>
      </c>
      <c r="F47" s="24" t="str">
        <f aca="false">IFERROR(forecast.ets($A47,$B$8:$B$95,$A$8:$A$95,4,1,1),"")</f>
        <v/>
      </c>
      <c r="G47" s="24" t="str">
        <f aca="false">IFERROR(F47-forecast.ets.confint($A47,$B$8:$B$95,$A$8:$A$95,0.95,4,1,1),"")</f>
        <v/>
      </c>
      <c r="H47" s="24" t="str">
        <f aca="false">IFERROR(F47+forecast.ets.confint($A47,$B$8:$B$95,$A$8:$A$95,0.95,4,1,1),"")</f>
        <v/>
      </c>
    </row>
    <row r="48" customFormat="false" ht="15" hidden="false" customHeight="false" outlineLevel="0" collapsed="false">
      <c r="A48" s="16" t="n">
        <v>43101</v>
      </c>
      <c r="B48" s="17" t="str">
        <f aca="false">IFERROR(haverdata(Codes!$D$8,$A48),"")</f>
        <v/>
      </c>
      <c r="C48" s="18" t="str">
        <f aca="false">IFERROR(B48/B47-1,"")</f>
        <v/>
      </c>
      <c r="D48" s="18" t="str">
        <f aca="false">IFERROR(B48/B44-1,"")</f>
        <v/>
      </c>
      <c r="E48" s="19" t="str">
        <f aca="false">IFERROR(IF(B48="",IFERROR(GROWTH($B$8:$B$95,$A$8:$A$95,$A48),TREND($B$8:$B$95,$A$8:$A$95,$A48)),""),"")</f>
        <v/>
      </c>
      <c r="F48" s="19" t="str">
        <f aca="false">IFERROR(forecast.ets($A48,$B$8:$B$95,$A$8:$A$95,4,1,1),"")</f>
        <v/>
      </c>
      <c r="G48" s="19" t="str">
        <f aca="false">IFERROR(F48-forecast.ets.confint($A48,$B$8:$B$95,$A$8:$A$95,0.95,4,1,1),"")</f>
        <v/>
      </c>
      <c r="H48" s="19" t="str">
        <f aca="false">IFERROR(F48+forecast.ets.confint($A48,$B$8:$B$95,$A$8:$A$95,0.95,4,1,1),"")</f>
        <v/>
      </c>
    </row>
    <row r="49" customFormat="false" ht="15" hidden="false" customHeight="false" outlineLevel="0" collapsed="false">
      <c r="A49" s="21" t="n">
        <v>43191</v>
      </c>
      <c r="B49" s="22" t="str">
        <f aca="false">IFERROR(haverdata(Codes!$D$8,$A49),"")</f>
        <v/>
      </c>
      <c r="C49" s="23" t="str">
        <f aca="false">IFERROR(B49/B48-1,"")</f>
        <v/>
      </c>
      <c r="D49" s="23" t="str">
        <f aca="false">IFERROR(B49/B45-1,"")</f>
        <v/>
      </c>
      <c r="E49" s="24" t="str">
        <f aca="false">IFERROR(IF(B49="",IFERROR(GROWTH($B$8:$B$95,$A$8:$A$95,$A49),TREND($B$8:$B$95,$A$8:$A$95,$A49)),""),"")</f>
        <v/>
      </c>
      <c r="F49" s="24" t="str">
        <f aca="false">IFERROR(forecast.ets($A49,$B$8:$B$95,$A$8:$A$95,4,1,1),"")</f>
        <v/>
      </c>
      <c r="G49" s="24" t="str">
        <f aca="false">IFERROR(F49-forecast.ets.confint($A49,$B$8:$B$95,$A$8:$A$95,0.95,4,1,1),"")</f>
        <v/>
      </c>
      <c r="H49" s="24" t="str">
        <f aca="false">IFERROR(F49+forecast.ets.confint($A49,$B$8:$B$95,$A$8:$A$95,0.95,4,1,1),"")</f>
        <v/>
      </c>
    </row>
    <row r="50" customFormat="false" ht="15" hidden="false" customHeight="false" outlineLevel="0" collapsed="false">
      <c r="A50" s="16" t="n">
        <v>43282</v>
      </c>
      <c r="B50" s="17" t="str">
        <f aca="false">IFERROR(haverdata(Codes!$D$8,$A50),"")</f>
        <v/>
      </c>
      <c r="C50" s="18" t="str">
        <f aca="false">IFERROR(B50/B49-1,"")</f>
        <v/>
      </c>
      <c r="D50" s="18" t="str">
        <f aca="false">IFERROR(B50/B46-1,"")</f>
        <v/>
      </c>
      <c r="E50" s="19" t="str">
        <f aca="false">IFERROR(IF(B50="",IFERROR(GROWTH($B$8:$B$95,$A$8:$A$95,$A50),TREND($B$8:$B$95,$A$8:$A$95,$A50)),""),"")</f>
        <v/>
      </c>
      <c r="F50" s="19" t="str">
        <f aca="false">IFERROR(forecast.ets($A50,$B$8:$B$95,$A$8:$A$95,4,1,1),"")</f>
        <v/>
      </c>
      <c r="G50" s="19" t="str">
        <f aca="false">IFERROR(F50-forecast.ets.confint($A50,$B$8:$B$95,$A$8:$A$95,0.95,4,1,1),"")</f>
        <v/>
      </c>
      <c r="H50" s="19" t="str">
        <f aca="false">IFERROR(F50+forecast.ets.confint($A50,$B$8:$B$95,$A$8:$A$95,0.95,4,1,1),"")</f>
        <v/>
      </c>
    </row>
    <row r="51" customFormat="false" ht="15" hidden="false" customHeight="false" outlineLevel="0" collapsed="false">
      <c r="A51" s="21" t="n">
        <v>43374</v>
      </c>
      <c r="B51" s="22" t="str">
        <f aca="false">IFERROR(haverdata(Codes!$D$8,$A51),"")</f>
        <v/>
      </c>
      <c r="C51" s="23" t="str">
        <f aca="false">IFERROR(B51/B50-1,"")</f>
        <v/>
      </c>
      <c r="D51" s="23" t="str">
        <f aca="false">IFERROR(B51/B47-1,"")</f>
        <v/>
      </c>
      <c r="E51" s="24" t="str">
        <f aca="false">IFERROR(IF(B51="",IFERROR(GROWTH($B$8:$B$95,$A$8:$A$95,$A51),TREND($B$8:$B$95,$A$8:$A$95,$A51)),""),"")</f>
        <v/>
      </c>
      <c r="F51" s="24" t="str">
        <f aca="false">IFERROR(forecast.ets($A51,$B$8:$B$95,$A$8:$A$95,4,1,1),"")</f>
        <v/>
      </c>
      <c r="G51" s="24" t="str">
        <f aca="false">IFERROR(F51-forecast.ets.confint($A51,$B$8:$B$95,$A$8:$A$95,0.95,4,1,1),"")</f>
        <v/>
      </c>
      <c r="H51" s="24" t="str">
        <f aca="false">IFERROR(F51+forecast.ets.confint($A51,$B$8:$B$95,$A$8:$A$95,0.95,4,1,1),"")</f>
        <v/>
      </c>
    </row>
    <row r="52" customFormat="false" ht="15" hidden="false" customHeight="false" outlineLevel="0" collapsed="false">
      <c r="A52" s="16" t="n">
        <v>43466</v>
      </c>
      <c r="B52" s="17" t="str">
        <f aca="false">IFERROR(haverdata(Codes!$D$8,$A52),"")</f>
        <v/>
      </c>
      <c r="C52" s="18" t="str">
        <f aca="false">IFERROR(B52/B51-1,"")</f>
        <v/>
      </c>
      <c r="D52" s="18" t="str">
        <f aca="false">IFERROR(B52/B48-1,"")</f>
        <v/>
      </c>
      <c r="E52" s="19" t="str">
        <f aca="false">IFERROR(IF(B52="",IFERROR(GROWTH($B$8:$B$95,$A$8:$A$95,$A52),TREND($B$8:$B$95,$A$8:$A$95,$A52)),""),"")</f>
        <v/>
      </c>
      <c r="F52" s="19" t="str">
        <f aca="false">IFERROR(forecast.ets($A52,$B$8:$B$95,$A$8:$A$95,4,1,1),"")</f>
        <v/>
      </c>
      <c r="G52" s="19" t="str">
        <f aca="false">IFERROR(F52-forecast.ets.confint($A52,$B$8:$B$95,$A$8:$A$95,0.95,4,1,1),"")</f>
        <v/>
      </c>
      <c r="H52" s="19" t="str">
        <f aca="false">IFERROR(F52+forecast.ets.confint($A52,$B$8:$B$95,$A$8:$A$95,0.95,4,1,1),"")</f>
        <v/>
      </c>
    </row>
    <row r="53" customFormat="false" ht="15" hidden="false" customHeight="false" outlineLevel="0" collapsed="false">
      <c r="A53" s="21" t="n">
        <v>43556</v>
      </c>
      <c r="B53" s="22" t="str">
        <f aca="false">IFERROR(haverdata(Codes!$D$8,$A53),"")</f>
        <v/>
      </c>
      <c r="C53" s="23" t="str">
        <f aca="false">IFERROR(B53/B52-1,"")</f>
        <v/>
      </c>
      <c r="D53" s="23" t="str">
        <f aca="false">IFERROR(B53/B49-1,"")</f>
        <v/>
      </c>
      <c r="E53" s="24" t="str">
        <f aca="false">IFERROR(IF(B53="",IFERROR(GROWTH($B$8:$B$95,$A$8:$A$95,$A53),TREND($B$8:$B$95,$A$8:$A$95,$A53)),""),"")</f>
        <v/>
      </c>
      <c r="F53" s="24" t="str">
        <f aca="false">IFERROR(forecast.ets($A53,$B$8:$B$95,$A$8:$A$95,4,1,1),"")</f>
        <v/>
      </c>
      <c r="G53" s="24" t="str">
        <f aca="false">IFERROR(F53-forecast.ets.confint($A53,$B$8:$B$95,$A$8:$A$95,0.95,4,1,1),"")</f>
        <v/>
      </c>
      <c r="H53" s="24" t="str">
        <f aca="false">IFERROR(F53+forecast.ets.confint($A53,$B$8:$B$95,$A$8:$A$95,0.95,4,1,1),"")</f>
        <v/>
      </c>
    </row>
    <row r="54" customFormat="false" ht="15" hidden="false" customHeight="false" outlineLevel="0" collapsed="false">
      <c r="A54" s="16" t="n">
        <v>43647</v>
      </c>
      <c r="B54" s="17" t="str">
        <f aca="false">IFERROR(haverdata(Codes!$D$8,$A54),"")</f>
        <v/>
      </c>
      <c r="C54" s="18" t="str">
        <f aca="false">IFERROR(B54/B53-1,"")</f>
        <v/>
      </c>
      <c r="D54" s="18" t="str">
        <f aca="false">IFERROR(B54/B50-1,"")</f>
        <v/>
      </c>
      <c r="E54" s="19" t="str">
        <f aca="false">IFERROR(IF(B54="",IFERROR(GROWTH($B$8:$B$95,$A$8:$A$95,$A54),TREND($B$8:$B$95,$A$8:$A$95,$A54)),""),"")</f>
        <v/>
      </c>
      <c r="F54" s="19" t="str">
        <f aca="false">IFERROR(forecast.ets($A54,$B$8:$B$95,$A$8:$A$95,4,1,1),"")</f>
        <v/>
      </c>
      <c r="G54" s="19" t="str">
        <f aca="false">IFERROR(F54-forecast.ets.confint($A54,$B$8:$B$95,$A$8:$A$95,0.95,4,1,1),"")</f>
        <v/>
      </c>
      <c r="H54" s="19" t="str">
        <f aca="false">IFERROR(F54+forecast.ets.confint($A54,$B$8:$B$95,$A$8:$A$95,0.95,4,1,1),"")</f>
        <v/>
      </c>
    </row>
    <row r="55" customFormat="false" ht="15" hidden="false" customHeight="false" outlineLevel="0" collapsed="false">
      <c r="A55" s="21" t="n">
        <v>43739</v>
      </c>
      <c r="B55" s="22" t="str">
        <f aca="false">IFERROR(haverdata(Codes!$D$8,$A55),"")</f>
        <v/>
      </c>
      <c r="C55" s="23" t="str">
        <f aca="false">IFERROR(B55/B54-1,"")</f>
        <v/>
      </c>
      <c r="D55" s="23" t="str">
        <f aca="false">IFERROR(B55/B51-1,"")</f>
        <v/>
      </c>
      <c r="E55" s="24" t="str">
        <f aca="false">IFERROR(IF(B55="",IFERROR(GROWTH($B$8:$B$95,$A$8:$A$95,$A55),TREND($B$8:$B$95,$A$8:$A$95,$A55)),""),"")</f>
        <v/>
      </c>
      <c r="F55" s="24" t="str">
        <f aca="false">IFERROR(forecast.ets($A55,$B$8:$B$95,$A$8:$A$95,4,1,1),"")</f>
        <v/>
      </c>
      <c r="G55" s="24" t="str">
        <f aca="false">IFERROR(F55-forecast.ets.confint($A55,$B$8:$B$95,$A$8:$A$95,0.95,4,1,1),"")</f>
        <v/>
      </c>
      <c r="H55" s="24" t="str">
        <f aca="false">IFERROR(F55+forecast.ets.confint($A55,$B$8:$B$95,$A$8:$A$95,0.95,4,1,1),"")</f>
        <v/>
      </c>
    </row>
    <row r="56" customFormat="false" ht="15" hidden="false" customHeight="false" outlineLevel="0" collapsed="false">
      <c r="A56" s="16" t="n">
        <v>43831</v>
      </c>
      <c r="B56" s="17" t="str">
        <f aca="false">IFERROR(haverdata(Codes!$D$8,$A56),"")</f>
        <v/>
      </c>
      <c r="C56" s="18" t="str">
        <f aca="false">IFERROR(B56/B55-1,"")</f>
        <v/>
      </c>
      <c r="D56" s="18" t="str">
        <f aca="false">IFERROR(B56/B52-1,"")</f>
        <v/>
      </c>
      <c r="E56" s="19" t="str">
        <f aca="false">IFERROR(IF(B56="",IFERROR(GROWTH($B$8:$B$95,$A$8:$A$95,$A56),TREND($B$8:$B$95,$A$8:$A$95,$A56)),""),"")</f>
        <v/>
      </c>
      <c r="F56" s="19" t="str">
        <f aca="false">IFERROR(forecast.ets($A56,$B$8:$B$95,$A$8:$A$95,4,1,1),"")</f>
        <v/>
      </c>
      <c r="G56" s="19" t="str">
        <f aca="false">IFERROR(F56-forecast.ets.confint($A56,$B$8:$B$95,$A$8:$A$95,0.95,4,1,1),"")</f>
        <v/>
      </c>
      <c r="H56" s="19" t="str">
        <f aca="false">IFERROR(F56+forecast.ets.confint($A56,$B$8:$B$95,$A$8:$A$95,0.95,4,1,1),"")</f>
        <v/>
      </c>
    </row>
    <row r="57" customFormat="false" ht="15" hidden="false" customHeight="false" outlineLevel="0" collapsed="false">
      <c r="A57" s="21" t="n">
        <v>43922</v>
      </c>
      <c r="B57" s="22" t="str">
        <f aca="false">IFERROR(haverdata(Codes!$D$8,$A57),"")</f>
        <v/>
      </c>
      <c r="C57" s="23" t="str">
        <f aca="false">IFERROR(B57/B56-1,"")</f>
        <v/>
      </c>
      <c r="D57" s="23" t="str">
        <f aca="false">IFERROR(B57/B53-1,"")</f>
        <v/>
      </c>
      <c r="E57" s="24" t="str">
        <f aca="false">IFERROR(IF(B57="",IFERROR(GROWTH($B$8:$B$95,$A$8:$A$95,$A57),TREND($B$8:$B$95,$A$8:$A$95,$A57)),""),"")</f>
        <v/>
      </c>
      <c r="F57" s="24" t="str">
        <f aca="false">IFERROR(forecast.ets($A57,$B$8:$B$95,$A$8:$A$95,4,1,1),"")</f>
        <v/>
      </c>
      <c r="G57" s="24" t="str">
        <f aca="false">IFERROR(F57-forecast.ets.confint($A57,$B$8:$B$95,$A$8:$A$95,0.95,4,1,1),"")</f>
        <v/>
      </c>
      <c r="H57" s="24" t="str">
        <f aca="false">IFERROR(F57+forecast.ets.confint($A57,$B$8:$B$95,$A$8:$A$95,0.95,4,1,1),"")</f>
        <v/>
      </c>
    </row>
    <row r="58" customFormat="false" ht="15" hidden="false" customHeight="false" outlineLevel="0" collapsed="false">
      <c r="A58" s="16" t="n">
        <v>44013</v>
      </c>
      <c r="B58" s="17" t="str">
        <f aca="false">IFERROR(haverdata(Codes!$D$8,$A58),"")</f>
        <v/>
      </c>
      <c r="C58" s="18" t="str">
        <f aca="false">IFERROR(B58/B57-1,"")</f>
        <v/>
      </c>
      <c r="D58" s="18" t="str">
        <f aca="false">IFERROR(B58/B54-1,"")</f>
        <v/>
      </c>
      <c r="E58" s="19" t="str">
        <f aca="false">IFERROR(IF(B58="",IFERROR(GROWTH($B$8:$B$95,$A$8:$A$95,$A58),TREND($B$8:$B$95,$A$8:$A$95,$A58)),""),"")</f>
        <v/>
      </c>
      <c r="F58" s="19" t="str">
        <f aca="false">IFERROR(forecast.ets($A58,$B$8:$B$95,$A$8:$A$95,4,1,1),"")</f>
        <v/>
      </c>
      <c r="G58" s="19" t="str">
        <f aca="false">IFERROR(F58-forecast.ets.confint($A58,$B$8:$B$95,$A$8:$A$95,0.95,4,1,1),"")</f>
        <v/>
      </c>
      <c r="H58" s="19" t="str">
        <f aca="false">IFERROR(F58+forecast.ets.confint($A58,$B$8:$B$95,$A$8:$A$95,0.95,4,1,1),"")</f>
        <v/>
      </c>
    </row>
    <row r="59" customFormat="false" ht="15" hidden="false" customHeight="false" outlineLevel="0" collapsed="false">
      <c r="A59" s="21" t="n">
        <v>44105</v>
      </c>
      <c r="B59" s="22" t="str">
        <f aca="false">IFERROR(haverdata(Codes!$D$8,$A59),"")</f>
        <v/>
      </c>
      <c r="C59" s="23" t="str">
        <f aca="false">IFERROR(B59/B58-1,"")</f>
        <v/>
      </c>
      <c r="D59" s="23" t="str">
        <f aca="false">IFERROR(B59/B55-1,"")</f>
        <v/>
      </c>
      <c r="E59" s="24" t="str">
        <f aca="false">IFERROR(IF(B59="",IFERROR(GROWTH($B$8:$B$95,$A$8:$A$95,$A59),TREND($B$8:$B$95,$A$8:$A$95,$A59)),""),"")</f>
        <v/>
      </c>
      <c r="F59" s="24" t="str">
        <f aca="false">IFERROR(forecast.ets($A59,$B$8:$B$95,$A$8:$A$95,4,1,1),"")</f>
        <v/>
      </c>
      <c r="G59" s="24" t="str">
        <f aca="false">IFERROR(F59-forecast.ets.confint($A59,$B$8:$B$95,$A$8:$A$95,0.95,4,1,1),"")</f>
        <v/>
      </c>
      <c r="H59" s="24" t="str">
        <f aca="false">IFERROR(F59+forecast.ets.confint($A59,$B$8:$B$95,$A$8:$A$95,0.95,4,1,1),"")</f>
        <v/>
      </c>
    </row>
    <row r="60" customFormat="false" ht="15" hidden="false" customHeight="false" outlineLevel="0" collapsed="false">
      <c r="A60" s="16" t="n">
        <v>44197</v>
      </c>
      <c r="B60" s="17" t="str">
        <f aca="false">IFERROR(haverdata(Codes!$D$8,$A60),"")</f>
        <v/>
      </c>
      <c r="C60" s="18" t="str">
        <f aca="false">IFERROR(B60/B59-1,"")</f>
        <v/>
      </c>
      <c r="D60" s="18" t="str">
        <f aca="false">IFERROR(B60/B56-1,"")</f>
        <v/>
      </c>
      <c r="E60" s="19" t="str">
        <f aca="false">IFERROR(IF(B60="",IFERROR(GROWTH($B$8:$B$95,$A$8:$A$95,$A60),TREND($B$8:$B$95,$A$8:$A$95,$A60)),""),"")</f>
        <v/>
      </c>
      <c r="F60" s="19" t="str">
        <f aca="false">IFERROR(forecast.ets($A60,$B$8:$B$95,$A$8:$A$95,4,1,1),"")</f>
        <v/>
      </c>
      <c r="G60" s="19" t="str">
        <f aca="false">IFERROR(F60-forecast.ets.confint($A60,$B$8:$B$95,$A$8:$A$95,0.95,4,1,1),"")</f>
        <v/>
      </c>
      <c r="H60" s="19" t="str">
        <f aca="false">IFERROR(F60+forecast.ets.confint($A60,$B$8:$B$95,$A$8:$A$95,0.95,4,1,1),"")</f>
        <v/>
      </c>
    </row>
    <row r="61" customFormat="false" ht="15" hidden="false" customHeight="false" outlineLevel="0" collapsed="false">
      <c r="A61" s="21" t="n">
        <v>44287</v>
      </c>
      <c r="B61" s="22" t="str">
        <f aca="false">IFERROR(haverdata(Codes!$D$8,$A61),"")</f>
        <v/>
      </c>
      <c r="C61" s="23" t="str">
        <f aca="false">IFERROR(B61/B60-1,"")</f>
        <v/>
      </c>
      <c r="D61" s="23" t="str">
        <f aca="false">IFERROR(B61/B57-1,"")</f>
        <v/>
      </c>
      <c r="E61" s="24" t="str">
        <f aca="false">IFERROR(IF(B61="",IFERROR(GROWTH($B$8:$B$95,$A$8:$A$95,$A61),TREND($B$8:$B$95,$A$8:$A$95,$A61)),""),"")</f>
        <v/>
      </c>
      <c r="F61" s="24" t="str">
        <f aca="false">IFERROR(forecast.ets($A61,$B$8:$B$95,$A$8:$A$95,4,1,1),"")</f>
        <v/>
      </c>
      <c r="G61" s="24" t="str">
        <f aca="false">IFERROR(F61-forecast.ets.confint($A61,$B$8:$B$95,$A$8:$A$95,0.95,4,1,1),"")</f>
        <v/>
      </c>
      <c r="H61" s="24" t="str">
        <f aca="false">IFERROR(F61+forecast.ets.confint($A61,$B$8:$B$95,$A$8:$A$95,0.95,4,1,1),"")</f>
        <v/>
      </c>
    </row>
    <row r="62" customFormat="false" ht="15" hidden="false" customHeight="false" outlineLevel="0" collapsed="false">
      <c r="A62" s="16" t="n">
        <v>44378</v>
      </c>
      <c r="B62" s="17" t="str">
        <f aca="false">IFERROR(haverdata(Codes!$D$8,$A62),"")</f>
        <v/>
      </c>
      <c r="C62" s="18" t="str">
        <f aca="false">IFERROR(B62/B61-1,"")</f>
        <v/>
      </c>
      <c r="D62" s="18" t="str">
        <f aca="false">IFERROR(B62/B58-1,"")</f>
        <v/>
      </c>
      <c r="E62" s="19" t="str">
        <f aca="false">IFERROR(IF(B62="",IFERROR(GROWTH($B$8:$B$95,$A$8:$A$95,$A62),TREND($B$8:$B$95,$A$8:$A$95,$A62)),""),"")</f>
        <v/>
      </c>
      <c r="F62" s="19" t="str">
        <f aca="false">IFERROR(forecast.ets($A62,$B$8:$B$95,$A$8:$A$95,4,1,1),"")</f>
        <v/>
      </c>
      <c r="G62" s="19" t="str">
        <f aca="false">IFERROR(F62-forecast.ets.confint($A62,$B$8:$B$95,$A$8:$A$95,0.95,4,1,1),"")</f>
        <v/>
      </c>
      <c r="H62" s="19" t="str">
        <f aca="false">IFERROR(F62+forecast.ets.confint($A62,$B$8:$B$95,$A$8:$A$95,0.95,4,1,1),"")</f>
        <v/>
      </c>
    </row>
    <row r="63" customFormat="false" ht="15" hidden="false" customHeight="false" outlineLevel="0" collapsed="false">
      <c r="A63" s="21" t="n">
        <v>44470</v>
      </c>
      <c r="B63" s="22" t="str">
        <f aca="false">IFERROR(haverdata(Codes!$D$8,$A63),"")</f>
        <v/>
      </c>
      <c r="C63" s="23" t="str">
        <f aca="false">IFERROR(B63/B62-1,"")</f>
        <v/>
      </c>
      <c r="D63" s="23" t="str">
        <f aca="false">IFERROR(B63/B59-1,"")</f>
        <v/>
      </c>
      <c r="E63" s="24" t="str">
        <f aca="false">IFERROR(IF(B63="",IFERROR(GROWTH($B$8:$B$95,$A$8:$A$95,$A63),TREND($B$8:$B$95,$A$8:$A$95,$A63)),""),"")</f>
        <v/>
      </c>
      <c r="F63" s="24" t="str">
        <f aca="false">IFERROR(forecast.ets($A63,$B$8:$B$95,$A$8:$A$95,4,1,1),"")</f>
        <v/>
      </c>
      <c r="G63" s="24" t="str">
        <f aca="false">IFERROR(F63-forecast.ets.confint($A63,$B$8:$B$95,$A$8:$A$95,0.95,4,1,1),"")</f>
        <v/>
      </c>
      <c r="H63" s="24" t="str">
        <f aca="false">IFERROR(F63+forecast.ets.confint($A63,$B$8:$B$95,$A$8:$A$95,0.95,4,1,1),"")</f>
        <v/>
      </c>
    </row>
    <row r="64" customFormat="false" ht="15" hidden="false" customHeight="false" outlineLevel="0" collapsed="false">
      <c r="A64" s="16" t="n">
        <v>44562</v>
      </c>
      <c r="B64" s="17" t="str">
        <f aca="false">IFERROR(haverdata(Codes!$D$8,$A64),"")</f>
        <v/>
      </c>
      <c r="C64" s="18" t="str">
        <f aca="false">IFERROR(B64/B63-1,"")</f>
        <v/>
      </c>
      <c r="D64" s="18" t="str">
        <f aca="false">IFERROR(B64/B60-1,"")</f>
        <v/>
      </c>
      <c r="E64" s="19" t="str">
        <f aca="false">IFERROR(IF(B64="",IFERROR(GROWTH($B$8:$B$95,$A$8:$A$95,$A64),TREND($B$8:$B$95,$A$8:$A$95,$A64)),""),"")</f>
        <v/>
      </c>
      <c r="F64" s="19" t="str">
        <f aca="false">IFERROR(forecast.ets($A64,$B$8:$B$95,$A$8:$A$95,4,1,1),"")</f>
        <v/>
      </c>
      <c r="G64" s="19" t="str">
        <f aca="false">IFERROR(F64-forecast.ets.confint($A64,$B$8:$B$95,$A$8:$A$95,0.95,4,1,1),"")</f>
        <v/>
      </c>
      <c r="H64" s="19" t="str">
        <f aca="false">IFERROR(F64+forecast.ets.confint($A64,$B$8:$B$95,$A$8:$A$95,0.95,4,1,1),"")</f>
        <v/>
      </c>
    </row>
    <row r="65" customFormat="false" ht="15" hidden="false" customHeight="false" outlineLevel="0" collapsed="false">
      <c r="A65" s="21" t="n">
        <v>44652</v>
      </c>
      <c r="B65" s="22" t="str">
        <f aca="false">IFERROR(haverdata(Codes!$D$8,$A65),"")</f>
        <v/>
      </c>
      <c r="C65" s="23" t="str">
        <f aca="false">IFERROR(B65/B64-1,"")</f>
        <v/>
      </c>
      <c r="D65" s="23" t="str">
        <f aca="false">IFERROR(B65/B61-1,"")</f>
        <v/>
      </c>
      <c r="E65" s="24" t="str">
        <f aca="false">IFERROR(IF(B65="",IFERROR(GROWTH($B$8:$B$95,$A$8:$A$95,$A65),TREND($B$8:$B$95,$A$8:$A$95,$A65)),""),"")</f>
        <v/>
      </c>
      <c r="F65" s="24" t="str">
        <f aca="false">IFERROR(forecast.ets($A65,$B$8:$B$95,$A$8:$A$95,4,1,1),"")</f>
        <v/>
      </c>
      <c r="G65" s="24" t="str">
        <f aca="false">IFERROR(F65-forecast.ets.confint($A65,$B$8:$B$95,$A$8:$A$95,0.95,4,1,1),"")</f>
        <v/>
      </c>
      <c r="H65" s="24" t="str">
        <f aca="false">IFERROR(F65+forecast.ets.confint($A65,$B$8:$B$95,$A$8:$A$95,0.95,4,1,1),"")</f>
        <v/>
      </c>
    </row>
    <row r="66" customFormat="false" ht="15" hidden="false" customHeight="false" outlineLevel="0" collapsed="false">
      <c r="A66" s="16" t="n">
        <v>44743</v>
      </c>
      <c r="B66" s="17" t="str">
        <f aca="false">IFERROR(haverdata(Codes!$D$8,$A66),"")</f>
        <v/>
      </c>
      <c r="C66" s="18" t="str">
        <f aca="false">IFERROR(B66/B65-1,"")</f>
        <v/>
      </c>
      <c r="D66" s="18" t="str">
        <f aca="false">IFERROR(B66/B62-1,"")</f>
        <v/>
      </c>
      <c r="E66" s="19" t="str">
        <f aca="false">IFERROR(IF(B66="",IFERROR(GROWTH($B$8:$B$95,$A$8:$A$95,$A66),TREND($B$8:$B$95,$A$8:$A$95,$A66)),""),"")</f>
        <v/>
      </c>
      <c r="F66" s="19" t="str">
        <f aca="false">IFERROR(forecast.ets($A66,$B$8:$B$95,$A$8:$A$95,4,1,1),"")</f>
        <v/>
      </c>
      <c r="G66" s="19" t="str">
        <f aca="false">IFERROR(F66-forecast.ets.confint($A66,$B$8:$B$95,$A$8:$A$95,0.95,4,1,1),"")</f>
        <v/>
      </c>
      <c r="H66" s="19" t="str">
        <f aca="false">IFERROR(F66+forecast.ets.confint($A66,$B$8:$B$95,$A$8:$A$95,0.95,4,1,1),"")</f>
        <v/>
      </c>
    </row>
    <row r="67" customFormat="false" ht="15" hidden="false" customHeight="false" outlineLevel="0" collapsed="false">
      <c r="A67" s="21" t="n">
        <v>44835</v>
      </c>
      <c r="B67" s="22" t="str">
        <f aca="false">IFERROR(haverdata(Codes!$D$8,$A67),"")</f>
        <v/>
      </c>
      <c r="C67" s="23" t="str">
        <f aca="false">IFERROR(B67/B66-1,"")</f>
        <v/>
      </c>
      <c r="D67" s="23" t="str">
        <f aca="false">IFERROR(B67/B63-1,"")</f>
        <v/>
      </c>
      <c r="E67" s="24" t="str">
        <f aca="false">IFERROR(IF(B67="",IFERROR(GROWTH($B$8:$B$95,$A$8:$A$95,$A67),TREND($B$8:$B$95,$A$8:$A$95,$A67)),""),"")</f>
        <v/>
      </c>
      <c r="F67" s="24" t="str">
        <f aca="false">IFERROR(forecast.ets($A67,$B$8:$B$95,$A$8:$A$95,4,1,1),"")</f>
        <v/>
      </c>
      <c r="G67" s="24" t="str">
        <f aca="false">IFERROR(F67-forecast.ets.confint($A67,$B$8:$B$95,$A$8:$A$95,0.95,4,1,1),"")</f>
        <v/>
      </c>
      <c r="H67" s="24" t="str">
        <f aca="false">IFERROR(F67+forecast.ets.confint($A67,$B$8:$B$95,$A$8:$A$95,0.95,4,1,1),"")</f>
        <v/>
      </c>
    </row>
    <row r="68" customFormat="false" ht="15" hidden="false" customHeight="false" outlineLevel="0" collapsed="false">
      <c r="A68" s="16" t="n">
        <v>44927</v>
      </c>
      <c r="B68" s="17" t="str">
        <f aca="false">IFERROR(haverdata(Codes!$D$8,$A68),"")</f>
        <v/>
      </c>
      <c r="C68" s="18" t="str">
        <f aca="false">IFERROR(B68/B67-1,"")</f>
        <v/>
      </c>
      <c r="D68" s="18" t="str">
        <f aca="false">IFERROR(B68/B64-1,"")</f>
        <v/>
      </c>
      <c r="E68" s="19" t="str">
        <f aca="false">IFERROR(IF(B68="",IFERROR(GROWTH($B$8:$B$95,$A$8:$A$95,$A68),TREND($B$8:$B$95,$A$8:$A$95,$A68)),""),"")</f>
        <v/>
      </c>
      <c r="F68" s="19" t="str">
        <f aca="false">IFERROR(forecast.ets($A68,$B$8:$B$95,$A$8:$A$95,4,1,1),"")</f>
        <v/>
      </c>
      <c r="G68" s="19" t="str">
        <f aca="false">IFERROR(F68-forecast.ets.confint($A68,$B$8:$B$95,$A$8:$A$95,0.95,4,1,1),"")</f>
        <v/>
      </c>
      <c r="H68" s="19" t="str">
        <f aca="false">IFERROR(F68+forecast.ets.confint($A68,$B$8:$B$95,$A$8:$A$95,0.95,4,1,1),"")</f>
        <v/>
      </c>
    </row>
    <row r="69" customFormat="false" ht="15" hidden="false" customHeight="false" outlineLevel="0" collapsed="false">
      <c r="A69" s="21" t="n">
        <v>45017</v>
      </c>
      <c r="B69" s="22" t="str">
        <f aca="false">IFERROR(haverdata(Codes!$D$8,$A69),"")</f>
        <v/>
      </c>
      <c r="C69" s="23" t="str">
        <f aca="false">IFERROR(B69/B68-1,"")</f>
        <v/>
      </c>
      <c r="D69" s="23" t="str">
        <f aca="false">IFERROR(B69/B65-1,"")</f>
        <v/>
      </c>
      <c r="E69" s="24" t="str">
        <f aca="false">IFERROR(IF(B69="",IFERROR(GROWTH($B$8:$B$95,$A$8:$A$95,$A69),TREND($B$8:$B$95,$A$8:$A$95,$A69)),""),"")</f>
        <v/>
      </c>
      <c r="F69" s="24" t="str">
        <f aca="false">IFERROR(forecast.ets($A69,$B$8:$B$95,$A$8:$A$95,4,1,1),"")</f>
        <v/>
      </c>
      <c r="G69" s="24" t="str">
        <f aca="false">IFERROR(F69-forecast.ets.confint($A69,$B$8:$B$95,$A$8:$A$95,0.95,4,1,1),"")</f>
        <v/>
      </c>
      <c r="H69" s="24" t="str">
        <f aca="false">IFERROR(F69+forecast.ets.confint($A69,$B$8:$B$95,$A$8:$A$95,0.95,4,1,1),"")</f>
        <v/>
      </c>
    </row>
    <row r="70" customFormat="false" ht="15" hidden="false" customHeight="false" outlineLevel="0" collapsed="false">
      <c r="A70" s="16" t="n">
        <v>45108</v>
      </c>
      <c r="B70" s="17" t="str">
        <f aca="false">IFERROR(haverdata(Codes!$D$8,$A70),"")</f>
        <v/>
      </c>
      <c r="C70" s="18" t="str">
        <f aca="false">IFERROR(B70/B69-1,"")</f>
        <v/>
      </c>
      <c r="D70" s="18" t="str">
        <f aca="false">IFERROR(B70/B66-1,"")</f>
        <v/>
      </c>
      <c r="E70" s="19" t="str">
        <f aca="false">IFERROR(IF(B70="",IFERROR(GROWTH($B$8:$B$95,$A$8:$A$95,$A70),TREND($B$8:$B$95,$A$8:$A$95,$A70)),""),"")</f>
        <v/>
      </c>
      <c r="F70" s="19" t="str">
        <f aca="false">IFERROR(forecast.ets($A70,$B$8:$B$95,$A$8:$A$95,4,1,1),"")</f>
        <v/>
      </c>
      <c r="G70" s="19" t="str">
        <f aca="false">IFERROR(F70-forecast.ets.confint($A70,$B$8:$B$95,$A$8:$A$95,0.95,4,1,1),"")</f>
        <v/>
      </c>
      <c r="H70" s="19" t="str">
        <f aca="false">IFERROR(F70+forecast.ets.confint($A70,$B$8:$B$95,$A$8:$A$95,0.95,4,1,1),"")</f>
        <v/>
      </c>
    </row>
    <row r="71" customFormat="false" ht="15" hidden="false" customHeight="false" outlineLevel="0" collapsed="false">
      <c r="A71" s="21" t="n">
        <v>45200</v>
      </c>
      <c r="B71" s="22" t="str">
        <f aca="false">IFERROR(haverdata(Codes!$D$8,$A71),"")</f>
        <v/>
      </c>
      <c r="C71" s="23" t="str">
        <f aca="false">IFERROR(B71/B70-1,"")</f>
        <v/>
      </c>
      <c r="D71" s="23" t="str">
        <f aca="false">IFERROR(B71/B67-1,"")</f>
        <v/>
      </c>
      <c r="E71" s="24" t="str">
        <f aca="false">IFERROR(IF(B71="",IFERROR(GROWTH($B$8:$B$95,$A$8:$A$95,$A71),TREND($B$8:$B$95,$A$8:$A$95,$A71)),""),"")</f>
        <v/>
      </c>
      <c r="F71" s="24" t="str">
        <f aca="false">IFERROR(forecast.ets($A71,$B$8:$B$95,$A$8:$A$95,4,1,1),"")</f>
        <v/>
      </c>
      <c r="G71" s="24" t="str">
        <f aca="false">IFERROR(F71-forecast.ets.confint($A71,$B$8:$B$95,$A$8:$A$95,0.95,4,1,1),"")</f>
        <v/>
      </c>
      <c r="H71" s="24" t="str">
        <f aca="false">IFERROR(F71+forecast.ets.confint($A71,$B$8:$B$95,$A$8:$A$95,0.95,4,1,1),"")</f>
        <v/>
      </c>
    </row>
    <row r="72" customFormat="false" ht="15" hidden="false" customHeight="false" outlineLevel="0" collapsed="false">
      <c r="A72" s="16" t="n">
        <v>45292</v>
      </c>
      <c r="B72" s="17" t="str">
        <f aca="false">IFERROR(haverdata(Codes!$D$8,$A72),"")</f>
        <v/>
      </c>
      <c r="C72" s="18" t="str">
        <f aca="false">IFERROR(B72/B71-1,"")</f>
        <v/>
      </c>
      <c r="D72" s="18" t="str">
        <f aca="false">IFERROR(B72/B68-1,"")</f>
        <v/>
      </c>
      <c r="E72" s="19" t="str">
        <f aca="false">IFERROR(IF(B72="",IFERROR(GROWTH($B$8:$B$95,$A$8:$A$95,$A72),TREND($B$8:$B$95,$A$8:$A$95,$A72)),""),"")</f>
        <v/>
      </c>
      <c r="F72" s="19" t="str">
        <f aca="false">IFERROR(forecast.ets($A72,$B$8:$B$95,$A$8:$A$95,4,1,1),"")</f>
        <v/>
      </c>
      <c r="G72" s="19" t="str">
        <f aca="false">IFERROR(F72-forecast.ets.confint($A72,$B$8:$B$95,$A$8:$A$95,0.95,4,1,1),"")</f>
        <v/>
      </c>
      <c r="H72" s="19" t="str">
        <f aca="false">IFERROR(F72+forecast.ets.confint($A72,$B$8:$B$95,$A$8:$A$95,0.95,4,1,1),"")</f>
        <v/>
      </c>
    </row>
    <row r="73" customFormat="false" ht="15" hidden="false" customHeight="false" outlineLevel="0" collapsed="false">
      <c r="A73" s="21" t="n">
        <v>45383</v>
      </c>
      <c r="B73" s="22" t="str">
        <f aca="false">IFERROR(haverdata(Codes!$D$8,$A73),"")</f>
        <v/>
      </c>
      <c r="C73" s="23" t="str">
        <f aca="false">IFERROR(B73/B72-1,"")</f>
        <v/>
      </c>
      <c r="D73" s="23" t="str">
        <f aca="false">IFERROR(B73/B69-1,"")</f>
        <v/>
      </c>
      <c r="E73" s="24" t="str">
        <f aca="false">IFERROR(IF(B73="",IFERROR(GROWTH($B$8:$B$95,$A$8:$A$95,$A73),TREND($B$8:$B$95,$A$8:$A$95,$A73)),""),"")</f>
        <v/>
      </c>
      <c r="F73" s="24" t="str">
        <f aca="false">IFERROR(forecast.ets($A73,$B$8:$B$95,$A$8:$A$95,4,1,1),"")</f>
        <v/>
      </c>
      <c r="G73" s="24" t="str">
        <f aca="false">IFERROR(F73-forecast.ets.confint($A73,$B$8:$B$95,$A$8:$A$95,0.95,4,1,1),"")</f>
        <v/>
      </c>
      <c r="H73" s="24" t="str">
        <f aca="false">IFERROR(F73+forecast.ets.confint($A73,$B$8:$B$95,$A$8:$A$95,0.95,4,1,1),"")</f>
        <v/>
      </c>
    </row>
    <row r="74" customFormat="false" ht="15" hidden="false" customHeight="false" outlineLevel="0" collapsed="false">
      <c r="A74" s="16" t="n">
        <v>45474</v>
      </c>
      <c r="B74" s="17" t="str">
        <f aca="false">IFERROR(haverdata(Codes!$D$8,$A74),"")</f>
        <v/>
      </c>
      <c r="C74" s="18" t="str">
        <f aca="false">IFERROR(B74/B73-1,"")</f>
        <v/>
      </c>
      <c r="D74" s="18" t="str">
        <f aca="false">IFERROR(B74/B70-1,"")</f>
        <v/>
      </c>
      <c r="E74" s="19" t="str">
        <f aca="false">IFERROR(IF(B74="",IFERROR(GROWTH($B$8:$B$95,$A$8:$A$95,$A74),TREND($B$8:$B$95,$A$8:$A$95,$A74)),""),"")</f>
        <v/>
      </c>
      <c r="F74" s="19" t="str">
        <f aca="false">IFERROR(forecast.ets($A74,$B$8:$B$95,$A$8:$A$95,4,1,1),"")</f>
        <v/>
      </c>
      <c r="G74" s="19" t="str">
        <f aca="false">IFERROR(F74-forecast.ets.confint($A74,$B$8:$B$95,$A$8:$A$95,0.95,4,1,1),"")</f>
        <v/>
      </c>
      <c r="H74" s="19" t="str">
        <f aca="false">IFERROR(F74+forecast.ets.confint($A74,$B$8:$B$95,$A$8:$A$95,0.95,4,1,1),"")</f>
        <v/>
      </c>
    </row>
    <row r="75" customFormat="false" ht="15" hidden="false" customHeight="false" outlineLevel="0" collapsed="false">
      <c r="A75" s="21" t="n">
        <v>45566</v>
      </c>
      <c r="B75" s="22" t="str">
        <f aca="false">IFERROR(haverdata(Codes!$D$8,$A75),"")</f>
        <v/>
      </c>
      <c r="C75" s="23" t="str">
        <f aca="false">IFERROR(B75/B74-1,"")</f>
        <v/>
      </c>
      <c r="D75" s="23" t="str">
        <f aca="false">IFERROR(B75/B71-1,"")</f>
        <v/>
      </c>
      <c r="E75" s="24" t="str">
        <f aca="false">IFERROR(IF(B75="",IFERROR(GROWTH($B$8:$B$95,$A$8:$A$95,$A75),TREND($B$8:$B$95,$A$8:$A$95,$A75)),""),"")</f>
        <v/>
      </c>
      <c r="F75" s="24" t="str">
        <f aca="false">IFERROR(forecast.ets($A75,$B$8:$B$95,$A$8:$A$95,4,1,1),"")</f>
        <v/>
      </c>
      <c r="G75" s="24" t="str">
        <f aca="false">IFERROR(F75-forecast.ets.confint($A75,$B$8:$B$95,$A$8:$A$95,0.95,4,1,1),"")</f>
        <v/>
      </c>
      <c r="H75" s="24" t="str">
        <f aca="false">IFERROR(F75+forecast.ets.confint($A75,$B$8:$B$95,$A$8:$A$95,0.95,4,1,1),"")</f>
        <v/>
      </c>
    </row>
    <row r="76" customFormat="false" ht="15" hidden="false" customHeight="false" outlineLevel="0" collapsed="false">
      <c r="A76" s="16" t="n">
        <v>45658</v>
      </c>
      <c r="B76" s="17" t="str">
        <f aca="false">IFERROR(haverdata(Codes!$D$8,$A76),"")</f>
        <v/>
      </c>
      <c r="C76" s="18" t="str">
        <f aca="false">IFERROR(B76/B75-1,"")</f>
        <v/>
      </c>
      <c r="D76" s="18" t="str">
        <f aca="false">IFERROR(B76/B72-1,"")</f>
        <v/>
      </c>
      <c r="E76" s="19" t="str">
        <f aca="false">IFERROR(IF(B76="",IFERROR(GROWTH($B$8:$B$95,$A$8:$A$95,$A76),TREND($B$8:$B$95,$A$8:$A$95,$A76)),""),"")</f>
        <v/>
      </c>
      <c r="F76" s="19" t="str">
        <f aca="false">IFERROR(forecast.ets($A76,$B$8:$B$95,$A$8:$A$95,4,1,1),"")</f>
        <v/>
      </c>
      <c r="G76" s="19" t="str">
        <f aca="false">IFERROR(F76-forecast.ets.confint($A76,$B$8:$B$95,$A$8:$A$95,0.95,4,1,1),"")</f>
        <v/>
      </c>
      <c r="H76" s="19" t="str">
        <f aca="false">IFERROR(F76+forecast.ets.confint($A76,$B$8:$B$95,$A$8:$A$95,0.95,4,1,1),"")</f>
        <v/>
      </c>
    </row>
    <row r="77" customFormat="false" ht="15" hidden="false" customHeight="false" outlineLevel="0" collapsed="false">
      <c r="A77" s="21" t="n">
        <v>45748</v>
      </c>
      <c r="B77" s="22" t="str">
        <f aca="false">IFERROR(haverdata(Codes!$D$8,$A77),"")</f>
        <v/>
      </c>
      <c r="C77" s="23" t="str">
        <f aca="false">IFERROR(B77/B76-1,"")</f>
        <v/>
      </c>
      <c r="D77" s="23" t="str">
        <f aca="false">IFERROR(B77/B73-1,"")</f>
        <v/>
      </c>
      <c r="E77" s="24" t="str">
        <f aca="false">IFERROR(IF(B77="",IFERROR(GROWTH($B$8:$B$95,$A$8:$A$95,$A77),TREND($B$8:$B$95,$A$8:$A$95,$A77)),""),"")</f>
        <v/>
      </c>
      <c r="F77" s="24" t="str">
        <f aca="false">IFERROR(forecast.ets($A77,$B$8:$B$95,$A$8:$A$95,4,1,1),"")</f>
        <v/>
      </c>
      <c r="G77" s="24" t="str">
        <f aca="false">IFERROR(F77-forecast.ets.confint($A77,$B$8:$B$95,$A$8:$A$95,0.95,4,1,1),"")</f>
        <v/>
      </c>
      <c r="H77" s="24" t="str">
        <f aca="false">IFERROR(F77+forecast.ets.confint($A77,$B$8:$B$95,$A$8:$A$95,0.95,4,1,1),"")</f>
        <v/>
      </c>
    </row>
    <row r="78" customFormat="false" ht="15" hidden="false" customHeight="false" outlineLevel="0" collapsed="false">
      <c r="A78" s="16" t="n">
        <v>45839</v>
      </c>
      <c r="B78" s="17" t="str">
        <f aca="false">IFERROR(haverdata(Codes!$D$8,$A78),"")</f>
        <v/>
      </c>
      <c r="C78" s="18" t="str">
        <f aca="false">IFERROR(B78/B77-1,"")</f>
        <v/>
      </c>
      <c r="D78" s="18" t="str">
        <f aca="false">IFERROR(B78/B74-1,"")</f>
        <v/>
      </c>
      <c r="E78" s="19" t="str">
        <f aca="false">IFERROR(IF(B78="",IFERROR(GROWTH($B$8:$B$95,$A$8:$A$95,$A78),TREND($B$8:$B$95,$A$8:$A$95,$A78)),""),"")</f>
        <v/>
      </c>
      <c r="F78" s="19" t="str">
        <f aca="false">IFERROR(forecast.ets($A78,$B$8:$B$95,$A$8:$A$95,4,1,1),"")</f>
        <v/>
      </c>
      <c r="G78" s="19" t="str">
        <f aca="false">IFERROR(F78-forecast.ets.confint($A78,$B$8:$B$95,$A$8:$A$95,0.95,4,1,1),"")</f>
        <v/>
      </c>
      <c r="H78" s="19" t="str">
        <f aca="false">IFERROR(F78+forecast.ets.confint($A78,$B$8:$B$95,$A$8:$A$95,0.95,4,1,1),"")</f>
        <v/>
      </c>
    </row>
    <row r="79" customFormat="false" ht="15" hidden="false" customHeight="false" outlineLevel="0" collapsed="false">
      <c r="A79" s="21" t="n">
        <v>45931</v>
      </c>
      <c r="B79" s="22" t="str">
        <f aca="false">IFERROR(haverdata(Codes!$D$8,$A79),"")</f>
        <v/>
      </c>
      <c r="C79" s="23" t="str">
        <f aca="false">IFERROR(B79/B78-1,"")</f>
        <v/>
      </c>
      <c r="D79" s="23" t="str">
        <f aca="false">IFERROR(B79/B75-1,"")</f>
        <v/>
      </c>
      <c r="E79" s="24" t="str">
        <f aca="false">IFERROR(IF(B79="",IFERROR(GROWTH($B$8:$B$95,$A$8:$A$95,$A79),TREND($B$8:$B$95,$A$8:$A$95,$A79)),""),"")</f>
        <v/>
      </c>
      <c r="F79" s="24" t="str">
        <f aca="false">IFERROR(forecast.ets($A79,$B$8:$B$95,$A$8:$A$95,4,1,1),"")</f>
        <v/>
      </c>
      <c r="G79" s="24" t="str">
        <f aca="false">IFERROR(F79-forecast.ets.confint($A79,$B$8:$B$95,$A$8:$A$95,0.95,4,1,1),"")</f>
        <v/>
      </c>
      <c r="H79" s="24" t="str">
        <f aca="false">IFERROR(F79+forecast.ets.confint($A79,$B$8:$B$95,$A$8:$A$95,0.95,4,1,1),"")</f>
        <v/>
      </c>
    </row>
    <row r="80" customFormat="false" ht="15" hidden="false" customHeight="false" outlineLevel="0" collapsed="false">
      <c r="A80" s="16" t="n">
        <v>46023</v>
      </c>
      <c r="B80" s="17" t="str">
        <f aca="false">IFERROR(haverdata(Codes!$D$8,$A80),"")</f>
        <v/>
      </c>
      <c r="C80" s="18" t="str">
        <f aca="false">IFERROR(B80/B79-1,"")</f>
        <v/>
      </c>
      <c r="D80" s="18" t="str">
        <f aca="false">IFERROR(B80/B76-1,"")</f>
        <v/>
      </c>
      <c r="E80" s="19" t="str">
        <f aca="false">IFERROR(IF(B80="",IFERROR(GROWTH($B$8:$B$95,$A$8:$A$95,$A80),TREND($B$8:$B$95,$A$8:$A$95,$A80)),""),"")</f>
        <v/>
      </c>
      <c r="F80" s="19" t="str">
        <f aca="false">IFERROR(forecast.ets($A80,$B$8:$B$95,$A$8:$A$95,4,1,1),"")</f>
        <v/>
      </c>
      <c r="G80" s="19" t="str">
        <f aca="false">IFERROR(F80-forecast.ets.confint($A80,$B$8:$B$95,$A$8:$A$95,0.95,4,1,1),"")</f>
        <v/>
      </c>
      <c r="H80" s="19" t="str">
        <f aca="false">IFERROR(F80+forecast.ets.confint($A80,$B$8:$B$95,$A$8:$A$95,0.95,4,1,1),"")</f>
        <v/>
      </c>
    </row>
    <row r="81" customFormat="false" ht="15" hidden="false" customHeight="false" outlineLevel="0" collapsed="false">
      <c r="A81" s="21" t="n">
        <v>46113</v>
      </c>
      <c r="B81" s="22" t="str">
        <f aca="false">IFERROR(haverdata(Codes!$D$8,$A81),"")</f>
        <v/>
      </c>
      <c r="C81" s="23" t="str">
        <f aca="false">IFERROR(B81/B80-1,"")</f>
        <v/>
      </c>
      <c r="D81" s="23" t="str">
        <f aca="false">IFERROR(B81/B77-1,"")</f>
        <v/>
      </c>
      <c r="E81" s="24" t="str">
        <f aca="false">IFERROR(IF(B81="",IFERROR(GROWTH($B$8:$B$95,$A$8:$A$95,$A81),TREND($B$8:$B$95,$A$8:$A$95,$A81)),""),"")</f>
        <v/>
      </c>
      <c r="F81" s="24" t="str">
        <f aca="false">IFERROR(forecast.ets($A81,$B$8:$B$95,$A$8:$A$95,4,1,1),"")</f>
        <v/>
      </c>
      <c r="G81" s="24" t="str">
        <f aca="false">IFERROR(F81-forecast.ets.confint($A81,$B$8:$B$95,$A$8:$A$95,0.95,4,1,1),"")</f>
        <v/>
      </c>
      <c r="H81" s="24" t="str">
        <f aca="false">IFERROR(F81+forecast.ets.confint($A81,$B$8:$B$95,$A$8:$A$95,0.95,4,1,1),"")</f>
        <v/>
      </c>
    </row>
    <row r="82" customFormat="false" ht="15" hidden="false" customHeight="false" outlineLevel="0" collapsed="false">
      <c r="A82" s="16" t="n">
        <v>46204</v>
      </c>
      <c r="B82" s="17" t="str">
        <f aca="false">IFERROR(haverdata(Codes!$D$8,$A82),"")</f>
        <v/>
      </c>
      <c r="C82" s="18" t="str">
        <f aca="false">IFERROR(B82/B81-1,"")</f>
        <v/>
      </c>
      <c r="D82" s="18" t="str">
        <f aca="false">IFERROR(B82/B78-1,"")</f>
        <v/>
      </c>
      <c r="E82" s="19" t="str">
        <f aca="false">IFERROR(IF(B82="",IFERROR(GROWTH($B$8:$B$95,$A$8:$A$95,$A82),TREND($B$8:$B$95,$A$8:$A$95,$A82)),""),"")</f>
        <v/>
      </c>
      <c r="F82" s="19" t="str">
        <f aca="false">IFERROR(forecast.ets($A82,$B$8:$B$95,$A$8:$A$95,4,1,1),"")</f>
        <v/>
      </c>
      <c r="G82" s="19" t="str">
        <f aca="false">IFERROR(F82-forecast.ets.confint($A82,$B$8:$B$95,$A$8:$A$95,0.95,4,1,1),"")</f>
        <v/>
      </c>
      <c r="H82" s="19" t="str">
        <f aca="false">IFERROR(F82+forecast.ets.confint($A82,$B$8:$B$95,$A$8:$A$95,0.95,4,1,1),"")</f>
        <v/>
      </c>
    </row>
    <row r="83" customFormat="false" ht="15" hidden="false" customHeight="false" outlineLevel="0" collapsed="false">
      <c r="A83" s="21" t="n">
        <v>46296</v>
      </c>
      <c r="B83" s="22" t="str">
        <f aca="false">IFERROR(haverdata(Codes!$D$8,$A83),"")</f>
        <v/>
      </c>
      <c r="C83" s="23" t="str">
        <f aca="false">IFERROR(B83/B82-1,"")</f>
        <v/>
      </c>
      <c r="D83" s="23" t="str">
        <f aca="false">IFERROR(B83/B79-1,"")</f>
        <v/>
      </c>
      <c r="E83" s="24" t="str">
        <f aca="false">IFERROR(IF(B83="",IFERROR(GROWTH($B$8:$B$95,$A$8:$A$95,$A83),TREND($B$8:$B$95,$A$8:$A$95,$A83)),""),"")</f>
        <v/>
      </c>
      <c r="F83" s="24" t="str">
        <f aca="false">IFERROR(forecast.ets($A83,$B$8:$B$95,$A$8:$A$95,4,1,1),"")</f>
        <v/>
      </c>
      <c r="G83" s="24" t="str">
        <f aca="false">IFERROR(F83-forecast.ets.confint($A83,$B$8:$B$95,$A$8:$A$95,0.95,4,1,1),"")</f>
        <v/>
      </c>
      <c r="H83" s="24" t="str">
        <f aca="false">IFERROR(F83+forecast.ets.confint($A83,$B$8:$B$95,$A$8:$A$95,0.95,4,1,1),"")</f>
        <v/>
      </c>
    </row>
    <row r="84" customFormat="false" ht="15" hidden="false" customHeight="false" outlineLevel="0" collapsed="false">
      <c r="A84" s="16" t="n">
        <v>46388</v>
      </c>
      <c r="B84" s="17" t="str">
        <f aca="false">IFERROR(haverdata(Codes!$D$8,$A84),"")</f>
        <v/>
      </c>
      <c r="C84" s="18" t="str">
        <f aca="false">IFERROR(B84/B83-1,"")</f>
        <v/>
      </c>
      <c r="D84" s="18" t="str">
        <f aca="false">IFERROR(B84/B80-1,"")</f>
        <v/>
      </c>
      <c r="E84" s="19" t="str">
        <f aca="false">IFERROR(IF(B84="",IFERROR(GROWTH($B$8:$B$95,$A$8:$A$95,$A84),TREND($B$8:$B$95,$A$8:$A$95,$A84)),""),"")</f>
        <v/>
      </c>
      <c r="F84" s="19" t="str">
        <f aca="false">IFERROR(forecast.ets($A84,$B$8:$B$95,$A$8:$A$95,4,1,1),"")</f>
        <v/>
      </c>
      <c r="G84" s="19" t="str">
        <f aca="false">IFERROR(F84-forecast.ets.confint($A84,$B$8:$B$95,$A$8:$A$95,0.95,4,1,1),"")</f>
        <v/>
      </c>
      <c r="H84" s="19" t="str">
        <f aca="false">IFERROR(F84+forecast.ets.confint($A84,$B$8:$B$95,$A$8:$A$95,0.95,4,1,1),"")</f>
        <v/>
      </c>
    </row>
    <row r="85" customFormat="false" ht="15" hidden="false" customHeight="false" outlineLevel="0" collapsed="false">
      <c r="A85" s="21" t="n">
        <v>46478</v>
      </c>
      <c r="B85" s="22" t="str">
        <f aca="false">IFERROR(haverdata(Codes!$D$8,$A85),"")</f>
        <v/>
      </c>
      <c r="C85" s="23" t="str">
        <f aca="false">IFERROR(B85/B84-1,"")</f>
        <v/>
      </c>
      <c r="D85" s="23" t="str">
        <f aca="false">IFERROR(B85/B81-1,"")</f>
        <v/>
      </c>
      <c r="E85" s="24" t="str">
        <f aca="false">IFERROR(IF(B85="",IFERROR(GROWTH($B$8:$B$95,$A$8:$A$95,$A85),TREND($B$8:$B$95,$A$8:$A$95,$A85)),""),"")</f>
        <v/>
      </c>
      <c r="F85" s="24" t="str">
        <f aca="false">IFERROR(forecast.ets($A85,$B$8:$B$95,$A$8:$A$95,4,1,1),"")</f>
        <v/>
      </c>
      <c r="G85" s="24" t="str">
        <f aca="false">IFERROR(F85-forecast.ets.confint($A85,$B$8:$B$95,$A$8:$A$95,0.95,4,1,1),"")</f>
        <v/>
      </c>
      <c r="H85" s="24" t="str">
        <f aca="false">IFERROR(F85+forecast.ets.confint($A85,$B$8:$B$95,$A$8:$A$95,0.95,4,1,1),"")</f>
        <v/>
      </c>
    </row>
    <row r="86" customFormat="false" ht="15" hidden="false" customHeight="false" outlineLevel="0" collapsed="false">
      <c r="A86" s="16" t="n">
        <v>46569</v>
      </c>
      <c r="B86" s="17" t="str">
        <f aca="false">IFERROR(haverdata(Codes!$D$8,$A86),"")</f>
        <v/>
      </c>
      <c r="C86" s="18" t="str">
        <f aca="false">IFERROR(B86/B85-1,"")</f>
        <v/>
      </c>
      <c r="D86" s="18" t="str">
        <f aca="false">IFERROR(B86/B82-1,"")</f>
        <v/>
      </c>
      <c r="E86" s="19" t="str">
        <f aca="false">IFERROR(IF(B86="",IFERROR(GROWTH($B$8:$B$95,$A$8:$A$95,$A86),TREND($B$8:$B$95,$A$8:$A$95,$A86)),""),"")</f>
        <v/>
      </c>
      <c r="F86" s="19" t="str">
        <f aca="false">IFERROR(forecast.ets($A86,$B$8:$B$95,$A$8:$A$95,4,1,1),"")</f>
        <v/>
      </c>
      <c r="G86" s="19" t="str">
        <f aca="false">IFERROR(F86-forecast.ets.confint($A86,$B$8:$B$95,$A$8:$A$95,0.95,4,1,1),"")</f>
        <v/>
      </c>
      <c r="H86" s="19" t="str">
        <f aca="false">IFERROR(F86+forecast.ets.confint($A86,$B$8:$B$95,$A$8:$A$95,0.95,4,1,1),"")</f>
        <v/>
      </c>
    </row>
    <row r="87" customFormat="false" ht="15" hidden="false" customHeight="false" outlineLevel="0" collapsed="false">
      <c r="A87" s="21" t="n">
        <v>46661</v>
      </c>
      <c r="B87" s="22" t="str">
        <f aca="false">IFERROR(haverdata(Codes!$D$8,$A87),"")</f>
        <v/>
      </c>
      <c r="C87" s="23" t="str">
        <f aca="false">IFERROR(B87/B86-1,"")</f>
        <v/>
      </c>
      <c r="D87" s="23" t="str">
        <f aca="false">IFERROR(B87/B83-1,"")</f>
        <v/>
      </c>
      <c r="E87" s="24" t="str">
        <f aca="false">IFERROR(IF(B87="",IFERROR(GROWTH($B$8:$B$95,$A$8:$A$95,$A87),TREND($B$8:$B$95,$A$8:$A$95,$A87)),""),"")</f>
        <v/>
      </c>
      <c r="F87" s="24" t="str">
        <f aca="false">IFERROR(forecast.ets($A87,$B$8:$B$95,$A$8:$A$95,4,1,1),"")</f>
        <v/>
      </c>
      <c r="G87" s="24" t="str">
        <f aca="false">IFERROR(F87-forecast.ets.confint($A87,$B$8:$B$95,$A$8:$A$95,0.95,4,1,1),"")</f>
        <v/>
      </c>
      <c r="H87" s="24" t="str">
        <f aca="false">IFERROR(F87+forecast.ets.confint($A87,$B$8:$B$95,$A$8:$A$95,0.95,4,1,1),"")</f>
        <v/>
      </c>
    </row>
    <row r="88" customFormat="false" ht="15" hidden="false" customHeight="false" outlineLevel="0" collapsed="false">
      <c r="A88" s="16" t="n">
        <v>46753</v>
      </c>
      <c r="B88" s="17" t="str">
        <f aca="false">IFERROR(haverdata(Codes!$D$8,$A88),"")</f>
        <v/>
      </c>
      <c r="C88" s="18" t="str">
        <f aca="false">IFERROR(B88/B87-1,"")</f>
        <v/>
      </c>
      <c r="D88" s="18" t="str">
        <f aca="false">IFERROR(B88/B84-1,"")</f>
        <v/>
      </c>
      <c r="E88" s="19" t="str">
        <f aca="false">IFERROR(IF(B88="",IFERROR(GROWTH($B$8:$B$95,$A$8:$A$95,$A88),TREND($B$8:$B$95,$A$8:$A$95,$A88)),""),"")</f>
        <v/>
      </c>
      <c r="F88" s="19" t="str">
        <f aca="false">IFERROR(forecast.ets($A88,$B$8:$B$95,$A$8:$A$95,4,1,1),"")</f>
        <v/>
      </c>
      <c r="G88" s="19" t="str">
        <f aca="false">IFERROR(F88-forecast.ets.confint($A88,$B$8:$B$95,$A$8:$A$95,0.95,4,1,1),"")</f>
        <v/>
      </c>
      <c r="H88" s="19" t="str">
        <f aca="false">IFERROR(F88+forecast.ets.confint($A88,$B$8:$B$95,$A$8:$A$95,0.95,4,1,1),"")</f>
        <v/>
      </c>
    </row>
    <row r="89" customFormat="false" ht="15" hidden="false" customHeight="false" outlineLevel="0" collapsed="false">
      <c r="A89" s="21" t="n">
        <v>46844</v>
      </c>
      <c r="B89" s="22" t="str">
        <f aca="false">IFERROR(haverdata(Codes!$D$8,$A89),"")</f>
        <v/>
      </c>
      <c r="C89" s="23" t="str">
        <f aca="false">IFERROR(B89/B88-1,"")</f>
        <v/>
      </c>
      <c r="D89" s="23" t="str">
        <f aca="false">IFERROR(B89/B85-1,"")</f>
        <v/>
      </c>
      <c r="E89" s="24" t="str">
        <f aca="false">IFERROR(IF(B89="",IFERROR(GROWTH($B$8:$B$95,$A$8:$A$95,$A89),TREND($B$8:$B$95,$A$8:$A$95,$A89)),""),"")</f>
        <v/>
      </c>
      <c r="F89" s="24" t="str">
        <f aca="false">IFERROR(forecast.ets($A89,$B$8:$B$95,$A$8:$A$95,4,1,1),"")</f>
        <v/>
      </c>
      <c r="G89" s="24" t="str">
        <f aca="false">IFERROR(F89-forecast.ets.confint($A89,$B$8:$B$95,$A$8:$A$95,0.95,4,1,1),"")</f>
        <v/>
      </c>
      <c r="H89" s="24" t="str">
        <f aca="false">IFERROR(F89+forecast.ets.confint($A89,$B$8:$B$95,$A$8:$A$95,0.95,4,1,1),"")</f>
        <v/>
      </c>
    </row>
    <row r="90" customFormat="false" ht="15" hidden="false" customHeight="false" outlineLevel="0" collapsed="false">
      <c r="A90" s="16" t="n">
        <v>46935</v>
      </c>
      <c r="B90" s="17" t="str">
        <f aca="false">IFERROR(haverdata(Codes!$D$8,$A90),"")</f>
        <v/>
      </c>
      <c r="C90" s="18" t="str">
        <f aca="false">IFERROR(B90/B89-1,"")</f>
        <v/>
      </c>
      <c r="D90" s="18" t="str">
        <f aca="false">IFERROR(B90/B86-1,"")</f>
        <v/>
      </c>
      <c r="E90" s="19" t="str">
        <f aca="false">IFERROR(IF(B90="",IFERROR(GROWTH($B$8:$B$95,$A$8:$A$95,$A90),TREND($B$8:$B$95,$A$8:$A$95,$A90)),""),"")</f>
        <v/>
      </c>
      <c r="F90" s="19" t="str">
        <f aca="false">IFERROR(forecast.ets($A90,$B$8:$B$95,$A$8:$A$95,4,1,1),"")</f>
        <v/>
      </c>
      <c r="G90" s="19" t="str">
        <f aca="false">IFERROR(F90-forecast.ets.confint($A90,$B$8:$B$95,$A$8:$A$95,0.95,4,1,1),"")</f>
        <v/>
      </c>
      <c r="H90" s="19" t="str">
        <f aca="false">IFERROR(F90+forecast.ets.confint($A90,$B$8:$B$95,$A$8:$A$95,0.95,4,1,1),"")</f>
        <v/>
      </c>
    </row>
    <row r="91" customFormat="false" ht="15" hidden="false" customHeight="false" outlineLevel="0" collapsed="false">
      <c r="A91" s="21" t="n">
        <v>47027</v>
      </c>
      <c r="B91" s="22" t="str">
        <f aca="false">IFERROR(haverdata(Codes!$D$8,$A91),"")</f>
        <v/>
      </c>
      <c r="C91" s="23" t="str">
        <f aca="false">IFERROR(B91/B90-1,"")</f>
        <v/>
      </c>
      <c r="D91" s="23" t="str">
        <f aca="false">IFERROR(B91/B87-1,"")</f>
        <v/>
      </c>
      <c r="E91" s="24" t="str">
        <f aca="false">IFERROR(IF(B91="",IFERROR(GROWTH($B$8:$B$95,$A$8:$A$95,$A91),TREND($B$8:$B$95,$A$8:$A$95,$A91)),""),"")</f>
        <v/>
      </c>
      <c r="F91" s="24" t="str">
        <f aca="false">IFERROR(forecast.ets($A91,$B$8:$B$95,$A$8:$A$95,4,1,1),"")</f>
        <v/>
      </c>
      <c r="G91" s="24" t="str">
        <f aca="false">IFERROR(F91-forecast.ets.confint($A91,$B$8:$B$95,$A$8:$A$95,0.95,4,1,1),"")</f>
        <v/>
      </c>
      <c r="H91" s="24" t="str">
        <f aca="false">IFERROR(F91+forecast.ets.confint($A91,$B$8:$B$95,$A$8:$A$95,0.95,4,1,1),"")</f>
        <v/>
      </c>
    </row>
    <row r="92" customFormat="false" ht="15" hidden="false" customHeight="false" outlineLevel="0" collapsed="false">
      <c r="A92" s="16" t="n">
        <v>47119</v>
      </c>
      <c r="B92" s="17" t="str">
        <f aca="false">IFERROR(haverdata(Codes!$D$8,$A92),"")</f>
        <v/>
      </c>
      <c r="C92" s="18" t="str">
        <f aca="false">IFERROR(B92/B91-1,"")</f>
        <v/>
      </c>
      <c r="D92" s="18" t="str">
        <f aca="false">IFERROR(B92/B88-1,"")</f>
        <v/>
      </c>
      <c r="E92" s="19" t="str">
        <f aca="false">IFERROR(IF(B92="",IFERROR(GROWTH($B$8:$B$95,$A$8:$A$95,$A92),TREND($B$8:$B$95,$A$8:$A$95,$A92)),""),"")</f>
        <v/>
      </c>
      <c r="F92" s="19" t="str">
        <f aca="false">IFERROR(forecast.ets($A92,$B$8:$B$95,$A$8:$A$95,4,1,1),"")</f>
        <v/>
      </c>
      <c r="G92" s="19" t="str">
        <f aca="false">IFERROR(F92-forecast.ets.confint($A92,$B$8:$B$95,$A$8:$A$95,0.95,4,1,1),"")</f>
        <v/>
      </c>
      <c r="H92" s="19" t="str">
        <f aca="false">IFERROR(F92+forecast.ets.confint($A92,$B$8:$B$95,$A$8:$A$95,0.95,4,1,1),"")</f>
        <v/>
      </c>
    </row>
    <row r="93" customFormat="false" ht="15" hidden="false" customHeight="false" outlineLevel="0" collapsed="false">
      <c r="A93" s="21" t="n">
        <v>47209</v>
      </c>
      <c r="B93" s="22" t="str">
        <f aca="false">IFERROR(haverdata(Codes!$D$8,$A93),"")</f>
        <v/>
      </c>
      <c r="C93" s="23" t="str">
        <f aca="false">IFERROR(B93/B92-1,"")</f>
        <v/>
      </c>
      <c r="D93" s="23" t="str">
        <f aca="false">IFERROR(B93/B89-1,"")</f>
        <v/>
      </c>
      <c r="E93" s="24" t="str">
        <f aca="false">IFERROR(IF(B93="",IFERROR(GROWTH($B$8:$B$95,$A$8:$A$95,$A93),TREND($B$8:$B$95,$A$8:$A$95,$A93)),""),"")</f>
        <v/>
      </c>
      <c r="F93" s="24" t="str">
        <f aca="false">IFERROR(forecast.ets($A93,$B$8:$B$95,$A$8:$A$95,4,1,1),"")</f>
        <v/>
      </c>
      <c r="G93" s="24" t="str">
        <f aca="false">IFERROR(F93-forecast.ets.confint($A93,$B$8:$B$95,$A$8:$A$95,0.95,4,1,1),"")</f>
        <v/>
      </c>
      <c r="H93" s="24" t="str">
        <f aca="false">IFERROR(F93+forecast.ets.confint($A93,$B$8:$B$95,$A$8:$A$95,0.95,4,1,1),"")</f>
        <v/>
      </c>
    </row>
    <row r="94" customFormat="false" ht="15" hidden="false" customHeight="false" outlineLevel="0" collapsed="false">
      <c r="A94" s="16" t="n">
        <v>47300</v>
      </c>
      <c r="B94" s="17" t="str">
        <f aca="false">IFERROR(haverdata(Codes!$D$8,$A94),"")</f>
        <v/>
      </c>
      <c r="C94" s="18" t="str">
        <f aca="false">IFERROR(B94/B93-1,"")</f>
        <v/>
      </c>
      <c r="D94" s="18" t="str">
        <f aca="false">IFERROR(B94/B90-1,"")</f>
        <v/>
      </c>
      <c r="E94" s="19" t="str">
        <f aca="false">IFERROR(IF(B94="",IFERROR(GROWTH($B$8:$B$95,$A$8:$A$95,$A94),TREND($B$8:$B$95,$A$8:$A$95,$A94)),""),"")</f>
        <v/>
      </c>
      <c r="F94" s="19" t="str">
        <f aca="false">IFERROR(forecast.ets($A94,$B$8:$B$95,$A$8:$A$95,4,1,1),"")</f>
        <v/>
      </c>
      <c r="G94" s="19" t="str">
        <f aca="false">IFERROR(F94-forecast.ets.confint($A94,$B$8:$B$95,$A$8:$A$95,0.95,4,1,1),"")</f>
        <v/>
      </c>
      <c r="H94" s="19" t="str">
        <f aca="false">IFERROR(F94+forecast.ets.confint($A94,$B$8:$B$95,$A$8:$A$95,0.95,4,1,1),"")</f>
        <v/>
      </c>
    </row>
    <row r="95" customFormat="false" ht="15" hidden="false" customHeight="false" outlineLevel="0" collapsed="false">
      <c r="A95" s="21" t="n">
        <v>47392</v>
      </c>
      <c r="B95" s="22" t="str">
        <f aca="false">IFERROR(haverdata(Codes!$D$8,$A95),"")</f>
        <v/>
      </c>
      <c r="C95" s="23" t="str">
        <f aca="false">IFERROR(B95/B94-1,"")</f>
        <v/>
      </c>
      <c r="D95" s="23" t="str">
        <f aca="false">IFERROR(B95/B91-1,"")</f>
        <v/>
      </c>
      <c r="E95" s="24" t="str">
        <f aca="false">IFERROR(IF(B95="",IFERROR(GROWTH($B$8:$B$95,$A$8:$A$95,$A95),TREND($B$8:$B$95,$A$8:$A$95,$A95)),""),"")</f>
        <v/>
      </c>
      <c r="F95" s="24" t="str">
        <f aca="false">IFERROR(forecast.ets($A95,$B$8:$B$95,$A$8:$A$95,4,1,1),"")</f>
        <v/>
      </c>
      <c r="G95" s="24" t="str">
        <f aca="false">IFERROR(F95-forecast.ets.confint($A95,$B$8:$B$95,$A$8:$A$95,0.95,4,1,1),"")</f>
        <v/>
      </c>
      <c r="H95" s="24" t="str">
        <f aca="false">IFERROR(F95+forecast.ets.confint($A95,$B$8:$B$95,$A$8:$A$95,0.95,4,1,1),"")</f>
        <v/>
      </c>
    </row>
    <row r="100" customFormat="false" ht="21.75" hidden="false" customHeight="true" outlineLevel="0" collapsed="false">
      <c r="A100" s="13" t="str">
        <f aca="false">Codes!$B$9&amp;"   ["&amp;Codes!$D$9&amp;"]   "&amp;Codes!$F$9</f>
        <v>Core CPI   [IPCCORE@ARGEN]   Index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customFormat="false" ht="15" hidden="false" customHeight="false" outlineLevel="0" collapsed="false">
      <c r="A101" s="4" t="s">
        <v>107</v>
      </c>
      <c r="B101" s="14" t="str">
        <f aca="false">Codes!$G$9</f>
        <v>avg</v>
      </c>
      <c r="D101" s="4" t="s">
        <v>108</v>
      </c>
      <c r="E101" s="6" t="str">
        <f aca="false">Codes!$H$9</f>
        <v>[VERIFY]</v>
      </c>
      <c r="F101" s="6"/>
      <c r="G101" s="6"/>
      <c r="H101" s="6"/>
      <c r="I101" s="6"/>
      <c r="J101" s="6"/>
      <c r="K101" s="6"/>
      <c r="L101" s="6"/>
      <c r="M101" s="6"/>
    </row>
    <row r="102" customFormat="false" ht="18" hidden="false" customHeight="true" outlineLevel="0" collapsed="false">
      <c r="A102" s="15" t="s">
        <v>109</v>
      </c>
      <c r="B102" s="15"/>
      <c r="C102" s="15"/>
      <c r="D102" s="15"/>
      <c r="E102" s="15"/>
      <c r="F102" s="15"/>
      <c r="G102" s="15"/>
      <c r="H102" s="15"/>
      <c r="J102" s="15" t="s">
        <v>110</v>
      </c>
      <c r="K102" s="15"/>
      <c r="L102" s="15"/>
      <c r="M102" s="15"/>
    </row>
    <row r="103" customFormat="false" ht="15" hidden="false" customHeight="false" outlineLevel="0" collapsed="false">
      <c r="A103" s="7" t="s">
        <v>111</v>
      </c>
      <c r="B103" s="7" t="s">
        <v>112</v>
      </c>
      <c r="C103" s="7" t="s">
        <v>113</v>
      </c>
      <c r="D103" s="7" t="s">
        <v>114</v>
      </c>
      <c r="E103" s="7" t="s">
        <v>115</v>
      </c>
      <c r="F103" s="7" t="s">
        <v>116</v>
      </c>
      <c r="G103" s="7" t="s">
        <v>117</v>
      </c>
      <c r="H103" s="7" t="s">
        <v>118</v>
      </c>
      <c r="J103" s="7" t="s">
        <v>119</v>
      </c>
      <c r="K103" s="7" t="s">
        <v>112</v>
      </c>
      <c r="L103" s="7" t="s">
        <v>114</v>
      </c>
      <c r="M103" s="7" t="s">
        <v>120</v>
      </c>
    </row>
    <row r="104" customFormat="false" ht="15" hidden="false" customHeight="false" outlineLevel="0" collapsed="false">
      <c r="A104" s="16" t="n">
        <v>39448</v>
      </c>
      <c r="B104" s="17" t="str">
        <f aca="false">IFERROR(haverdata(Codes!$D$9,$A104),"")</f>
        <v/>
      </c>
      <c r="C104" s="18"/>
      <c r="D104" s="18"/>
      <c r="E104" s="19" t="str">
        <f aca="false">IFERROR(IF(B104="",IFERROR(GROWTH($B$104:$B$191,$A$104:$A$191,$A104),TREND($B$104:$B$191,$A$104:$A$191,$A104)),""),"")</f>
        <v/>
      </c>
      <c r="F104" s="19" t="str">
        <f aca="false">IFERROR(forecast.ets($A104,$B$104:$B$191,$A$104:$A$191,4,1,1),"")</f>
        <v/>
      </c>
      <c r="G104" s="19" t="str">
        <f aca="false">IFERROR(F104-forecast.ets.confint($A104,$B$104:$B$191,$A$104:$A$191,0.95,4,1,1),"")</f>
        <v/>
      </c>
      <c r="H104" s="19" t="str">
        <f aca="false">IFERROR(F104+forecast.ets.confint($A104,$B$104:$B$191,$A$104:$A$191,0.95,4,1,1),"")</f>
        <v/>
      </c>
      <c r="J104" s="20" t="n">
        <v>2008</v>
      </c>
      <c r="K104" s="19" t="str">
        <f aca="false">IFERROR(AVERAGEIFS($B$104:$B$191,$A$104:$A$191,"&gt;="&amp;DATE(J104,1,1),$A$104:$A$191,"&lt;="&amp;DATE(J104,12,31)),"")</f>
        <v/>
      </c>
      <c r="L104" s="18"/>
      <c r="M104" s="19" t="str">
        <f aca="false">IFERROR(AVERAGEIFS($F$104:$F$191,$A$104:$A$191,"&gt;="&amp;DATE(J104,1,1),$A$104:$A$191,"&lt;="&amp;DATE(J104,12,31)),"")</f>
        <v/>
      </c>
    </row>
    <row r="105" customFormat="false" ht="15" hidden="false" customHeight="false" outlineLevel="0" collapsed="false">
      <c r="A105" s="21" t="n">
        <v>39539</v>
      </c>
      <c r="B105" s="22" t="str">
        <f aca="false">IFERROR(haverdata(Codes!$D$9,$A105),"")</f>
        <v/>
      </c>
      <c r="C105" s="23" t="str">
        <f aca="false">IFERROR(B105/B104-1,"")</f>
        <v/>
      </c>
      <c r="D105" s="23"/>
      <c r="E105" s="24" t="str">
        <f aca="false">IFERROR(IF(B105="",IFERROR(GROWTH($B$104:$B$191,$A$104:$A$191,$A105),TREND($B$104:$B$191,$A$104:$A$191,$A105)),""),"")</f>
        <v/>
      </c>
      <c r="F105" s="24" t="str">
        <f aca="false">IFERROR(forecast.ets($A105,$B$104:$B$191,$A$104:$A$191,4,1,1),"")</f>
        <v/>
      </c>
      <c r="G105" s="24" t="str">
        <f aca="false">IFERROR(F105-forecast.ets.confint($A105,$B$104:$B$191,$A$104:$A$191,0.95,4,1,1),"")</f>
        <v/>
      </c>
      <c r="H105" s="24" t="str">
        <f aca="false">IFERROR(F105+forecast.ets.confint($A105,$B$104:$B$191,$A$104:$A$191,0.95,4,1,1),"")</f>
        <v/>
      </c>
      <c r="J105" s="25" t="n">
        <v>2009</v>
      </c>
      <c r="K105" s="24" t="str">
        <f aca="false">IFERROR(AVERAGEIFS($B$104:$B$191,$A$104:$A$191,"&gt;="&amp;DATE(J105,1,1),$A$104:$A$191,"&lt;="&amp;DATE(J105,12,31)),"")</f>
        <v/>
      </c>
      <c r="L105" s="23" t="str">
        <f aca="false">IFERROR(K105/K104-1,"")</f>
        <v/>
      </c>
      <c r="M105" s="24" t="str">
        <f aca="false">IFERROR(AVERAGEIFS($F$104:$F$191,$A$104:$A$191,"&gt;="&amp;DATE(J105,1,1),$A$104:$A$191,"&lt;="&amp;DATE(J105,12,31)),"")</f>
        <v/>
      </c>
    </row>
    <row r="106" customFormat="false" ht="15" hidden="false" customHeight="false" outlineLevel="0" collapsed="false">
      <c r="A106" s="16" t="n">
        <v>39630</v>
      </c>
      <c r="B106" s="17" t="str">
        <f aca="false">IFERROR(haverdata(Codes!$D$9,$A106),"")</f>
        <v/>
      </c>
      <c r="C106" s="18" t="str">
        <f aca="false">IFERROR(B106/B105-1,"")</f>
        <v/>
      </c>
      <c r="D106" s="18"/>
      <c r="E106" s="19" t="str">
        <f aca="false">IFERROR(IF(B106="",IFERROR(GROWTH($B$104:$B$191,$A$104:$A$191,$A106),TREND($B$104:$B$191,$A$104:$A$191,$A106)),""),"")</f>
        <v/>
      </c>
      <c r="F106" s="19" t="str">
        <f aca="false">IFERROR(forecast.ets($A106,$B$104:$B$191,$A$104:$A$191,4,1,1),"")</f>
        <v/>
      </c>
      <c r="G106" s="19" t="str">
        <f aca="false">IFERROR(F106-forecast.ets.confint($A106,$B$104:$B$191,$A$104:$A$191,0.95,4,1,1),"")</f>
        <v/>
      </c>
      <c r="H106" s="19" t="str">
        <f aca="false">IFERROR(F106+forecast.ets.confint($A106,$B$104:$B$191,$A$104:$A$191,0.95,4,1,1),"")</f>
        <v/>
      </c>
      <c r="J106" s="20" t="n">
        <v>2010</v>
      </c>
      <c r="K106" s="19" t="str">
        <f aca="false">IFERROR(AVERAGEIFS($B$104:$B$191,$A$104:$A$191,"&gt;="&amp;DATE(J106,1,1),$A$104:$A$191,"&lt;="&amp;DATE(J106,12,31)),"")</f>
        <v/>
      </c>
      <c r="L106" s="18" t="str">
        <f aca="false">IFERROR(K106/K105-1,"")</f>
        <v/>
      </c>
      <c r="M106" s="19" t="str">
        <f aca="false">IFERROR(AVERAGEIFS($F$104:$F$191,$A$104:$A$191,"&gt;="&amp;DATE(J106,1,1),$A$104:$A$191,"&lt;="&amp;DATE(J106,12,31)),"")</f>
        <v/>
      </c>
    </row>
    <row r="107" customFormat="false" ht="15" hidden="false" customHeight="false" outlineLevel="0" collapsed="false">
      <c r="A107" s="21" t="n">
        <v>39722</v>
      </c>
      <c r="B107" s="22" t="str">
        <f aca="false">IFERROR(haverdata(Codes!$D$9,$A107),"")</f>
        <v/>
      </c>
      <c r="C107" s="23" t="str">
        <f aca="false">IFERROR(B107/B106-1,"")</f>
        <v/>
      </c>
      <c r="D107" s="23"/>
      <c r="E107" s="24" t="str">
        <f aca="false">IFERROR(IF(B107="",IFERROR(GROWTH($B$104:$B$191,$A$104:$A$191,$A107),TREND($B$104:$B$191,$A$104:$A$191,$A107)),""),"")</f>
        <v/>
      </c>
      <c r="F107" s="24" t="str">
        <f aca="false">IFERROR(forecast.ets($A107,$B$104:$B$191,$A$104:$A$191,4,1,1),"")</f>
        <v/>
      </c>
      <c r="G107" s="24" t="str">
        <f aca="false">IFERROR(F107-forecast.ets.confint($A107,$B$104:$B$191,$A$104:$A$191,0.95,4,1,1),"")</f>
        <v/>
      </c>
      <c r="H107" s="24" t="str">
        <f aca="false">IFERROR(F107+forecast.ets.confint($A107,$B$104:$B$191,$A$104:$A$191,0.95,4,1,1),"")</f>
        <v/>
      </c>
      <c r="J107" s="25" t="n">
        <v>2011</v>
      </c>
      <c r="K107" s="24" t="str">
        <f aca="false">IFERROR(AVERAGEIFS($B$104:$B$191,$A$104:$A$191,"&gt;="&amp;DATE(J107,1,1),$A$104:$A$191,"&lt;="&amp;DATE(J107,12,31)),"")</f>
        <v/>
      </c>
      <c r="L107" s="23" t="str">
        <f aca="false">IFERROR(K107/K106-1,"")</f>
        <v/>
      </c>
      <c r="M107" s="24" t="str">
        <f aca="false">IFERROR(AVERAGEIFS($F$104:$F$191,$A$104:$A$191,"&gt;="&amp;DATE(J107,1,1),$A$104:$A$191,"&lt;="&amp;DATE(J107,12,31)),"")</f>
        <v/>
      </c>
    </row>
    <row r="108" customFormat="false" ht="15" hidden="false" customHeight="false" outlineLevel="0" collapsed="false">
      <c r="A108" s="16" t="n">
        <v>39814</v>
      </c>
      <c r="B108" s="17" t="str">
        <f aca="false">IFERROR(haverdata(Codes!$D$9,$A108),"")</f>
        <v/>
      </c>
      <c r="C108" s="18" t="str">
        <f aca="false">IFERROR(B108/B107-1,"")</f>
        <v/>
      </c>
      <c r="D108" s="18" t="str">
        <f aca="false">IFERROR(B108/B104-1,"")</f>
        <v/>
      </c>
      <c r="E108" s="19" t="str">
        <f aca="false">IFERROR(IF(B108="",IFERROR(GROWTH($B$104:$B$191,$A$104:$A$191,$A108),TREND($B$104:$B$191,$A$104:$A$191,$A108)),""),"")</f>
        <v/>
      </c>
      <c r="F108" s="19" t="str">
        <f aca="false">IFERROR(forecast.ets($A108,$B$104:$B$191,$A$104:$A$191,4,1,1),"")</f>
        <v/>
      </c>
      <c r="G108" s="19" t="str">
        <f aca="false">IFERROR(F108-forecast.ets.confint($A108,$B$104:$B$191,$A$104:$A$191,0.95,4,1,1),"")</f>
        <v/>
      </c>
      <c r="H108" s="19" t="str">
        <f aca="false">IFERROR(F108+forecast.ets.confint($A108,$B$104:$B$191,$A$104:$A$191,0.95,4,1,1),"")</f>
        <v/>
      </c>
      <c r="J108" s="20" t="n">
        <v>2012</v>
      </c>
      <c r="K108" s="19" t="str">
        <f aca="false">IFERROR(AVERAGEIFS($B$104:$B$191,$A$104:$A$191,"&gt;="&amp;DATE(J108,1,1),$A$104:$A$191,"&lt;="&amp;DATE(J108,12,31)),"")</f>
        <v/>
      </c>
      <c r="L108" s="18" t="str">
        <f aca="false">IFERROR(K108/K107-1,"")</f>
        <v/>
      </c>
      <c r="M108" s="19" t="str">
        <f aca="false">IFERROR(AVERAGEIFS($F$104:$F$191,$A$104:$A$191,"&gt;="&amp;DATE(J108,1,1),$A$104:$A$191,"&lt;="&amp;DATE(J108,12,31)),"")</f>
        <v/>
      </c>
    </row>
    <row r="109" customFormat="false" ht="15" hidden="false" customHeight="false" outlineLevel="0" collapsed="false">
      <c r="A109" s="21" t="n">
        <v>39904</v>
      </c>
      <c r="B109" s="22" t="str">
        <f aca="false">IFERROR(haverdata(Codes!$D$9,$A109),"")</f>
        <v/>
      </c>
      <c r="C109" s="23" t="str">
        <f aca="false">IFERROR(B109/B108-1,"")</f>
        <v/>
      </c>
      <c r="D109" s="23" t="str">
        <f aca="false">IFERROR(B109/B105-1,"")</f>
        <v/>
      </c>
      <c r="E109" s="24" t="str">
        <f aca="false">IFERROR(IF(B109="",IFERROR(GROWTH($B$104:$B$191,$A$104:$A$191,$A109),TREND($B$104:$B$191,$A$104:$A$191,$A109)),""),"")</f>
        <v/>
      </c>
      <c r="F109" s="24" t="str">
        <f aca="false">IFERROR(forecast.ets($A109,$B$104:$B$191,$A$104:$A$191,4,1,1),"")</f>
        <v/>
      </c>
      <c r="G109" s="24" t="str">
        <f aca="false">IFERROR(F109-forecast.ets.confint($A109,$B$104:$B$191,$A$104:$A$191,0.95,4,1,1),"")</f>
        <v/>
      </c>
      <c r="H109" s="24" t="str">
        <f aca="false">IFERROR(F109+forecast.ets.confint($A109,$B$104:$B$191,$A$104:$A$191,0.95,4,1,1),"")</f>
        <v/>
      </c>
      <c r="J109" s="25" t="n">
        <v>2013</v>
      </c>
      <c r="K109" s="24" t="str">
        <f aca="false">IFERROR(AVERAGEIFS($B$104:$B$191,$A$104:$A$191,"&gt;="&amp;DATE(J109,1,1),$A$104:$A$191,"&lt;="&amp;DATE(J109,12,31)),"")</f>
        <v/>
      </c>
      <c r="L109" s="23" t="str">
        <f aca="false">IFERROR(K109/K108-1,"")</f>
        <v/>
      </c>
      <c r="M109" s="24" t="str">
        <f aca="false">IFERROR(AVERAGEIFS($F$104:$F$191,$A$104:$A$191,"&gt;="&amp;DATE(J109,1,1),$A$104:$A$191,"&lt;="&amp;DATE(J109,12,31)),"")</f>
        <v/>
      </c>
    </row>
    <row r="110" customFormat="false" ht="15" hidden="false" customHeight="false" outlineLevel="0" collapsed="false">
      <c r="A110" s="16" t="n">
        <v>39995</v>
      </c>
      <c r="B110" s="17" t="str">
        <f aca="false">IFERROR(haverdata(Codes!$D$9,$A110),"")</f>
        <v/>
      </c>
      <c r="C110" s="18" t="str">
        <f aca="false">IFERROR(B110/B109-1,"")</f>
        <v/>
      </c>
      <c r="D110" s="18" t="str">
        <f aca="false">IFERROR(B110/B106-1,"")</f>
        <v/>
      </c>
      <c r="E110" s="19" t="str">
        <f aca="false">IFERROR(IF(B110="",IFERROR(GROWTH($B$104:$B$191,$A$104:$A$191,$A110),TREND($B$104:$B$191,$A$104:$A$191,$A110)),""),"")</f>
        <v/>
      </c>
      <c r="F110" s="19" t="str">
        <f aca="false">IFERROR(forecast.ets($A110,$B$104:$B$191,$A$104:$A$191,4,1,1),"")</f>
        <v/>
      </c>
      <c r="G110" s="19" t="str">
        <f aca="false">IFERROR(F110-forecast.ets.confint($A110,$B$104:$B$191,$A$104:$A$191,0.95,4,1,1),"")</f>
        <v/>
      </c>
      <c r="H110" s="19" t="str">
        <f aca="false">IFERROR(F110+forecast.ets.confint($A110,$B$104:$B$191,$A$104:$A$191,0.95,4,1,1),"")</f>
        <v/>
      </c>
      <c r="J110" s="20" t="n">
        <v>2014</v>
      </c>
      <c r="K110" s="19" t="str">
        <f aca="false">IFERROR(AVERAGEIFS($B$104:$B$191,$A$104:$A$191,"&gt;="&amp;DATE(J110,1,1),$A$104:$A$191,"&lt;="&amp;DATE(J110,12,31)),"")</f>
        <v/>
      </c>
      <c r="L110" s="18" t="str">
        <f aca="false">IFERROR(K110/K109-1,"")</f>
        <v/>
      </c>
      <c r="M110" s="19" t="str">
        <f aca="false">IFERROR(AVERAGEIFS($F$104:$F$191,$A$104:$A$191,"&gt;="&amp;DATE(J110,1,1),$A$104:$A$191,"&lt;="&amp;DATE(J110,12,31)),"")</f>
        <v/>
      </c>
    </row>
    <row r="111" customFormat="false" ht="15" hidden="false" customHeight="false" outlineLevel="0" collapsed="false">
      <c r="A111" s="21" t="n">
        <v>40087</v>
      </c>
      <c r="B111" s="22" t="str">
        <f aca="false">IFERROR(haverdata(Codes!$D$9,$A111),"")</f>
        <v/>
      </c>
      <c r="C111" s="23" t="str">
        <f aca="false">IFERROR(B111/B110-1,"")</f>
        <v/>
      </c>
      <c r="D111" s="23" t="str">
        <f aca="false">IFERROR(B111/B107-1,"")</f>
        <v/>
      </c>
      <c r="E111" s="24" t="str">
        <f aca="false">IFERROR(IF(B111="",IFERROR(GROWTH($B$104:$B$191,$A$104:$A$191,$A111),TREND($B$104:$B$191,$A$104:$A$191,$A111)),""),"")</f>
        <v/>
      </c>
      <c r="F111" s="24" t="str">
        <f aca="false">IFERROR(forecast.ets($A111,$B$104:$B$191,$A$104:$A$191,4,1,1),"")</f>
        <v/>
      </c>
      <c r="G111" s="24" t="str">
        <f aca="false">IFERROR(F111-forecast.ets.confint($A111,$B$104:$B$191,$A$104:$A$191,0.95,4,1,1),"")</f>
        <v/>
      </c>
      <c r="H111" s="24" t="str">
        <f aca="false">IFERROR(F111+forecast.ets.confint($A111,$B$104:$B$191,$A$104:$A$191,0.95,4,1,1),"")</f>
        <v/>
      </c>
      <c r="J111" s="25" t="n">
        <v>2015</v>
      </c>
      <c r="K111" s="24" t="str">
        <f aca="false">IFERROR(AVERAGEIFS($B$104:$B$191,$A$104:$A$191,"&gt;="&amp;DATE(J111,1,1),$A$104:$A$191,"&lt;="&amp;DATE(J111,12,31)),"")</f>
        <v/>
      </c>
      <c r="L111" s="23" t="str">
        <f aca="false">IFERROR(K111/K110-1,"")</f>
        <v/>
      </c>
      <c r="M111" s="24" t="str">
        <f aca="false">IFERROR(AVERAGEIFS($F$104:$F$191,$A$104:$A$191,"&gt;="&amp;DATE(J111,1,1),$A$104:$A$191,"&lt;="&amp;DATE(J111,12,31)),"")</f>
        <v/>
      </c>
    </row>
    <row r="112" customFormat="false" ht="15" hidden="false" customHeight="false" outlineLevel="0" collapsed="false">
      <c r="A112" s="16" t="n">
        <v>40179</v>
      </c>
      <c r="B112" s="17" t="str">
        <f aca="false">IFERROR(haverdata(Codes!$D$9,$A112),"")</f>
        <v/>
      </c>
      <c r="C112" s="18" t="str">
        <f aca="false">IFERROR(B112/B111-1,"")</f>
        <v/>
      </c>
      <c r="D112" s="18" t="str">
        <f aca="false">IFERROR(B112/B108-1,"")</f>
        <v/>
      </c>
      <c r="E112" s="19" t="str">
        <f aca="false">IFERROR(IF(B112="",IFERROR(GROWTH($B$104:$B$191,$A$104:$A$191,$A112),TREND($B$104:$B$191,$A$104:$A$191,$A112)),""),"")</f>
        <v/>
      </c>
      <c r="F112" s="19" t="str">
        <f aca="false">IFERROR(forecast.ets($A112,$B$104:$B$191,$A$104:$A$191,4,1,1),"")</f>
        <v/>
      </c>
      <c r="G112" s="19" t="str">
        <f aca="false">IFERROR(F112-forecast.ets.confint($A112,$B$104:$B$191,$A$104:$A$191,0.95,4,1,1),"")</f>
        <v/>
      </c>
      <c r="H112" s="19" t="str">
        <f aca="false">IFERROR(F112+forecast.ets.confint($A112,$B$104:$B$191,$A$104:$A$191,0.95,4,1,1),"")</f>
        <v/>
      </c>
      <c r="J112" s="20" t="n">
        <v>2016</v>
      </c>
      <c r="K112" s="19" t="str">
        <f aca="false">IFERROR(AVERAGEIFS($B$104:$B$191,$A$104:$A$191,"&gt;="&amp;DATE(J112,1,1),$A$104:$A$191,"&lt;="&amp;DATE(J112,12,31)),"")</f>
        <v/>
      </c>
      <c r="L112" s="18" t="str">
        <f aca="false">IFERROR(K112/K111-1,"")</f>
        <v/>
      </c>
      <c r="M112" s="19" t="str">
        <f aca="false">IFERROR(AVERAGEIFS($F$104:$F$191,$A$104:$A$191,"&gt;="&amp;DATE(J112,1,1),$A$104:$A$191,"&lt;="&amp;DATE(J112,12,31)),"")</f>
        <v/>
      </c>
    </row>
    <row r="113" customFormat="false" ht="15" hidden="false" customHeight="false" outlineLevel="0" collapsed="false">
      <c r="A113" s="21" t="n">
        <v>40269</v>
      </c>
      <c r="B113" s="22" t="str">
        <f aca="false">IFERROR(haverdata(Codes!$D$9,$A113),"")</f>
        <v/>
      </c>
      <c r="C113" s="23" t="str">
        <f aca="false">IFERROR(B113/B112-1,"")</f>
        <v/>
      </c>
      <c r="D113" s="23" t="str">
        <f aca="false">IFERROR(B113/B109-1,"")</f>
        <v/>
      </c>
      <c r="E113" s="24" t="str">
        <f aca="false">IFERROR(IF(B113="",IFERROR(GROWTH($B$104:$B$191,$A$104:$A$191,$A113),TREND($B$104:$B$191,$A$104:$A$191,$A113)),""),"")</f>
        <v/>
      </c>
      <c r="F113" s="24" t="str">
        <f aca="false">IFERROR(forecast.ets($A113,$B$104:$B$191,$A$104:$A$191,4,1,1),"")</f>
        <v/>
      </c>
      <c r="G113" s="24" t="str">
        <f aca="false">IFERROR(F113-forecast.ets.confint($A113,$B$104:$B$191,$A$104:$A$191,0.95,4,1,1),"")</f>
        <v/>
      </c>
      <c r="H113" s="24" t="str">
        <f aca="false">IFERROR(F113+forecast.ets.confint($A113,$B$104:$B$191,$A$104:$A$191,0.95,4,1,1),"")</f>
        <v/>
      </c>
      <c r="J113" s="25" t="n">
        <v>2017</v>
      </c>
      <c r="K113" s="24" t="str">
        <f aca="false">IFERROR(AVERAGEIFS($B$104:$B$191,$A$104:$A$191,"&gt;="&amp;DATE(J113,1,1),$A$104:$A$191,"&lt;="&amp;DATE(J113,12,31)),"")</f>
        <v/>
      </c>
      <c r="L113" s="23" t="str">
        <f aca="false">IFERROR(K113/K112-1,"")</f>
        <v/>
      </c>
      <c r="M113" s="24" t="str">
        <f aca="false">IFERROR(AVERAGEIFS($F$104:$F$191,$A$104:$A$191,"&gt;="&amp;DATE(J113,1,1),$A$104:$A$191,"&lt;="&amp;DATE(J113,12,31)),"")</f>
        <v/>
      </c>
    </row>
    <row r="114" customFormat="false" ht="15" hidden="false" customHeight="false" outlineLevel="0" collapsed="false">
      <c r="A114" s="16" t="n">
        <v>40360</v>
      </c>
      <c r="B114" s="17" t="str">
        <f aca="false">IFERROR(haverdata(Codes!$D$9,$A114),"")</f>
        <v/>
      </c>
      <c r="C114" s="18" t="str">
        <f aca="false">IFERROR(B114/B113-1,"")</f>
        <v/>
      </c>
      <c r="D114" s="18" t="str">
        <f aca="false">IFERROR(B114/B110-1,"")</f>
        <v/>
      </c>
      <c r="E114" s="19" t="str">
        <f aca="false">IFERROR(IF(B114="",IFERROR(GROWTH($B$104:$B$191,$A$104:$A$191,$A114),TREND($B$104:$B$191,$A$104:$A$191,$A114)),""),"")</f>
        <v/>
      </c>
      <c r="F114" s="19" t="str">
        <f aca="false">IFERROR(forecast.ets($A114,$B$104:$B$191,$A$104:$A$191,4,1,1),"")</f>
        <v/>
      </c>
      <c r="G114" s="19" t="str">
        <f aca="false">IFERROR(F114-forecast.ets.confint($A114,$B$104:$B$191,$A$104:$A$191,0.95,4,1,1),"")</f>
        <v/>
      </c>
      <c r="H114" s="19" t="str">
        <f aca="false">IFERROR(F114+forecast.ets.confint($A114,$B$104:$B$191,$A$104:$A$191,0.95,4,1,1),"")</f>
        <v/>
      </c>
      <c r="J114" s="20" t="n">
        <v>2018</v>
      </c>
      <c r="K114" s="19" t="str">
        <f aca="false">IFERROR(AVERAGEIFS($B$104:$B$191,$A$104:$A$191,"&gt;="&amp;DATE(J114,1,1),$A$104:$A$191,"&lt;="&amp;DATE(J114,12,31)),"")</f>
        <v/>
      </c>
      <c r="L114" s="18" t="str">
        <f aca="false">IFERROR(K114/K113-1,"")</f>
        <v/>
      </c>
      <c r="M114" s="19" t="str">
        <f aca="false">IFERROR(AVERAGEIFS($F$104:$F$191,$A$104:$A$191,"&gt;="&amp;DATE(J114,1,1),$A$104:$A$191,"&lt;="&amp;DATE(J114,12,31)),"")</f>
        <v/>
      </c>
    </row>
    <row r="115" customFormat="false" ht="15" hidden="false" customHeight="false" outlineLevel="0" collapsed="false">
      <c r="A115" s="21" t="n">
        <v>40452</v>
      </c>
      <c r="B115" s="22" t="str">
        <f aca="false">IFERROR(haverdata(Codes!$D$9,$A115),"")</f>
        <v/>
      </c>
      <c r="C115" s="23" t="str">
        <f aca="false">IFERROR(B115/B114-1,"")</f>
        <v/>
      </c>
      <c r="D115" s="23" t="str">
        <f aca="false">IFERROR(B115/B111-1,"")</f>
        <v/>
      </c>
      <c r="E115" s="24" t="str">
        <f aca="false">IFERROR(IF(B115="",IFERROR(GROWTH($B$104:$B$191,$A$104:$A$191,$A115),TREND($B$104:$B$191,$A$104:$A$191,$A115)),""),"")</f>
        <v/>
      </c>
      <c r="F115" s="24" t="str">
        <f aca="false">IFERROR(forecast.ets($A115,$B$104:$B$191,$A$104:$A$191,4,1,1),"")</f>
        <v/>
      </c>
      <c r="G115" s="24" t="str">
        <f aca="false">IFERROR(F115-forecast.ets.confint($A115,$B$104:$B$191,$A$104:$A$191,0.95,4,1,1),"")</f>
        <v/>
      </c>
      <c r="H115" s="24" t="str">
        <f aca="false">IFERROR(F115+forecast.ets.confint($A115,$B$104:$B$191,$A$104:$A$191,0.95,4,1,1),"")</f>
        <v/>
      </c>
      <c r="J115" s="25" t="n">
        <v>2019</v>
      </c>
      <c r="K115" s="24" t="str">
        <f aca="false">IFERROR(AVERAGEIFS($B$104:$B$191,$A$104:$A$191,"&gt;="&amp;DATE(J115,1,1),$A$104:$A$191,"&lt;="&amp;DATE(J115,12,31)),"")</f>
        <v/>
      </c>
      <c r="L115" s="23" t="str">
        <f aca="false">IFERROR(K115/K114-1,"")</f>
        <v/>
      </c>
      <c r="M115" s="24" t="str">
        <f aca="false">IFERROR(AVERAGEIFS($F$104:$F$191,$A$104:$A$191,"&gt;="&amp;DATE(J115,1,1),$A$104:$A$191,"&lt;="&amp;DATE(J115,12,31)),"")</f>
        <v/>
      </c>
    </row>
    <row r="116" customFormat="false" ht="15" hidden="false" customHeight="false" outlineLevel="0" collapsed="false">
      <c r="A116" s="16" t="n">
        <v>40544</v>
      </c>
      <c r="B116" s="17" t="str">
        <f aca="false">IFERROR(haverdata(Codes!$D$9,$A116),"")</f>
        <v/>
      </c>
      <c r="C116" s="18" t="str">
        <f aca="false">IFERROR(B116/B115-1,"")</f>
        <v/>
      </c>
      <c r="D116" s="18" t="str">
        <f aca="false">IFERROR(B116/B112-1,"")</f>
        <v/>
      </c>
      <c r="E116" s="19" t="str">
        <f aca="false">IFERROR(IF(B116="",IFERROR(GROWTH($B$104:$B$191,$A$104:$A$191,$A116),TREND($B$104:$B$191,$A$104:$A$191,$A116)),""),"")</f>
        <v/>
      </c>
      <c r="F116" s="19" t="str">
        <f aca="false">IFERROR(forecast.ets($A116,$B$104:$B$191,$A$104:$A$191,4,1,1),"")</f>
        <v/>
      </c>
      <c r="G116" s="19" t="str">
        <f aca="false">IFERROR(F116-forecast.ets.confint($A116,$B$104:$B$191,$A$104:$A$191,0.95,4,1,1),"")</f>
        <v/>
      </c>
      <c r="H116" s="19" t="str">
        <f aca="false">IFERROR(F116+forecast.ets.confint($A116,$B$104:$B$191,$A$104:$A$191,0.95,4,1,1),"")</f>
        <v/>
      </c>
      <c r="J116" s="20" t="n">
        <v>2020</v>
      </c>
      <c r="K116" s="19" t="str">
        <f aca="false">IFERROR(AVERAGEIFS($B$104:$B$191,$A$104:$A$191,"&gt;="&amp;DATE(J116,1,1),$A$104:$A$191,"&lt;="&amp;DATE(J116,12,31)),"")</f>
        <v/>
      </c>
      <c r="L116" s="18" t="str">
        <f aca="false">IFERROR(K116/K115-1,"")</f>
        <v/>
      </c>
      <c r="M116" s="19" t="str">
        <f aca="false">IFERROR(AVERAGEIFS($F$104:$F$191,$A$104:$A$191,"&gt;="&amp;DATE(J116,1,1),$A$104:$A$191,"&lt;="&amp;DATE(J116,12,31)),"")</f>
        <v/>
      </c>
    </row>
    <row r="117" customFormat="false" ht="15" hidden="false" customHeight="false" outlineLevel="0" collapsed="false">
      <c r="A117" s="21" t="n">
        <v>40634</v>
      </c>
      <c r="B117" s="22" t="str">
        <f aca="false">IFERROR(haverdata(Codes!$D$9,$A117),"")</f>
        <v/>
      </c>
      <c r="C117" s="23" t="str">
        <f aca="false">IFERROR(B117/B116-1,"")</f>
        <v/>
      </c>
      <c r="D117" s="23" t="str">
        <f aca="false">IFERROR(B117/B113-1,"")</f>
        <v/>
      </c>
      <c r="E117" s="24" t="str">
        <f aca="false">IFERROR(IF(B117="",IFERROR(GROWTH($B$104:$B$191,$A$104:$A$191,$A117),TREND($B$104:$B$191,$A$104:$A$191,$A117)),""),"")</f>
        <v/>
      </c>
      <c r="F117" s="24" t="str">
        <f aca="false">IFERROR(forecast.ets($A117,$B$104:$B$191,$A$104:$A$191,4,1,1),"")</f>
        <v/>
      </c>
      <c r="G117" s="24" t="str">
        <f aca="false">IFERROR(F117-forecast.ets.confint($A117,$B$104:$B$191,$A$104:$A$191,0.95,4,1,1),"")</f>
        <v/>
      </c>
      <c r="H117" s="24" t="str">
        <f aca="false">IFERROR(F117+forecast.ets.confint($A117,$B$104:$B$191,$A$104:$A$191,0.95,4,1,1),"")</f>
        <v/>
      </c>
      <c r="J117" s="25" t="n">
        <v>2021</v>
      </c>
      <c r="K117" s="24" t="str">
        <f aca="false">IFERROR(AVERAGEIFS($B$104:$B$191,$A$104:$A$191,"&gt;="&amp;DATE(J117,1,1),$A$104:$A$191,"&lt;="&amp;DATE(J117,12,31)),"")</f>
        <v/>
      </c>
      <c r="L117" s="23" t="str">
        <f aca="false">IFERROR(K117/K116-1,"")</f>
        <v/>
      </c>
      <c r="M117" s="24" t="str">
        <f aca="false">IFERROR(AVERAGEIFS($F$104:$F$191,$A$104:$A$191,"&gt;="&amp;DATE(J117,1,1),$A$104:$A$191,"&lt;="&amp;DATE(J117,12,31)),"")</f>
        <v/>
      </c>
    </row>
    <row r="118" customFormat="false" ht="15" hidden="false" customHeight="false" outlineLevel="0" collapsed="false">
      <c r="A118" s="16" t="n">
        <v>40725</v>
      </c>
      <c r="B118" s="17" t="str">
        <f aca="false">IFERROR(haverdata(Codes!$D$9,$A118),"")</f>
        <v/>
      </c>
      <c r="C118" s="18" t="str">
        <f aca="false">IFERROR(B118/B117-1,"")</f>
        <v/>
      </c>
      <c r="D118" s="18" t="str">
        <f aca="false">IFERROR(B118/B114-1,"")</f>
        <v/>
      </c>
      <c r="E118" s="19" t="str">
        <f aca="false">IFERROR(IF(B118="",IFERROR(GROWTH($B$104:$B$191,$A$104:$A$191,$A118),TREND($B$104:$B$191,$A$104:$A$191,$A118)),""),"")</f>
        <v/>
      </c>
      <c r="F118" s="19" t="str">
        <f aca="false">IFERROR(forecast.ets($A118,$B$104:$B$191,$A$104:$A$191,4,1,1),"")</f>
        <v/>
      </c>
      <c r="G118" s="19" t="str">
        <f aca="false">IFERROR(F118-forecast.ets.confint($A118,$B$104:$B$191,$A$104:$A$191,0.95,4,1,1),"")</f>
        <v/>
      </c>
      <c r="H118" s="19" t="str">
        <f aca="false">IFERROR(F118+forecast.ets.confint($A118,$B$104:$B$191,$A$104:$A$191,0.95,4,1,1),"")</f>
        <v/>
      </c>
      <c r="J118" s="20" t="n">
        <v>2022</v>
      </c>
      <c r="K118" s="19" t="str">
        <f aca="false">IFERROR(AVERAGEIFS($B$104:$B$191,$A$104:$A$191,"&gt;="&amp;DATE(J118,1,1),$A$104:$A$191,"&lt;="&amp;DATE(J118,12,31)),"")</f>
        <v/>
      </c>
      <c r="L118" s="18" t="str">
        <f aca="false">IFERROR(K118/K117-1,"")</f>
        <v/>
      </c>
      <c r="M118" s="19" t="str">
        <f aca="false">IFERROR(AVERAGEIFS($F$104:$F$191,$A$104:$A$191,"&gt;="&amp;DATE(J118,1,1),$A$104:$A$191,"&lt;="&amp;DATE(J118,12,31)),"")</f>
        <v/>
      </c>
    </row>
    <row r="119" customFormat="false" ht="15" hidden="false" customHeight="false" outlineLevel="0" collapsed="false">
      <c r="A119" s="21" t="n">
        <v>40817</v>
      </c>
      <c r="B119" s="22" t="str">
        <f aca="false">IFERROR(haverdata(Codes!$D$9,$A119),"")</f>
        <v/>
      </c>
      <c r="C119" s="23" t="str">
        <f aca="false">IFERROR(B119/B118-1,"")</f>
        <v/>
      </c>
      <c r="D119" s="23" t="str">
        <f aca="false">IFERROR(B119/B115-1,"")</f>
        <v/>
      </c>
      <c r="E119" s="24" t="str">
        <f aca="false">IFERROR(IF(B119="",IFERROR(GROWTH($B$104:$B$191,$A$104:$A$191,$A119),TREND($B$104:$B$191,$A$104:$A$191,$A119)),""),"")</f>
        <v/>
      </c>
      <c r="F119" s="24" t="str">
        <f aca="false">IFERROR(forecast.ets($A119,$B$104:$B$191,$A$104:$A$191,4,1,1),"")</f>
        <v/>
      </c>
      <c r="G119" s="24" t="str">
        <f aca="false">IFERROR(F119-forecast.ets.confint($A119,$B$104:$B$191,$A$104:$A$191,0.95,4,1,1),"")</f>
        <v/>
      </c>
      <c r="H119" s="24" t="str">
        <f aca="false">IFERROR(F119+forecast.ets.confint($A119,$B$104:$B$191,$A$104:$A$191,0.95,4,1,1),"")</f>
        <v/>
      </c>
      <c r="J119" s="25" t="n">
        <v>2023</v>
      </c>
      <c r="K119" s="24" t="str">
        <f aca="false">IFERROR(AVERAGEIFS($B$104:$B$191,$A$104:$A$191,"&gt;="&amp;DATE(J119,1,1),$A$104:$A$191,"&lt;="&amp;DATE(J119,12,31)),"")</f>
        <v/>
      </c>
      <c r="L119" s="23" t="str">
        <f aca="false">IFERROR(K119/K118-1,"")</f>
        <v/>
      </c>
      <c r="M119" s="24" t="str">
        <f aca="false">IFERROR(AVERAGEIFS($F$104:$F$191,$A$104:$A$191,"&gt;="&amp;DATE(J119,1,1),$A$104:$A$191,"&lt;="&amp;DATE(J119,12,31)),"")</f>
        <v/>
      </c>
    </row>
    <row r="120" customFormat="false" ht="15" hidden="false" customHeight="false" outlineLevel="0" collapsed="false">
      <c r="A120" s="16" t="n">
        <v>40909</v>
      </c>
      <c r="B120" s="17" t="str">
        <f aca="false">IFERROR(haverdata(Codes!$D$9,$A120),"")</f>
        <v/>
      </c>
      <c r="C120" s="18" t="str">
        <f aca="false">IFERROR(B120/B119-1,"")</f>
        <v/>
      </c>
      <c r="D120" s="18" t="str">
        <f aca="false">IFERROR(B120/B116-1,"")</f>
        <v/>
      </c>
      <c r="E120" s="19" t="str">
        <f aca="false">IFERROR(IF(B120="",IFERROR(GROWTH($B$104:$B$191,$A$104:$A$191,$A120),TREND($B$104:$B$191,$A$104:$A$191,$A120)),""),"")</f>
        <v/>
      </c>
      <c r="F120" s="19" t="str">
        <f aca="false">IFERROR(forecast.ets($A120,$B$104:$B$191,$A$104:$A$191,4,1,1),"")</f>
        <v/>
      </c>
      <c r="G120" s="19" t="str">
        <f aca="false">IFERROR(F120-forecast.ets.confint($A120,$B$104:$B$191,$A$104:$A$191,0.95,4,1,1),"")</f>
        <v/>
      </c>
      <c r="H120" s="19" t="str">
        <f aca="false">IFERROR(F120+forecast.ets.confint($A120,$B$104:$B$191,$A$104:$A$191,0.95,4,1,1),"")</f>
        <v/>
      </c>
      <c r="J120" s="20" t="n">
        <v>2024</v>
      </c>
      <c r="K120" s="19" t="str">
        <f aca="false">IFERROR(AVERAGEIFS($B$104:$B$191,$A$104:$A$191,"&gt;="&amp;DATE(J120,1,1),$A$104:$A$191,"&lt;="&amp;DATE(J120,12,31)),"")</f>
        <v/>
      </c>
      <c r="L120" s="18" t="str">
        <f aca="false">IFERROR(K120/K119-1,"")</f>
        <v/>
      </c>
      <c r="M120" s="19" t="str">
        <f aca="false">IFERROR(AVERAGEIFS($F$104:$F$191,$A$104:$A$191,"&gt;="&amp;DATE(J120,1,1),$A$104:$A$191,"&lt;="&amp;DATE(J120,12,31)),"")</f>
        <v/>
      </c>
    </row>
    <row r="121" customFormat="false" ht="15" hidden="false" customHeight="false" outlineLevel="0" collapsed="false">
      <c r="A121" s="21" t="n">
        <v>41000</v>
      </c>
      <c r="B121" s="22" t="str">
        <f aca="false">IFERROR(haverdata(Codes!$D$9,$A121),"")</f>
        <v/>
      </c>
      <c r="C121" s="23" t="str">
        <f aca="false">IFERROR(B121/B120-1,"")</f>
        <v/>
      </c>
      <c r="D121" s="23" t="str">
        <f aca="false">IFERROR(B121/B117-1,"")</f>
        <v/>
      </c>
      <c r="E121" s="24" t="str">
        <f aca="false">IFERROR(IF(B121="",IFERROR(GROWTH($B$104:$B$191,$A$104:$A$191,$A121),TREND($B$104:$B$191,$A$104:$A$191,$A121)),""),"")</f>
        <v/>
      </c>
      <c r="F121" s="24" t="str">
        <f aca="false">IFERROR(forecast.ets($A121,$B$104:$B$191,$A$104:$A$191,4,1,1),"")</f>
        <v/>
      </c>
      <c r="G121" s="24" t="str">
        <f aca="false">IFERROR(F121-forecast.ets.confint($A121,$B$104:$B$191,$A$104:$A$191,0.95,4,1,1),"")</f>
        <v/>
      </c>
      <c r="H121" s="24" t="str">
        <f aca="false">IFERROR(F121+forecast.ets.confint($A121,$B$104:$B$191,$A$104:$A$191,0.95,4,1,1),"")</f>
        <v/>
      </c>
      <c r="J121" s="25" t="n">
        <v>2025</v>
      </c>
      <c r="K121" s="24" t="str">
        <f aca="false">IFERROR(AVERAGEIFS($B$104:$B$191,$A$104:$A$191,"&gt;="&amp;DATE(J121,1,1),$A$104:$A$191,"&lt;="&amp;DATE(J121,12,31)),"")</f>
        <v/>
      </c>
      <c r="L121" s="23" t="str">
        <f aca="false">IFERROR(K121/K120-1,"")</f>
        <v/>
      </c>
      <c r="M121" s="24" t="str">
        <f aca="false">IFERROR(AVERAGEIFS($F$104:$F$191,$A$104:$A$191,"&gt;="&amp;DATE(J121,1,1),$A$104:$A$191,"&lt;="&amp;DATE(J121,12,31)),"")</f>
        <v/>
      </c>
    </row>
    <row r="122" customFormat="false" ht="15" hidden="false" customHeight="false" outlineLevel="0" collapsed="false">
      <c r="A122" s="16" t="n">
        <v>41091</v>
      </c>
      <c r="B122" s="17" t="str">
        <f aca="false">IFERROR(haverdata(Codes!$D$9,$A122),"")</f>
        <v/>
      </c>
      <c r="C122" s="18" t="str">
        <f aca="false">IFERROR(B122/B121-1,"")</f>
        <v/>
      </c>
      <c r="D122" s="18" t="str">
        <f aca="false">IFERROR(B122/B118-1,"")</f>
        <v/>
      </c>
      <c r="E122" s="19" t="str">
        <f aca="false">IFERROR(IF(B122="",IFERROR(GROWTH($B$104:$B$191,$A$104:$A$191,$A122),TREND($B$104:$B$191,$A$104:$A$191,$A122)),""),"")</f>
        <v/>
      </c>
      <c r="F122" s="19" t="str">
        <f aca="false">IFERROR(forecast.ets($A122,$B$104:$B$191,$A$104:$A$191,4,1,1),"")</f>
        <v/>
      </c>
      <c r="G122" s="19" t="str">
        <f aca="false">IFERROR(F122-forecast.ets.confint($A122,$B$104:$B$191,$A$104:$A$191,0.95,4,1,1),"")</f>
        <v/>
      </c>
      <c r="H122" s="19" t="str">
        <f aca="false">IFERROR(F122+forecast.ets.confint($A122,$B$104:$B$191,$A$104:$A$191,0.95,4,1,1),"")</f>
        <v/>
      </c>
      <c r="J122" s="20" t="n">
        <v>2026</v>
      </c>
      <c r="K122" s="19" t="str">
        <f aca="false">IFERROR(AVERAGEIFS($B$104:$B$191,$A$104:$A$191,"&gt;="&amp;DATE(J122,1,1),$A$104:$A$191,"&lt;="&amp;DATE(J122,12,31)),"")</f>
        <v/>
      </c>
      <c r="L122" s="18" t="str">
        <f aca="false">IFERROR(K122/K121-1,"")</f>
        <v/>
      </c>
      <c r="M122" s="19" t="str">
        <f aca="false">IFERROR(AVERAGEIFS($F$104:$F$191,$A$104:$A$191,"&gt;="&amp;DATE(J122,1,1),$A$104:$A$191,"&lt;="&amp;DATE(J122,12,31)),"")</f>
        <v/>
      </c>
    </row>
    <row r="123" customFormat="false" ht="15" hidden="false" customHeight="false" outlineLevel="0" collapsed="false">
      <c r="A123" s="21" t="n">
        <v>41183</v>
      </c>
      <c r="B123" s="22" t="str">
        <f aca="false">IFERROR(haverdata(Codes!$D$9,$A123),"")</f>
        <v/>
      </c>
      <c r="C123" s="23" t="str">
        <f aca="false">IFERROR(B123/B122-1,"")</f>
        <v/>
      </c>
      <c r="D123" s="23" t="str">
        <f aca="false">IFERROR(B123/B119-1,"")</f>
        <v/>
      </c>
      <c r="E123" s="24" t="str">
        <f aca="false">IFERROR(IF(B123="",IFERROR(GROWTH($B$104:$B$191,$A$104:$A$191,$A123),TREND($B$104:$B$191,$A$104:$A$191,$A123)),""),"")</f>
        <v/>
      </c>
      <c r="F123" s="24" t="str">
        <f aca="false">IFERROR(forecast.ets($A123,$B$104:$B$191,$A$104:$A$191,4,1,1),"")</f>
        <v/>
      </c>
      <c r="G123" s="24" t="str">
        <f aca="false">IFERROR(F123-forecast.ets.confint($A123,$B$104:$B$191,$A$104:$A$191,0.95,4,1,1),"")</f>
        <v/>
      </c>
      <c r="H123" s="24" t="str">
        <f aca="false">IFERROR(F123+forecast.ets.confint($A123,$B$104:$B$191,$A$104:$A$191,0.95,4,1,1),"")</f>
        <v/>
      </c>
      <c r="J123" s="25" t="n">
        <v>2027</v>
      </c>
      <c r="K123" s="24" t="str">
        <f aca="false">IFERROR(AVERAGEIFS($B$104:$B$191,$A$104:$A$191,"&gt;="&amp;DATE(J123,1,1),$A$104:$A$191,"&lt;="&amp;DATE(J123,12,31)),"")</f>
        <v/>
      </c>
      <c r="L123" s="23" t="str">
        <f aca="false">IFERROR(K123/K122-1,"")</f>
        <v/>
      </c>
      <c r="M123" s="24" t="str">
        <f aca="false">IFERROR(AVERAGEIFS($F$104:$F$191,$A$104:$A$191,"&gt;="&amp;DATE(J123,1,1),$A$104:$A$191,"&lt;="&amp;DATE(J123,12,31)),"")</f>
        <v/>
      </c>
    </row>
    <row r="124" customFormat="false" ht="15" hidden="false" customHeight="false" outlineLevel="0" collapsed="false">
      <c r="A124" s="16" t="n">
        <v>41275</v>
      </c>
      <c r="B124" s="17" t="str">
        <f aca="false">IFERROR(haverdata(Codes!$D$9,$A124),"")</f>
        <v/>
      </c>
      <c r="C124" s="18" t="str">
        <f aca="false">IFERROR(B124/B123-1,"")</f>
        <v/>
      </c>
      <c r="D124" s="18" t="str">
        <f aca="false">IFERROR(B124/B120-1,"")</f>
        <v/>
      </c>
      <c r="E124" s="19" t="str">
        <f aca="false">IFERROR(IF(B124="",IFERROR(GROWTH($B$104:$B$191,$A$104:$A$191,$A124),TREND($B$104:$B$191,$A$104:$A$191,$A124)),""),"")</f>
        <v/>
      </c>
      <c r="F124" s="19" t="str">
        <f aca="false">IFERROR(forecast.ets($A124,$B$104:$B$191,$A$104:$A$191,4,1,1),"")</f>
        <v/>
      </c>
      <c r="G124" s="19" t="str">
        <f aca="false">IFERROR(F124-forecast.ets.confint($A124,$B$104:$B$191,$A$104:$A$191,0.95,4,1,1),"")</f>
        <v/>
      </c>
      <c r="H124" s="19" t="str">
        <f aca="false">IFERROR(F124+forecast.ets.confint($A124,$B$104:$B$191,$A$104:$A$191,0.95,4,1,1),"")</f>
        <v/>
      </c>
      <c r="J124" s="20" t="n">
        <v>2028</v>
      </c>
      <c r="K124" s="19" t="str">
        <f aca="false">IFERROR(AVERAGEIFS($B$104:$B$191,$A$104:$A$191,"&gt;="&amp;DATE(J124,1,1),$A$104:$A$191,"&lt;="&amp;DATE(J124,12,31)),"")</f>
        <v/>
      </c>
      <c r="L124" s="18" t="str">
        <f aca="false">IFERROR(K124/K123-1,"")</f>
        <v/>
      </c>
      <c r="M124" s="19" t="str">
        <f aca="false">IFERROR(AVERAGEIFS($F$104:$F$191,$A$104:$A$191,"&gt;="&amp;DATE(J124,1,1),$A$104:$A$191,"&lt;="&amp;DATE(J124,12,31)),"")</f>
        <v/>
      </c>
    </row>
    <row r="125" customFormat="false" ht="15" hidden="false" customHeight="false" outlineLevel="0" collapsed="false">
      <c r="A125" s="21" t="n">
        <v>41365</v>
      </c>
      <c r="B125" s="22" t="str">
        <f aca="false">IFERROR(haverdata(Codes!$D$9,$A125),"")</f>
        <v/>
      </c>
      <c r="C125" s="23" t="str">
        <f aca="false">IFERROR(B125/B124-1,"")</f>
        <v/>
      </c>
      <c r="D125" s="23" t="str">
        <f aca="false">IFERROR(B125/B121-1,"")</f>
        <v/>
      </c>
      <c r="E125" s="24" t="str">
        <f aca="false">IFERROR(IF(B125="",IFERROR(GROWTH($B$104:$B$191,$A$104:$A$191,$A125),TREND($B$104:$B$191,$A$104:$A$191,$A125)),""),"")</f>
        <v/>
      </c>
      <c r="F125" s="24" t="str">
        <f aca="false">IFERROR(forecast.ets($A125,$B$104:$B$191,$A$104:$A$191,4,1,1),"")</f>
        <v/>
      </c>
      <c r="G125" s="24" t="str">
        <f aca="false">IFERROR(F125-forecast.ets.confint($A125,$B$104:$B$191,$A$104:$A$191,0.95,4,1,1),"")</f>
        <v/>
      </c>
      <c r="H125" s="24" t="str">
        <f aca="false">IFERROR(F125+forecast.ets.confint($A125,$B$104:$B$191,$A$104:$A$191,0.95,4,1,1),"")</f>
        <v/>
      </c>
      <c r="J125" s="25" t="n">
        <v>2029</v>
      </c>
      <c r="K125" s="24" t="str">
        <f aca="false">IFERROR(AVERAGEIFS($B$104:$B$191,$A$104:$A$191,"&gt;="&amp;DATE(J125,1,1),$A$104:$A$191,"&lt;="&amp;DATE(J125,12,31)),"")</f>
        <v/>
      </c>
      <c r="L125" s="23" t="str">
        <f aca="false">IFERROR(K125/K124-1,"")</f>
        <v/>
      </c>
      <c r="M125" s="24" t="str">
        <f aca="false">IFERROR(AVERAGEIFS($F$104:$F$191,$A$104:$A$191,"&gt;="&amp;DATE(J125,1,1),$A$104:$A$191,"&lt;="&amp;DATE(J125,12,31)),"")</f>
        <v/>
      </c>
    </row>
    <row r="126" customFormat="false" ht="15" hidden="false" customHeight="false" outlineLevel="0" collapsed="false">
      <c r="A126" s="16" t="n">
        <v>41456</v>
      </c>
      <c r="B126" s="17" t="str">
        <f aca="false">IFERROR(haverdata(Codes!$D$9,$A126),"")</f>
        <v/>
      </c>
      <c r="C126" s="18" t="str">
        <f aca="false">IFERROR(B126/B125-1,"")</f>
        <v/>
      </c>
      <c r="D126" s="18" t="str">
        <f aca="false">IFERROR(B126/B122-1,"")</f>
        <v/>
      </c>
      <c r="E126" s="19" t="str">
        <f aca="false">IFERROR(IF(B126="",IFERROR(GROWTH($B$104:$B$191,$A$104:$A$191,$A126),TREND($B$104:$B$191,$A$104:$A$191,$A126)),""),"")</f>
        <v/>
      </c>
      <c r="F126" s="19" t="str">
        <f aca="false">IFERROR(forecast.ets($A126,$B$104:$B$191,$A$104:$A$191,4,1,1),"")</f>
        <v/>
      </c>
      <c r="G126" s="19" t="str">
        <f aca="false">IFERROR(F126-forecast.ets.confint($A126,$B$104:$B$191,$A$104:$A$191,0.95,4,1,1),"")</f>
        <v/>
      </c>
      <c r="H126" s="19" t="str">
        <f aca="false">IFERROR(F126+forecast.ets.confint($A126,$B$104:$B$191,$A$104:$A$191,0.95,4,1,1),"")</f>
        <v/>
      </c>
    </row>
    <row r="127" customFormat="false" ht="15" hidden="false" customHeight="false" outlineLevel="0" collapsed="false">
      <c r="A127" s="21" t="n">
        <v>41548</v>
      </c>
      <c r="B127" s="22" t="str">
        <f aca="false">IFERROR(haverdata(Codes!$D$9,$A127),"")</f>
        <v/>
      </c>
      <c r="C127" s="23" t="str">
        <f aca="false">IFERROR(B127/B126-1,"")</f>
        <v/>
      </c>
      <c r="D127" s="23" t="str">
        <f aca="false">IFERROR(B127/B123-1,"")</f>
        <v/>
      </c>
      <c r="E127" s="24" t="str">
        <f aca="false">IFERROR(IF(B127="",IFERROR(GROWTH($B$104:$B$191,$A$104:$A$191,$A127),TREND($B$104:$B$191,$A$104:$A$191,$A127)),""),"")</f>
        <v/>
      </c>
      <c r="F127" s="24" t="str">
        <f aca="false">IFERROR(forecast.ets($A127,$B$104:$B$191,$A$104:$A$191,4,1,1),"")</f>
        <v/>
      </c>
      <c r="G127" s="24" t="str">
        <f aca="false">IFERROR(F127-forecast.ets.confint($A127,$B$104:$B$191,$A$104:$A$191,0.95,4,1,1),"")</f>
        <v/>
      </c>
      <c r="H127" s="24" t="str">
        <f aca="false">IFERROR(F127+forecast.ets.confint($A127,$B$104:$B$191,$A$104:$A$191,0.95,4,1,1),"")</f>
        <v/>
      </c>
    </row>
    <row r="128" customFormat="false" ht="15" hidden="false" customHeight="false" outlineLevel="0" collapsed="false">
      <c r="A128" s="16" t="n">
        <v>41640</v>
      </c>
      <c r="B128" s="17" t="str">
        <f aca="false">IFERROR(haverdata(Codes!$D$9,$A128),"")</f>
        <v/>
      </c>
      <c r="C128" s="18" t="str">
        <f aca="false">IFERROR(B128/B127-1,"")</f>
        <v/>
      </c>
      <c r="D128" s="18" t="str">
        <f aca="false">IFERROR(B128/B124-1,"")</f>
        <v/>
      </c>
      <c r="E128" s="19" t="str">
        <f aca="false">IFERROR(IF(B128="",IFERROR(GROWTH($B$104:$B$191,$A$104:$A$191,$A128),TREND($B$104:$B$191,$A$104:$A$191,$A128)),""),"")</f>
        <v/>
      </c>
      <c r="F128" s="19" t="str">
        <f aca="false">IFERROR(forecast.ets($A128,$B$104:$B$191,$A$104:$A$191,4,1,1),"")</f>
        <v/>
      </c>
      <c r="G128" s="19" t="str">
        <f aca="false">IFERROR(F128-forecast.ets.confint($A128,$B$104:$B$191,$A$104:$A$191,0.95,4,1,1),"")</f>
        <v/>
      </c>
      <c r="H128" s="19" t="str">
        <f aca="false">IFERROR(F128+forecast.ets.confint($A128,$B$104:$B$191,$A$104:$A$191,0.95,4,1,1),"")</f>
        <v/>
      </c>
    </row>
    <row r="129" customFormat="false" ht="15" hidden="false" customHeight="false" outlineLevel="0" collapsed="false">
      <c r="A129" s="21" t="n">
        <v>41730</v>
      </c>
      <c r="B129" s="22" t="str">
        <f aca="false">IFERROR(haverdata(Codes!$D$9,$A129),"")</f>
        <v/>
      </c>
      <c r="C129" s="23" t="str">
        <f aca="false">IFERROR(B129/B128-1,"")</f>
        <v/>
      </c>
      <c r="D129" s="23" t="str">
        <f aca="false">IFERROR(B129/B125-1,"")</f>
        <v/>
      </c>
      <c r="E129" s="24" t="str">
        <f aca="false">IFERROR(IF(B129="",IFERROR(GROWTH($B$104:$B$191,$A$104:$A$191,$A129),TREND($B$104:$B$191,$A$104:$A$191,$A129)),""),"")</f>
        <v/>
      </c>
      <c r="F129" s="24" t="str">
        <f aca="false">IFERROR(forecast.ets($A129,$B$104:$B$191,$A$104:$A$191,4,1,1),"")</f>
        <v/>
      </c>
      <c r="G129" s="24" t="str">
        <f aca="false">IFERROR(F129-forecast.ets.confint($A129,$B$104:$B$191,$A$104:$A$191,0.95,4,1,1),"")</f>
        <v/>
      </c>
      <c r="H129" s="24" t="str">
        <f aca="false">IFERROR(F129+forecast.ets.confint($A129,$B$104:$B$191,$A$104:$A$191,0.95,4,1,1),"")</f>
        <v/>
      </c>
    </row>
    <row r="130" customFormat="false" ht="15" hidden="false" customHeight="false" outlineLevel="0" collapsed="false">
      <c r="A130" s="16" t="n">
        <v>41821</v>
      </c>
      <c r="B130" s="17" t="str">
        <f aca="false">IFERROR(haverdata(Codes!$D$9,$A130),"")</f>
        <v/>
      </c>
      <c r="C130" s="18" t="str">
        <f aca="false">IFERROR(B130/B129-1,"")</f>
        <v/>
      </c>
      <c r="D130" s="18" t="str">
        <f aca="false">IFERROR(B130/B126-1,"")</f>
        <v/>
      </c>
      <c r="E130" s="19" t="str">
        <f aca="false">IFERROR(IF(B130="",IFERROR(GROWTH($B$104:$B$191,$A$104:$A$191,$A130),TREND($B$104:$B$191,$A$104:$A$191,$A130)),""),"")</f>
        <v/>
      </c>
      <c r="F130" s="19" t="str">
        <f aca="false">IFERROR(forecast.ets($A130,$B$104:$B$191,$A$104:$A$191,4,1,1),"")</f>
        <v/>
      </c>
      <c r="G130" s="19" t="str">
        <f aca="false">IFERROR(F130-forecast.ets.confint($A130,$B$104:$B$191,$A$104:$A$191,0.95,4,1,1),"")</f>
        <v/>
      </c>
      <c r="H130" s="19" t="str">
        <f aca="false">IFERROR(F130+forecast.ets.confint($A130,$B$104:$B$191,$A$104:$A$191,0.95,4,1,1),"")</f>
        <v/>
      </c>
    </row>
    <row r="131" customFormat="false" ht="15" hidden="false" customHeight="false" outlineLevel="0" collapsed="false">
      <c r="A131" s="21" t="n">
        <v>41913</v>
      </c>
      <c r="B131" s="22" t="str">
        <f aca="false">IFERROR(haverdata(Codes!$D$9,$A131),"")</f>
        <v/>
      </c>
      <c r="C131" s="23" t="str">
        <f aca="false">IFERROR(B131/B130-1,"")</f>
        <v/>
      </c>
      <c r="D131" s="23" t="str">
        <f aca="false">IFERROR(B131/B127-1,"")</f>
        <v/>
      </c>
      <c r="E131" s="24" t="str">
        <f aca="false">IFERROR(IF(B131="",IFERROR(GROWTH($B$104:$B$191,$A$104:$A$191,$A131),TREND($B$104:$B$191,$A$104:$A$191,$A131)),""),"")</f>
        <v/>
      </c>
      <c r="F131" s="24" t="str">
        <f aca="false">IFERROR(forecast.ets($A131,$B$104:$B$191,$A$104:$A$191,4,1,1),"")</f>
        <v/>
      </c>
      <c r="G131" s="24" t="str">
        <f aca="false">IFERROR(F131-forecast.ets.confint($A131,$B$104:$B$191,$A$104:$A$191,0.95,4,1,1),"")</f>
        <v/>
      </c>
      <c r="H131" s="24" t="str">
        <f aca="false">IFERROR(F131+forecast.ets.confint($A131,$B$104:$B$191,$A$104:$A$191,0.95,4,1,1),"")</f>
        <v/>
      </c>
    </row>
    <row r="132" customFormat="false" ht="15" hidden="false" customHeight="false" outlineLevel="0" collapsed="false">
      <c r="A132" s="16" t="n">
        <v>42005</v>
      </c>
      <c r="B132" s="17" t="str">
        <f aca="false">IFERROR(haverdata(Codes!$D$9,$A132),"")</f>
        <v/>
      </c>
      <c r="C132" s="18" t="str">
        <f aca="false">IFERROR(B132/B131-1,"")</f>
        <v/>
      </c>
      <c r="D132" s="18" t="str">
        <f aca="false">IFERROR(B132/B128-1,"")</f>
        <v/>
      </c>
      <c r="E132" s="19" t="str">
        <f aca="false">IFERROR(IF(B132="",IFERROR(GROWTH($B$104:$B$191,$A$104:$A$191,$A132),TREND($B$104:$B$191,$A$104:$A$191,$A132)),""),"")</f>
        <v/>
      </c>
      <c r="F132" s="19" t="str">
        <f aca="false">IFERROR(forecast.ets($A132,$B$104:$B$191,$A$104:$A$191,4,1,1),"")</f>
        <v/>
      </c>
      <c r="G132" s="19" t="str">
        <f aca="false">IFERROR(F132-forecast.ets.confint($A132,$B$104:$B$191,$A$104:$A$191,0.95,4,1,1),"")</f>
        <v/>
      </c>
      <c r="H132" s="19" t="str">
        <f aca="false">IFERROR(F132+forecast.ets.confint($A132,$B$104:$B$191,$A$104:$A$191,0.95,4,1,1),"")</f>
        <v/>
      </c>
    </row>
    <row r="133" customFormat="false" ht="15" hidden="false" customHeight="false" outlineLevel="0" collapsed="false">
      <c r="A133" s="21" t="n">
        <v>42095</v>
      </c>
      <c r="B133" s="22" t="str">
        <f aca="false">IFERROR(haverdata(Codes!$D$9,$A133),"")</f>
        <v/>
      </c>
      <c r="C133" s="23" t="str">
        <f aca="false">IFERROR(B133/B132-1,"")</f>
        <v/>
      </c>
      <c r="D133" s="23" t="str">
        <f aca="false">IFERROR(B133/B129-1,"")</f>
        <v/>
      </c>
      <c r="E133" s="24" t="str">
        <f aca="false">IFERROR(IF(B133="",IFERROR(GROWTH($B$104:$B$191,$A$104:$A$191,$A133),TREND($B$104:$B$191,$A$104:$A$191,$A133)),""),"")</f>
        <v/>
      </c>
      <c r="F133" s="24" t="str">
        <f aca="false">IFERROR(forecast.ets($A133,$B$104:$B$191,$A$104:$A$191,4,1,1),"")</f>
        <v/>
      </c>
      <c r="G133" s="24" t="str">
        <f aca="false">IFERROR(F133-forecast.ets.confint($A133,$B$104:$B$191,$A$104:$A$191,0.95,4,1,1),"")</f>
        <v/>
      </c>
      <c r="H133" s="24" t="str">
        <f aca="false">IFERROR(F133+forecast.ets.confint($A133,$B$104:$B$191,$A$104:$A$191,0.95,4,1,1),"")</f>
        <v/>
      </c>
    </row>
    <row r="134" customFormat="false" ht="15" hidden="false" customHeight="false" outlineLevel="0" collapsed="false">
      <c r="A134" s="16" t="n">
        <v>42186</v>
      </c>
      <c r="B134" s="17" t="str">
        <f aca="false">IFERROR(haverdata(Codes!$D$9,$A134),"")</f>
        <v/>
      </c>
      <c r="C134" s="18" t="str">
        <f aca="false">IFERROR(B134/B133-1,"")</f>
        <v/>
      </c>
      <c r="D134" s="18" t="str">
        <f aca="false">IFERROR(B134/B130-1,"")</f>
        <v/>
      </c>
      <c r="E134" s="19" t="str">
        <f aca="false">IFERROR(IF(B134="",IFERROR(GROWTH($B$104:$B$191,$A$104:$A$191,$A134),TREND($B$104:$B$191,$A$104:$A$191,$A134)),""),"")</f>
        <v/>
      </c>
      <c r="F134" s="19" t="str">
        <f aca="false">IFERROR(forecast.ets($A134,$B$104:$B$191,$A$104:$A$191,4,1,1),"")</f>
        <v/>
      </c>
      <c r="G134" s="19" t="str">
        <f aca="false">IFERROR(F134-forecast.ets.confint($A134,$B$104:$B$191,$A$104:$A$191,0.95,4,1,1),"")</f>
        <v/>
      </c>
      <c r="H134" s="19" t="str">
        <f aca="false">IFERROR(F134+forecast.ets.confint($A134,$B$104:$B$191,$A$104:$A$191,0.95,4,1,1),"")</f>
        <v/>
      </c>
    </row>
    <row r="135" customFormat="false" ht="15" hidden="false" customHeight="false" outlineLevel="0" collapsed="false">
      <c r="A135" s="21" t="n">
        <v>42278</v>
      </c>
      <c r="B135" s="22" t="str">
        <f aca="false">IFERROR(haverdata(Codes!$D$9,$A135),"")</f>
        <v/>
      </c>
      <c r="C135" s="23" t="str">
        <f aca="false">IFERROR(B135/B134-1,"")</f>
        <v/>
      </c>
      <c r="D135" s="23" t="str">
        <f aca="false">IFERROR(B135/B131-1,"")</f>
        <v/>
      </c>
      <c r="E135" s="24" t="str">
        <f aca="false">IFERROR(IF(B135="",IFERROR(GROWTH($B$104:$B$191,$A$104:$A$191,$A135),TREND($B$104:$B$191,$A$104:$A$191,$A135)),""),"")</f>
        <v/>
      </c>
      <c r="F135" s="24" t="str">
        <f aca="false">IFERROR(forecast.ets($A135,$B$104:$B$191,$A$104:$A$191,4,1,1),"")</f>
        <v/>
      </c>
      <c r="G135" s="24" t="str">
        <f aca="false">IFERROR(F135-forecast.ets.confint($A135,$B$104:$B$191,$A$104:$A$191,0.95,4,1,1),"")</f>
        <v/>
      </c>
      <c r="H135" s="24" t="str">
        <f aca="false">IFERROR(F135+forecast.ets.confint($A135,$B$104:$B$191,$A$104:$A$191,0.95,4,1,1),"")</f>
        <v/>
      </c>
    </row>
    <row r="136" customFormat="false" ht="15" hidden="false" customHeight="false" outlineLevel="0" collapsed="false">
      <c r="A136" s="16" t="n">
        <v>42370</v>
      </c>
      <c r="B136" s="17" t="str">
        <f aca="false">IFERROR(haverdata(Codes!$D$9,$A136),"")</f>
        <v/>
      </c>
      <c r="C136" s="18" t="str">
        <f aca="false">IFERROR(B136/B135-1,"")</f>
        <v/>
      </c>
      <c r="D136" s="18" t="str">
        <f aca="false">IFERROR(B136/B132-1,"")</f>
        <v/>
      </c>
      <c r="E136" s="19" t="str">
        <f aca="false">IFERROR(IF(B136="",IFERROR(GROWTH($B$104:$B$191,$A$104:$A$191,$A136),TREND($B$104:$B$191,$A$104:$A$191,$A136)),""),"")</f>
        <v/>
      </c>
      <c r="F136" s="19" t="str">
        <f aca="false">IFERROR(forecast.ets($A136,$B$104:$B$191,$A$104:$A$191,4,1,1),"")</f>
        <v/>
      </c>
      <c r="G136" s="19" t="str">
        <f aca="false">IFERROR(F136-forecast.ets.confint($A136,$B$104:$B$191,$A$104:$A$191,0.95,4,1,1),"")</f>
        <v/>
      </c>
      <c r="H136" s="19" t="str">
        <f aca="false">IFERROR(F136+forecast.ets.confint($A136,$B$104:$B$191,$A$104:$A$191,0.95,4,1,1),"")</f>
        <v/>
      </c>
    </row>
    <row r="137" customFormat="false" ht="15" hidden="false" customHeight="false" outlineLevel="0" collapsed="false">
      <c r="A137" s="21" t="n">
        <v>42461</v>
      </c>
      <c r="B137" s="22" t="str">
        <f aca="false">IFERROR(haverdata(Codes!$D$9,$A137),"")</f>
        <v/>
      </c>
      <c r="C137" s="23" t="str">
        <f aca="false">IFERROR(B137/B136-1,"")</f>
        <v/>
      </c>
      <c r="D137" s="23" t="str">
        <f aca="false">IFERROR(B137/B133-1,"")</f>
        <v/>
      </c>
      <c r="E137" s="24" t="str">
        <f aca="false">IFERROR(IF(B137="",IFERROR(GROWTH($B$104:$B$191,$A$104:$A$191,$A137),TREND($B$104:$B$191,$A$104:$A$191,$A137)),""),"")</f>
        <v/>
      </c>
      <c r="F137" s="24" t="str">
        <f aca="false">IFERROR(forecast.ets($A137,$B$104:$B$191,$A$104:$A$191,4,1,1),"")</f>
        <v/>
      </c>
      <c r="G137" s="24" t="str">
        <f aca="false">IFERROR(F137-forecast.ets.confint($A137,$B$104:$B$191,$A$104:$A$191,0.95,4,1,1),"")</f>
        <v/>
      </c>
      <c r="H137" s="24" t="str">
        <f aca="false">IFERROR(F137+forecast.ets.confint($A137,$B$104:$B$191,$A$104:$A$191,0.95,4,1,1),"")</f>
        <v/>
      </c>
    </row>
    <row r="138" customFormat="false" ht="15" hidden="false" customHeight="false" outlineLevel="0" collapsed="false">
      <c r="A138" s="16" t="n">
        <v>42552</v>
      </c>
      <c r="B138" s="17" t="str">
        <f aca="false">IFERROR(haverdata(Codes!$D$9,$A138),"")</f>
        <v/>
      </c>
      <c r="C138" s="18" t="str">
        <f aca="false">IFERROR(B138/B137-1,"")</f>
        <v/>
      </c>
      <c r="D138" s="18" t="str">
        <f aca="false">IFERROR(B138/B134-1,"")</f>
        <v/>
      </c>
      <c r="E138" s="19" t="str">
        <f aca="false">IFERROR(IF(B138="",IFERROR(GROWTH($B$104:$B$191,$A$104:$A$191,$A138),TREND($B$104:$B$191,$A$104:$A$191,$A138)),""),"")</f>
        <v/>
      </c>
      <c r="F138" s="19" t="str">
        <f aca="false">IFERROR(forecast.ets($A138,$B$104:$B$191,$A$104:$A$191,4,1,1),"")</f>
        <v/>
      </c>
      <c r="G138" s="19" t="str">
        <f aca="false">IFERROR(F138-forecast.ets.confint($A138,$B$104:$B$191,$A$104:$A$191,0.95,4,1,1),"")</f>
        <v/>
      </c>
      <c r="H138" s="19" t="str">
        <f aca="false">IFERROR(F138+forecast.ets.confint($A138,$B$104:$B$191,$A$104:$A$191,0.95,4,1,1),"")</f>
        <v/>
      </c>
    </row>
    <row r="139" customFormat="false" ht="15" hidden="false" customHeight="false" outlineLevel="0" collapsed="false">
      <c r="A139" s="21" t="n">
        <v>42644</v>
      </c>
      <c r="B139" s="22" t="str">
        <f aca="false">IFERROR(haverdata(Codes!$D$9,$A139),"")</f>
        <v/>
      </c>
      <c r="C139" s="23" t="str">
        <f aca="false">IFERROR(B139/B138-1,"")</f>
        <v/>
      </c>
      <c r="D139" s="23" t="str">
        <f aca="false">IFERROR(B139/B135-1,"")</f>
        <v/>
      </c>
      <c r="E139" s="24" t="str">
        <f aca="false">IFERROR(IF(B139="",IFERROR(GROWTH($B$104:$B$191,$A$104:$A$191,$A139),TREND($B$104:$B$191,$A$104:$A$191,$A139)),""),"")</f>
        <v/>
      </c>
      <c r="F139" s="24" t="str">
        <f aca="false">IFERROR(forecast.ets($A139,$B$104:$B$191,$A$104:$A$191,4,1,1),"")</f>
        <v/>
      </c>
      <c r="G139" s="24" t="str">
        <f aca="false">IFERROR(F139-forecast.ets.confint($A139,$B$104:$B$191,$A$104:$A$191,0.95,4,1,1),"")</f>
        <v/>
      </c>
      <c r="H139" s="24" t="str">
        <f aca="false">IFERROR(F139+forecast.ets.confint($A139,$B$104:$B$191,$A$104:$A$191,0.95,4,1,1),"")</f>
        <v/>
      </c>
    </row>
    <row r="140" customFormat="false" ht="15" hidden="false" customHeight="false" outlineLevel="0" collapsed="false">
      <c r="A140" s="16" t="n">
        <v>42736</v>
      </c>
      <c r="B140" s="17" t="str">
        <f aca="false">IFERROR(haverdata(Codes!$D$9,$A140),"")</f>
        <v/>
      </c>
      <c r="C140" s="18" t="str">
        <f aca="false">IFERROR(B140/B139-1,"")</f>
        <v/>
      </c>
      <c r="D140" s="18" t="str">
        <f aca="false">IFERROR(B140/B136-1,"")</f>
        <v/>
      </c>
      <c r="E140" s="19" t="str">
        <f aca="false">IFERROR(IF(B140="",IFERROR(GROWTH($B$104:$B$191,$A$104:$A$191,$A140),TREND($B$104:$B$191,$A$104:$A$191,$A140)),""),"")</f>
        <v/>
      </c>
      <c r="F140" s="19" t="str">
        <f aca="false">IFERROR(forecast.ets($A140,$B$104:$B$191,$A$104:$A$191,4,1,1),"")</f>
        <v/>
      </c>
      <c r="G140" s="19" t="str">
        <f aca="false">IFERROR(F140-forecast.ets.confint($A140,$B$104:$B$191,$A$104:$A$191,0.95,4,1,1),"")</f>
        <v/>
      </c>
      <c r="H140" s="19" t="str">
        <f aca="false">IFERROR(F140+forecast.ets.confint($A140,$B$104:$B$191,$A$104:$A$191,0.95,4,1,1),"")</f>
        <v/>
      </c>
    </row>
    <row r="141" customFormat="false" ht="15" hidden="false" customHeight="false" outlineLevel="0" collapsed="false">
      <c r="A141" s="21" t="n">
        <v>42826</v>
      </c>
      <c r="B141" s="22" t="str">
        <f aca="false">IFERROR(haverdata(Codes!$D$9,$A141),"")</f>
        <v/>
      </c>
      <c r="C141" s="23" t="str">
        <f aca="false">IFERROR(B141/B140-1,"")</f>
        <v/>
      </c>
      <c r="D141" s="23" t="str">
        <f aca="false">IFERROR(B141/B137-1,"")</f>
        <v/>
      </c>
      <c r="E141" s="24" t="str">
        <f aca="false">IFERROR(IF(B141="",IFERROR(GROWTH($B$104:$B$191,$A$104:$A$191,$A141),TREND($B$104:$B$191,$A$104:$A$191,$A141)),""),"")</f>
        <v/>
      </c>
      <c r="F141" s="24" t="str">
        <f aca="false">IFERROR(forecast.ets($A141,$B$104:$B$191,$A$104:$A$191,4,1,1),"")</f>
        <v/>
      </c>
      <c r="G141" s="24" t="str">
        <f aca="false">IFERROR(F141-forecast.ets.confint($A141,$B$104:$B$191,$A$104:$A$191,0.95,4,1,1),"")</f>
        <v/>
      </c>
      <c r="H141" s="24" t="str">
        <f aca="false">IFERROR(F141+forecast.ets.confint($A141,$B$104:$B$191,$A$104:$A$191,0.95,4,1,1),"")</f>
        <v/>
      </c>
    </row>
    <row r="142" customFormat="false" ht="15" hidden="false" customHeight="false" outlineLevel="0" collapsed="false">
      <c r="A142" s="16" t="n">
        <v>42917</v>
      </c>
      <c r="B142" s="17" t="str">
        <f aca="false">IFERROR(haverdata(Codes!$D$9,$A142),"")</f>
        <v/>
      </c>
      <c r="C142" s="18" t="str">
        <f aca="false">IFERROR(B142/B141-1,"")</f>
        <v/>
      </c>
      <c r="D142" s="18" t="str">
        <f aca="false">IFERROR(B142/B138-1,"")</f>
        <v/>
      </c>
      <c r="E142" s="19" t="str">
        <f aca="false">IFERROR(IF(B142="",IFERROR(GROWTH($B$104:$B$191,$A$104:$A$191,$A142),TREND($B$104:$B$191,$A$104:$A$191,$A142)),""),"")</f>
        <v/>
      </c>
      <c r="F142" s="19" t="str">
        <f aca="false">IFERROR(forecast.ets($A142,$B$104:$B$191,$A$104:$A$191,4,1,1),"")</f>
        <v/>
      </c>
      <c r="G142" s="19" t="str">
        <f aca="false">IFERROR(F142-forecast.ets.confint($A142,$B$104:$B$191,$A$104:$A$191,0.95,4,1,1),"")</f>
        <v/>
      </c>
      <c r="H142" s="19" t="str">
        <f aca="false">IFERROR(F142+forecast.ets.confint($A142,$B$104:$B$191,$A$104:$A$191,0.95,4,1,1),"")</f>
        <v/>
      </c>
    </row>
    <row r="143" customFormat="false" ht="15" hidden="false" customHeight="false" outlineLevel="0" collapsed="false">
      <c r="A143" s="21" t="n">
        <v>43009</v>
      </c>
      <c r="B143" s="22" t="str">
        <f aca="false">IFERROR(haverdata(Codes!$D$9,$A143),"")</f>
        <v/>
      </c>
      <c r="C143" s="23" t="str">
        <f aca="false">IFERROR(B143/B142-1,"")</f>
        <v/>
      </c>
      <c r="D143" s="23" t="str">
        <f aca="false">IFERROR(B143/B139-1,"")</f>
        <v/>
      </c>
      <c r="E143" s="24" t="str">
        <f aca="false">IFERROR(IF(B143="",IFERROR(GROWTH($B$104:$B$191,$A$104:$A$191,$A143),TREND($B$104:$B$191,$A$104:$A$191,$A143)),""),"")</f>
        <v/>
      </c>
      <c r="F143" s="24" t="str">
        <f aca="false">IFERROR(forecast.ets($A143,$B$104:$B$191,$A$104:$A$191,4,1,1),"")</f>
        <v/>
      </c>
      <c r="G143" s="24" t="str">
        <f aca="false">IFERROR(F143-forecast.ets.confint($A143,$B$104:$B$191,$A$104:$A$191,0.95,4,1,1),"")</f>
        <v/>
      </c>
      <c r="H143" s="24" t="str">
        <f aca="false">IFERROR(F143+forecast.ets.confint($A143,$B$104:$B$191,$A$104:$A$191,0.95,4,1,1),"")</f>
        <v/>
      </c>
    </row>
    <row r="144" customFormat="false" ht="15" hidden="false" customHeight="false" outlineLevel="0" collapsed="false">
      <c r="A144" s="16" t="n">
        <v>43101</v>
      </c>
      <c r="B144" s="17" t="str">
        <f aca="false">IFERROR(haverdata(Codes!$D$9,$A144),"")</f>
        <v/>
      </c>
      <c r="C144" s="18" t="str">
        <f aca="false">IFERROR(B144/B143-1,"")</f>
        <v/>
      </c>
      <c r="D144" s="18" t="str">
        <f aca="false">IFERROR(B144/B140-1,"")</f>
        <v/>
      </c>
      <c r="E144" s="19" t="str">
        <f aca="false">IFERROR(IF(B144="",IFERROR(GROWTH($B$104:$B$191,$A$104:$A$191,$A144),TREND($B$104:$B$191,$A$104:$A$191,$A144)),""),"")</f>
        <v/>
      </c>
      <c r="F144" s="19" t="str">
        <f aca="false">IFERROR(forecast.ets($A144,$B$104:$B$191,$A$104:$A$191,4,1,1),"")</f>
        <v/>
      </c>
      <c r="G144" s="19" t="str">
        <f aca="false">IFERROR(F144-forecast.ets.confint($A144,$B$104:$B$191,$A$104:$A$191,0.95,4,1,1),"")</f>
        <v/>
      </c>
      <c r="H144" s="19" t="str">
        <f aca="false">IFERROR(F144+forecast.ets.confint($A144,$B$104:$B$191,$A$104:$A$191,0.95,4,1,1),"")</f>
        <v/>
      </c>
    </row>
    <row r="145" customFormat="false" ht="15" hidden="false" customHeight="false" outlineLevel="0" collapsed="false">
      <c r="A145" s="21" t="n">
        <v>43191</v>
      </c>
      <c r="B145" s="22" t="str">
        <f aca="false">IFERROR(haverdata(Codes!$D$9,$A145),"")</f>
        <v/>
      </c>
      <c r="C145" s="23" t="str">
        <f aca="false">IFERROR(B145/B144-1,"")</f>
        <v/>
      </c>
      <c r="D145" s="23" t="str">
        <f aca="false">IFERROR(B145/B141-1,"")</f>
        <v/>
      </c>
      <c r="E145" s="24" t="str">
        <f aca="false">IFERROR(IF(B145="",IFERROR(GROWTH($B$104:$B$191,$A$104:$A$191,$A145),TREND($B$104:$B$191,$A$104:$A$191,$A145)),""),"")</f>
        <v/>
      </c>
      <c r="F145" s="24" t="str">
        <f aca="false">IFERROR(forecast.ets($A145,$B$104:$B$191,$A$104:$A$191,4,1,1),"")</f>
        <v/>
      </c>
      <c r="G145" s="24" t="str">
        <f aca="false">IFERROR(F145-forecast.ets.confint($A145,$B$104:$B$191,$A$104:$A$191,0.95,4,1,1),"")</f>
        <v/>
      </c>
      <c r="H145" s="24" t="str">
        <f aca="false">IFERROR(F145+forecast.ets.confint($A145,$B$104:$B$191,$A$104:$A$191,0.95,4,1,1),"")</f>
        <v/>
      </c>
    </row>
    <row r="146" customFormat="false" ht="15" hidden="false" customHeight="false" outlineLevel="0" collapsed="false">
      <c r="A146" s="16" t="n">
        <v>43282</v>
      </c>
      <c r="B146" s="17" t="str">
        <f aca="false">IFERROR(haverdata(Codes!$D$9,$A146),"")</f>
        <v/>
      </c>
      <c r="C146" s="18" t="str">
        <f aca="false">IFERROR(B146/B145-1,"")</f>
        <v/>
      </c>
      <c r="D146" s="18" t="str">
        <f aca="false">IFERROR(B146/B142-1,"")</f>
        <v/>
      </c>
      <c r="E146" s="19" t="str">
        <f aca="false">IFERROR(IF(B146="",IFERROR(GROWTH($B$104:$B$191,$A$104:$A$191,$A146),TREND($B$104:$B$191,$A$104:$A$191,$A146)),""),"")</f>
        <v/>
      </c>
      <c r="F146" s="19" t="str">
        <f aca="false">IFERROR(forecast.ets($A146,$B$104:$B$191,$A$104:$A$191,4,1,1),"")</f>
        <v/>
      </c>
      <c r="G146" s="19" t="str">
        <f aca="false">IFERROR(F146-forecast.ets.confint($A146,$B$104:$B$191,$A$104:$A$191,0.95,4,1,1),"")</f>
        <v/>
      </c>
      <c r="H146" s="19" t="str">
        <f aca="false">IFERROR(F146+forecast.ets.confint($A146,$B$104:$B$191,$A$104:$A$191,0.95,4,1,1),"")</f>
        <v/>
      </c>
    </row>
    <row r="147" customFormat="false" ht="15" hidden="false" customHeight="false" outlineLevel="0" collapsed="false">
      <c r="A147" s="21" t="n">
        <v>43374</v>
      </c>
      <c r="B147" s="22" t="str">
        <f aca="false">IFERROR(haverdata(Codes!$D$9,$A147),"")</f>
        <v/>
      </c>
      <c r="C147" s="23" t="str">
        <f aca="false">IFERROR(B147/B146-1,"")</f>
        <v/>
      </c>
      <c r="D147" s="23" t="str">
        <f aca="false">IFERROR(B147/B143-1,"")</f>
        <v/>
      </c>
      <c r="E147" s="24" t="str">
        <f aca="false">IFERROR(IF(B147="",IFERROR(GROWTH($B$104:$B$191,$A$104:$A$191,$A147),TREND($B$104:$B$191,$A$104:$A$191,$A147)),""),"")</f>
        <v/>
      </c>
      <c r="F147" s="24" t="str">
        <f aca="false">IFERROR(forecast.ets($A147,$B$104:$B$191,$A$104:$A$191,4,1,1),"")</f>
        <v/>
      </c>
      <c r="G147" s="24" t="str">
        <f aca="false">IFERROR(F147-forecast.ets.confint($A147,$B$104:$B$191,$A$104:$A$191,0.95,4,1,1),"")</f>
        <v/>
      </c>
      <c r="H147" s="24" t="str">
        <f aca="false">IFERROR(F147+forecast.ets.confint($A147,$B$104:$B$191,$A$104:$A$191,0.95,4,1,1),"")</f>
        <v/>
      </c>
    </row>
    <row r="148" customFormat="false" ht="15" hidden="false" customHeight="false" outlineLevel="0" collapsed="false">
      <c r="A148" s="16" t="n">
        <v>43466</v>
      </c>
      <c r="B148" s="17" t="str">
        <f aca="false">IFERROR(haverdata(Codes!$D$9,$A148),"")</f>
        <v/>
      </c>
      <c r="C148" s="18" t="str">
        <f aca="false">IFERROR(B148/B147-1,"")</f>
        <v/>
      </c>
      <c r="D148" s="18" t="str">
        <f aca="false">IFERROR(B148/B144-1,"")</f>
        <v/>
      </c>
      <c r="E148" s="19" t="str">
        <f aca="false">IFERROR(IF(B148="",IFERROR(GROWTH($B$104:$B$191,$A$104:$A$191,$A148),TREND($B$104:$B$191,$A$104:$A$191,$A148)),""),"")</f>
        <v/>
      </c>
      <c r="F148" s="19" t="str">
        <f aca="false">IFERROR(forecast.ets($A148,$B$104:$B$191,$A$104:$A$191,4,1,1),"")</f>
        <v/>
      </c>
      <c r="G148" s="19" t="str">
        <f aca="false">IFERROR(F148-forecast.ets.confint($A148,$B$104:$B$191,$A$104:$A$191,0.95,4,1,1),"")</f>
        <v/>
      </c>
      <c r="H148" s="19" t="str">
        <f aca="false">IFERROR(F148+forecast.ets.confint($A148,$B$104:$B$191,$A$104:$A$191,0.95,4,1,1),"")</f>
        <v/>
      </c>
    </row>
    <row r="149" customFormat="false" ht="15" hidden="false" customHeight="false" outlineLevel="0" collapsed="false">
      <c r="A149" s="21" t="n">
        <v>43556</v>
      </c>
      <c r="B149" s="22" t="str">
        <f aca="false">IFERROR(haverdata(Codes!$D$9,$A149),"")</f>
        <v/>
      </c>
      <c r="C149" s="23" t="str">
        <f aca="false">IFERROR(B149/B148-1,"")</f>
        <v/>
      </c>
      <c r="D149" s="23" t="str">
        <f aca="false">IFERROR(B149/B145-1,"")</f>
        <v/>
      </c>
      <c r="E149" s="24" t="str">
        <f aca="false">IFERROR(IF(B149="",IFERROR(GROWTH($B$104:$B$191,$A$104:$A$191,$A149),TREND($B$104:$B$191,$A$104:$A$191,$A149)),""),"")</f>
        <v/>
      </c>
      <c r="F149" s="24" t="str">
        <f aca="false">IFERROR(forecast.ets($A149,$B$104:$B$191,$A$104:$A$191,4,1,1),"")</f>
        <v/>
      </c>
      <c r="G149" s="24" t="str">
        <f aca="false">IFERROR(F149-forecast.ets.confint($A149,$B$104:$B$191,$A$104:$A$191,0.95,4,1,1),"")</f>
        <v/>
      </c>
      <c r="H149" s="24" t="str">
        <f aca="false">IFERROR(F149+forecast.ets.confint($A149,$B$104:$B$191,$A$104:$A$191,0.95,4,1,1),"")</f>
        <v/>
      </c>
    </row>
    <row r="150" customFormat="false" ht="15" hidden="false" customHeight="false" outlineLevel="0" collapsed="false">
      <c r="A150" s="16" t="n">
        <v>43647</v>
      </c>
      <c r="B150" s="17" t="str">
        <f aca="false">IFERROR(haverdata(Codes!$D$9,$A150),"")</f>
        <v/>
      </c>
      <c r="C150" s="18" t="str">
        <f aca="false">IFERROR(B150/B149-1,"")</f>
        <v/>
      </c>
      <c r="D150" s="18" t="str">
        <f aca="false">IFERROR(B150/B146-1,"")</f>
        <v/>
      </c>
      <c r="E150" s="19" t="str">
        <f aca="false">IFERROR(IF(B150="",IFERROR(GROWTH($B$104:$B$191,$A$104:$A$191,$A150),TREND($B$104:$B$191,$A$104:$A$191,$A150)),""),"")</f>
        <v/>
      </c>
      <c r="F150" s="19" t="str">
        <f aca="false">IFERROR(forecast.ets($A150,$B$104:$B$191,$A$104:$A$191,4,1,1),"")</f>
        <v/>
      </c>
      <c r="G150" s="19" t="str">
        <f aca="false">IFERROR(F150-forecast.ets.confint($A150,$B$104:$B$191,$A$104:$A$191,0.95,4,1,1),"")</f>
        <v/>
      </c>
      <c r="H150" s="19" t="str">
        <f aca="false">IFERROR(F150+forecast.ets.confint($A150,$B$104:$B$191,$A$104:$A$191,0.95,4,1,1),"")</f>
        <v/>
      </c>
    </row>
    <row r="151" customFormat="false" ht="15" hidden="false" customHeight="false" outlineLevel="0" collapsed="false">
      <c r="A151" s="21" t="n">
        <v>43739</v>
      </c>
      <c r="B151" s="22" t="str">
        <f aca="false">IFERROR(haverdata(Codes!$D$9,$A151),"")</f>
        <v/>
      </c>
      <c r="C151" s="23" t="str">
        <f aca="false">IFERROR(B151/B150-1,"")</f>
        <v/>
      </c>
      <c r="D151" s="23" t="str">
        <f aca="false">IFERROR(B151/B147-1,"")</f>
        <v/>
      </c>
      <c r="E151" s="24" t="str">
        <f aca="false">IFERROR(IF(B151="",IFERROR(GROWTH($B$104:$B$191,$A$104:$A$191,$A151),TREND($B$104:$B$191,$A$104:$A$191,$A151)),""),"")</f>
        <v/>
      </c>
      <c r="F151" s="24" t="str">
        <f aca="false">IFERROR(forecast.ets($A151,$B$104:$B$191,$A$104:$A$191,4,1,1),"")</f>
        <v/>
      </c>
      <c r="G151" s="24" t="str">
        <f aca="false">IFERROR(F151-forecast.ets.confint($A151,$B$104:$B$191,$A$104:$A$191,0.95,4,1,1),"")</f>
        <v/>
      </c>
      <c r="H151" s="24" t="str">
        <f aca="false">IFERROR(F151+forecast.ets.confint($A151,$B$104:$B$191,$A$104:$A$191,0.95,4,1,1),"")</f>
        <v/>
      </c>
    </row>
    <row r="152" customFormat="false" ht="15" hidden="false" customHeight="false" outlineLevel="0" collapsed="false">
      <c r="A152" s="16" t="n">
        <v>43831</v>
      </c>
      <c r="B152" s="17" t="str">
        <f aca="false">IFERROR(haverdata(Codes!$D$9,$A152),"")</f>
        <v/>
      </c>
      <c r="C152" s="18" t="str">
        <f aca="false">IFERROR(B152/B151-1,"")</f>
        <v/>
      </c>
      <c r="D152" s="18" t="str">
        <f aca="false">IFERROR(B152/B148-1,"")</f>
        <v/>
      </c>
      <c r="E152" s="19" t="str">
        <f aca="false">IFERROR(IF(B152="",IFERROR(GROWTH($B$104:$B$191,$A$104:$A$191,$A152),TREND($B$104:$B$191,$A$104:$A$191,$A152)),""),"")</f>
        <v/>
      </c>
      <c r="F152" s="19" t="str">
        <f aca="false">IFERROR(forecast.ets($A152,$B$104:$B$191,$A$104:$A$191,4,1,1),"")</f>
        <v/>
      </c>
      <c r="G152" s="19" t="str">
        <f aca="false">IFERROR(F152-forecast.ets.confint($A152,$B$104:$B$191,$A$104:$A$191,0.95,4,1,1),"")</f>
        <v/>
      </c>
      <c r="H152" s="19" t="str">
        <f aca="false">IFERROR(F152+forecast.ets.confint($A152,$B$104:$B$191,$A$104:$A$191,0.95,4,1,1),"")</f>
        <v/>
      </c>
    </row>
    <row r="153" customFormat="false" ht="15" hidden="false" customHeight="false" outlineLevel="0" collapsed="false">
      <c r="A153" s="21" t="n">
        <v>43922</v>
      </c>
      <c r="B153" s="22" t="str">
        <f aca="false">IFERROR(haverdata(Codes!$D$9,$A153),"")</f>
        <v/>
      </c>
      <c r="C153" s="23" t="str">
        <f aca="false">IFERROR(B153/B152-1,"")</f>
        <v/>
      </c>
      <c r="D153" s="23" t="str">
        <f aca="false">IFERROR(B153/B149-1,"")</f>
        <v/>
      </c>
      <c r="E153" s="24" t="str">
        <f aca="false">IFERROR(IF(B153="",IFERROR(GROWTH($B$104:$B$191,$A$104:$A$191,$A153),TREND($B$104:$B$191,$A$104:$A$191,$A153)),""),"")</f>
        <v/>
      </c>
      <c r="F153" s="24" t="str">
        <f aca="false">IFERROR(forecast.ets($A153,$B$104:$B$191,$A$104:$A$191,4,1,1),"")</f>
        <v/>
      </c>
      <c r="G153" s="24" t="str">
        <f aca="false">IFERROR(F153-forecast.ets.confint($A153,$B$104:$B$191,$A$104:$A$191,0.95,4,1,1),"")</f>
        <v/>
      </c>
      <c r="H153" s="24" t="str">
        <f aca="false">IFERROR(F153+forecast.ets.confint($A153,$B$104:$B$191,$A$104:$A$191,0.95,4,1,1),"")</f>
        <v/>
      </c>
    </row>
    <row r="154" customFormat="false" ht="15" hidden="false" customHeight="false" outlineLevel="0" collapsed="false">
      <c r="A154" s="16" t="n">
        <v>44013</v>
      </c>
      <c r="B154" s="17" t="str">
        <f aca="false">IFERROR(haverdata(Codes!$D$9,$A154),"")</f>
        <v/>
      </c>
      <c r="C154" s="18" t="str">
        <f aca="false">IFERROR(B154/B153-1,"")</f>
        <v/>
      </c>
      <c r="D154" s="18" t="str">
        <f aca="false">IFERROR(B154/B150-1,"")</f>
        <v/>
      </c>
      <c r="E154" s="19" t="str">
        <f aca="false">IFERROR(IF(B154="",IFERROR(GROWTH($B$104:$B$191,$A$104:$A$191,$A154),TREND($B$104:$B$191,$A$104:$A$191,$A154)),""),"")</f>
        <v/>
      </c>
      <c r="F154" s="19" t="str">
        <f aca="false">IFERROR(forecast.ets($A154,$B$104:$B$191,$A$104:$A$191,4,1,1),"")</f>
        <v/>
      </c>
      <c r="G154" s="19" t="str">
        <f aca="false">IFERROR(F154-forecast.ets.confint($A154,$B$104:$B$191,$A$104:$A$191,0.95,4,1,1),"")</f>
        <v/>
      </c>
      <c r="H154" s="19" t="str">
        <f aca="false">IFERROR(F154+forecast.ets.confint($A154,$B$104:$B$191,$A$104:$A$191,0.95,4,1,1),"")</f>
        <v/>
      </c>
    </row>
    <row r="155" customFormat="false" ht="15" hidden="false" customHeight="false" outlineLevel="0" collapsed="false">
      <c r="A155" s="21" t="n">
        <v>44105</v>
      </c>
      <c r="B155" s="22" t="str">
        <f aca="false">IFERROR(haverdata(Codes!$D$9,$A155),"")</f>
        <v/>
      </c>
      <c r="C155" s="23" t="str">
        <f aca="false">IFERROR(B155/B154-1,"")</f>
        <v/>
      </c>
      <c r="D155" s="23" t="str">
        <f aca="false">IFERROR(B155/B151-1,"")</f>
        <v/>
      </c>
      <c r="E155" s="24" t="str">
        <f aca="false">IFERROR(IF(B155="",IFERROR(GROWTH($B$104:$B$191,$A$104:$A$191,$A155),TREND($B$104:$B$191,$A$104:$A$191,$A155)),""),"")</f>
        <v/>
      </c>
      <c r="F155" s="24" t="str">
        <f aca="false">IFERROR(forecast.ets($A155,$B$104:$B$191,$A$104:$A$191,4,1,1),"")</f>
        <v/>
      </c>
      <c r="G155" s="24" t="str">
        <f aca="false">IFERROR(F155-forecast.ets.confint($A155,$B$104:$B$191,$A$104:$A$191,0.95,4,1,1),"")</f>
        <v/>
      </c>
      <c r="H155" s="24" t="str">
        <f aca="false">IFERROR(F155+forecast.ets.confint($A155,$B$104:$B$191,$A$104:$A$191,0.95,4,1,1),"")</f>
        <v/>
      </c>
    </row>
    <row r="156" customFormat="false" ht="15" hidden="false" customHeight="false" outlineLevel="0" collapsed="false">
      <c r="A156" s="16" t="n">
        <v>44197</v>
      </c>
      <c r="B156" s="17" t="str">
        <f aca="false">IFERROR(haverdata(Codes!$D$9,$A156),"")</f>
        <v/>
      </c>
      <c r="C156" s="18" t="str">
        <f aca="false">IFERROR(B156/B155-1,"")</f>
        <v/>
      </c>
      <c r="D156" s="18" t="str">
        <f aca="false">IFERROR(B156/B152-1,"")</f>
        <v/>
      </c>
      <c r="E156" s="19" t="str">
        <f aca="false">IFERROR(IF(B156="",IFERROR(GROWTH($B$104:$B$191,$A$104:$A$191,$A156),TREND($B$104:$B$191,$A$104:$A$191,$A156)),""),"")</f>
        <v/>
      </c>
      <c r="F156" s="19" t="str">
        <f aca="false">IFERROR(forecast.ets($A156,$B$104:$B$191,$A$104:$A$191,4,1,1),"")</f>
        <v/>
      </c>
      <c r="G156" s="19" t="str">
        <f aca="false">IFERROR(F156-forecast.ets.confint($A156,$B$104:$B$191,$A$104:$A$191,0.95,4,1,1),"")</f>
        <v/>
      </c>
      <c r="H156" s="19" t="str">
        <f aca="false">IFERROR(F156+forecast.ets.confint($A156,$B$104:$B$191,$A$104:$A$191,0.95,4,1,1),"")</f>
        <v/>
      </c>
    </row>
    <row r="157" customFormat="false" ht="15" hidden="false" customHeight="false" outlineLevel="0" collapsed="false">
      <c r="A157" s="21" t="n">
        <v>44287</v>
      </c>
      <c r="B157" s="22" t="str">
        <f aca="false">IFERROR(haverdata(Codes!$D$9,$A157),"")</f>
        <v/>
      </c>
      <c r="C157" s="23" t="str">
        <f aca="false">IFERROR(B157/B156-1,"")</f>
        <v/>
      </c>
      <c r="D157" s="23" t="str">
        <f aca="false">IFERROR(B157/B153-1,"")</f>
        <v/>
      </c>
      <c r="E157" s="24" t="str">
        <f aca="false">IFERROR(IF(B157="",IFERROR(GROWTH($B$104:$B$191,$A$104:$A$191,$A157),TREND($B$104:$B$191,$A$104:$A$191,$A157)),""),"")</f>
        <v/>
      </c>
      <c r="F157" s="24" t="str">
        <f aca="false">IFERROR(forecast.ets($A157,$B$104:$B$191,$A$104:$A$191,4,1,1),"")</f>
        <v/>
      </c>
      <c r="G157" s="24" t="str">
        <f aca="false">IFERROR(F157-forecast.ets.confint($A157,$B$104:$B$191,$A$104:$A$191,0.95,4,1,1),"")</f>
        <v/>
      </c>
      <c r="H157" s="24" t="str">
        <f aca="false">IFERROR(F157+forecast.ets.confint($A157,$B$104:$B$191,$A$104:$A$191,0.95,4,1,1),"")</f>
        <v/>
      </c>
    </row>
    <row r="158" customFormat="false" ht="15" hidden="false" customHeight="false" outlineLevel="0" collapsed="false">
      <c r="A158" s="16" t="n">
        <v>44378</v>
      </c>
      <c r="B158" s="17" t="str">
        <f aca="false">IFERROR(haverdata(Codes!$D$9,$A158),"")</f>
        <v/>
      </c>
      <c r="C158" s="18" t="str">
        <f aca="false">IFERROR(B158/B157-1,"")</f>
        <v/>
      </c>
      <c r="D158" s="18" t="str">
        <f aca="false">IFERROR(B158/B154-1,"")</f>
        <v/>
      </c>
      <c r="E158" s="19" t="str">
        <f aca="false">IFERROR(IF(B158="",IFERROR(GROWTH($B$104:$B$191,$A$104:$A$191,$A158),TREND($B$104:$B$191,$A$104:$A$191,$A158)),""),"")</f>
        <v/>
      </c>
      <c r="F158" s="19" t="str">
        <f aca="false">IFERROR(forecast.ets($A158,$B$104:$B$191,$A$104:$A$191,4,1,1),"")</f>
        <v/>
      </c>
      <c r="G158" s="19" t="str">
        <f aca="false">IFERROR(F158-forecast.ets.confint($A158,$B$104:$B$191,$A$104:$A$191,0.95,4,1,1),"")</f>
        <v/>
      </c>
      <c r="H158" s="19" t="str">
        <f aca="false">IFERROR(F158+forecast.ets.confint($A158,$B$104:$B$191,$A$104:$A$191,0.95,4,1,1),"")</f>
        <v/>
      </c>
    </row>
    <row r="159" customFormat="false" ht="15" hidden="false" customHeight="false" outlineLevel="0" collapsed="false">
      <c r="A159" s="21" t="n">
        <v>44470</v>
      </c>
      <c r="B159" s="22" t="str">
        <f aca="false">IFERROR(haverdata(Codes!$D$9,$A159),"")</f>
        <v/>
      </c>
      <c r="C159" s="23" t="str">
        <f aca="false">IFERROR(B159/B158-1,"")</f>
        <v/>
      </c>
      <c r="D159" s="23" t="str">
        <f aca="false">IFERROR(B159/B155-1,"")</f>
        <v/>
      </c>
      <c r="E159" s="24" t="str">
        <f aca="false">IFERROR(IF(B159="",IFERROR(GROWTH($B$104:$B$191,$A$104:$A$191,$A159),TREND($B$104:$B$191,$A$104:$A$191,$A159)),""),"")</f>
        <v/>
      </c>
      <c r="F159" s="24" t="str">
        <f aca="false">IFERROR(forecast.ets($A159,$B$104:$B$191,$A$104:$A$191,4,1,1),"")</f>
        <v/>
      </c>
      <c r="G159" s="24" t="str">
        <f aca="false">IFERROR(F159-forecast.ets.confint($A159,$B$104:$B$191,$A$104:$A$191,0.95,4,1,1),"")</f>
        <v/>
      </c>
      <c r="H159" s="24" t="str">
        <f aca="false">IFERROR(F159+forecast.ets.confint($A159,$B$104:$B$191,$A$104:$A$191,0.95,4,1,1),"")</f>
        <v/>
      </c>
    </row>
    <row r="160" customFormat="false" ht="15" hidden="false" customHeight="false" outlineLevel="0" collapsed="false">
      <c r="A160" s="16" t="n">
        <v>44562</v>
      </c>
      <c r="B160" s="17" t="str">
        <f aca="false">IFERROR(haverdata(Codes!$D$9,$A160),"")</f>
        <v/>
      </c>
      <c r="C160" s="18" t="str">
        <f aca="false">IFERROR(B160/B159-1,"")</f>
        <v/>
      </c>
      <c r="D160" s="18" t="str">
        <f aca="false">IFERROR(B160/B156-1,"")</f>
        <v/>
      </c>
      <c r="E160" s="19" t="str">
        <f aca="false">IFERROR(IF(B160="",IFERROR(GROWTH($B$104:$B$191,$A$104:$A$191,$A160),TREND($B$104:$B$191,$A$104:$A$191,$A160)),""),"")</f>
        <v/>
      </c>
      <c r="F160" s="19" t="str">
        <f aca="false">IFERROR(forecast.ets($A160,$B$104:$B$191,$A$104:$A$191,4,1,1),"")</f>
        <v/>
      </c>
      <c r="G160" s="19" t="str">
        <f aca="false">IFERROR(F160-forecast.ets.confint($A160,$B$104:$B$191,$A$104:$A$191,0.95,4,1,1),"")</f>
        <v/>
      </c>
      <c r="H160" s="19" t="str">
        <f aca="false">IFERROR(F160+forecast.ets.confint($A160,$B$104:$B$191,$A$104:$A$191,0.95,4,1,1),"")</f>
        <v/>
      </c>
    </row>
    <row r="161" customFormat="false" ht="15" hidden="false" customHeight="false" outlineLevel="0" collapsed="false">
      <c r="A161" s="21" t="n">
        <v>44652</v>
      </c>
      <c r="B161" s="22" t="str">
        <f aca="false">IFERROR(haverdata(Codes!$D$9,$A161),"")</f>
        <v/>
      </c>
      <c r="C161" s="23" t="str">
        <f aca="false">IFERROR(B161/B160-1,"")</f>
        <v/>
      </c>
      <c r="D161" s="23" t="str">
        <f aca="false">IFERROR(B161/B157-1,"")</f>
        <v/>
      </c>
      <c r="E161" s="24" t="str">
        <f aca="false">IFERROR(IF(B161="",IFERROR(GROWTH($B$104:$B$191,$A$104:$A$191,$A161),TREND($B$104:$B$191,$A$104:$A$191,$A161)),""),"")</f>
        <v/>
      </c>
      <c r="F161" s="24" t="str">
        <f aca="false">IFERROR(forecast.ets($A161,$B$104:$B$191,$A$104:$A$191,4,1,1),"")</f>
        <v/>
      </c>
      <c r="G161" s="24" t="str">
        <f aca="false">IFERROR(F161-forecast.ets.confint($A161,$B$104:$B$191,$A$104:$A$191,0.95,4,1,1),"")</f>
        <v/>
      </c>
      <c r="H161" s="24" t="str">
        <f aca="false">IFERROR(F161+forecast.ets.confint($A161,$B$104:$B$191,$A$104:$A$191,0.95,4,1,1),"")</f>
        <v/>
      </c>
    </row>
    <row r="162" customFormat="false" ht="15" hidden="false" customHeight="false" outlineLevel="0" collapsed="false">
      <c r="A162" s="16" t="n">
        <v>44743</v>
      </c>
      <c r="B162" s="17" t="str">
        <f aca="false">IFERROR(haverdata(Codes!$D$9,$A162),"")</f>
        <v/>
      </c>
      <c r="C162" s="18" t="str">
        <f aca="false">IFERROR(B162/B161-1,"")</f>
        <v/>
      </c>
      <c r="D162" s="18" t="str">
        <f aca="false">IFERROR(B162/B158-1,"")</f>
        <v/>
      </c>
      <c r="E162" s="19" t="str">
        <f aca="false">IFERROR(IF(B162="",IFERROR(GROWTH($B$104:$B$191,$A$104:$A$191,$A162),TREND($B$104:$B$191,$A$104:$A$191,$A162)),""),"")</f>
        <v/>
      </c>
      <c r="F162" s="19" t="str">
        <f aca="false">IFERROR(forecast.ets($A162,$B$104:$B$191,$A$104:$A$191,4,1,1),"")</f>
        <v/>
      </c>
      <c r="G162" s="19" t="str">
        <f aca="false">IFERROR(F162-forecast.ets.confint($A162,$B$104:$B$191,$A$104:$A$191,0.95,4,1,1),"")</f>
        <v/>
      </c>
      <c r="H162" s="19" t="str">
        <f aca="false">IFERROR(F162+forecast.ets.confint($A162,$B$104:$B$191,$A$104:$A$191,0.95,4,1,1),"")</f>
        <v/>
      </c>
    </row>
    <row r="163" customFormat="false" ht="15" hidden="false" customHeight="false" outlineLevel="0" collapsed="false">
      <c r="A163" s="21" t="n">
        <v>44835</v>
      </c>
      <c r="B163" s="22" t="str">
        <f aca="false">IFERROR(haverdata(Codes!$D$9,$A163),"")</f>
        <v/>
      </c>
      <c r="C163" s="23" t="str">
        <f aca="false">IFERROR(B163/B162-1,"")</f>
        <v/>
      </c>
      <c r="D163" s="23" t="str">
        <f aca="false">IFERROR(B163/B159-1,"")</f>
        <v/>
      </c>
      <c r="E163" s="24" t="str">
        <f aca="false">IFERROR(IF(B163="",IFERROR(GROWTH($B$104:$B$191,$A$104:$A$191,$A163),TREND($B$104:$B$191,$A$104:$A$191,$A163)),""),"")</f>
        <v/>
      </c>
      <c r="F163" s="24" t="str">
        <f aca="false">IFERROR(forecast.ets($A163,$B$104:$B$191,$A$104:$A$191,4,1,1),"")</f>
        <v/>
      </c>
      <c r="G163" s="24" t="str">
        <f aca="false">IFERROR(F163-forecast.ets.confint($A163,$B$104:$B$191,$A$104:$A$191,0.95,4,1,1),"")</f>
        <v/>
      </c>
      <c r="H163" s="24" t="str">
        <f aca="false">IFERROR(F163+forecast.ets.confint($A163,$B$104:$B$191,$A$104:$A$191,0.95,4,1,1),"")</f>
        <v/>
      </c>
    </row>
    <row r="164" customFormat="false" ht="15" hidden="false" customHeight="false" outlineLevel="0" collapsed="false">
      <c r="A164" s="16" t="n">
        <v>44927</v>
      </c>
      <c r="B164" s="17" t="str">
        <f aca="false">IFERROR(haverdata(Codes!$D$9,$A164),"")</f>
        <v/>
      </c>
      <c r="C164" s="18" t="str">
        <f aca="false">IFERROR(B164/B163-1,"")</f>
        <v/>
      </c>
      <c r="D164" s="18" t="str">
        <f aca="false">IFERROR(B164/B160-1,"")</f>
        <v/>
      </c>
      <c r="E164" s="19" t="str">
        <f aca="false">IFERROR(IF(B164="",IFERROR(GROWTH($B$104:$B$191,$A$104:$A$191,$A164),TREND($B$104:$B$191,$A$104:$A$191,$A164)),""),"")</f>
        <v/>
      </c>
      <c r="F164" s="19" t="str">
        <f aca="false">IFERROR(forecast.ets($A164,$B$104:$B$191,$A$104:$A$191,4,1,1),"")</f>
        <v/>
      </c>
      <c r="G164" s="19" t="str">
        <f aca="false">IFERROR(F164-forecast.ets.confint($A164,$B$104:$B$191,$A$104:$A$191,0.95,4,1,1),"")</f>
        <v/>
      </c>
      <c r="H164" s="19" t="str">
        <f aca="false">IFERROR(F164+forecast.ets.confint($A164,$B$104:$B$191,$A$104:$A$191,0.95,4,1,1),"")</f>
        <v/>
      </c>
    </row>
    <row r="165" customFormat="false" ht="15" hidden="false" customHeight="false" outlineLevel="0" collapsed="false">
      <c r="A165" s="21" t="n">
        <v>45017</v>
      </c>
      <c r="B165" s="22" t="str">
        <f aca="false">IFERROR(haverdata(Codes!$D$9,$A165),"")</f>
        <v/>
      </c>
      <c r="C165" s="23" t="str">
        <f aca="false">IFERROR(B165/B164-1,"")</f>
        <v/>
      </c>
      <c r="D165" s="23" t="str">
        <f aca="false">IFERROR(B165/B161-1,"")</f>
        <v/>
      </c>
      <c r="E165" s="24" t="str">
        <f aca="false">IFERROR(IF(B165="",IFERROR(GROWTH($B$104:$B$191,$A$104:$A$191,$A165),TREND($B$104:$B$191,$A$104:$A$191,$A165)),""),"")</f>
        <v/>
      </c>
      <c r="F165" s="24" t="str">
        <f aca="false">IFERROR(forecast.ets($A165,$B$104:$B$191,$A$104:$A$191,4,1,1),"")</f>
        <v/>
      </c>
      <c r="G165" s="24" t="str">
        <f aca="false">IFERROR(F165-forecast.ets.confint($A165,$B$104:$B$191,$A$104:$A$191,0.95,4,1,1),"")</f>
        <v/>
      </c>
      <c r="H165" s="24" t="str">
        <f aca="false">IFERROR(F165+forecast.ets.confint($A165,$B$104:$B$191,$A$104:$A$191,0.95,4,1,1),"")</f>
        <v/>
      </c>
    </row>
    <row r="166" customFormat="false" ht="15" hidden="false" customHeight="false" outlineLevel="0" collapsed="false">
      <c r="A166" s="16" t="n">
        <v>45108</v>
      </c>
      <c r="B166" s="17" t="str">
        <f aca="false">IFERROR(haverdata(Codes!$D$9,$A166),"")</f>
        <v/>
      </c>
      <c r="C166" s="18" t="str">
        <f aca="false">IFERROR(B166/B165-1,"")</f>
        <v/>
      </c>
      <c r="D166" s="18" t="str">
        <f aca="false">IFERROR(B166/B162-1,"")</f>
        <v/>
      </c>
      <c r="E166" s="19" t="str">
        <f aca="false">IFERROR(IF(B166="",IFERROR(GROWTH($B$104:$B$191,$A$104:$A$191,$A166),TREND($B$104:$B$191,$A$104:$A$191,$A166)),""),"")</f>
        <v/>
      </c>
      <c r="F166" s="19" t="str">
        <f aca="false">IFERROR(forecast.ets($A166,$B$104:$B$191,$A$104:$A$191,4,1,1),"")</f>
        <v/>
      </c>
      <c r="G166" s="19" t="str">
        <f aca="false">IFERROR(F166-forecast.ets.confint($A166,$B$104:$B$191,$A$104:$A$191,0.95,4,1,1),"")</f>
        <v/>
      </c>
      <c r="H166" s="19" t="str">
        <f aca="false">IFERROR(F166+forecast.ets.confint($A166,$B$104:$B$191,$A$104:$A$191,0.95,4,1,1),"")</f>
        <v/>
      </c>
    </row>
    <row r="167" customFormat="false" ht="15" hidden="false" customHeight="false" outlineLevel="0" collapsed="false">
      <c r="A167" s="21" t="n">
        <v>45200</v>
      </c>
      <c r="B167" s="22" t="str">
        <f aca="false">IFERROR(haverdata(Codes!$D$9,$A167),"")</f>
        <v/>
      </c>
      <c r="C167" s="23" t="str">
        <f aca="false">IFERROR(B167/B166-1,"")</f>
        <v/>
      </c>
      <c r="D167" s="23" t="str">
        <f aca="false">IFERROR(B167/B163-1,"")</f>
        <v/>
      </c>
      <c r="E167" s="24" t="str">
        <f aca="false">IFERROR(IF(B167="",IFERROR(GROWTH($B$104:$B$191,$A$104:$A$191,$A167),TREND($B$104:$B$191,$A$104:$A$191,$A167)),""),"")</f>
        <v/>
      </c>
      <c r="F167" s="24" t="str">
        <f aca="false">IFERROR(forecast.ets($A167,$B$104:$B$191,$A$104:$A$191,4,1,1),"")</f>
        <v/>
      </c>
      <c r="G167" s="24" t="str">
        <f aca="false">IFERROR(F167-forecast.ets.confint($A167,$B$104:$B$191,$A$104:$A$191,0.95,4,1,1),"")</f>
        <v/>
      </c>
      <c r="H167" s="24" t="str">
        <f aca="false">IFERROR(F167+forecast.ets.confint($A167,$B$104:$B$191,$A$104:$A$191,0.95,4,1,1),"")</f>
        <v/>
      </c>
    </row>
    <row r="168" customFormat="false" ht="15" hidden="false" customHeight="false" outlineLevel="0" collapsed="false">
      <c r="A168" s="16" t="n">
        <v>45292</v>
      </c>
      <c r="B168" s="17" t="str">
        <f aca="false">IFERROR(haverdata(Codes!$D$9,$A168),"")</f>
        <v/>
      </c>
      <c r="C168" s="18" t="str">
        <f aca="false">IFERROR(B168/B167-1,"")</f>
        <v/>
      </c>
      <c r="D168" s="18" t="str">
        <f aca="false">IFERROR(B168/B164-1,"")</f>
        <v/>
      </c>
      <c r="E168" s="19" t="str">
        <f aca="false">IFERROR(IF(B168="",IFERROR(GROWTH($B$104:$B$191,$A$104:$A$191,$A168),TREND($B$104:$B$191,$A$104:$A$191,$A168)),""),"")</f>
        <v/>
      </c>
      <c r="F168" s="19" t="str">
        <f aca="false">IFERROR(forecast.ets($A168,$B$104:$B$191,$A$104:$A$191,4,1,1),"")</f>
        <v/>
      </c>
      <c r="G168" s="19" t="str">
        <f aca="false">IFERROR(F168-forecast.ets.confint($A168,$B$104:$B$191,$A$104:$A$191,0.95,4,1,1),"")</f>
        <v/>
      </c>
      <c r="H168" s="19" t="str">
        <f aca="false">IFERROR(F168+forecast.ets.confint($A168,$B$104:$B$191,$A$104:$A$191,0.95,4,1,1),"")</f>
        <v/>
      </c>
    </row>
    <row r="169" customFormat="false" ht="15" hidden="false" customHeight="false" outlineLevel="0" collapsed="false">
      <c r="A169" s="21" t="n">
        <v>45383</v>
      </c>
      <c r="B169" s="22" t="str">
        <f aca="false">IFERROR(haverdata(Codes!$D$9,$A169),"")</f>
        <v/>
      </c>
      <c r="C169" s="23" t="str">
        <f aca="false">IFERROR(B169/B168-1,"")</f>
        <v/>
      </c>
      <c r="D169" s="23" t="str">
        <f aca="false">IFERROR(B169/B165-1,"")</f>
        <v/>
      </c>
      <c r="E169" s="24" t="str">
        <f aca="false">IFERROR(IF(B169="",IFERROR(GROWTH($B$104:$B$191,$A$104:$A$191,$A169),TREND($B$104:$B$191,$A$104:$A$191,$A169)),""),"")</f>
        <v/>
      </c>
      <c r="F169" s="24" t="str">
        <f aca="false">IFERROR(forecast.ets($A169,$B$104:$B$191,$A$104:$A$191,4,1,1),"")</f>
        <v/>
      </c>
      <c r="G169" s="24" t="str">
        <f aca="false">IFERROR(F169-forecast.ets.confint($A169,$B$104:$B$191,$A$104:$A$191,0.95,4,1,1),"")</f>
        <v/>
      </c>
      <c r="H169" s="24" t="str">
        <f aca="false">IFERROR(F169+forecast.ets.confint($A169,$B$104:$B$191,$A$104:$A$191,0.95,4,1,1),"")</f>
        <v/>
      </c>
    </row>
    <row r="170" customFormat="false" ht="15" hidden="false" customHeight="false" outlineLevel="0" collapsed="false">
      <c r="A170" s="16" t="n">
        <v>45474</v>
      </c>
      <c r="B170" s="17" t="str">
        <f aca="false">IFERROR(haverdata(Codes!$D$9,$A170),"")</f>
        <v/>
      </c>
      <c r="C170" s="18" t="str">
        <f aca="false">IFERROR(B170/B169-1,"")</f>
        <v/>
      </c>
      <c r="D170" s="18" t="str">
        <f aca="false">IFERROR(B170/B166-1,"")</f>
        <v/>
      </c>
      <c r="E170" s="19" t="str">
        <f aca="false">IFERROR(IF(B170="",IFERROR(GROWTH($B$104:$B$191,$A$104:$A$191,$A170),TREND($B$104:$B$191,$A$104:$A$191,$A170)),""),"")</f>
        <v/>
      </c>
      <c r="F170" s="19" t="str">
        <f aca="false">IFERROR(forecast.ets($A170,$B$104:$B$191,$A$104:$A$191,4,1,1),"")</f>
        <v/>
      </c>
      <c r="G170" s="19" t="str">
        <f aca="false">IFERROR(F170-forecast.ets.confint($A170,$B$104:$B$191,$A$104:$A$191,0.95,4,1,1),"")</f>
        <v/>
      </c>
      <c r="H170" s="19" t="str">
        <f aca="false">IFERROR(F170+forecast.ets.confint($A170,$B$104:$B$191,$A$104:$A$191,0.95,4,1,1),"")</f>
        <v/>
      </c>
    </row>
    <row r="171" customFormat="false" ht="15" hidden="false" customHeight="false" outlineLevel="0" collapsed="false">
      <c r="A171" s="21" t="n">
        <v>45566</v>
      </c>
      <c r="B171" s="22" t="str">
        <f aca="false">IFERROR(haverdata(Codes!$D$9,$A171),"")</f>
        <v/>
      </c>
      <c r="C171" s="23" t="str">
        <f aca="false">IFERROR(B171/B170-1,"")</f>
        <v/>
      </c>
      <c r="D171" s="23" t="str">
        <f aca="false">IFERROR(B171/B167-1,"")</f>
        <v/>
      </c>
      <c r="E171" s="24" t="str">
        <f aca="false">IFERROR(IF(B171="",IFERROR(GROWTH($B$104:$B$191,$A$104:$A$191,$A171),TREND($B$104:$B$191,$A$104:$A$191,$A171)),""),"")</f>
        <v/>
      </c>
      <c r="F171" s="24" t="str">
        <f aca="false">IFERROR(forecast.ets($A171,$B$104:$B$191,$A$104:$A$191,4,1,1),"")</f>
        <v/>
      </c>
      <c r="G171" s="24" t="str">
        <f aca="false">IFERROR(F171-forecast.ets.confint($A171,$B$104:$B$191,$A$104:$A$191,0.95,4,1,1),"")</f>
        <v/>
      </c>
      <c r="H171" s="24" t="str">
        <f aca="false">IFERROR(F171+forecast.ets.confint($A171,$B$104:$B$191,$A$104:$A$191,0.95,4,1,1),"")</f>
        <v/>
      </c>
    </row>
    <row r="172" customFormat="false" ht="15" hidden="false" customHeight="false" outlineLevel="0" collapsed="false">
      <c r="A172" s="16" t="n">
        <v>45658</v>
      </c>
      <c r="B172" s="17" t="str">
        <f aca="false">IFERROR(haverdata(Codes!$D$9,$A172),"")</f>
        <v/>
      </c>
      <c r="C172" s="18" t="str">
        <f aca="false">IFERROR(B172/B171-1,"")</f>
        <v/>
      </c>
      <c r="D172" s="18" t="str">
        <f aca="false">IFERROR(B172/B168-1,"")</f>
        <v/>
      </c>
      <c r="E172" s="19" t="str">
        <f aca="false">IFERROR(IF(B172="",IFERROR(GROWTH($B$104:$B$191,$A$104:$A$191,$A172),TREND($B$104:$B$191,$A$104:$A$191,$A172)),""),"")</f>
        <v/>
      </c>
      <c r="F172" s="19" t="str">
        <f aca="false">IFERROR(forecast.ets($A172,$B$104:$B$191,$A$104:$A$191,4,1,1),"")</f>
        <v/>
      </c>
      <c r="G172" s="19" t="str">
        <f aca="false">IFERROR(F172-forecast.ets.confint($A172,$B$104:$B$191,$A$104:$A$191,0.95,4,1,1),"")</f>
        <v/>
      </c>
      <c r="H172" s="19" t="str">
        <f aca="false">IFERROR(F172+forecast.ets.confint($A172,$B$104:$B$191,$A$104:$A$191,0.95,4,1,1),"")</f>
        <v/>
      </c>
    </row>
    <row r="173" customFormat="false" ht="15" hidden="false" customHeight="false" outlineLevel="0" collapsed="false">
      <c r="A173" s="21" t="n">
        <v>45748</v>
      </c>
      <c r="B173" s="22" t="str">
        <f aca="false">IFERROR(haverdata(Codes!$D$9,$A173),"")</f>
        <v/>
      </c>
      <c r="C173" s="23" t="str">
        <f aca="false">IFERROR(B173/B172-1,"")</f>
        <v/>
      </c>
      <c r="D173" s="23" t="str">
        <f aca="false">IFERROR(B173/B169-1,"")</f>
        <v/>
      </c>
      <c r="E173" s="24" t="str">
        <f aca="false">IFERROR(IF(B173="",IFERROR(GROWTH($B$104:$B$191,$A$104:$A$191,$A173),TREND($B$104:$B$191,$A$104:$A$191,$A173)),""),"")</f>
        <v/>
      </c>
      <c r="F173" s="24" t="str">
        <f aca="false">IFERROR(forecast.ets($A173,$B$104:$B$191,$A$104:$A$191,4,1,1),"")</f>
        <v/>
      </c>
      <c r="G173" s="24" t="str">
        <f aca="false">IFERROR(F173-forecast.ets.confint($A173,$B$104:$B$191,$A$104:$A$191,0.95,4,1,1),"")</f>
        <v/>
      </c>
      <c r="H173" s="24" t="str">
        <f aca="false">IFERROR(F173+forecast.ets.confint($A173,$B$104:$B$191,$A$104:$A$191,0.95,4,1,1),"")</f>
        <v/>
      </c>
    </row>
    <row r="174" customFormat="false" ht="15" hidden="false" customHeight="false" outlineLevel="0" collapsed="false">
      <c r="A174" s="16" t="n">
        <v>45839</v>
      </c>
      <c r="B174" s="17" t="str">
        <f aca="false">IFERROR(haverdata(Codes!$D$9,$A174),"")</f>
        <v/>
      </c>
      <c r="C174" s="18" t="str">
        <f aca="false">IFERROR(B174/B173-1,"")</f>
        <v/>
      </c>
      <c r="D174" s="18" t="str">
        <f aca="false">IFERROR(B174/B170-1,"")</f>
        <v/>
      </c>
      <c r="E174" s="19" t="str">
        <f aca="false">IFERROR(IF(B174="",IFERROR(GROWTH($B$104:$B$191,$A$104:$A$191,$A174),TREND($B$104:$B$191,$A$104:$A$191,$A174)),""),"")</f>
        <v/>
      </c>
      <c r="F174" s="19" t="str">
        <f aca="false">IFERROR(forecast.ets($A174,$B$104:$B$191,$A$104:$A$191,4,1,1),"")</f>
        <v/>
      </c>
      <c r="G174" s="19" t="str">
        <f aca="false">IFERROR(F174-forecast.ets.confint($A174,$B$104:$B$191,$A$104:$A$191,0.95,4,1,1),"")</f>
        <v/>
      </c>
      <c r="H174" s="19" t="str">
        <f aca="false">IFERROR(F174+forecast.ets.confint($A174,$B$104:$B$191,$A$104:$A$191,0.95,4,1,1),"")</f>
        <v/>
      </c>
    </row>
    <row r="175" customFormat="false" ht="15" hidden="false" customHeight="false" outlineLevel="0" collapsed="false">
      <c r="A175" s="21" t="n">
        <v>45931</v>
      </c>
      <c r="B175" s="22" t="str">
        <f aca="false">IFERROR(haverdata(Codes!$D$9,$A175),"")</f>
        <v/>
      </c>
      <c r="C175" s="23" t="str">
        <f aca="false">IFERROR(B175/B174-1,"")</f>
        <v/>
      </c>
      <c r="D175" s="23" t="str">
        <f aca="false">IFERROR(B175/B171-1,"")</f>
        <v/>
      </c>
      <c r="E175" s="24" t="str">
        <f aca="false">IFERROR(IF(B175="",IFERROR(GROWTH($B$104:$B$191,$A$104:$A$191,$A175),TREND($B$104:$B$191,$A$104:$A$191,$A175)),""),"")</f>
        <v/>
      </c>
      <c r="F175" s="24" t="str">
        <f aca="false">IFERROR(forecast.ets($A175,$B$104:$B$191,$A$104:$A$191,4,1,1),"")</f>
        <v/>
      </c>
      <c r="G175" s="24" t="str">
        <f aca="false">IFERROR(F175-forecast.ets.confint($A175,$B$104:$B$191,$A$104:$A$191,0.95,4,1,1),"")</f>
        <v/>
      </c>
      <c r="H175" s="24" t="str">
        <f aca="false">IFERROR(F175+forecast.ets.confint($A175,$B$104:$B$191,$A$104:$A$191,0.95,4,1,1),"")</f>
        <v/>
      </c>
    </row>
    <row r="176" customFormat="false" ht="15" hidden="false" customHeight="false" outlineLevel="0" collapsed="false">
      <c r="A176" s="16" t="n">
        <v>46023</v>
      </c>
      <c r="B176" s="17" t="str">
        <f aca="false">IFERROR(haverdata(Codes!$D$9,$A176),"")</f>
        <v/>
      </c>
      <c r="C176" s="18" t="str">
        <f aca="false">IFERROR(B176/B175-1,"")</f>
        <v/>
      </c>
      <c r="D176" s="18" t="str">
        <f aca="false">IFERROR(B176/B172-1,"")</f>
        <v/>
      </c>
      <c r="E176" s="19" t="str">
        <f aca="false">IFERROR(IF(B176="",IFERROR(GROWTH($B$104:$B$191,$A$104:$A$191,$A176),TREND($B$104:$B$191,$A$104:$A$191,$A176)),""),"")</f>
        <v/>
      </c>
      <c r="F176" s="19" t="str">
        <f aca="false">IFERROR(forecast.ets($A176,$B$104:$B$191,$A$104:$A$191,4,1,1),"")</f>
        <v/>
      </c>
      <c r="G176" s="19" t="str">
        <f aca="false">IFERROR(F176-forecast.ets.confint($A176,$B$104:$B$191,$A$104:$A$191,0.95,4,1,1),"")</f>
        <v/>
      </c>
      <c r="H176" s="19" t="str">
        <f aca="false">IFERROR(F176+forecast.ets.confint($A176,$B$104:$B$191,$A$104:$A$191,0.95,4,1,1),"")</f>
        <v/>
      </c>
    </row>
    <row r="177" customFormat="false" ht="15" hidden="false" customHeight="false" outlineLevel="0" collapsed="false">
      <c r="A177" s="21" t="n">
        <v>46113</v>
      </c>
      <c r="B177" s="22" t="str">
        <f aca="false">IFERROR(haverdata(Codes!$D$9,$A177),"")</f>
        <v/>
      </c>
      <c r="C177" s="23" t="str">
        <f aca="false">IFERROR(B177/B176-1,"")</f>
        <v/>
      </c>
      <c r="D177" s="23" t="str">
        <f aca="false">IFERROR(B177/B173-1,"")</f>
        <v/>
      </c>
      <c r="E177" s="24" t="str">
        <f aca="false">IFERROR(IF(B177="",IFERROR(GROWTH($B$104:$B$191,$A$104:$A$191,$A177),TREND($B$104:$B$191,$A$104:$A$191,$A177)),""),"")</f>
        <v/>
      </c>
      <c r="F177" s="24" t="str">
        <f aca="false">IFERROR(forecast.ets($A177,$B$104:$B$191,$A$104:$A$191,4,1,1),"")</f>
        <v/>
      </c>
      <c r="G177" s="24" t="str">
        <f aca="false">IFERROR(F177-forecast.ets.confint($A177,$B$104:$B$191,$A$104:$A$191,0.95,4,1,1),"")</f>
        <v/>
      </c>
      <c r="H177" s="24" t="str">
        <f aca="false">IFERROR(F177+forecast.ets.confint($A177,$B$104:$B$191,$A$104:$A$191,0.95,4,1,1),"")</f>
        <v/>
      </c>
    </row>
    <row r="178" customFormat="false" ht="15" hidden="false" customHeight="false" outlineLevel="0" collapsed="false">
      <c r="A178" s="16" t="n">
        <v>46204</v>
      </c>
      <c r="B178" s="17" t="str">
        <f aca="false">IFERROR(haverdata(Codes!$D$9,$A178),"")</f>
        <v/>
      </c>
      <c r="C178" s="18" t="str">
        <f aca="false">IFERROR(B178/B177-1,"")</f>
        <v/>
      </c>
      <c r="D178" s="18" t="str">
        <f aca="false">IFERROR(B178/B174-1,"")</f>
        <v/>
      </c>
      <c r="E178" s="19" t="str">
        <f aca="false">IFERROR(IF(B178="",IFERROR(GROWTH($B$104:$B$191,$A$104:$A$191,$A178),TREND($B$104:$B$191,$A$104:$A$191,$A178)),""),"")</f>
        <v/>
      </c>
      <c r="F178" s="19" t="str">
        <f aca="false">IFERROR(forecast.ets($A178,$B$104:$B$191,$A$104:$A$191,4,1,1),"")</f>
        <v/>
      </c>
      <c r="G178" s="19" t="str">
        <f aca="false">IFERROR(F178-forecast.ets.confint($A178,$B$104:$B$191,$A$104:$A$191,0.95,4,1,1),"")</f>
        <v/>
      </c>
      <c r="H178" s="19" t="str">
        <f aca="false">IFERROR(F178+forecast.ets.confint($A178,$B$104:$B$191,$A$104:$A$191,0.95,4,1,1),"")</f>
        <v/>
      </c>
    </row>
    <row r="179" customFormat="false" ht="15" hidden="false" customHeight="false" outlineLevel="0" collapsed="false">
      <c r="A179" s="21" t="n">
        <v>46296</v>
      </c>
      <c r="B179" s="22" t="str">
        <f aca="false">IFERROR(haverdata(Codes!$D$9,$A179),"")</f>
        <v/>
      </c>
      <c r="C179" s="23" t="str">
        <f aca="false">IFERROR(B179/B178-1,"")</f>
        <v/>
      </c>
      <c r="D179" s="23" t="str">
        <f aca="false">IFERROR(B179/B175-1,"")</f>
        <v/>
      </c>
      <c r="E179" s="24" t="str">
        <f aca="false">IFERROR(IF(B179="",IFERROR(GROWTH($B$104:$B$191,$A$104:$A$191,$A179),TREND($B$104:$B$191,$A$104:$A$191,$A179)),""),"")</f>
        <v/>
      </c>
      <c r="F179" s="24" t="str">
        <f aca="false">IFERROR(forecast.ets($A179,$B$104:$B$191,$A$104:$A$191,4,1,1),"")</f>
        <v/>
      </c>
      <c r="G179" s="24" t="str">
        <f aca="false">IFERROR(F179-forecast.ets.confint($A179,$B$104:$B$191,$A$104:$A$191,0.95,4,1,1),"")</f>
        <v/>
      </c>
      <c r="H179" s="24" t="str">
        <f aca="false">IFERROR(F179+forecast.ets.confint($A179,$B$104:$B$191,$A$104:$A$191,0.95,4,1,1),"")</f>
        <v/>
      </c>
    </row>
    <row r="180" customFormat="false" ht="15" hidden="false" customHeight="false" outlineLevel="0" collapsed="false">
      <c r="A180" s="16" t="n">
        <v>46388</v>
      </c>
      <c r="B180" s="17" t="str">
        <f aca="false">IFERROR(haverdata(Codes!$D$9,$A180),"")</f>
        <v/>
      </c>
      <c r="C180" s="18" t="str">
        <f aca="false">IFERROR(B180/B179-1,"")</f>
        <v/>
      </c>
      <c r="D180" s="18" t="str">
        <f aca="false">IFERROR(B180/B176-1,"")</f>
        <v/>
      </c>
      <c r="E180" s="19" t="str">
        <f aca="false">IFERROR(IF(B180="",IFERROR(GROWTH($B$104:$B$191,$A$104:$A$191,$A180),TREND($B$104:$B$191,$A$104:$A$191,$A180)),""),"")</f>
        <v/>
      </c>
      <c r="F180" s="19" t="str">
        <f aca="false">IFERROR(forecast.ets($A180,$B$104:$B$191,$A$104:$A$191,4,1,1),"")</f>
        <v/>
      </c>
      <c r="G180" s="19" t="str">
        <f aca="false">IFERROR(F180-forecast.ets.confint($A180,$B$104:$B$191,$A$104:$A$191,0.95,4,1,1),"")</f>
        <v/>
      </c>
      <c r="H180" s="19" t="str">
        <f aca="false">IFERROR(F180+forecast.ets.confint($A180,$B$104:$B$191,$A$104:$A$191,0.95,4,1,1),"")</f>
        <v/>
      </c>
    </row>
    <row r="181" customFormat="false" ht="15" hidden="false" customHeight="false" outlineLevel="0" collapsed="false">
      <c r="A181" s="21" t="n">
        <v>46478</v>
      </c>
      <c r="B181" s="22" t="str">
        <f aca="false">IFERROR(haverdata(Codes!$D$9,$A181),"")</f>
        <v/>
      </c>
      <c r="C181" s="23" t="str">
        <f aca="false">IFERROR(B181/B180-1,"")</f>
        <v/>
      </c>
      <c r="D181" s="23" t="str">
        <f aca="false">IFERROR(B181/B177-1,"")</f>
        <v/>
      </c>
      <c r="E181" s="24" t="str">
        <f aca="false">IFERROR(IF(B181="",IFERROR(GROWTH($B$104:$B$191,$A$104:$A$191,$A181),TREND($B$104:$B$191,$A$104:$A$191,$A181)),""),"")</f>
        <v/>
      </c>
      <c r="F181" s="24" t="str">
        <f aca="false">IFERROR(forecast.ets($A181,$B$104:$B$191,$A$104:$A$191,4,1,1),"")</f>
        <v/>
      </c>
      <c r="G181" s="24" t="str">
        <f aca="false">IFERROR(F181-forecast.ets.confint($A181,$B$104:$B$191,$A$104:$A$191,0.95,4,1,1),"")</f>
        <v/>
      </c>
      <c r="H181" s="24" t="str">
        <f aca="false">IFERROR(F181+forecast.ets.confint($A181,$B$104:$B$191,$A$104:$A$191,0.95,4,1,1),"")</f>
        <v/>
      </c>
    </row>
    <row r="182" customFormat="false" ht="15" hidden="false" customHeight="false" outlineLevel="0" collapsed="false">
      <c r="A182" s="16" t="n">
        <v>46569</v>
      </c>
      <c r="B182" s="17" t="str">
        <f aca="false">IFERROR(haverdata(Codes!$D$9,$A182),"")</f>
        <v/>
      </c>
      <c r="C182" s="18" t="str">
        <f aca="false">IFERROR(B182/B181-1,"")</f>
        <v/>
      </c>
      <c r="D182" s="18" t="str">
        <f aca="false">IFERROR(B182/B178-1,"")</f>
        <v/>
      </c>
      <c r="E182" s="19" t="str">
        <f aca="false">IFERROR(IF(B182="",IFERROR(GROWTH($B$104:$B$191,$A$104:$A$191,$A182),TREND($B$104:$B$191,$A$104:$A$191,$A182)),""),"")</f>
        <v/>
      </c>
      <c r="F182" s="19" t="str">
        <f aca="false">IFERROR(forecast.ets($A182,$B$104:$B$191,$A$104:$A$191,4,1,1),"")</f>
        <v/>
      </c>
      <c r="G182" s="19" t="str">
        <f aca="false">IFERROR(F182-forecast.ets.confint($A182,$B$104:$B$191,$A$104:$A$191,0.95,4,1,1),"")</f>
        <v/>
      </c>
      <c r="H182" s="19" t="str">
        <f aca="false">IFERROR(F182+forecast.ets.confint($A182,$B$104:$B$191,$A$104:$A$191,0.95,4,1,1),"")</f>
        <v/>
      </c>
    </row>
    <row r="183" customFormat="false" ht="15" hidden="false" customHeight="false" outlineLevel="0" collapsed="false">
      <c r="A183" s="21" t="n">
        <v>46661</v>
      </c>
      <c r="B183" s="22" t="str">
        <f aca="false">IFERROR(haverdata(Codes!$D$9,$A183),"")</f>
        <v/>
      </c>
      <c r="C183" s="23" t="str">
        <f aca="false">IFERROR(B183/B182-1,"")</f>
        <v/>
      </c>
      <c r="D183" s="23" t="str">
        <f aca="false">IFERROR(B183/B179-1,"")</f>
        <v/>
      </c>
      <c r="E183" s="24" t="str">
        <f aca="false">IFERROR(IF(B183="",IFERROR(GROWTH($B$104:$B$191,$A$104:$A$191,$A183),TREND($B$104:$B$191,$A$104:$A$191,$A183)),""),"")</f>
        <v/>
      </c>
      <c r="F183" s="24" t="str">
        <f aca="false">IFERROR(forecast.ets($A183,$B$104:$B$191,$A$104:$A$191,4,1,1),"")</f>
        <v/>
      </c>
      <c r="G183" s="24" t="str">
        <f aca="false">IFERROR(F183-forecast.ets.confint($A183,$B$104:$B$191,$A$104:$A$191,0.95,4,1,1),"")</f>
        <v/>
      </c>
      <c r="H183" s="24" t="str">
        <f aca="false">IFERROR(F183+forecast.ets.confint($A183,$B$104:$B$191,$A$104:$A$191,0.95,4,1,1),"")</f>
        <v/>
      </c>
    </row>
    <row r="184" customFormat="false" ht="15" hidden="false" customHeight="false" outlineLevel="0" collapsed="false">
      <c r="A184" s="16" t="n">
        <v>46753</v>
      </c>
      <c r="B184" s="17" t="str">
        <f aca="false">IFERROR(haverdata(Codes!$D$9,$A184),"")</f>
        <v/>
      </c>
      <c r="C184" s="18" t="str">
        <f aca="false">IFERROR(B184/B183-1,"")</f>
        <v/>
      </c>
      <c r="D184" s="18" t="str">
        <f aca="false">IFERROR(B184/B180-1,"")</f>
        <v/>
      </c>
      <c r="E184" s="19" t="str">
        <f aca="false">IFERROR(IF(B184="",IFERROR(GROWTH($B$104:$B$191,$A$104:$A$191,$A184),TREND($B$104:$B$191,$A$104:$A$191,$A184)),""),"")</f>
        <v/>
      </c>
      <c r="F184" s="19" t="str">
        <f aca="false">IFERROR(forecast.ets($A184,$B$104:$B$191,$A$104:$A$191,4,1,1),"")</f>
        <v/>
      </c>
      <c r="G184" s="19" t="str">
        <f aca="false">IFERROR(F184-forecast.ets.confint($A184,$B$104:$B$191,$A$104:$A$191,0.95,4,1,1),"")</f>
        <v/>
      </c>
      <c r="H184" s="19" t="str">
        <f aca="false">IFERROR(F184+forecast.ets.confint($A184,$B$104:$B$191,$A$104:$A$191,0.95,4,1,1),"")</f>
        <v/>
      </c>
    </row>
    <row r="185" customFormat="false" ht="15" hidden="false" customHeight="false" outlineLevel="0" collapsed="false">
      <c r="A185" s="21" t="n">
        <v>46844</v>
      </c>
      <c r="B185" s="22" t="str">
        <f aca="false">IFERROR(haverdata(Codes!$D$9,$A185),"")</f>
        <v/>
      </c>
      <c r="C185" s="23" t="str">
        <f aca="false">IFERROR(B185/B184-1,"")</f>
        <v/>
      </c>
      <c r="D185" s="23" t="str">
        <f aca="false">IFERROR(B185/B181-1,"")</f>
        <v/>
      </c>
      <c r="E185" s="24" t="str">
        <f aca="false">IFERROR(IF(B185="",IFERROR(GROWTH($B$104:$B$191,$A$104:$A$191,$A185),TREND($B$104:$B$191,$A$104:$A$191,$A185)),""),"")</f>
        <v/>
      </c>
      <c r="F185" s="24" t="str">
        <f aca="false">IFERROR(forecast.ets($A185,$B$104:$B$191,$A$104:$A$191,4,1,1),"")</f>
        <v/>
      </c>
      <c r="G185" s="24" t="str">
        <f aca="false">IFERROR(F185-forecast.ets.confint($A185,$B$104:$B$191,$A$104:$A$191,0.95,4,1,1),"")</f>
        <v/>
      </c>
      <c r="H185" s="24" t="str">
        <f aca="false">IFERROR(F185+forecast.ets.confint($A185,$B$104:$B$191,$A$104:$A$191,0.95,4,1,1),"")</f>
        <v/>
      </c>
    </row>
    <row r="186" customFormat="false" ht="15" hidden="false" customHeight="false" outlineLevel="0" collapsed="false">
      <c r="A186" s="16" t="n">
        <v>46935</v>
      </c>
      <c r="B186" s="17" t="str">
        <f aca="false">IFERROR(haverdata(Codes!$D$9,$A186),"")</f>
        <v/>
      </c>
      <c r="C186" s="18" t="str">
        <f aca="false">IFERROR(B186/B185-1,"")</f>
        <v/>
      </c>
      <c r="D186" s="18" t="str">
        <f aca="false">IFERROR(B186/B182-1,"")</f>
        <v/>
      </c>
      <c r="E186" s="19" t="str">
        <f aca="false">IFERROR(IF(B186="",IFERROR(GROWTH($B$104:$B$191,$A$104:$A$191,$A186),TREND($B$104:$B$191,$A$104:$A$191,$A186)),""),"")</f>
        <v/>
      </c>
      <c r="F186" s="19" t="str">
        <f aca="false">IFERROR(forecast.ets($A186,$B$104:$B$191,$A$104:$A$191,4,1,1),"")</f>
        <v/>
      </c>
      <c r="G186" s="19" t="str">
        <f aca="false">IFERROR(F186-forecast.ets.confint($A186,$B$104:$B$191,$A$104:$A$191,0.95,4,1,1),"")</f>
        <v/>
      </c>
      <c r="H186" s="19" t="str">
        <f aca="false">IFERROR(F186+forecast.ets.confint($A186,$B$104:$B$191,$A$104:$A$191,0.95,4,1,1),"")</f>
        <v/>
      </c>
    </row>
    <row r="187" customFormat="false" ht="15" hidden="false" customHeight="false" outlineLevel="0" collapsed="false">
      <c r="A187" s="21" t="n">
        <v>47027</v>
      </c>
      <c r="B187" s="22" t="str">
        <f aca="false">IFERROR(haverdata(Codes!$D$9,$A187),"")</f>
        <v/>
      </c>
      <c r="C187" s="23" t="str">
        <f aca="false">IFERROR(B187/B186-1,"")</f>
        <v/>
      </c>
      <c r="D187" s="23" t="str">
        <f aca="false">IFERROR(B187/B183-1,"")</f>
        <v/>
      </c>
      <c r="E187" s="24" t="str">
        <f aca="false">IFERROR(IF(B187="",IFERROR(GROWTH($B$104:$B$191,$A$104:$A$191,$A187),TREND($B$104:$B$191,$A$104:$A$191,$A187)),""),"")</f>
        <v/>
      </c>
      <c r="F187" s="24" t="str">
        <f aca="false">IFERROR(forecast.ets($A187,$B$104:$B$191,$A$104:$A$191,4,1,1),"")</f>
        <v/>
      </c>
      <c r="G187" s="24" t="str">
        <f aca="false">IFERROR(F187-forecast.ets.confint($A187,$B$104:$B$191,$A$104:$A$191,0.95,4,1,1),"")</f>
        <v/>
      </c>
      <c r="H187" s="24" t="str">
        <f aca="false">IFERROR(F187+forecast.ets.confint($A187,$B$104:$B$191,$A$104:$A$191,0.95,4,1,1),"")</f>
        <v/>
      </c>
    </row>
    <row r="188" customFormat="false" ht="15" hidden="false" customHeight="false" outlineLevel="0" collapsed="false">
      <c r="A188" s="16" t="n">
        <v>47119</v>
      </c>
      <c r="B188" s="17" t="str">
        <f aca="false">IFERROR(haverdata(Codes!$D$9,$A188),"")</f>
        <v/>
      </c>
      <c r="C188" s="18" t="str">
        <f aca="false">IFERROR(B188/B187-1,"")</f>
        <v/>
      </c>
      <c r="D188" s="18" t="str">
        <f aca="false">IFERROR(B188/B184-1,"")</f>
        <v/>
      </c>
      <c r="E188" s="19" t="str">
        <f aca="false">IFERROR(IF(B188="",IFERROR(GROWTH($B$104:$B$191,$A$104:$A$191,$A188),TREND($B$104:$B$191,$A$104:$A$191,$A188)),""),"")</f>
        <v/>
      </c>
      <c r="F188" s="19" t="str">
        <f aca="false">IFERROR(forecast.ets($A188,$B$104:$B$191,$A$104:$A$191,4,1,1),"")</f>
        <v/>
      </c>
      <c r="G188" s="19" t="str">
        <f aca="false">IFERROR(F188-forecast.ets.confint($A188,$B$104:$B$191,$A$104:$A$191,0.95,4,1,1),"")</f>
        <v/>
      </c>
      <c r="H188" s="19" t="str">
        <f aca="false">IFERROR(F188+forecast.ets.confint($A188,$B$104:$B$191,$A$104:$A$191,0.95,4,1,1),"")</f>
        <v/>
      </c>
    </row>
    <row r="189" customFormat="false" ht="15" hidden="false" customHeight="false" outlineLevel="0" collapsed="false">
      <c r="A189" s="21" t="n">
        <v>47209</v>
      </c>
      <c r="B189" s="22" t="str">
        <f aca="false">IFERROR(haverdata(Codes!$D$9,$A189),"")</f>
        <v/>
      </c>
      <c r="C189" s="23" t="str">
        <f aca="false">IFERROR(B189/B188-1,"")</f>
        <v/>
      </c>
      <c r="D189" s="23" t="str">
        <f aca="false">IFERROR(B189/B185-1,"")</f>
        <v/>
      </c>
      <c r="E189" s="24" t="str">
        <f aca="false">IFERROR(IF(B189="",IFERROR(GROWTH($B$104:$B$191,$A$104:$A$191,$A189),TREND($B$104:$B$191,$A$104:$A$191,$A189)),""),"")</f>
        <v/>
      </c>
      <c r="F189" s="24" t="str">
        <f aca="false">IFERROR(forecast.ets($A189,$B$104:$B$191,$A$104:$A$191,4,1,1),"")</f>
        <v/>
      </c>
      <c r="G189" s="24" t="str">
        <f aca="false">IFERROR(F189-forecast.ets.confint($A189,$B$104:$B$191,$A$104:$A$191,0.95,4,1,1),"")</f>
        <v/>
      </c>
      <c r="H189" s="24" t="str">
        <f aca="false">IFERROR(F189+forecast.ets.confint($A189,$B$104:$B$191,$A$104:$A$191,0.95,4,1,1),"")</f>
        <v/>
      </c>
    </row>
    <row r="190" customFormat="false" ht="15" hidden="false" customHeight="false" outlineLevel="0" collapsed="false">
      <c r="A190" s="16" t="n">
        <v>47300</v>
      </c>
      <c r="B190" s="17" t="str">
        <f aca="false">IFERROR(haverdata(Codes!$D$9,$A190),"")</f>
        <v/>
      </c>
      <c r="C190" s="18" t="str">
        <f aca="false">IFERROR(B190/B189-1,"")</f>
        <v/>
      </c>
      <c r="D190" s="18" t="str">
        <f aca="false">IFERROR(B190/B186-1,"")</f>
        <v/>
      </c>
      <c r="E190" s="19" t="str">
        <f aca="false">IFERROR(IF(B190="",IFERROR(GROWTH($B$104:$B$191,$A$104:$A$191,$A190),TREND($B$104:$B$191,$A$104:$A$191,$A190)),""),"")</f>
        <v/>
      </c>
      <c r="F190" s="19" t="str">
        <f aca="false">IFERROR(forecast.ets($A190,$B$104:$B$191,$A$104:$A$191,4,1,1),"")</f>
        <v/>
      </c>
      <c r="G190" s="19" t="str">
        <f aca="false">IFERROR(F190-forecast.ets.confint($A190,$B$104:$B$191,$A$104:$A$191,0.95,4,1,1),"")</f>
        <v/>
      </c>
      <c r="H190" s="19" t="str">
        <f aca="false">IFERROR(F190+forecast.ets.confint($A190,$B$104:$B$191,$A$104:$A$191,0.95,4,1,1),"")</f>
        <v/>
      </c>
    </row>
    <row r="191" customFormat="false" ht="15" hidden="false" customHeight="false" outlineLevel="0" collapsed="false">
      <c r="A191" s="21" t="n">
        <v>47392</v>
      </c>
      <c r="B191" s="22" t="str">
        <f aca="false">IFERROR(haverdata(Codes!$D$9,$A191),"")</f>
        <v/>
      </c>
      <c r="C191" s="23" t="str">
        <f aca="false">IFERROR(B191/B190-1,"")</f>
        <v/>
      </c>
      <c r="D191" s="23" t="str">
        <f aca="false">IFERROR(B191/B187-1,"")</f>
        <v/>
      </c>
      <c r="E191" s="24" t="str">
        <f aca="false">IFERROR(IF(B191="",IFERROR(GROWTH($B$104:$B$191,$A$104:$A$191,$A191),TREND($B$104:$B$191,$A$104:$A$191,$A191)),""),"")</f>
        <v/>
      </c>
      <c r="F191" s="24" t="str">
        <f aca="false">IFERROR(forecast.ets($A191,$B$104:$B$191,$A$104:$A$191,4,1,1),"")</f>
        <v/>
      </c>
      <c r="G191" s="24" t="str">
        <f aca="false">IFERROR(F191-forecast.ets.confint($A191,$B$104:$B$191,$A$104:$A$191,0.95,4,1,1),"")</f>
        <v/>
      </c>
      <c r="H191" s="24" t="str">
        <f aca="false">IFERROR(F191+forecast.ets.confint($A191,$B$104:$B$191,$A$104:$A$191,0.95,4,1,1),"")</f>
        <v/>
      </c>
    </row>
    <row r="196" customFormat="false" ht="21.75" hidden="false" customHeight="true" outlineLevel="0" collapsed="false">
      <c r="A196" s="13" t="str">
        <f aca="false">Codes!$B$10&amp;"   ["&amp;Codes!$D$10&amp;"]   "&amp;Codes!$F$10</f>
        <v>Wholesale Price Index (IPIM)   [IPIM@ARGEN]   Index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customFormat="false" ht="15" hidden="false" customHeight="false" outlineLevel="0" collapsed="false">
      <c r="A197" s="4" t="s">
        <v>107</v>
      </c>
      <c r="B197" s="14" t="str">
        <f aca="false">Codes!$G$10</f>
        <v>avg</v>
      </c>
      <c r="D197" s="4" t="s">
        <v>108</v>
      </c>
      <c r="E197" s="6" t="str">
        <f aca="false">Codes!$H$10</f>
        <v>[VERIFY]</v>
      </c>
      <c r="F197" s="6"/>
      <c r="G197" s="6"/>
      <c r="H197" s="6"/>
      <c r="I197" s="6"/>
      <c r="J197" s="6"/>
      <c r="K197" s="6"/>
      <c r="L197" s="6"/>
      <c r="M197" s="6"/>
    </row>
    <row r="198" customFormat="false" ht="18" hidden="false" customHeight="true" outlineLevel="0" collapsed="false">
      <c r="A198" s="15" t="s">
        <v>109</v>
      </c>
      <c r="B198" s="15"/>
      <c r="C198" s="15"/>
      <c r="D198" s="15"/>
      <c r="E198" s="15"/>
      <c r="F198" s="15"/>
      <c r="G198" s="15"/>
      <c r="H198" s="15"/>
      <c r="J198" s="15" t="s">
        <v>110</v>
      </c>
      <c r="K198" s="15"/>
      <c r="L198" s="15"/>
      <c r="M198" s="15"/>
    </row>
    <row r="199" customFormat="false" ht="15" hidden="false" customHeight="false" outlineLevel="0" collapsed="false">
      <c r="A199" s="7" t="s">
        <v>111</v>
      </c>
      <c r="B199" s="7" t="s">
        <v>112</v>
      </c>
      <c r="C199" s="7" t="s">
        <v>113</v>
      </c>
      <c r="D199" s="7" t="s">
        <v>114</v>
      </c>
      <c r="E199" s="7" t="s">
        <v>115</v>
      </c>
      <c r="F199" s="7" t="s">
        <v>116</v>
      </c>
      <c r="G199" s="7" t="s">
        <v>117</v>
      </c>
      <c r="H199" s="7" t="s">
        <v>118</v>
      </c>
      <c r="J199" s="7" t="s">
        <v>119</v>
      </c>
      <c r="K199" s="7" t="s">
        <v>112</v>
      </c>
      <c r="L199" s="7" t="s">
        <v>114</v>
      </c>
      <c r="M199" s="7" t="s">
        <v>120</v>
      </c>
    </row>
    <row r="200" customFormat="false" ht="15" hidden="false" customHeight="false" outlineLevel="0" collapsed="false">
      <c r="A200" s="16" t="n">
        <v>39448</v>
      </c>
      <c r="B200" s="17" t="str">
        <f aca="false">IFERROR(haverdata(Codes!$D$10,$A200),"")</f>
        <v/>
      </c>
      <c r="C200" s="18"/>
      <c r="D200" s="18"/>
      <c r="E200" s="19" t="str">
        <f aca="false">IFERROR(IF(B200="",IFERROR(GROWTH($B$200:$B$287,$A$200:$A$287,$A200),TREND($B$200:$B$287,$A$200:$A$287,$A200)),""),"")</f>
        <v/>
      </c>
      <c r="F200" s="19" t="str">
        <f aca="false">IFERROR(forecast.ets($A200,$B$200:$B$287,$A$200:$A$287,4,1,1),"")</f>
        <v/>
      </c>
      <c r="G200" s="19" t="str">
        <f aca="false">IFERROR(F200-forecast.ets.confint($A200,$B$200:$B$287,$A$200:$A$287,0.95,4,1,1),"")</f>
        <v/>
      </c>
      <c r="H200" s="19" t="str">
        <f aca="false">IFERROR(F200+forecast.ets.confint($A200,$B$200:$B$287,$A$200:$A$287,0.95,4,1,1),"")</f>
        <v/>
      </c>
      <c r="J200" s="20" t="n">
        <v>2008</v>
      </c>
      <c r="K200" s="19" t="str">
        <f aca="false">IFERROR(AVERAGEIFS($B$200:$B$287,$A$200:$A$287,"&gt;="&amp;DATE(J200,1,1),$A$200:$A$287,"&lt;="&amp;DATE(J200,12,31)),"")</f>
        <v/>
      </c>
      <c r="L200" s="18"/>
      <c r="M200" s="19" t="str">
        <f aca="false">IFERROR(AVERAGEIFS($F$200:$F$287,$A$200:$A$287,"&gt;="&amp;DATE(J200,1,1),$A$200:$A$287,"&lt;="&amp;DATE(J200,12,31)),"")</f>
        <v/>
      </c>
    </row>
    <row r="201" customFormat="false" ht="15" hidden="false" customHeight="false" outlineLevel="0" collapsed="false">
      <c r="A201" s="21" t="n">
        <v>39539</v>
      </c>
      <c r="B201" s="22" t="str">
        <f aca="false">IFERROR(haverdata(Codes!$D$10,$A201),"")</f>
        <v/>
      </c>
      <c r="C201" s="23" t="str">
        <f aca="false">IFERROR(B201/B200-1,"")</f>
        <v/>
      </c>
      <c r="D201" s="23"/>
      <c r="E201" s="24" t="str">
        <f aca="false">IFERROR(IF(B201="",IFERROR(GROWTH($B$200:$B$287,$A$200:$A$287,$A201),TREND($B$200:$B$287,$A$200:$A$287,$A201)),""),"")</f>
        <v/>
      </c>
      <c r="F201" s="24" t="str">
        <f aca="false">IFERROR(forecast.ets($A201,$B$200:$B$287,$A$200:$A$287,4,1,1),"")</f>
        <v/>
      </c>
      <c r="G201" s="24" t="str">
        <f aca="false">IFERROR(F201-forecast.ets.confint($A201,$B$200:$B$287,$A$200:$A$287,0.95,4,1,1),"")</f>
        <v/>
      </c>
      <c r="H201" s="24" t="str">
        <f aca="false">IFERROR(F201+forecast.ets.confint($A201,$B$200:$B$287,$A$200:$A$287,0.95,4,1,1),"")</f>
        <v/>
      </c>
      <c r="J201" s="25" t="n">
        <v>2009</v>
      </c>
      <c r="K201" s="24" t="str">
        <f aca="false">IFERROR(AVERAGEIFS($B$200:$B$287,$A$200:$A$287,"&gt;="&amp;DATE(J201,1,1),$A$200:$A$287,"&lt;="&amp;DATE(J201,12,31)),"")</f>
        <v/>
      </c>
      <c r="L201" s="23" t="str">
        <f aca="false">IFERROR(K201/K200-1,"")</f>
        <v/>
      </c>
      <c r="M201" s="24" t="str">
        <f aca="false">IFERROR(AVERAGEIFS($F$200:$F$287,$A$200:$A$287,"&gt;="&amp;DATE(J201,1,1),$A$200:$A$287,"&lt;="&amp;DATE(J201,12,31)),"")</f>
        <v/>
      </c>
    </row>
    <row r="202" customFormat="false" ht="15" hidden="false" customHeight="false" outlineLevel="0" collapsed="false">
      <c r="A202" s="16" t="n">
        <v>39630</v>
      </c>
      <c r="B202" s="17" t="str">
        <f aca="false">IFERROR(haverdata(Codes!$D$10,$A202),"")</f>
        <v/>
      </c>
      <c r="C202" s="18" t="str">
        <f aca="false">IFERROR(B202/B201-1,"")</f>
        <v/>
      </c>
      <c r="D202" s="18"/>
      <c r="E202" s="19" t="str">
        <f aca="false">IFERROR(IF(B202="",IFERROR(GROWTH($B$200:$B$287,$A$200:$A$287,$A202),TREND($B$200:$B$287,$A$200:$A$287,$A202)),""),"")</f>
        <v/>
      </c>
      <c r="F202" s="19" t="str">
        <f aca="false">IFERROR(forecast.ets($A202,$B$200:$B$287,$A$200:$A$287,4,1,1),"")</f>
        <v/>
      </c>
      <c r="G202" s="19" t="str">
        <f aca="false">IFERROR(F202-forecast.ets.confint($A202,$B$200:$B$287,$A$200:$A$287,0.95,4,1,1),"")</f>
        <v/>
      </c>
      <c r="H202" s="19" t="str">
        <f aca="false">IFERROR(F202+forecast.ets.confint($A202,$B$200:$B$287,$A$200:$A$287,0.95,4,1,1),"")</f>
        <v/>
      </c>
      <c r="J202" s="20" t="n">
        <v>2010</v>
      </c>
      <c r="K202" s="19" t="str">
        <f aca="false">IFERROR(AVERAGEIFS($B$200:$B$287,$A$200:$A$287,"&gt;="&amp;DATE(J202,1,1),$A$200:$A$287,"&lt;="&amp;DATE(J202,12,31)),"")</f>
        <v/>
      </c>
      <c r="L202" s="18" t="str">
        <f aca="false">IFERROR(K202/K201-1,"")</f>
        <v/>
      </c>
      <c r="M202" s="19" t="str">
        <f aca="false">IFERROR(AVERAGEIFS($F$200:$F$287,$A$200:$A$287,"&gt;="&amp;DATE(J202,1,1),$A$200:$A$287,"&lt;="&amp;DATE(J202,12,31)),"")</f>
        <v/>
      </c>
    </row>
    <row r="203" customFormat="false" ht="15" hidden="false" customHeight="false" outlineLevel="0" collapsed="false">
      <c r="A203" s="21" t="n">
        <v>39722</v>
      </c>
      <c r="B203" s="22" t="str">
        <f aca="false">IFERROR(haverdata(Codes!$D$10,$A203),"")</f>
        <v/>
      </c>
      <c r="C203" s="23" t="str">
        <f aca="false">IFERROR(B203/B202-1,"")</f>
        <v/>
      </c>
      <c r="D203" s="23"/>
      <c r="E203" s="24" t="str">
        <f aca="false">IFERROR(IF(B203="",IFERROR(GROWTH($B$200:$B$287,$A$200:$A$287,$A203),TREND($B$200:$B$287,$A$200:$A$287,$A203)),""),"")</f>
        <v/>
      </c>
      <c r="F203" s="24" t="str">
        <f aca="false">IFERROR(forecast.ets($A203,$B$200:$B$287,$A$200:$A$287,4,1,1),"")</f>
        <v/>
      </c>
      <c r="G203" s="24" t="str">
        <f aca="false">IFERROR(F203-forecast.ets.confint($A203,$B$200:$B$287,$A$200:$A$287,0.95,4,1,1),"")</f>
        <v/>
      </c>
      <c r="H203" s="24" t="str">
        <f aca="false">IFERROR(F203+forecast.ets.confint($A203,$B$200:$B$287,$A$200:$A$287,0.95,4,1,1),"")</f>
        <v/>
      </c>
      <c r="J203" s="25" t="n">
        <v>2011</v>
      </c>
      <c r="K203" s="24" t="str">
        <f aca="false">IFERROR(AVERAGEIFS($B$200:$B$287,$A$200:$A$287,"&gt;="&amp;DATE(J203,1,1),$A$200:$A$287,"&lt;="&amp;DATE(J203,12,31)),"")</f>
        <v/>
      </c>
      <c r="L203" s="23" t="str">
        <f aca="false">IFERROR(K203/K202-1,"")</f>
        <v/>
      </c>
      <c r="M203" s="24" t="str">
        <f aca="false">IFERROR(AVERAGEIFS($F$200:$F$287,$A$200:$A$287,"&gt;="&amp;DATE(J203,1,1),$A$200:$A$287,"&lt;="&amp;DATE(J203,12,31)),"")</f>
        <v/>
      </c>
    </row>
    <row r="204" customFormat="false" ht="15" hidden="false" customHeight="false" outlineLevel="0" collapsed="false">
      <c r="A204" s="16" t="n">
        <v>39814</v>
      </c>
      <c r="B204" s="17" t="str">
        <f aca="false">IFERROR(haverdata(Codes!$D$10,$A204),"")</f>
        <v/>
      </c>
      <c r="C204" s="18" t="str">
        <f aca="false">IFERROR(B204/B203-1,"")</f>
        <v/>
      </c>
      <c r="D204" s="18" t="str">
        <f aca="false">IFERROR(B204/B200-1,"")</f>
        <v/>
      </c>
      <c r="E204" s="19" t="str">
        <f aca="false">IFERROR(IF(B204="",IFERROR(GROWTH($B$200:$B$287,$A$200:$A$287,$A204),TREND($B$200:$B$287,$A$200:$A$287,$A204)),""),"")</f>
        <v/>
      </c>
      <c r="F204" s="19" t="str">
        <f aca="false">IFERROR(forecast.ets($A204,$B$200:$B$287,$A$200:$A$287,4,1,1),"")</f>
        <v/>
      </c>
      <c r="G204" s="19" t="str">
        <f aca="false">IFERROR(F204-forecast.ets.confint($A204,$B$200:$B$287,$A$200:$A$287,0.95,4,1,1),"")</f>
        <v/>
      </c>
      <c r="H204" s="19" t="str">
        <f aca="false">IFERROR(F204+forecast.ets.confint($A204,$B$200:$B$287,$A$200:$A$287,0.95,4,1,1),"")</f>
        <v/>
      </c>
      <c r="J204" s="20" t="n">
        <v>2012</v>
      </c>
      <c r="K204" s="19" t="str">
        <f aca="false">IFERROR(AVERAGEIFS($B$200:$B$287,$A$200:$A$287,"&gt;="&amp;DATE(J204,1,1),$A$200:$A$287,"&lt;="&amp;DATE(J204,12,31)),"")</f>
        <v/>
      </c>
      <c r="L204" s="18" t="str">
        <f aca="false">IFERROR(K204/K203-1,"")</f>
        <v/>
      </c>
      <c r="M204" s="19" t="str">
        <f aca="false">IFERROR(AVERAGEIFS($F$200:$F$287,$A$200:$A$287,"&gt;="&amp;DATE(J204,1,1),$A$200:$A$287,"&lt;="&amp;DATE(J204,12,31)),"")</f>
        <v/>
      </c>
    </row>
    <row r="205" customFormat="false" ht="15" hidden="false" customHeight="false" outlineLevel="0" collapsed="false">
      <c r="A205" s="21" t="n">
        <v>39904</v>
      </c>
      <c r="B205" s="22" t="str">
        <f aca="false">IFERROR(haverdata(Codes!$D$10,$A205),"")</f>
        <v/>
      </c>
      <c r="C205" s="23" t="str">
        <f aca="false">IFERROR(B205/B204-1,"")</f>
        <v/>
      </c>
      <c r="D205" s="23" t="str">
        <f aca="false">IFERROR(B205/B201-1,"")</f>
        <v/>
      </c>
      <c r="E205" s="24" t="str">
        <f aca="false">IFERROR(IF(B205="",IFERROR(GROWTH($B$200:$B$287,$A$200:$A$287,$A205),TREND($B$200:$B$287,$A$200:$A$287,$A205)),""),"")</f>
        <v/>
      </c>
      <c r="F205" s="24" t="str">
        <f aca="false">IFERROR(forecast.ets($A205,$B$200:$B$287,$A$200:$A$287,4,1,1),"")</f>
        <v/>
      </c>
      <c r="G205" s="24" t="str">
        <f aca="false">IFERROR(F205-forecast.ets.confint($A205,$B$200:$B$287,$A$200:$A$287,0.95,4,1,1),"")</f>
        <v/>
      </c>
      <c r="H205" s="24" t="str">
        <f aca="false">IFERROR(F205+forecast.ets.confint($A205,$B$200:$B$287,$A$200:$A$287,0.95,4,1,1),"")</f>
        <v/>
      </c>
      <c r="J205" s="25" t="n">
        <v>2013</v>
      </c>
      <c r="K205" s="24" t="str">
        <f aca="false">IFERROR(AVERAGEIFS($B$200:$B$287,$A$200:$A$287,"&gt;="&amp;DATE(J205,1,1),$A$200:$A$287,"&lt;="&amp;DATE(J205,12,31)),"")</f>
        <v/>
      </c>
      <c r="L205" s="23" t="str">
        <f aca="false">IFERROR(K205/K204-1,"")</f>
        <v/>
      </c>
      <c r="M205" s="24" t="str">
        <f aca="false">IFERROR(AVERAGEIFS($F$200:$F$287,$A$200:$A$287,"&gt;="&amp;DATE(J205,1,1),$A$200:$A$287,"&lt;="&amp;DATE(J205,12,31)),"")</f>
        <v/>
      </c>
    </row>
    <row r="206" customFormat="false" ht="15" hidden="false" customHeight="false" outlineLevel="0" collapsed="false">
      <c r="A206" s="16" t="n">
        <v>39995</v>
      </c>
      <c r="B206" s="17" t="str">
        <f aca="false">IFERROR(haverdata(Codes!$D$10,$A206),"")</f>
        <v/>
      </c>
      <c r="C206" s="18" t="str">
        <f aca="false">IFERROR(B206/B205-1,"")</f>
        <v/>
      </c>
      <c r="D206" s="18" t="str">
        <f aca="false">IFERROR(B206/B202-1,"")</f>
        <v/>
      </c>
      <c r="E206" s="19" t="str">
        <f aca="false">IFERROR(IF(B206="",IFERROR(GROWTH($B$200:$B$287,$A$200:$A$287,$A206),TREND($B$200:$B$287,$A$200:$A$287,$A206)),""),"")</f>
        <v/>
      </c>
      <c r="F206" s="19" t="str">
        <f aca="false">IFERROR(forecast.ets($A206,$B$200:$B$287,$A$200:$A$287,4,1,1),"")</f>
        <v/>
      </c>
      <c r="G206" s="19" t="str">
        <f aca="false">IFERROR(F206-forecast.ets.confint($A206,$B$200:$B$287,$A$200:$A$287,0.95,4,1,1),"")</f>
        <v/>
      </c>
      <c r="H206" s="19" t="str">
        <f aca="false">IFERROR(F206+forecast.ets.confint($A206,$B$200:$B$287,$A$200:$A$287,0.95,4,1,1),"")</f>
        <v/>
      </c>
      <c r="J206" s="20" t="n">
        <v>2014</v>
      </c>
      <c r="K206" s="19" t="str">
        <f aca="false">IFERROR(AVERAGEIFS($B$200:$B$287,$A$200:$A$287,"&gt;="&amp;DATE(J206,1,1),$A$200:$A$287,"&lt;="&amp;DATE(J206,12,31)),"")</f>
        <v/>
      </c>
      <c r="L206" s="18" t="str">
        <f aca="false">IFERROR(K206/K205-1,"")</f>
        <v/>
      </c>
      <c r="M206" s="19" t="str">
        <f aca="false">IFERROR(AVERAGEIFS($F$200:$F$287,$A$200:$A$287,"&gt;="&amp;DATE(J206,1,1),$A$200:$A$287,"&lt;="&amp;DATE(J206,12,31)),"")</f>
        <v/>
      </c>
    </row>
    <row r="207" customFormat="false" ht="15" hidden="false" customHeight="false" outlineLevel="0" collapsed="false">
      <c r="A207" s="21" t="n">
        <v>40087</v>
      </c>
      <c r="B207" s="22" t="str">
        <f aca="false">IFERROR(haverdata(Codes!$D$10,$A207),"")</f>
        <v/>
      </c>
      <c r="C207" s="23" t="str">
        <f aca="false">IFERROR(B207/B206-1,"")</f>
        <v/>
      </c>
      <c r="D207" s="23" t="str">
        <f aca="false">IFERROR(B207/B203-1,"")</f>
        <v/>
      </c>
      <c r="E207" s="24" t="str">
        <f aca="false">IFERROR(IF(B207="",IFERROR(GROWTH($B$200:$B$287,$A$200:$A$287,$A207),TREND($B$200:$B$287,$A$200:$A$287,$A207)),""),"")</f>
        <v/>
      </c>
      <c r="F207" s="24" t="str">
        <f aca="false">IFERROR(forecast.ets($A207,$B$200:$B$287,$A$200:$A$287,4,1,1),"")</f>
        <v/>
      </c>
      <c r="G207" s="24" t="str">
        <f aca="false">IFERROR(F207-forecast.ets.confint($A207,$B$200:$B$287,$A$200:$A$287,0.95,4,1,1),"")</f>
        <v/>
      </c>
      <c r="H207" s="24" t="str">
        <f aca="false">IFERROR(F207+forecast.ets.confint($A207,$B$200:$B$287,$A$200:$A$287,0.95,4,1,1),"")</f>
        <v/>
      </c>
      <c r="J207" s="25" t="n">
        <v>2015</v>
      </c>
      <c r="K207" s="24" t="str">
        <f aca="false">IFERROR(AVERAGEIFS($B$200:$B$287,$A$200:$A$287,"&gt;="&amp;DATE(J207,1,1),$A$200:$A$287,"&lt;="&amp;DATE(J207,12,31)),"")</f>
        <v/>
      </c>
      <c r="L207" s="23" t="str">
        <f aca="false">IFERROR(K207/K206-1,"")</f>
        <v/>
      </c>
      <c r="M207" s="24" t="str">
        <f aca="false">IFERROR(AVERAGEIFS($F$200:$F$287,$A$200:$A$287,"&gt;="&amp;DATE(J207,1,1),$A$200:$A$287,"&lt;="&amp;DATE(J207,12,31)),"")</f>
        <v/>
      </c>
    </row>
    <row r="208" customFormat="false" ht="15" hidden="false" customHeight="false" outlineLevel="0" collapsed="false">
      <c r="A208" s="16" t="n">
        <v>40179</v>
      </c>
      <c r="B208" s="17" t="str">
        <f aca="false">IFERROR(haverdata(Codes!$D$10,$A208),"")</f>
        <v/>
      </c>
      <c r="C208" s="18" t="str">
        <f aca="false">IFERROR(B208/B207-1,"")</f>
        <v/>
      </c>
      <c r="D208" s="18" t="str">
        <f aca="false">IFERROR(B208/B204-1,"")</f>
        <v/>
      </c>
      <c r="E208" s="19" t="str">
        <f aca="false">IFERROR(IF(B208="",IFERROR(GROWTH($B$200:$B$287,$A$200:$A$287,$A208),TREND($B$200:$B$287,$A$200:$A$287,$A208)),""),"")</f>
        <v/>
      </c>
      <c r="F208" s="19" t="str">
        <f aca="false">IFERROR(forecast.ets($A208,$B$200:$B$287,$A$200:$A$287,4,1,1),"")</f>
        <v/>
      </c>
      <c r="G208" s="19" t="str">
        <f aca="false">IFERROR(F208-forecast.ets.confint($A208,$B$200:$B$287,$A$200:$A$287,0.95,4,1,1),"")</f>
        <v/>
      </c>
      <c r="H208" s="19" t="str">
        <f aca="false">IFERROR(F208+forecast.ets.confint($A208,$B$200:$B$287,$A$200:$A$287,0.95,4,1,1),"")</f>
        <v/>
      </c>
      <c r="J208" s="20" t="n">
        <v>2016</v>
      </c>
      <c r="K208" s="19" t="str">
        <f aca="false">IFERROR(AVERAGEIFS($B$200:$B$287,$A$200:$A$287,"&gt;="&amp;DATE(J208,1,1),$A$200:$A$287,"&lt;="&amp;DATE(J208,12,31)),"")</f>
        <v/>
      </c>
      <c r="L208" s="18" t="str">
        <f aca="false">IFERROR(K208/K207-1,"")</f>
        <v/>
      </c>
      <c r="M208" s="19" t="str">
        <f aca="false">IFERROR(AVERAGEIFS($F$200:$F$287,$A$200:$A$287,"&gt;="&amp;DATE(J208,1,1),$A$200:$A$287,"&lt;="&amp;DATE(J208,12,31)),"")</f>
        <v/>
      </c>
    </row>
    <row r="209" customFormat="false" ht="15" hidden="false" customHeight="false" outlineLevel="0" collapsed="false">
      <c r="A209" s="21" t="n">
        <v>40269</v>
      </c>
      <c r="B209" s="22" t="str">
        <f aca="false">IFERROR(haverdata(Codes!$D$10,$A209),"")</f>
        <v/>
      </c>
      <c r="C209" s="23" t="str">
        <f aca="false">IFERROR(B209/B208-1,"")</f>
        <v/>
      </c>
      <c r="D209" s="23" t="str">
        <f aca="false">IFERROR(B209/B205-1,"")</f>
        <v/>
      </c>
      <c r="E209" s="24" t="str">
        <f aca="false">IFERROR(IF(B209="",IFERROR(GROWTH($B$200:$B$287,$A$200:$A$287,$A209),TREND($B$200:$B$287,$A$200:$A$287,$A209)),""),"")</f>
        <v/>
      </c>
      <c r="F209" s="24" t="str">
        <f aca="false">IFERROR(forecast.ets($A209,$B$200:$B$287,$A$200:$A$287,4,1,1),"")</f>
        <v/>
      </c>
      <c r="G209" s="24" t="str">
        <f aca="false">IFERROR(F209-forecast.ets.confint($A209,$B$200:$B$287,$A$200:$A$287,0.95,4,1,1),"")</f>
        <v/>
      </c>
      <c r="H209" s="24" t="str">
        <f aca="false">IFERROR(F209+forecast.ets.confint($A209,$B$200:$B$287,$A$200:$A$287,0.95,4,1,1),"")</f>
        <v/>
      </c>
      <c r="J209" s="25" t="n">
        <v>2017</v>
      </c>
      <c r="K209" s="24" t="str">
        <f aca="false">IFERROR(AVERAGEIFS($B$200:$B$287,$A$200:$A$287,"&gt;="&amp;DATE(J209,1,1),$A$200:$A$287,"&lt;="&amp;DATE(J209,12,31)),"")</f>
        <v/>
      </c>
      <c r="L209" s="23" t="str">
        <f aca="false">IFERROR(K209/K208-1,"")</f>
        <v/>
      </c>
      <c r="M209" s="24" t="str">
        <f aca="false">IFERROR(AVERAGEIFS($F$200:$F$287,$A$200:$A$287,"&gt;="&amp;DATE(J209,1,1),$A$200:$A$287,"&lt;="&amp;DATE(J209,12,31)),"")</f>
        <v/>
      </c>
    </row>
    <row r="210" customFormat="false" ht="15" hidden="false" customHeight="false" outlineLevel="0" collapsed="false">
      <c r="A210" s="16" t="n">
        <v>40360</v>
      </c>
      <c r="B210" s="17" t="str">
        <f aca="false">IFERROR(haverdata(Codes!$D$10,$A210),"")</f>
        <v/>
      </c>
      <c r="C210" s="18" t="str">
        <f aca="false">IFERROR(B210/B209-1,"")</f>
        <v/>
      </c>
      <c r="D210" s="18" t="str">
        <f aca="false">IFERROR(B210/B206-1,"")</f>
        <v/>
      </c>
      <c r="E210" s="19" t="str">
        <f aca="false">IFERROR(IF(B210="",IFERROR(GROWTH($B$200:$B$287,$A$200:$A$287,$A210),TREND($B$200:$B$287,$A$200:$A$287,$A210)),""),"")</f>
        <v/>
      </c>
      <c r="F210" s="19" t="str">
        <f aca="false">IFERROR(forecast.ets($A210,$B$200:$B$287,$A$200:$A$287,4,1,1),"")</f>
        <v/>
      </c>
      <c r="G210" s="19" t="str">
        <f aca="false">IFERROR(F210-forecast.ets.confint($A210,$B$200:$B$287,$A$200:$A$287,0.95,4,1,1),"")</f>
        <v/>
      </c>
      <c r="H210" s="19" t="str">
        <f aca="false">IFERROR(F210+forecast.ets.confint($A210,$B$200:$B$287,$A$200:$A$287,0.95,4,1,1),"")</f>
        <v/>
      </c>
      <c r="J210" s="20" t="n">
        <v>2018</v>
      </c>
      <c r="K210" s="19" t="str">
        <f aca="false">IFERROR(AVERAGEIFS($B$200:$B$287,$A$200:$A$287,"&gt;="&amp;DATE(J210,1,1),$A$200:$A$287,"&lt;="&amp;DATE(J210,12,31)),"")</f>
        <v/>
      </c>
      <c r="L210" s="18" t="str">
        <f aca="false">IFERROR(K210/K209-1,"")</f>
        <v/>
      </c>
      <c r="M210" s="19" t="str">
        <f aca="false">IFERROR(AVERAGEIFS($F$200:$F$287,$A$200:$A$287,"&gt;="&amp;DATE(J210,1,1),$A$200:$A$287,"&lt;="&amp;DATE(J210,12,31)),"")</f>
        <v/>
      </c>
    </row>
    <row r="211" customFormat="false" ht="15" hidden="false" customHeight="false" outlineLevel="0" collapsed="false">
      <c r="A211" s="21" t="n">
        <v>40452</v>
      </c>
      <c r="B211" s="22" t="str">
        <f aca="false">IFERROR(haverdata(Codes!$D$10,$A211),"")</f>
        <v/>
      </c>
      <c r="C211" s="23" t="str">
        <f aca="false">IFERROR(B211/B210-1,"")</f>
        <v/>
      </c>
      <c r="D211" s="23" t="str">
        <f aca="false">IFERROR(B211/B207-1,"")</f>
        <v/>
      </c>
      <c r="E211" s="24" t="str">
        <f aca="false">IFERROR(IF(B211="",IFERROR(GROWTH($B$200:$B$287,$A$200:$A$287,$A211),TREND($B$200:$B$287,$A$200:$A$287,$A211)),""),"")</f>
        <v/>
      </c>
      <c r="F211" s="24" t="str">
        <f aca="false">IFERROR(forecast.ets($A211,$B$200:$B$287,$A$200:$A$287,4,1,1),"")</f>
        <v/>
      </c>
      <c r="G211" s="24" t="str">
        <f aca="false">IFERROR(F211-forecast.ets.confint($A211,$B$200:$B$287,$A$200:$A$287,0.95,4,1,1),"")</f>
        <v/>
      </c>
      <c r="H211" s="24" t="str">
        <f aca="false">IFERROR(F211+forecast.ets.confint($A211,$B$200:$B$287,$A$200:$A$287,0.95,4,1,1),"")</f>
        <v/>
      </c>
      <c r="J211" s="25" t="n">
        <v>2019</v>
      </c>
      <c r="K211" s="24" t="str">
        <f aca="false">IFERROR(AVERAGEIFS($B$200:$B$287,$A$200:$A$287,"&gt;="&amp;DATE(J211,1,1),$A$200:$A$287,"&lt;="&amp;DATE(J211,12,31)),"")</f>
        <v/>
      </c>
      <c r="L211" s="23" t="str">
        <f aca="false">IFERROR(K211/K210-1,"")</f>
        <v/>
      </c>
      <c r="M211" s="24" t="str">
        <f aca="false">IFERROR(AVERAGEIFS($F$200:$F$287,$A$200:$A$287,"&gt;="&amp;DATE(J211,1,1),$A$200:$A$287,"&lt;="&amp;DATE(J211,12,31)),"")</f>
        <v/>
      </c>
    </row>
    <row r="212" customFormat="false" ht="15" hidden="false" customHeight="false" outlineLevel="0" collapsed="false">
      <c r="A212" s="16" t="n">
        <v>40544</v>
      </c>
      <c r="B212" s="17" t="str">
        <f aca="false">IFERROR(haverdata(Codes!$D$10,$A212),"")</f>
        <v/>
      </c>
      <c r="C212" s="18" t="str">
        <f aca="false">IFERROR(B212/B211-1,"")</f>
        <v/>
      </c>
      <c r="D212" s="18" t="str">
        <f aca="false">IFERROR(B212/B208-1,"")</f>
        <v/>
      </c>
      <c r="E212" s="19" t="str">
        <f aca="false">IFERROR(IF(B212="",IFERROR(GROWTH($B$200:$B$287,$A$200:$A$287,$A212),TREND($B$200:$B$287,$A$200:$A$287,$A212)),""),"")</f>
        <v/>
      </c>
      <c r="F212" s="19" t="str">
        <f aca="false">IFERROR(forecast.ets($A212,$B$200:$B$287,$A$200:$A$287,4,1,1),"")</f>
        <v/>
      </c>
      <c r="G212" s="19" t="str">
        <f aca="false">IFERROR(F212-forecast.ets.confint($A212,$B$200:$B$287,$A$200:$A$287,0.95,4,1,1),"")</f>
        <v/>
      </c>
      <c r="H212" s="19" t="str">
        <f aca="false">IFERROR(F212+forecast.ets.confint($A212,$B$200:$B$287,$A$200:$A$287,0.95,4,1,1),"")</f>
        <v/>
      </c>
      <c r="J212" s="20" t="n">
        <v>2020</v>
      </c>
      <c r="K212" s="19" t="str">
        <f aca="false">IFERROR(AVERAGEIFS($B$200:$B$287,$A$200:$A$287,"&gt;="&amp;DATE(J212,1,1),$A$200:$A$287,"&lt;="&amp;DATE(J212,12,31)),"")</f>
        <v/>
      </c>
      <c r="L212" s="18" t="str">
        <f aca="false">IFERROR(K212/K211-1,"")</f>
        <v/>
      </c>
      <c r="M212" s="19" t="str">
        <f aca="false">IFERROR(AVERAGEIFS($F$200:$F$287,$A$200:$A$287,"&gt;="&amp;DATE(J212,1,1),$A$200:$A$287,"&lt;="&amp;DATE(J212,12,31)),"")</f>
        <v/>
      </c>
    </row>
    <row r="213" customFormat="false" ht="15" hidden="false" customHeight="false" outlineLevel="0" collapsed="false">
      <c r="A213" s="21" t="n">
        <v>40634</v>
      </c>
      <c r="B213" s="22" t="str">
        <f aca="false">IFERROR(haverdata(Codes!$D$10,$A213),"")</f>
        <v/>
      </c>
      <c r="C213" s="23" t="str">
        <f aca="false">IFERROR(B213/B212-1,"")</f>
        <v/>
      </c>
      <c r="D213" s="23" t="str">
        <f aca="false">IFERROR(B213/B209-1,"")</f>
        <v/>
      </c>
      <c r="E213" s="24" t="str">
        <f aca="false">IFERROR(IF(B213="",IFERROR(GROWTH($B$200:$B$287,$A$200:$A$287,$A213),TREND($B$200:$B$287,$A$200:$A$287,$A213)),""),"")</f>
        <v/>
      </c>
      <c r="F213" s="24" t="str">
        <f aca="false">IFERROR(forecast.ets($A213,$B$200:$B$287,$A$200:$A$287,4,1,1),"")</f>
        <v/>
      </c>
      <c r="G213" s="24" t="str">
        <f aca="false">IFERROR(F213-forecast.ets.confint($A213,$B$200:$B$287,$A$200:$A$287,0.95,4,1,1),"")</f>
        <v/>
      </c>
      <c r="H213" s="24" t="str">
        <f aca="false">IFERROR(F213+forecast.ets.confint($A213,$B$200:$B$287,$A$200:$A$287,0.95,4,1,1),"")</f>
        <v/>
      </c>
      <c r="J213" s="25" t="n">
        <v>2021</v>
      </c>
      <c r="K213" s="24" t="str">
        <f aca="false">IFERROR(AVERAGEIFS($B$200:$B$287,$A$200:$A$287,"&gt;="&amp;DATE(J213,1,1),$A$200:$A$287,"&lt;="&amp;DATE(J213,12,31)),"")</f>
        <v/>
      </c>
      <c r="L213" s="23" t="str">
        <f aca="false">IFERROR(K213/K212-1,"")</f>
        <v/>
      </c>
      <c r="M213" s="24" t="str">
        <f aca="false">IFERROR(AVERAGEIFS($F$200:$F$287,$A$200:$A$287,"&gt;="&amp;DATE(J213,1,1),$A$200:$A$287,"&lt;="&amp;DATE(J213,12,31)),"")</f>
        <v/>
      </c>
    </row>
    <row r="214" customFormat="false" ht="15" hidden="false" customHeight="false" outlineLevel="0" collapsed="false">
      <c r="A214" s="16" t="n">
        <v>40725</v>
      </c>
      <c r="B214" s="17" t="str">
        <f aca="false">IFERROR(haverdata(Codes!$D$10,$A214),"")</f>
        <v/>
      </c>
      <c r="C214" s="18" t="str">
        <f aca="false">IFERROR(B214/B213-1,"")</f>
        <v/>
      </c>
      <c r="D214" s="18" t="str">
        <f aca="false">IFERROR(B214/B210-1,"")</f>
        <v/>
      </c>
      <c r="E214" s="19" t="str">
        <f aca="false">IFERROR(IF(B214="",IFERROR(GROWTH($B$200:$B$287,$A$200:$A$287,$A214),TREND($B$200:$B$287,$A$200:$A$287,$A214)),""),"")</f>
        <v/>
      </c>
      <c r="F214" s="19" t="str">
        <f aca="false">IFERROR(forecast.ets($A214,$B$200:$B$287,$A$200:$A$287,4,1,1),"")</f>
        <v/>
      </c>
      <c r="G214" s="19" t="str">
        <f aca="false">IFERROR(F214-forecast.ets.confint($A214,$B$200:$B$287,$A$200:$A$287,0.95,4,1,1),"")</f>
        <v/>
      </c>
      <c r="H214" s="19" t="str">
        <f aca="false">IFERROR(F214+forecast.ets.confint($A214,$B$200:$B$287,$A$200:$A$287,0.95,4,1,1),"")</f>
        <v/>
      </c>
      <c r="J214" s="20" t="n">
        <v>2022</v>
      </c>
      <c r="K214" s="19" t="str">
        <f aca="false">IFERROR(AVERAGEIFS($B$200:$B$287,$A$200:$A$287,"&gt;="&amp;DATE(J214,1,1),$A$200:$A$287,"&lt;="&amp;DATE(J214,12,31)),"")</f>
        <v/>
      </c>
      <c r="L214" s="18" t="str">
        <f aca="false">IFERROR(K214/K213-1,"")</f>
        <v/>
      </c>
      <c r="M214" s="19" t="str">
        <f aca="false">IFERROR(AVERAGEIFS($F$200:$F$287,$A$200:$A$287,"&gt;="&amp;DATE(J214,1,1),$A$200:$A$287,"&lt;="&amp;DATE(J214,12,31)),"")</f>
        <v/>
      </c>
    </row>
    <row r="215" customFormat="false" ht="15" hidden="false" customHeight="false" outlineLevel="0" collapsed="false">
      <c r="A215" s="21" t="n">
        <v>40817</v>
      </c>
      <c r="B215" s="22" t="str">
        <f aca="false">IFERROR(haverdata(Codes!$D$10,$A215),"")</f>
        <v/>
      </c>
      <c r="C215" s="23" t="str">
        <f aca="false">IFERROR(B215/B214-1,"")</f>
        <v/>
      </c>
      <c r="D215" s="23" t="str">
        <f aca="false">IFERROR(B215/B211-1,"")</f>
        <v/>
      </c>
      <c r="E215" s="24" t="str">
        <f aca="false">IFERROR(IF(B215="",IFERROR(GROWTH($B$200:$B$287,$A$200:$A$287,$A215),TREND($B$200:$B$287,$A$200:$A$287,$A215)),""),"")</f>
        <v/>
      </c>
      <c r="F215" s="24" t="str">
        <f aca="false">IFERROR(forecast.ets($A215,$B$200:$B$287,$A$200:$A$287,4,1,1),"")</f>
        <v/>
      </c>
      <c r="G215" s="24" t="str">
        <f aca="false">IFERROR(F215-forecast.ets.confint($A215,$B$200:$B$287,$A$200:$A$287,0.95,4,1,1),"")</f>
        <v/>
      </c>
      <c r="H215" s="24" t="str">
        <f aca="false">IFERROR(F215+forecast.ets.confint($A215,$B$200:$B$287,$A$200:$A$287,0.95,4,1,1),"")</f>
        <v/>
      </c>
      <c r="J215" s="25" t="n">
        <v>2023</v>
      </c>
      <c r="K215" s="24" t="str">
        <f aca="false">IFERROR(AVERAGEIFS($B$200:$B$287,$A$200:$A$287,"&gt;="&amp;DATE(J215,1,1),$A$200:$A$287,"&lt;="&amp;DATE(J215,12,31)),"")</f>
        <v/>
      </c>
      <c r="L215" s="23" t="str">
        <f aca="false">IFERROR(K215/K214-1,"")</f>
        <v/>
      </c>
      <c r="M215" s="24" t="str">
        <f aca="false">IFERROR(AVERAGEIFS($F$200:$F$287,$A$200:$A$287,"&gt;="&amp;DATE(J215,1,1),$A$200:$A$287,"&lt;="&amp;DATE(J215,12,31)),"")</f>
        <v/>
      </c>
    </row>
    <row r="216" customFormat="false" ht="15" hidden="false" customHeight="false" outlineLevel="0" collapsed="false">
      <c r="A216" s="16" t="n">
        <v>40909</v>
      </c>
      <c r="B216" s="17" t="str">
        <f aca="false">IFERROR(haverdata(Codes!$D$10,$A216),"")</f>
        <v/>
      </c>
      <c r="C216" s="18" t="str">
        <f aca="false">IFERROR(B216/B215-1,"")</f>
        <v/>
      </c>
      <c r="D216" s="18" t="str">
        <f aca="false">IFERROR(B216/B212-1,"")</f>
        <v/>
      </c>
      <c r="E216" s="19" t="str">
        <f aca="false">IFERROR(IF(B216="",IFERROR(GROWTH($B$200:$B$287,$A$200:$A$287,$A216),TREND($B$200:$B$287,$A$200:$A$287,$A216)),""),"")</f>
        <v/>
      </c>
      <c r="F216" s="19" t="str">
        <f aca="false">IFERROR(forecast.ets($A216,$B$200:$B$287,$A$200:$A$287,4,1,1),"")</f>
        <v/>
      </c>
      <c r="G216" s="19" t="str">
        <f aca="false">IFERROR(F216-forecast.ets.confint($A216,$B$200:$B$287,$A$200:$A$287,0.95,4,1,1),"")</f>
        <v/>
      </c>
      <c r="H216" s="19" t="str">
        <f aca="false">IFERROR(F216+forecast.ets.confint($A216,$B$200:$B$287,$A$200:$A$287,0.95,4,1,1),"")</f>
        <v/>
      </c>
      <c r="J216" s="20" t="n">
        <v>2024</v>
      </c>
      <c r="K216" s="19" t="str">
        <f aca="false">IFERROR(AVERAGEIFS($B$200:$B$287,$A$200:$A$287,"&gt;="&amp;DATE(J216,1,1),$A$200:$A$287,"&lt;="&amp;DATE(J216,12,31)),"")</f>
        <v/>
      </c>
      <c r="L216" s="18" t="str">
        <f aca="false">IFERROR(K216/K215-1,"")</f>
        <v/>
      </c>
      <c r="M216" s="19" t="str">
        <f aca="false">IFERROR(AVERAGEIFS($F$200:$F$287,$A$200:$A$287,"&gt;="&amp;DATE(J216,1,1),$A$200:$A$287,"&lt;="&amp;DATE(J216,12,31)),"")</f>
        <v/>
      </c>
    </row>
    <row r="217" customFormat="false" ht="15" hidden="false" customHeight="false" outlineLevel="0" collapsed="false">
      <c r="A217" s="21" t="n">
        <v>41000</v>
      </c>
      <c r="B217" s="22" t="str">
        <f aca="false">IFERROR(haverdata(Codes!$D$10,$A217),"")</f>
        <v/>
      </c>
      <c r="C217" s="23" t="str">
        <f aca="false">IFERROR(B217/B216-1,"")</f>
        <v/>
      </c>
      <c r="D217" s="23" t="str">
        <f aca="false">IFERROR(B217/B213-1,"")</f>
        <v/>
      </c>
      <c r="E217" s="24" t="str">
        <f aca="false">IFERROR(IF(B217="",IFERROR(GROWTH($B$200:$B$287,$A$200:$A$287,$A217),TREND($B$200:$B$287,$A$200:$A$287,$A217)),""),"")</f>
        <v/>
      </c>
      <c r="F217" s="24" t="str">
        <f aca="false">IFERROR(forecast.ets($A217,$B$200:$B$287,$A$200:$A$287,4,1,1),"")</f>
        <v/>
      </c>
      <c r="G217" s="24" t="str">
        <f aca="false">IFERROR(F217-forecast.ets.confint($A217,$B$200:$B$287,$A$200:$A$287,0.95,4,1,1),"")</f>
        <v/>
      </c>
      <c r="H217" s="24" t="str">
        <f aca="false">IFERROR(F217+forecast.ets.confint($A217,$B$200:$B$287,$A$200:$A$287,0.95,4,1,1),"")</f>
        <v/>
      </c>
      <c r="J217" s="25" t="n">
        <v>2025</v>
      </c>
      <c r="K217" s="24" t="str">
        <f aca="false">IFERROR(AVERAGEIFS($B$200:$B$287,$A$200:$A$287,"&gt;="&amp;DATE(J217,1,1),$A$200:$A$287,"&lt;="&amp;DATE(J217,12,31)),"")</f>
        <v/>
      </c>
      <c r="L217" s="23" t="str">
        <f aca="false">IFERROR(K217/K216-1,"")</f>
        <v/>
      </c>
      <c r="M217" s="24" t="str">
        <f aca="false">IFERROR(AVERAGEIFS($F$200:$F$287,$A$200:$A$287,"&gt;="&amp;DATE(J217,1,1),$A$200:$A$287,"&lt;="&amp;DATE(J217,12,31)),"")</f>
        <v/>
      </c>
    </row>
    <row r="218" customFormat="false" ht="15" hidden="false" customHeight="false" outlineLevel="0" collapsed="false">
      <c r="A218" s="16" t="n">
        <v>41091</v>
      </c>
      <c r="B218" s="17" t="str">
        <f aca="false">IFERROR(haverdata(Codes!$D$10,$A218),"")</f>
        <v/>
      </c>
      <c r="C218" s="18" t="str">
        <f aca="false">IFERROR(B218/B217-1,"")</f>
        <v/>
      </c>
      <c r="D218" s="18" t="str">
        <f aca="false">IFERROR(B218/B214-1,"")</f>
        <v/>
      </c>
      <c r="E218" s="19" t="str">
        <f aca="false">IFERROR(IF(B218="",IFERROR(GROWTH($B$200:$B$287,$A$200:$A$287,$A218),TREND($B$200:$B$287,$A$200:$A$287,$A218)),""),"")</f>
        <v/>
      </c>
      <c r="F218" s="19" t="str">
        <f aca="false">IFERROR(forecast.ets($A218,$B$200:$B$287,$A$200:$A$287,4,1,1),"")</f>
        <v/>
      </c>
      <c r="G218" s="19" t="str">
        <f aca="false">IFERROR(F218-forecast.ets.confint($A218,$B$200:$B$287,$A$200:$A$287,0.95,4,1,1),"")</f>
        <v/>
      </c>
      <c r="H218" s="19" t="str">
        <f aca="false">IFERROR(F218+forecast.ets.confint($A218,$B$200:$B$287,$A$200:$A$287,0.95,4,1,1),"")</f>
        <v/>
      </c>
      <c r="J218" s="20" t="n">
        <v>2026</v>
      </c>
      <c r="K218" s="19" t="str">
        <f aca="false">IFERROR(AVERAGEIFS($B$200:$B$287,$A$200:$A$287,"&gt;="&amp;DATE(J218,1,1),$A$200:$A$287,"&lt;="&amp;DATE(J218,12,31)),"")</f>
        <v/>
      </c>
      <c r="L218" s="18" t="str">
        <f aca="false">IFERROR(K218/K217-1,"")</f>
        <v/>
      </c>
      <c r="M218" s="19" t="str">
        <f aca="false">IFERROR(AVERAGEIFS($F$200:$F$287,$A$200:$A$287,"&gt;="&amp;DATE(J218,1,1),$A$200:$A$287,"&lt;="&amp;DATE(J218,12,31)),"")</f>
        <v/>
      </c>
    </row>
    <row r="219" customFormat="false" ht="15" hidden="false" customHeight="false" outlineLevel="0" collapsed="false">
      <c r="A219" s="21" t="n">
        <v>41183</v>
      </c>
      <c r="B219" s="22" t="str">
        <f aca="false">IFERROR(haverdata(Codes!$D$10,$A219),"")</f>
        <v/>
      </c>
      <c r="C219" s="23" t="str">
        <f aca="false">IFERROR(B219/B218-1,"")</f>
        <v/>
      </c>
      <c r="D219" s="23" t="str">
        <f aca="false">IFERROR(B219/B215-1,"")</f>
        <v/>
      </c>
      <c r="E219" s="24" t="str">
        <f aca="false">IFERROR(IF(B219="",IFERROR(GROWTH($B$200:$B$287,$A$200:$A$287,$A219),TREND($B$200:$B$287,$A$200:$A$287,$A219)),""),"")</f>
        <v/>
      </c>
      <c r="F219" s="24" t="str">
        <f aca="false">IFERROR(forecast.ets($A219,$B$200:$B$287,$A$200:$A$287,4,1,1),"")</f>
        <v/>
      </c>
      <c r="G219" s="24" t="str">
        <f aca="false">IFERROR(F219-forecast.ets.confint($A219,$B$200:$B$287,$A$200:$A$287,0.95,4,1,1),"")</f>
        <v/>
      </c>
      <c r="H219" s="24" t="str">
        <f aca="false">IFERROR(F219+forecast.ets.confint($A219,$B$200:$B$287,$A$200:$A$287,0.95,4,1,1),"")</f>
        <v/>
      </c>
      <c r="J219" s="25" t="n">
        <v>2027</v>
      </c>
      <c r="K219" s="24" t="str">
        <f aca="false">IFERROR(AVERAGEIFS($B$200:$B$287,$A$200:$A$287,"&gt;="&amp;DATE(J219,1,1),$A$200:$A$287,"&lt;="&amp;DATE(J219,12,31)),"")</f>
        <v/>
      </c>
      <c r="L219" s="23" t="str">
        <f aca="false">IFERROR(K219/K218-1,"")</f>
        <v/>
      </c>
      <c r="M219" s="24" t="str">
        <f aca="false">IFERROR(AVERAGEIFS($F$200:$F$287,$A$200:$A$287,"&gt;="&amp;DATE(J219,1,1),$A$200:$A$287,"&lt;="&amp;DATE(J219,12,31)),"")</f>
        <v/>
      </c>
    </row>
    <row r="220" customFormat="false" ht="15" hidden="false" customHeight="false" outlineLevel="0" collapsed="false">
      <c r="A220" s="16" t="n">
        <v>41275</v>
      </c>
      <c r="B220" s="17" t="str">
        <f aca="false">IFERROR(haverdata(Codes!$D$10,$A220),"")</f>
        <v/>
      </c>
      <c r="C220" s="18" t="str">
        <f aca="false">IFERROR(B220/B219-1,"")</f>
        <v/>
      </c>
      <c r="D220" s="18" t="str">
        <f aca="false">IFERROR(B220/B216-1,"")</f>
        <v/>
      </c>
      <c r="E220" s="19" t="str">
        <f aca="false">IFERROR(IF(B220="",IFERROR(GROWTH($B$200:$B$287,$A$200:$A$287,$A220),TREND($B$200:$B$287,$A$200:$A$287,$A220)),""),"")</f>
        <v/>
      </c>
      <c r="F220" s="19" t="str">
        <f aca="false">IFERROR(forecast.ets($A220,$B$200:$B$287,$A$200:$A$287,4,1,1),"")</f>
        <v/>
      </c>
      <c r="G220" s="19" t="str">
        <f aca="false">IFERROR(F220-forecast.ets.confint($A220,$B$200:$B$287,$A$200:$A$287,0.95,4,1,1),"")</f>
        <v/>
      </c>
      <c r="H220" s="19" t="str">
        <f aca="false">IFERROR(F220+forecast.ets.confint($A220,$B$200:$B$287,$A$200:$A$287,0.95,4,1,1),"")</f>
        <v/>
      </c>
      <c r="J220" s="20" t="n">
        <v>2028</v>
      </c>
      <c r="K220" s="19" t="str">
        <f aca="false">IFERROR(AVERAGEIFS($B$200:$B$287,$A$200:$A$287,"&gt;="&amp;DATE(J220,1,1),$A$200:$A$287,"&lt;="&amp;DATE(J220,12,31)),"")</f>
        <v/>
      </c>
      <c r="L220" s="18" t="str">
        <f aca="false">IFERROR(K220/K219-1,"")</f>
        <v/>
      </c>
      <c r="M220" s="19" t="str">
        <f aca="false">IFERROR(AVERAGEIFS($F$200:$F$287,$A$200:$A$287,"&gt;="&amp;DATE(J220,1,1),$A$200:$A$287,"&lt;="&amp;DATE(J220,12,31)),"")</f>
        <v/>
      </c>
    </row>
    <row r="221" customFormat="false" ht="15" hidden="false" customHeight="false" outlineLevel="0" collapsed="false">
      <c r="A221" s="21" t="n">
        <v>41365</v>
      </c>
      <c r="B221" s="22" t="str">
        <f aca="false">IFERROR(haverdata(Codes!$D$10,$A221),"")</f>
        <v/>
      </c>
      <c r="C221" s="23" t="str">
        <f aca="false">IFERROR(B221/B220-1,"")</f>
        <v/>
      </c>
      <c r="D221" s="23" t="str">
        <f aca="false">IFERROR(B221/B217-1,"")</f>
        <v/>
      </c>
      <c r="E221" s="24" t="str">
        <f aca="false">IFERROR(IF(B221="",IFERROR(GROWTH($B$200:$B$287,$A$200:$A$287,$A221),TREND($B$200:$B$287,$A$200:$A$287,$A221)),""),"")</f>
        <v/>
      </c>
      <c r="F221" s="24" t="str">
        <f aca="false">IFERROR(forecast.ets($A221,$B$200:$B$287,$A$200:$A$287,4,1,1),"")</f>
        <v/>
      </c>
      <c r="G221" s="24" t="str">
        <f aca="false">IFERROR(F221-forecast.ets.confint($A221,$B$200:$B$287,$A$200:$A$287,0.95,4,1,1),"")</f>
        <v/>
      </c>
      <c r="H221" s="24" t="str">
        <f aca="false">IFERROR(F221+forecast.ets.confint($A221,$B$200:$B$287,$A$200:$A$287,0.95,4,1,1),"")</f>
        <v/>
      </c>
      <c r="J221" s="25" t="n">
        <v>2029</v>
      </c>
      <c r="K221" s="24" t="str">
        <f aca="false">IFERROR(AVERAGEIFS($B$200:$B$287,$A$200:$A$287,"&gt;="&amp;DATE(J221,1,1),$A$200:$A$287,"&lt;="&amp;DATE(J221,12,31)),"")</f>
        <v/>
      </c>
      <c r="L221" s="23" t="str">
        <f aca="false">IFERROR(K221/K220-1,"")</f>
        <v/>
      </c>
      <c r="M221" s="24" t="str">
        <f aca="false">IFERROR(AVERAGEIFS($F$200:$F$287,$A$200:$A$287,"&gt;="&amp;DATE(J221,1,1),$A$200:$A$287,"&lt;="&amp;DATE(J221,12,31)),"")</f>
        <v/>
      </c>
    </row>
    <row r="222" customFormat="false" ht="15" hidden="false" customHeight="false" outlineLevel="0" collapsed="false">
      <c r="A222" s="16" t="n">
        <v>41456</v>
      </c>
      <c r="B222" s="17" t="str">
        <f aca="false">IFERROR(haverdata(Codes!$D$10,$A222),"")</f>
        <v/>
      </c>
      <c r="C222" s="18" t="str">
        <f aca="false">IFERROR(B222/B221-1,"")</f>
        <v/>
      </c>
      <c r="D222" s="18" t="str">
        <f aca="false">IFERROR(B222/B218-1,"")</f>
        <v/>
      </c>
      <c r="E222" s="19" t="str">
        <f aca="false">IFERROR(IF(B222="",IFERROR(GROWTH($B$200:$B$287,$A$200:$A$287,$A222),TREND($B$200:$B$287,$A$200:$A$287,$A222)),""),"")</f>
        <v/>
      </c>
      <c r="F222" s="19" t="str">
        <f aca="false">IFERROR(forecast.ets($A222,$B$200:$B$287,$A$200:$A$287,4,1,1),"")</f>
        <v/>
      </c>
      <c r="G222" s="19" t="str">
        <f aca="false">IFERROR(F222-forecast.ets.confint($A222,$B$200:$B$287,$A$200:$A$287,0.95,4,1,1),"")</f>
        <v/>
      </c>
      <c r="H222" s="19" t="str">
        <f aca="false">IFERROR(F222+forecast.ets.confint($A222,$B$200:$B$287,$A$200:$A$287,0.95,4,1,1),"")</f>
        <v/>
      </c>
    </row>
    <row r="223" customFormat="false" ht="15" hidden="false" customHeight="false" outlineLevel="0" collapsed="false">
      <c r="A223" s="21" t="n">
        <v>41548</v>
      </c>
      <c r="B223" s="22" t="str">
        <f aca="false">IFERROR(haverdata(Codes!$D$10,$A223),"")</f>
        <v/>
      </c>
      <c r="C223" s="23" t="str">
        <f aca="false">IFERROR(B223/B222-1,"")</f>
        <v/>
      </c>
      <c r="D223" s="23" t="str">
        <f aca="false">IFERROR(B223/B219-1,"")</f>
        <v/>
      </c>
      <c r="E223" s="24" t="str">
        <f aca="false">IFERROR(IF(B223="",IFERROR(GROWTH($B$200:$B$287,$A$200:$A$287,$A223),TREND($B$200:$B$287,$A$200:$A$287,$A223)),""),"")</f>
        <v/>
      </c>
      <c r="F223" s="24" t="str">
        <f aca="false">IFERROR(forecast.ets($A223,$B$200:$B$287,$A$200:$A$287,4,1,1),"")</f>
        <v/>
      </c>
      <c r="G223" s="24" t="str">
        <f aca="false">IFERROR(F223-forecast.ets.confint($A223,$B$200:$B$287,$A$200:$A$287,0.95,4,1,1),"")</f>
        <v/>
      </c>
      <c r="H223" s="24" t="str">
        <f aca="false">IFERROR(F223+forecast.ets.confint($A223,$B$200:$B$287,$A$200:$A$287,0.95,4,1,1),"")</f>
        <v/>
      </c>
    </row>
    <row r="224" customFormat="false" ht="15" hidden="false" customHeight="false" outlineLevel="0" collapsed="false">
      <c r="A224" s="16" t="n">
        <v>41640</v>
      </c>
      <c r="B224" s="17" t="str">
        <f aca="false">IFERROR(haverdata(Codes!$D$10,$A224),"")</f>
        <v/>
      </c>
      <c r="C224" s="18" t="str">
        <f aca="false">IFERROR(B224/B223-1,"")</f>
        <v/>
      </c>
      <c r="D224" s="18" t="str">
        <f aca="false">IFERROR(B224/B220-1,"")</f>
        <v/>
      </c>
      <c r="E224" s="19" t="str">
        <f aca="false">IFERROR(IF(B224="",IFERROR(GROWTH($B$200:$B$287,$A$200:$A$287,$A224),TREND($B$200:$B$287,$A$200:$A$287,$A224)),""),"")</f>
        <v/>
      </c>
      <c r="F224" s="19" t="str">
        <f aca="false">IFERROR(forecast.ets($A224,$B$200:$B$287,$A$200:$A$287,4,1,1),"")</f>
        <v/>
      </c>
      <c r="G224" s="19" t="str">
        <f aca="false">IFERROR(F224-forecast.ets.confint($A224,$B$200:$B$287,$A$200:$A$287,0.95,4,1,1),"")</f>
        <v/>
      </c>
      <c r="H224" s="19" t="str">
        <f aca="false">IFERROR(F224+forecast.ets.confint($A224,$B$200:$B$287,$A$200:$A$287,0.95,4,1,1),"")</f>
        <v/>
      </c>
    </row>
    <row r="225" customFormat="false" ht="15" hidden="false" customHeight="false" outlineLevel="0" collapsed="false">
      <c r="A225" s="21" t="n">
        <v>41730</v>
      </c>
      <c r="B225" s="22" t="str">
        <f aca="false">IFERROR(haverdata(Codes!$D$10,$A225),"")</f>
        <v/>
      </c>
      <c r="C225" s="23" t="str">
        <f aca="false">IFERROR(B225/B224-1,"")</f>
        <v/>
      </c>
      <c r="D225" s="23" t="str">
        <f aca="false">IFERROR(B225/B221-1,"")</f>
        <v/>
      </c>
      <c r="E225" s="24" t="str">
        <f aca="false">IFERROR(IF(B225="",IFERROR(GROWTH($B$200:$B$287,$A$200:$A$287,$A225),TREND($B$200:$B$287,$A$200:$A$287,$A225)),""),"")</f>
        <v/>
      </c>
      <c r="F225" s="24" t="str">
        <f aca="false">IFERROR(forecast.ets($A225,$B$200:$B$287,$A$200:$A$287,4,1,1),"")</f>
        <v/>
      </c>
      <c r="G225" s="24" t="str">
        <f aca="false">IFERROR(F225-forecast.ets.confint($A225,$B$200:$B$287,$A$200:$A$287,0.95,4,1,1),"")</f>
        <v/>
      </c>
      <c r="H225" s="24" t="str">
        <f aca="false">IFERROR(F225+forecast.ets.confint($A225,$B$200:$B$287,$A$200:$A$287,0.95,4,1,1),"")</f>
        <v/>
      </c>
    </row>
    <row r="226" customFormat="false" ht="15" hidden="false" customHeight="false" outlineLevel="0" collapsed="false">
      <c r="A226" s="16" t="n">
        <v>41821</v>
      </c>
      <c r="B226" s="17" t="str">
        <f aca="false">IFERROR(haverdata(Codes!$D$10,$A226),"")</f>
        <v/>
      </c>
      <c r="C226" s="18" t="str">
        <f aca="false">IFERROR(B226/B225-1,"")</f>
        <v/>
      </c>
      <c r="D226" s="18" t="str">
        <f aca="false">IFERROR(B226/B222-1,"")</f>
        <v/>
      </c>
      <c r="E226" s="19" t="str">
        <f aca="false">IFERROR(IF(B226="",IFERROR(GROWTH($B$200:$B$287,$A$200:$A$287,$A226),TREND($B$200:$B$287,$A$200:$A$287,$A226)),""),"")</f>
        <v/>
      </c>
      <c r="F226" s="19" t="str">
        <f aca="false">IFERROR(forecast.ets($A226,$B$200:$B$287,$A$200:$A$287,4,1,1),"")</f>
        <v/>
      </c>
      <c r="G226" s="19" t="str">
        <f aca="false">IFERROR(F226-forecast.ets.confint($A226,$B$200:$B$287,$A$200:$A$287,0.95,4,1,1),"")</f>
        <v/>
      </c>
      <c r="H226" s="19" t="str">
        <f aca="false">IFERROR(F226+forecast.ets.confint($A226,$B$200:$B$287,$A$200:$A$287,0.95,4,1,1),"")</f>
        <v/>
      </c>
    </row>
    <row r="227" customFormat="false" ht="15" hidden="false" customHeight="false" outlineLevel="0" collapsed="false">
      <c r="A227" s="21" t="n">
        <v>41913</v>
      </c>
      <c r="B227" s="22" t="str">
        <f aca="false">IFERROR(haverdata(Codes!$D$10,$A227),"")</f>
        <v/>
      </c>
      <c r="C227" s="23" t="str">
        <f aca="false">IFERROR(B227/B226-1,"")</f>
        <v/>
      </c>
      <c r="D227" s="23" t="str">
        <f aca="false">IFERROR(B227/B223-1,"")</f>
        <v/>
      </c>
      <c r="E227" s="24" t="str">
        <f aca="false">IFERROR(IF(B227="",IFERROR(GROWTH($B$200:$B$287,$A$200:$A$287,$A227),TREND($B$200:$B$287,$A$200:$A$287,$A227)),""),"")</f>
        <v/>
      </c>
      <c r="F227" s="24" t="str">
        <f aca="false">IFERROR(forecast.ets($A227,$B$200:$B$287,$A$200:$A$287,4,1,1),"")</f>
        <v/>
      </c>
      <c r="G227" s="24" t="str">
        <f aca="false">IFERROR(F227-forecast.ets.confint($A227,$B$200:$B$287,$A$200:$A$287,0.95,4,1,1),"")</f>
        <v/>
      </c>
      <c r="H227" s="24" t="str">
        <f aca="false">IFERROR(F227+forecast.ets.confint($A227,$B$200:$B$287,$A$200:$A$287,0.95,4,1,1),"")</f>
        <v/>
      </c>
    </row>
    <row r="228" customFormat="false" ht="15" hidden="false" customHeight="false" outlineLevel="0" collapsed="false">
      <c r="A228" s="16" t="n">
        <v>42005</v>
      </c>
      <c r="B228" s="17" t="str">
        <f aca="false">IFERROR(haverdata(Codes!$D$10,$A228),"")</f>
        <v/>
      </c>
      <c r="C228" s="18" t="str">
        <f aca="false">IFERROR(B228/B227-1,"")</f>
        <v/>
      </c>
      <c r="D228" s="18" t="str">
        <f aca="false">IFERROR(B228/B224-1,"")</f>
        <v/>
      </c>
      <c r="E228" s="19" t="str">
        <f aca="false">IFERROR(IF(B228="",IFERROR(GROWTH($B$200:$B$287,$A$200:$A$287,$A228),TREND($B$200:$B$287,$A$200:$A$287,$A228)),""),"")</f>
        <v/>
      </c>
      <c r="F228" s="19" t="str">
        <f aca="false">IFERROR(forecast.ets($A228,$B$200:$B$287,$A$200:$A$287,4,1,1),"")</f>
        <v/>
      </c>
      <c r="G228" s="19" t="str">
        <f aca="false">IFERROR(F228-forecast.ets.confint($A228,$B$200:$B$287,$A$200:$A$287,0.95,4,1,1),"")</f>
        <v/>
      </c>
      <c r="H228" s="19" t="str">
        <f aca="false">IFERROR(F228+forecast.ets.confint($A228,$B$200:$B$287,$A$200:$A$287,0.95,4,1,1),"")</f>
        <v/>
      </c>
    </row>
    <row r="229" customFormat="false" ht="15" hidden="false" customHeight="false" outlineLevel="0" collapsed="false">
      <c r="A229" s="21" t="n">
        <v>42095</v>
      </c>
      <c r="B229" s="22" t="str">
        <f aca="false">IFERROR(haverdata(Codes!$D$10,$A229),"")</f>
        <v/>
      </c>
      <c r="C229" s="23" t="str">
        <f aca="false">IFERROR(B229/B228-1,"")</f>
        <v/>
      </c>
      <c r="D229" s="23" t="str">
        <f aca="false">IFERROR(B229/B225-1,"")</f>
        <v/>
      </c>
      <c r="E229" s="24" t="str">
        <f aca="false">IFERROR(IF(B229="",IFERROR(GROWTH($B$200:$B$287,$A$200:$A$287,$A229),TREND($B$200:$B$287,$A$200:$A$287,$A229)),""),"")</f>
        <v/>
      </c>
      <c r="F229" s="24" t="str">
        <f aca="false">IFERROR(forecast.ets($A229,$B$200:$B$287,$A$200:$A$287,4,1,1),"")</f>
        <v/>
      </c>
      <c r="G229" s="24" t="str">
        <f aca="false">IFERROR(F229-forecast.ets.confint($A229,$B$200:$B$287,$A$200:$A$287,0.95,4,1,1),"")</f>
        <v/>
      </c>
      <c r="H229" s="24" t="str">
        <f aca="false">IFERROR(F229+forecast.ets.confint($A229,$B$200:$B$287,$A$200:$A$287,0.95,4,1,1),"")</f>
        <v/>
      </c>
    </row>
    <row r="230" customFormat="false" ht="15" hidden="false" customHeight="false" outlineLevel="0" collapsed="false">
      <c r="A230" s="16" t="n">
        <v>42186</v>
      </c>
      <c r="B230" s="17" t="str">
        <f aca="false">IFERROR(haverdata(Codes!$D$10,$A230),"")</f>
        <v/>
      </c>
      <c r="C230" s="18" t="str">
        <f aca="false">IFERROR(B230/B229-1,"")</f>
        <v/>
      </c>
      <c r="D230" s="18" t="str">
        <f aca="false">IFERROR(B230/B226-1,"")</f>
        <v/>
      </c>
      <c r="E230" s="19" t="str">
        <f aca="false">IFERROR(IF(B230="",IFERROR(GROWTH($B$200:$B$287,$A$200:$A$287,$A230),TREND($B$200:$B$287,$A$200:$A$287,$A230)),""),"")</f>
        <v/>
      </c>
      <c r="F230" s="19" t="str">
        <f aca="false">IFERROR(forecast.ets($A230,$B$200:$B$287,$A$200:$A$287,4,1,1),"")</f>
        <v/>
      </c>
      <c r="G230" s="19" t="str">
        <f aca="false">IFERROR(F230-forecast.ets.confint($A230,$B$200:$B$287,$A$200:$A$287,0.95,4,1,1),"")</f>
        <v/>
      </c>
      <c r="H230" s="19" t="str">
        <f aca="false">IFERROR(F230+forecast.ets.confint($A230,$B$200:$B$287,$A$200:$A$287,0.95,4,1,1),"")</f>
        <v/>
      </c>
    </row>
    <row r="231" customFormat="false" ht="15" hidden="false" customHeight="false" outlineLevel="0" collapsed="false">
      <c r="A231" s="21" t="n">
        <v>42278</v>
      </c>
      <c r="B231" s="22" t="str">
        <f aca="false">IFERROR(haverdata(Codes!$D$10,$A231),"")</f>
        <v/>
      </c>
      <c r="C231" s="23" t="str">
        <f aca="false">IFERROR(B231/B230-1,"")</f>
        <v/>
      </c>
      <c r="D231" s="23" t="str">
        <f aca="false">IFERROR(B231/B227-1,"")</f>
        <v/>
      </c>
      <c r="E231" s="24" t="str">
        <f aca="false">IFERROR(IF(B231="",IFERROR(GROWTH($B$200:$B$287,$A$200:$A$287,$A231),TREND($B$200:$B$287,$A$200:$A$287,$A231)),""),"")</f>
        <v/>
      </c>
      <c r="F231" s="24" t="str">
        <f aca="false">IFERROR(forecast.ets($A231,$B$200:$B$287,$A$200:$A$287,4,1,1),"")</f>
        <v/>
      </c>
      <c r="G231" s="24" t="str">
        <f aca="false">IFERROR(F231-forecast.ets.confint($A231,$B$200:$B$287,$A$200:$A$287,0.95,4,1,1),"")</f>
        <v/>
      </c>
      <c r="H231" s="24" t="str">
        <f aca="false">IFERROR(F231+forecast.ets.confint($A231,$B$200:$B$287,$A$200:$A$287,0.95,4,1,1),"")</f>
        <v/>
      </c>
    </row>
    <row r="232" customFormat="false" ht="15" hidden="false" customHeight="false" outlineLevel="0" collapsed="false">
      <c r="A232" s="16" t="n">
        <v>42370</v>
      </c>
      <c r="B232" s="17" t="str">
        <f aca="false">IFERROR(haverdata(Codes!$D$10,$A232),"")</f>
        <v/>
      </c>
      <c r="C232" s="18" t="str">
        <f aca="false">IFERROR(B232/B231-1,"")</f>
        <v/>
      </c>
      <c r="D232" s="18" t="str">
        <f aca="false">IFERROR(B232/B228-1,"")</f>
        <v/>
      </c>
      <c r="E232" s="19" t="str">
        <f aca="false">IFERROR(IF(B232="",IFERROR(GROWTH($B$200:$B$287,$A$200:$A$287,$A232),TREND($B$200:$B$287,$A$200:$A$287,$A232)),""),"")</f>
        <v/>
      </c>
      <c r="F232" s="19" t="str">
        <f aca="false">IFERROR(forecast.ets($A232,$B$200:$B$287,$A$200:$A$287,4,1,1),"")</f>
        <v/>
      </c>
      <c r="G232" s="19" t="str">
        <f aca="false">IFERROR(F232-forecast.ets.confint($A232,$B$200:$B$287,$A$200:$A$287,0.95,4,1,1),"")</f>
        <v/>
      </c>
      <c r="H232" s="19" t="str">
        <f aca="false">IFERROR(F232+forecast.ets.confint($A232,$B$200:$B$287,$A$200:$A$287,0.95,4,1,1),"")</f>
        <v/>
      </c>
    </row>
    <row r="233" customFormat="false" ht="15" hidden="false" customHeight="false" outlineLevel="0" collapsed="false">
      <c r="A233" s="21" t="n">
        <v>42461</v>
      </c>
      <c r="B233" s="22" t="str">
        <f aca="false">IFERROR(haverdata(Codes!$D$10,$A233),"")</f>
        <v/>
      </c>
      <c r="C233" s="23" t="str">
        <f aca="false">IFERROR(B233/B232-1,"")</f>
        <v/>
      </c>
      <c r="D233" s="23" t="str">
        <f aca="false">IFERROR(B233/B229-1,"")</f>
        <v/>
      </c>
      <c r="E233" s="24" t="str">
        <f aca="false">IFERROR(IF(B233="",IFERROR(GROWTH($B$200:$B$287,$A$200:$A$287,$A233),TREND($B$200:$B$287,$A$200:$A$287,$A233)),""),"")</f>
        <v/>
      </c>
      <c r="F233" s="24" t="str">
        <f aca="false">IFERROR(forecast.ets($A233,$B$200:$B$287,$A$200:$A$287,4,1,1),"")</f>
        <v/>
      </c>
      <c r="G233" s="24" t="str">
        <f aca="false">IFERROR(F233-forecast.ets.confint($A233,$B$200:$B$287,$A$200:$A$287,0.95,4,1,1),"")</f>
        <v/>
      </c>
      <c r="H233" s="24" t="str">
        <f aca="false">IFERROR(F233+forecast.ets.confint($A233,$B$200:$B$287,$A$200:$A$287,0.95,4,1,1),"")</f>
        <v/>
      </c>
    </row>
    <row r="234" customFormat="false" ht="15" hidden="false" customHeight="false" outlineLevel="0" collapsed="false">
      <c r="A234" s="16" t="n">
        <v>42552</v>
      </c>
      <c r="B234" s="17" t="str">
        <f aca="false">IFERROR(haverdata(Codes!$D$10,$A234),"")</f>
        <v/>
      </c>
      <c r="C234" s="18" t="str">
        <f aca="false">IFERROR(B234/B233-1,"")</f>
        <v/>
      </c>
      <c r="D234" s="18" t="str">
        <f aca="false">IFERROR(B234/B230-1,"")</f>
        <v/>
      </c>
      <c r="E234" s="19" t="str">
        <f aca="false">IFERROR(IF(B234="",IFERROR(GROWTH($B$200:$B$287,$A$200:$A$287,$A234),TREND($B$200:$B$287,$A$200:$A$287,$A234)),""),"")</f>
        <v/>
      </c>
      <c r="F234" s="19" t="str">
        <f aca="false">IFERROR(forecast.ets($A234,$B$200:$B$287,$A$200:$A$287,4,1,1),"")</f>
        <v/>
      </c>
      <c r="G234" s="19" t="str">
        <f aca="false">IFERROR(F234-forecast.ets.confint($A234,$B$200:$B$287,$A$200:$A$287,0.95,4,1,1),"")</f>
        <v/>
      </c>
      <c r="H234" s="19" t="str">
        <f aca="false">IFERROR(F234+forecast.ets.confint($A234,$B$200:$B$287,$A$200:$A$287,0.95,4,1,1),"")</f>
        <v/>
      </c>
    </row>
    <row r="235" customFormat="false" ht="15" hidden="false" customHeight="false" outlineLevel="0" collapsed="false">
      <c r="A235" s="21" t="n">
        <v>42644</v>
      </c>
      <c r="B235" s="22" t="str">
        <f aca="false">IFERROR(haverdata(Codes!$D$10,$A235),"")</f>
        <v/>
      </c>
      <c r="C235" s="23" t="str">
        <f aca="false">IFERROR(B235/B234-1,"")</f>
        <v/>
      </c>
      <c r="D235" s="23" t="str">
        <f aca="false">IFERROR(B235/B231-1,"")</f>
        <v/>
      </c>
      <c r="E235" s="24" t="str">
        <f aca="false">IFERROR(IF(B235="",IFERROR(GROWTH($B$200:$B$287,$A$200:$A$287,$A235),TREND($B$200:$B$287,$A$200:$A$287,$A235)),""),"")</f>
        <v/>
      </c>
      <c r="F235" s="24" t="str">
        <f aca="false">IFERROR(forecast.ets($A235,$B$200:$B$287,$A$200:$A$287,4,1,1),"")</f>
        <v/>
      </c>
      <c r="G235" s="24" t="str">
        <f aca="false">IFERROR(F235-forecast.ets.confint($A235,$B$200:$B$287,$A$200:$A$287,0.95,4,1,1),"")</f>
        <v/>
      </c>
      <c r="H235" s="24" t="str">
        <f aca="false">IFERROR(F235+forecast.ets.confint($A235,$B$200:$B$287,$A$200:$A$287,0.95,4,1,1),"")</f>
        <v/>
      </c>
    </row>
    <row r="236" customFormat="false" ht="15" hidden="false" customHeight="false" outlineLevel="0" collapsed="false">
      <c r="A236" s="16" t="n">
        <v>42736</v>
      </c>
      <c r="B236" s="17" t="str">
        <f aca="false">IFERROR(haverdata(Codes!$D$10,$A236),"")</f>
        <v/>
      </c>
      <c r="C236" s="18" t="str">
        <f aca="false">IFERROR(B236/B235-1,"")</f>
        <v/>
      </c>
      <c r="D236" s="18" t="str">
        <f aca="false">IFERROR(B236/B232-1,"")</f>
        <v/>
      </c>
      <c r="E236" s="19" t="str">
        <f aca="false">IFERROR(IF(B236="",IFERROR(GROWTH($B$200:$B$287,$A$200:$A$287,$A236),TREND($B$200:$B$287,$A$200:$A$287,$A236)),""),"")</f>
        <v/>
      </c>
      <c r="F236" s="19" t="str">
        <f aca="false">IFERROR(forecast.ets($A236,$B$200:$B$287,$A$200:$A$287,4,1,1),"")</f>
        <v/>
      </c>
      <c r="G236" s="19" t="str">
        <f aca="false">IFERROR(F236-forecast.ets.confint($A236,$B$200:$B$287,$A$200:$A$287,0.95,4,1,1),"")</f>
        <v/>
      </c>
      <c r="H236" s="19" t="str">
        <f aca="false">IFERROR(F236+forecast.ets.confint($A236,$B$200:$B$287,$A$200:$A$287,0.95,4,1,1),"")</f>
        <v/>
      </c>
    </row>
    <row r="237" customFormat="false" ht="15" hidden="false" customHeight="false" outlineLevel="0" collapsed="false">
      <c r="A237" s="21" t="n">
        <v>42826</v>
      </c>
      <c r="B237" s="22" t="str">
        <f aca="false">IFERROR(haverdata(Codes!$D$10,$A237),"")</f>
        <v/>
      </c>
      <c r="C237" s="23" t="str">
        <f aca="false">IFERROR(B237/B236-1,"")</f>
        <v/>
      </c>
      <c r="D237" s="23" t="str">
        <f aca="false">IFERROR(B237/B233-1,"")</f>
        <v/>
      </c>
      <c r="E237" s="24" t="str">
        <f aca="false">IFERROR(IF(B237="",IFERROR(GROWTH($B$200:$B$287,$A$200:$A$287,$A237),TREND($B$200:$B$287,$A$200:$A$287,$A237)),""),"")</f>
        <v/>
      </c>
      <c r="F237" s="24" t="str">
        <f aca="false">IFERROR(forecast.ets($A237,$B$200:$B$287,$A$200:$A$287,4,1,1),"")</f>
        <v/>
      </c>
      <c r="G237" s="24" t="str">
        <f aca="false">IFERROR(F237-forecast.ets.confint($A237,$B$200:$B$287,$A$200:$A$287,0.95,4,1,1),"")</f>
        <v/>
      </c>
      <c r="H237" s="24" t="str">
        <f aca="false">IFERROR(F237+forecast.ets.confint($A237,$B$200:$B$287,$A$200:$A$287,0.95,4,1,1),"")</f>
        <v/>
      </c>
    </row>
    <row r="238" customFormat="false" ht="15" hidden="false" customHeight="false" outlineLevel="0" collapsed="false">
      <c r="A238" s="16" t="n">
        <v>42917</v>
      </c>
      <c r="B238" s="17" t="str">
        <f aca="false">IFERROR(haverdata(Codes!$D$10,$A238),"")</f>
        <v/>
      </c>
      <c r="C238" s="18" t="str">
        <f aca="false">IFERROR(B238/B237-1,"")</f>
        <v/>
      </c>
      <c r="D238" s="18" t="str">
        <f aca="false">IFERROR(B238/B234-1,"")</f>
        <v/>
      </c>
      <c r="E238" s="19" t="str">
        <f aca="false">IFERROR(IF(B238="",IFERROR(GROWTH($B$200:$B$287,$A$200:$A$287,$A238),TREND($B$200:$B$287,$A$200:$A$287,$A238)),""),"")</f>
        <v/>
      </c>
      <c r="F238" s="19" t="str">
        <f aca="false">IFERROR(forecast.ets($A238,$B$200:$B$287,$A$200:$A$287,4,1,1),"")</f>
        <v/>
      </c>
      <c r="G238" s="19" t="str">
        <f aca="false">IFERROR(F238-forecast.ets.confint($A238,$B$200:$B$287,$A$200:$A$287,0.95,4,1,1),"")</f>
        <v/>
      </c>
      <c r="H238" s="19" t="str">
        <f aca="false">IFERROR(F238+forecast.ets.confint($A238,$B$200:$B$287,$A$200:$A$287,0.95,4,1,1),"")</f>
        <v/>
      </c>
    </row>
    <row r="239" customFormat="false" ht="15" hidden="false" customHeight="false" outlineLevel="0" collapsed="false">
      <c r="A239" s="21" t="n">
        <v>43009</v>
      </c>
      <c r="B239" s="22" t="str">
        <f aca="false">IFERROR(haverdata(Codes!$D$10,$A239),"")</f>
        <v/>
      </c>
      <c r="C239" s="23" t="str">
        <f aca="false">IFERROR(B239/B238-1,"")</f>
        <v/>
      </c>
      <c r="D239" s="23" t="str">
        <f aca="false">IFERROR(B239/B235-1,"")</f>
        <v/>
      </c>
      <c r="E239" s="24" t="str">
        <f aca="false">IFERROR(IF(B239="",IFERROR(GROWTH($B$200:$B$287,$A$200:$A$287,$A239),TREND($B$200:$B$287,$A$200:$A$287,$A239)),""),"")</f>
        <v/>
      </c>
      <c r="F239" s="24" t="str">
        <f aca="false">IFERROR(forecast.ets($A239,$B$200:$B$287,$A$200:$A$287,4,1,1),"")</f>
        <v/>
      </c>
      <c r="G239" s="24" t="str">
        <f aca="false">IFERROR(F239-forecast.ets.confint($A239,$B$200:$B$287,$A$200:$A$287,0.95,4,1,1),"")</f>
        <v/>
      </c>
      <c r="H239" s="24" t="str">
        <f aca="false">IFERROR(F239+forecast.ets.confint($A239,$B$200:$B$287,$A$200:$A$287,0.95,4,1,1),"")</f>
        <v/>
      </c>
    </row>
    <row r="240" customFormat="false" ht="15" hidden="false" customHeight="false" outlineLevel="0" collapsed="false">
      <c r="A240" s="16" t="n">
        <v>43101</v>
      </c>
      <c r="B240" s="17" t="str">
        <f aca="false">IFERROR(haverdata(Codes!$D$10,$A240),"")</f>
        <v/>
      </c>
      <c r="C240" s="18" t="str">
        <f aca="false">IFERROR(B240/B239-1,"")</f>
        <v/>
      </c>
      <c r="D240" s="18" t="str">
        <f aca="false">IFERROR(B240/B236-1,"")</f>
        <v/>
      </c>
      <c r="E240" s="19" t="str">
        <f aca="false">IFERROR(IF(B240="",IFERROR(GROWTH($B$200:$B$287,$A$200:$A$287,$A240),TREND($B$200:$B$287,$A$200:$A$287,$A240)),""),"")</f>
        <v/>
      </c>
      <c r="F240" s="19" t="str">
        <f aca="false">IFERROR(forecast.ets($A240,$B$200:$B$287,$A$200:$A$287,4,1,1),"")</f>
        <v/>
      </c>
      <c r="G240" s="19" t="str">
        <f aca="false">IFERROR(F240-forecast.ets.confint($A240,$B$200:$B$287,$A$200:$A$287,0.95,4,1,1),"")</f>
        <v/>
      </c>
      <c r="H240" s="19" t="str">
        <f aca="false">IFERROR(F240+forecast.ets.confint($A240,$B$200:$B$287,$A$200:$A$287,0.95,4,1,1),"")</f>
        <v/>
      </c>
    </row>
    <row r="241" customFormat="false" ht="15" hidden="false" customHeight="false" outlineLevel="0" collapsed="false">
      <c r="A241" s="21" t="n">
        <v>43191</v>
      </c>
      <c r="B241" s="22" t="str">
        <f aca="false">IFERROR(haverdata(Codes!$D$10,$A241),"")</f>
        <v/>
      </c>
      <c r="C241" s="23" t="str">
        <f aca="false">IFERROR(B241/B240-1,"")</f>
        <v/>
      </c>
      <c r="D241" s="23" t="str">
        <f aca="false">IFERROR(B241/B237-1,"")</f>
        <v/>
      </c>
      <c r="E241" s="24" t="str">
        <f aca="false">IFERROR(IF(B241="",IFERROR(GROWTH($B$200:$B$287,$A$200:$A$287,$A241),TREND($B$200:$B$287,$A$200:$A$287,$A241)),""),"")</f>
        <v/>
      </c>
      <c r="F241" s="24" t="str">
        <f aca="false">IFERROR(forecast.ets($A241,$B$200:$B$287,$A$200:$A$287,4,1,1),"")</f>
        <v/>
      </c>
      <c r="G241" s="24" t="str">
        <f aca="false">IFERROR(F241-forecast.ets.confint($A241,$B$200:$B$287,$A$200:$A$287,0.95,4,1,1),"")</f>
        <v/>
      </c>
      <c r="H241" s="24" t="str">
        <f aca="false">IFERROR(F241+forecast.ets.confint($A241,$B$200:$B$287,$A$200:$A$287,0.95,4,1,1),"")</f>
        <v/>
      </c>
    </row>
    <row r="242" customFormat="false" ht="15" hidden="false" customHeight="false" outlineLevel="0" collapsed="false">
      <c r="A242" s="16" t="n">
        <v>43282</v>
      </c>
      <c r="B242" s="17" t="str">
        <f aca="false">IFERROR(haverdata(Codes!$D$10,$A242),"")</f>
        <v/>
      </c>
      <c r="C242" s="18" t="str">
        <f aca="false">IFERROR(B242/B241-1,"")</f>
        <v/>
      </c>
      <c r="D242" s="18" t="str">
        <f aca="false">IFERROR(B242/B238-1,"")</f>
        <v/>
      </c>
      <c r="E242" s="19" t="str">
        <f aca="false">IFERROR(IF(B242="",IFERROR(GROWTH($B$200:$B$287,$A$200:$A$287,$A242),TREND($B$200:$B$287,$A$200:$A$287,$A242)),""),"")</f>
        <v/>
      </c>
      <c r="F242" s="19" t="str">
        <f aca="false">IFERROR(forecast.ets($A242,$B$200:$B$287,$A$200:$A$287,4,1,1),"")</f>
        <v/>
      </c>
      <c r="G242" s="19" t="str">
        <f aca="false">IFERROR(F242-forecast.ets.confint($A242,$B$200:$B$287,$A$200:$A$287,0.95,4,1,1),"")</f>
        <v/>
      </c>
      <c r="H242" s="19" t="str">
        <f aca="false">IFERROR(F242+forecast.ets.confint($A242,$B$200:$B$287,$A$200:$A$287,0.95,4,1,1),"")</f>
        <v/>
      </c>
    </row>
    <row r="243" customFormat="false" ht="15" hidden="false" customHeight="false" outlineLevel="0" collapsed="false">
      <c r="A243" s="21" t="n">
        <v>43374</v>
      </c>
      <c r="B243" s="22" t="str">
        <f aca="false">IFERROR(haverdata(Codes!$D$10,$A243),"")</f>
        <v/>
      </c>
      <c r="C243" s="23" t="str">
        <f aca="false">IFERROR(B243/B242-1,"")</f>
        <v/>
      </c>
      <c r="D243" s="23" t="str">
        <f aca="false">IFERROR(B243/B239-1,"")</f>
        <v/>
      </c>
      <c r="E243" s="24" t="str">
        <f aca="false">IFERROR(IF(B243="",IFERROR(GROWTH($B$200:$B$287,$A$200:$A$287,$A243),TREND($B$200:$B$287,$A$200:$A$287,$A243)),""),"")</f>
        <v/>
      </c>
      <c r="F243" s="24" t="str">
        <f aca="false">IFERROR(forecast.ets($A243,$B$200:$B$287,$A$200:$A$287,4,1,1),"")</f>
        <v/>
      </c>
      <c r="G243" s="24" t="str">
        <f aca="false">IFERROR(F243-forecast.ets.confint($A243,$B$200:$B$287,$A$200:$A$287,0.95,4,1,1),"")</f>
        <v/>
      </c>
      <c r="H243" s="24" t="str">
        <f aca="false">IFERROR(F243+forecast.ets.confint($A243,$B$200:$B$287,$A$200:$A$287,0.95,4,1,1),"")</f>
        <v/>
      </c>
    </row>
    <row r="244" customFormat="false" ht="15" hidden="false" customHeight="false" outlineLevel="0" collapsed="false">
      <c r="A244" s="16" t="n">
        <v>43466</v>
      </c>
      <c r="B244" s="17" t="str">
        <f aca="false">IFERROR(haverdata(Codes!$D$10,$A244),"")</f>
        <v/>
      </c>
      <c r="C244" s="18" t="str">
        <f aca="false">IFERROR(B244/B243-1,"")</f>
        <v/>
      </c>
      <c r="D244" s="18" t="str">
        <f aca="false">IFERROR(B244/B240-1,"")</f>
        <v/>
      </c>
      <c r="E244" s="19" t="str">
        <f aca="false">IFERROR(IF(B244="",IFERROR(GROWTH($B$200:$B$287,$A$200:$A$287,$A244),TREND($B$200:$B$287,$A$200:$A$287,$A244)),""),"")</f>
        <v/>
      </c>
      <c r="F244" s="19" t="str">
        <f aca="false">IFERROR(forecast.ets($A244,$B$200:$B$287,$A$200:$A$287,4,1,1),"")</f>
        <v/>
      </c>
      <c r="G244" s="19" t="str">
        <f aca="false">IFERROR(F244-forecast.ets.confint($A244,$B$200:$B$287,$A$200:$A$287,0.95,4,1,1),"")</f>
        <v/>
      </c>
      <c r="H244" s="19" t="str">
        <f aca="false">IFERROR(F244+forecast.ets.confint($A244,$B$200:$B$287,$A$200:$A$287,0.95,4,1,1),"")</f>
        <v/>
      </c>
    </row>
    <row r="245" customFormat="false" ht="15" hidden="false" customHeight="false" outlineLevel="0" collapsed="false">
      <c r="A245" s="21" t="n">
        <v>43556</v>
      </c>
      <c r="B245" s="22" t="str">
        <f aca="false">IFERROR(haverdata(Codes!$D$10,$A245),"")</f>
        <v/>
      </c>
      <c r="C245" s="23" t="str">
        <f aca="false">IFERROR(B245/B244-1,"")</f>
        <v/>
      </c>
      <c r="D245" s="23" t="str">
        <f aca="false">IFERROR(B245/B241-1,"")</f>
        <v/>
      </c>
      <c r="E245" s="24" t="str">
        <f aca="false">IFERROR(IF(B245="",IFERROR(GROWTH($B$200:$B$287,$A$200:$A$287,$A245),TREND($B$200:$B$287,$A$200:$A$287,$A245)),""),"")</f>
        <v/>
      </c>
      <c r="F245" s="24" t="str">
        <f aca="false">IFERROR(forecast.ets($A245,$B$200:$B$287,$A$200:$A$287,4,1,1),"")</f>
        <v/>
      </c>
      <c r="G245" s="24" t="str">
        <f aca="false">IFERROR(F245-forecast.ets.confint($A245,$B$200:$B$287,$A$200:$A$287,0.95,4,1,1),"")</f>
        <v/>
      </c>
      <c r="H245" s="24" t="str">
        <f aca="false">IFERROR(F245+forecast.ets.confint($A245,$B$200:$B$287,$A$200:$A$287,0.95,4,1,1),"")</f>
        <v/>
      </c>
    </row>
    <row r="246" customFormat="false" ht="15" hidden="false" customHeight="false" outlineLevel="0" collapsed="false">
      <c r="A246" s="16" t="n">
        <v>43647</v>
      </c>
      <c r="B246" s="17" t="str">
        <f aca="false">IFERROR(haverdata(Codes!$D$10,$A246),"")</f>
        <v/>
      </c>
      <c r="C246" s="18" t="str">
        <f aca="false">IFERROR(B246/B245-1,"")</f>
        <v/>
      </c>
      <c r="D246" s="18" t="str">
        <f aca="false">IFERROR(B246/B242-1,"")</f>
        <v/>
      </c>
      <c r="E246" s="19" t="str">
        <f aca="false">IFERROR(IF(B246="",IFERROR(GROWTH($B$200:$B$287,$A$200:$A$287,$A246),TREND($B$200:$B$287,$A$200:$A$287,$A246)),""),"")</f>
        <v/>
      </c>
      <c r="F246" s="19" t="str">
        <f aca="false">IFERROR(forecast.ets($A246,$B$200:$B$287,$A$200:$A$287,4,1,1),"")</f>
        <v/>
      </c>
      <c r="G246" s="19" t="str">
        <f aca="false">IFERROR(F246-forecast.ets.confint($A246,$B$200:$B$287,$A$200:$A$287,0.95,4,1,1),"")</f>
        <v/>
      </c>
      <c r="H246" s="19" t="str">
        <f aca="false">IFERROR(F246+forecast.ets.confint($A246,$B$200:$B$287,$A$200:$A$287,0.95,4,1,1),"")</f>
        <v/>
      </c>
    </row>
    <row r="247" customFormat="false" ht="15" hidden="false" customHeight="false" outlineLevel="0" collapsed="false">
      <c r="A247" s="21" t="n">
        <v>43739</v>
      </c>
      <c r="B247" s="22" t="str">
        <f aca="false">IFERROR(haverdata(Codes!$D$10,$A247),"")</f>
        <v/>
      </c>
      <c r="C247" s="23" t="str">
        <f aca="false">IFERROR(B247/B246-1,"")</f>
        <v/>
      </c>
      <c r="D247" s="23" t="str">
        <f aca="false">IFERROR(B247/B243-1,"")</f>
        <v/>
      </c>
      <c r="E247" s="24" t="str">
        <f aca="false">IFERROR(IF(B247="",IFERROR(GROWTH($B$200:$B$287,$A$200:$A$287,$A247),TREND($B$200:$B$287,$A$200:$A$287,$A247)),""),"")</f>
        <v/>
      </c>
      <c r="F247" s="24" t="str">
        <f aca="false">IFERROR(forecast.ets($A247,$B$200:$B$287,$A$200:$A$287,4,1,1),"")</f>
        <v/>
      </c>
      <c r="G247" s="24" t="str">
        <f aca="false">IFERROR(F247-forecast.ets.confint($A247,$B$200:$B$287,$A$200:$A$287,0.95,4,1,1),"")</f>
        <v/>
      </c>
      <c r="H247" s="24" t="str">
        <f aca="false">IFERROR(F247+forecast.ets.confint($A247,$B$200:$B$287,$A$200:$A$287,0.95,4,1,1),"")</f>
        <v/>
      </c>
    </row>
    <row r="248" customFormat="false" ht="15" hidden="false" customHeight="false" outlineLevel="0" collapsed="false">
      <c r="A248" s="16" t="n">
        <v>43831</v>
      </c>
      <c r="B248" s="17" t="str">
        <f aca="false">IFERROR(haverdata(Codes!$D$10,$A248),"")</f>
        <v/>
      </c>
      <c r="C248" s="18" t="str">
        <f aca="false">IFERROR(B248/B247-1,"")</f>
        <v/>
      </c>
      <c r="D248" s="18" t="str">
        <f aca="false">IFERROR(B248/B244-1,"")</f>
        <v/>
      </c>
      <c r="E248" s="19" t="str">
        <f aca="false">IFERROR(IF(B248="",IFERROR(GROWTH($B$200:$B$287,$A$200:$A$287,$A248),TREND($B$200:$B$287,$A$200:$A$287,$A248)),""),"")</f>
        <v/>
      </c>
      <c r="F248" s="19" t="str">
        <f aca="false">IFERROR(forecast.ets($A248,$B$200:$B$287,$A$200:$A$287,4,1,1),"")</f>
        <v/>
      </c>
      <c r="G248" s="19" t="str">
        <f aca="false">IFERROR(F248-forecast.ets.confint($A248,$B$200:$B$287,$A$200:$A$287,0.95,4,1,1),"")</f>
        <v/>
      </c>
      <c r="H248" s="19" t="str">
        <f aca="false">IFERROR(F248+forecast.ets.confint($A248,$B$200:$B$287,$A$200:$A$287,0.95,4,1,1),"")</f>
        <v/>
      </c>
    </row>
    <row r="249" customFormat="false" ht="15" hidden="false" customHeight="false" outlineLevel="0" collapsed="false">
      <c r="A249" s="21" t="n">
        <v>43922</v>
      </c>
      <c r="B249" s="22" t="str">
        <f aca="false">IFERROR(haverdata(Codes!$D$10,$A249),"")</f>
        <v/>
      </c>
      <c r="C249" s="23" t="str">
        <f aca="false">IFERROR(B249/B248-1,"")</f>
        <v/>
      </c>
      <c r="D249" s="23" t="str">
        <f aca="false">IFERROR(B249/B245-1,"")</f>
        <v/>
      </c>
      <c r="E249" s="24" t="str">
        <f aca="false">IFERROR(IF(B249="",IFERROR(GROWTH($B$200:$B$287,$A$200:$A$287,$A249),TREND($B$200:$B$287,$A$200:$A$287,$A249)),""),"")</f>
        <v/>
      </c>
      <c r="F249" s="24" t="str">
        <f aca="false">IFERROR(forecast.ets($A249,$B$200:$B$287,$A$200:$A$287,4,1,1),"")</f>
        <v/>
      </c>
      <c r="G249" s="24" t="str">
        <f aca="false">IFERROR(F249-forecast.ets.confint($A249,$B$200:$B$287,$A$200:$A$287,0.95,4,1,1),"")</f>
        <v/>
      </c>
      <c r="H249" s="24" t="str">
        <f aca="false">IFERROR(F249+forecast.ets.confint($A249,$B$200:$B$287,$A$200:$A$287,0.95,4,1,1),"")</f>
        <v/>
      </c>
    </row>
    <row r="250" customFormat="false" ht="15" hidden="false" customHeight="false" outlineLevel="0" collapsed="false">
      <c r="A250" s="16" t="n">
        <v>44013</v>
      </c>
      <c r="B250" s="17" t="str">
        <f aca="false">IFERROR(haverdata(Codes!$D$10,$A250),"")</f>
        <v/>
      </c>
      <c r="C250" s="18" t="str">
        <f aca="false">IFERROR(B250/B249-1,"")</f>
        <v/>
      </c>
      <c r="D250" s="18" t="str">
        <f aca="false">IFERROR(B250/B246-1,"")</f>
        <v/>
      </c>
      <c r="E250" s="19" t="str">
        <f aca="false">IFERROR(IF(B250="",IFERROR(GROWTH($B$200:$B$287,$A$200:$A$287,$A250),TREND($B$200:$B$287,$A$200:$A$287,$A250)),""),"")</f>
        <v/>
      </c>
      <c r="F250" s="19" t="str">
        <f aca="false">IFERROR(forecast.ets($A250,$B$200:$B$287,$A$200:$A$287,4,1,1),"")</f>
        <v/>
      </c>
      <c r="G250" s="19" t="str">
        <f aca="false">IFERROR(F250-forecast.ets.confint($A250,$B$200:$B$287,$A$200:$A$287,0.95,4,1,1),"")</f>
        <v/>
      </c>
      <c r="H250" s="19" t="str">
        <f aca="false">IFERROR(F250+forecast.ets.confint($A250,$B$200:$B$287,$A$200:$A$287,0.95,4,1,1),"")</f>
        <v/>
      </c>
    </row>
    <row r="251" customFormat="false" ht="15" hidden="false" customHeight="false" outlineLevel="0" collapsed="false">
      <c r="A251" s="21" t="n">
        <v>44105</v>
      </c>
      <c r="B251" s="22" t="str">
        <f aca="false">IFERROR(haverdata(Codes!$D$10,$A251),"")</f>
        <v/>
      </c>
      <c r="C251" s="23" t="str">
        <f aca="false">IFERROR(B251/B250-1,"")</f>
        <v/>
      </c>
      <c r="D251" s="23" t="str">
        <f aca="false">IFERROR(B251/B247-1,"")</f>
        <v/>
      </c>
      <c r="E251" s="24" t="str">
        <f aca="false">IFERROR(IF(B251="",IFERROR(GROWTH($B$200:$B$287,$A$200:$A$287,$A251),TREND($B$200:$B$287,$A$200:$A$287,$A251)),""),"")</f>
        <v/>
      </c>
      <c r="F251" s="24" t="str">
        <f aca="false">IFERROR(forecast.ets($A251,$B$200:$B$287,$A$200:$A$287,4,1,1),"")</f>
        <v/>
      </c>
      <c r="G251" s="24" t="str">
        <f aca="false">IFERROR(F251-forecast.ets.confint($A251,$B$200:$B$287,$A$200:$A$287,0.95,4,1,1),"")</f>
        <v/>
      </c>
      <c r="H251" s="24" t="str">
        <f aca="false">IFERROR(F251+forecast.ets.confint($A251,$B$200:$B$287,$A$200:$A$287,0.95,4,1,1),"")</f>
        <v/>
      </c>
    </row>
    <row r="252" customFormat="false" ht="15" hidden="false" customHeight="false" outlineLevel="0" collapsed="false">
      <c r="A252" s="16" t="n">
        <v>44197</v>
      </c>
      <c r="B252" s="17" t="str">
        <f aca="false">IFERROR(haverdata(Codes!$D$10,$A252),"")</f>
        <v/>
      </c>
      <c r="C252" s="18" t="str">
        <f aca="false">IFERROR(B252/B251-1,"")</f>
        <v/>
      </c>
      <c r="D252" s="18" t="str">
        <f aca="false">IFERROR(B252/B248-1,"")</f>
        <v/>
      </c>
      <c r="E252" s="19" t="str">
        <f aca="false">IFERROR(IF(B252="",IFERROR(GROWTH($B$200:$B$287,$A$200:$A$287,$A252),TREND($B$200:$B$287,$A$200:$A$287,$A252)),""),"")</f>
        <v/>
      </c>
      <c r="F252" s="19" t="str">
        <f aca="false">IFERROR(forecast.ets($A252,$B$200:$B$287,$A$200:$A$287,4,1,1),"")</f>
        <v/>
      </c>
      <c r="G252" s="19" t="str">
        <f aca="false">IFERROR(F252-forecast.ets.confint($A252,$B$200:$B$287,$A$200:$A$287,0.95,4,1,1),"")</f>
        <v/>
      </c>
      <c r="H252" s="19" t="str">
        <f aca="false">IFERROR(F252+forecast.ets.confint($A252,$B$200:$B$287,$A$200:$A$287,0.95,4,1,1),"")</f>
        <v/>
      </c>
    </row>
    <row r="253" customFormat="false" ht="15" hidden="false" customHeight="false" outlineLevel="0" collapsed="false">
      <c r="A253" s="21" t="n">
        <v>44287</v>
      </c>
      <c r="B253" s="22" t="str">
        <f aca="false">IFERROR(haverdata(Codes!$D$10,$A253),"")</f>
        <v/>
      </c>
      <c r="C253" s="23" t="str">
        <f aca="false">IFERROR(B253/B252-1,"")</f>
        <v/>
      </c>
      <c r="D253" s="23" t="str">
        <f aca="false">IFERROR(B253/B249-1,"")</f>
        <v/>
      </c>
      <c r="E253" s="24" t="str">
        <f aca="false">IFERROR(IF(B253="",IFERROR(GROWTH($B$200:$B$287,$A$200:$A$287,$A253),TREND($B$200:$B$287,$A$200:$A$287,$A253)),""),"")</f>
        <v/>
      </c>
      <c r="F253" s="24" t="str">
        <f aca="false">IFERROR(forecast.ets($A253,$B$200:$B$287,$A$200:$A$287,4,1,1),"")</f>
        <v/>
      </c>
      <c r="G253" s="24" t="str">
        <f aca="false">IFERROR(F253-forecast.ets.confint($A253,$B$200:$B$287,$A$200:$A$287,0.95,4,1,1),"")</f>
        <v/>
      </c>
      <c r="H253" s="24" t="str">
        <f aca="false">IFERROR(F253+forecast.ets.confint($A253,$B$200:$B$287,$A$200:$A$287,0.95,4,1,1),"")</f>
        <v/>
      </c>
    </row>
    <row r="254" customFormat="false" ht="15" hidden="false" customHeight="false" outlineLevel="0" collapsed="false">
      <c r="A254" s="16" t="n">
        <v>44378</v>
      </c>
      <c r="B254" s="17" t="str">
        <f aca="false">IFERROR(haverdata(Codes!$D$10,$A254),"")</f>
        <v/>
      </c>
      <c r="C254" s="18" t="str">
        <f aca="false">IFERROR(B254/B253-1,"")</f>
        <v/>
      </c>
      <c r="D254" s="18" t="str">
        <f aca="false">IFERROR(B254/B250-1,"")</f>
        <v/>
      </c>
      <c r="E254" s="19" t="str">
        <f aca="false">IFERROR(IF(B254="",IFERROR(GROWTH($B$200:$B$287,$A$200:$A$287,$A254),TREND($B$200:$B$287,$A$200:$A$287,$A254)),""),"")</f>
        <v/>
      </c>
      <c r="F254" s="19" t="str">
        <f aca="false">IFERROR(forecast.ets($A254,$B$200:$B$287,$A$200:$A$287,4,1,1),"")</f>
        <v/>
      </c>
      <c r="G254" s="19" t="str">
        <f aca="false">IFERROR(F254-forecast.ets.confint($A254,$B$200:$B$287,$A$200:$A$287,0.95,4,1,1),"")</f>
        <v/>
      </c>
      <c r="H254" s="19" t="str">
        <f aca="false">IFERROR(F254+forecast.ets.confint($A254,$B$200:$B$287,$A$200:$A$287,0.95,4,1,1),"")</f>
        <v/>
      </c>
    </row>
    <row r="255" customFormat="false" ht="15" hidden="false" customHeight="false" outlineLevel="0" collapsed="false">
      <c r="A255" s="21" t="n">
        <v>44470</v>
      </c>
      <c r="B255" s="22" t="str">
        <f aca="false">IFERROR(haverdata(Codes!$D$10,$A255),"")</f>
        <v/>
      </c>
      <c r="C255" s="23" t="str">
        <f aca="false">IFERROR(B255/B254-1,"")</f>
        <v/>
      </c>
      <c r="D255" s="23" t="str">
        <f aca="false">IFERROR(B255/B251-1,"")</f>
        <v/>
      </c>
      <c r="E255" s="24" t="str">
        <f aca="false">IFERROR(IF(B255="",IFERROR(GROWTH($B$200:$B$287,$A$200:$A$287,$A255),TREND($B$200:$B$287,$A$200:$A$287,$A255)),""),"")</f>
        <v/>
      </c>
      <c r="F255" s="24" t="str">
        <f aca="false">IFERROR(forecast.ets($A255,$B$200:$B$287,$A$200:$A$287,4,1,1),"")</f>
        <v/>
      </c>
      <c r="G255" s="24" t="str">
        <f aca="false">IFERROR(F255-forecast.ets.confint($A255,$B$200:$B$287,$A$200:$A$287,0.95,4,1,1),"")</f>
        <v/>
      </c>
      <c r="H255" s="24" t="str">
        <f aca="false">IFERROR(F255+forecast.ets.confint($A255,$B$200:$B$287,$A$200:$A$287,0.95,4,1,1),"")</f>
        <v/>
      </c>
    </row>
    <row r="256" customFormat="false" ht="15" hidden="false" customHeight="false" outlineLevel="0" collapsed="false">
      <c r="A256" s="16" t="n">
        <v>44562</v>
      </c>
      <c r="B256" s="17" t="str">
        <f aca="false">IFERROR(haverdata(Codes!$D$10,$A256),"")</f>
        <v/>
      </c>
      <c r="C256" s="18" t="str">
        <f aca="false">IFERROR(B256/B255-1,"")</f>
        <v/>
      </c>
      <c r="D256" s="18" t="str">
        <f aca="false">IFERROR(B256/B252-1,"")</f>
        <v/>
      </c>
      <c r="E256" s="19" t="str">
        <f aca="false">IFERROR(IF(B256="",IFERROR(GROWTH($B$200:$B$287,$A$200:$A$287,$A256),TREND($B$200:$B$287,$A$200:$A$287,$A256)),""),"")</f>
        <v/>
      </c>
      <c r="F256" s="19" t="str">
        <f aca="false">IFERROR(forecast.ets($A256,$B$200:$B$287,$A$200:$A$287,4,1,1),"")</f>
        <v/>
      </c>
      <c r="G256" s="19" t="str">
        <f aca="false">IFERROR(F256-forecast.ets.confint($A256,$B$200:$B$287,$A$200:$A$287,0.95,4,1,1),"")</f>
        <v/>
      </c>
      <c r="H256" s="19" t="str">
        <f aca="false">IFERROR(F256+forecast.ets.confint($A256,$B$200:$B$287,$A$200:$A$287,0.95,4,1,1),"")</f>
        <v/>
      </c>
    </row>
    <row r="257" customFormat="false" ht="15" hidden="false" customHeight="false" outlineLevel="0" collapsed="false">
      <c r="A257" s="21" t="n">
        <v>44652</v>
      </c>
      <c r="B257" s="22" t="str">
        <f aca="false">IFERROR(haverdata(Codes!$D$10,$A257),"")</f>
        <v/>
      </c>
      <c r="C257" s="23" t="str">
        <f aca="false">IFERROR(B257/B256-1,"")</f>
        <v/>
      </c>
      <c r="D257" s="23" t="str">
        <f aca="false">IFERROR(B257/B253-1,"")</f>
        <v/>
      </c>
      <c r="E257" s="24" t="str">
        <f aca="false">IFERROR(IF(B257="",IFERROR(GROWTH($B$200:$B$287,$A$200:$A$287,$A257),TREND($B$200:$B$287,$A$200:$A$287,$A257)),""),"")</f>
        <v/>
      </c>
      <c r="F257" s="24" t="str">
        <f aca="false">IFERROR(forecast.ets($A257,$B$200:$B$287,$A$200:$A$287,4,1,1),"")</f>
        <v/>
      </c>
      <c r="G257" s="24" t="str">
        <f aca="false">IFERROR(F257-forecast.ets.confint($A257,$B$200:$B$287,$A$200:$A$287,0.95,4,1,1),"")</f>
        <v/>
      </c>
      <c r="H257" s="24" t="str">
        <f aca="false">IFERROR(F257+forecast.ets.confint($A257,$B$200:$B$287,$A$200:$A$287,0.95,4,1,1),"")</f>
        <v/>
      </c>
    </row>
    <row r="258" customFormat="false" ht="15" hidden="false" customHeight="false" outlineLevel="0" collapsed="false">
      <c r="A258" s="16" t="n">
        <v>44743</v>
      </c>
      <c r="B258" s="17" t="str">
        <f aca="false">IFERROR(haverdata(Codes!$D$10,$A258),"")</f>
        <v/>
      </c>
      <c r="C258" s="18" t="str">
        <f aca="false">IFERROR(B258/B257-1,"")</f>
        <v/>
      </c>
      <c r="D258" s="18" t="str">
        <f aca="false">IFERROR(B258/B254-1,"")</f>
        <v/>
      </c>
      <c r="E258" s="19" t="str">
        <f aca="false">IFERROR(IF(B258="",IFERROR(GROWTH($B$200:$B$287,$A$200:$A$287,$A258),TREND($B$200:$B$287,$A$200:$A$287,$A258)),""),"")</f>
        <v/>
      </c>
      <c r="F258" s="19" t="str">
        <f aca="false">IFERROR(forecast.ets($A258,$B$200:$B$287,$A$200:$A$287,4,1,1),"")</f>
        <v/>
      </c>
      <c r="G258" s="19" t="str">
        <f aca="false">IFERROR(F258-forecast.ets.confint($A258,$B$200:$B$287,$A$200:$A$287,0.95,4,1,1),"")</f>
        <v/>
      </c>
      <c r="H258" s="19" t="str">
        <f aca="false">IFERROR(F258+forecast.ets.confint($A258,$B$200:$B$287,$A$200:$A$287,0.95,4,1,1),"")</f>
        <v/>
      </c>
    </row>
    <row r="259" customFormat="false" ht="15" hidden="false" customHeight="false" outlineLevel="0" collapsed="false">
      <c r="A259" s="21" t="n">
        <v>44835</v>
      </c>
      <c r="B259" s="22" t="str">
        <f aca="false">IFERROR(haverdata(Codes!$D$10,$A259),"")</f>
        <v/>
      </c>
      <c r="C259" s="23" t="str">
        <f aca="false">IFERROR(B259/B258-1,"")</f>
        <v/>
      </c>
      <c r="D259" s="23" t="str">
        <f aca="false">IFERROR(B259/B255-1,"")</f>
        <v/>
      </c>
      <c r="E259" s="24" t="str">
        <f aca="false">IFERROR(IF(B259="",IFERROR(GROWTH($B$200:$B$287,$A$200:$A$287,$A259),TREND($B$200:$B$287,$A$200:$A$287,$A259)),""),"")</f>
        <v/>
      </c>
      <c r="F259" s="24" t="str">
        <f aca="false">IFERROR(forecast.ets($A259,$B$200:$B$287,$A$200:$A$287,4,1,1),"")</f>
        <v/>
      </c>
      <c r="G259" s="24" t="str">
        <f aca="false">IFERROR(F259-forecast.ets.confint($A259,$B$200:$B$287,$A$200:$A$287,0.95,4,1,1),"")</f>
        <v/>
      </c>
      <c r="H259" s="24" t="str">
        <f aca="false">IFERROR(F259+forecast.ets.confint($A259,$B$200:$B$287,$A$200:$A$287,0.95,4,1,1),"")</f>
        <v/>
      </c>
    </row>
    <row r="260" customFormat="false" ht="15" hidden="false" customHeight="false" outlineLevel="0" collapsed="false">
      <c r="A260" s="16" t="n">
        <v>44927</v>
      </c>
      <c r="B260" s="17" t="str">
        <f aca="false">IFERROR(haverdata(Codes!$D$10,$A260),"")</f>
        <v/>
      </c>
      <c r="C260" s="18" t="str">
        <f aca="false">IFERROR(B260/B259-1,"")</f>
        <v/>
      </c>
      <c r="D260" s="18" t="str">
        <f aca="false">IFERROR(B260/B256-1,"")</f>
        <v/>
      </c>
      <c r="E260" s="19" t="str">
        <f aca="false">IFERROR(IF(B260="",IFERROR(GROWTH($B$200:$B$287,$A$200:$A$287,$A260),TREND($B$200:$B$287,$A$200:$A$287,$A260)),""),"")</f>
        <v/>
      </c>
      <c r="F260" s="19" t="str">
        <f aca="false">IFERROR(forecast.ets($A260,$B$200:$B$287,$A$200:$A$287,4,1,1),"")</f>
        <v/>
      </c>
      <c r="G260" s="19" t="str">
        <f aca="false">IFERROR(F260-forecast.ets.confint($A260,$B$200:$B$287,$A$200:$A$287,0.95,4,1,1),"")</f>
        <v/>
      </c>
      <c r="H260" s="19" t="str">
        <f aca="false">IFERROR(F260+forecast.ets.confint($A260,$B$200:$B$287,$A$200:$A$287,0.95,4,1,1),"")</f>
        <v/>
      </c>
    </row>
    <row r="261" customFormat="false" ht="15" hidden="false" customHeight="false" outlineLevel="0" collapsed="false">
      <c r="A261" s="21" t="n">
        <v>45017</v>
      </c>
      <c r="B261" s="22" t="str">
        <f aca="false">IFERROR(haverdata(Codes!$D$10,$A261),"")</f>
        <v/>
      </c>
      <c r="C261" s="23" t="str">
        <f aca="false">IFERROR(B261/B260-1,"")</f>
        <v/>
      </c>
      <c r="D261" s="23" t="str">
        <f aca="false">IFERROR(B261/B257-1,"")</f>
        <v/>
      </c>
      <c r="E261" s="24" t="str">
        <f aca="false">IFERROR(IF(B261="",IFERROR(GROWTH($B$200:$B$287,$A$200:$A$287,$A261),TREND($B$200:$B$287,$A$200:$A$287,$A261)),""),"")</f>
        <v/>
      </c>
      <c r="F261" s="24" t="str">
        <f aca="false">IFERROR(forecast.ets($A261,$B$200:$B$287,$A$200:$A$287,4,1,1),"")</f>
        <v/>
      </c>
      <c r="G261" s="24" t="str">
        <f aca="false">IFERROR(F261-forecast.ets.confint($A261,$B$200:$B$287,$A$200:$A$287,0.95,4,1,1),"")</f>
        <v/>
      </c>
      <c r="H261" s="24" t="str">
        <f aca="false">IFERROR(F261+forecast.ets.confint($A261,$B$200:$B$287,$A$200:$A$287,0.95,4,1,1),"")</f>
        <v/>
      </c>
    </row>
    <row r="262" customFormat="false" ht="15" hidden="false" customHeight="false" outlineLevel="0" collapsed="false">
      <c r="A262" s="16" t="n">
        <v>45108</v>
      </c>
      <c r="B262" s="17" t="str">
        <f aca="false">IFERROR(haverdata(Codes!$D$10,$A262),"")</f>
        <v/>
      </c>
      <c r="C262" s="18" t="str">
        <f aca="false">IFERROR(B262/B261-1,"")</f>
        <v/>
      </c>
      <c r="D262" s="18" t="str">
        <f aca="false">IFERROR(B262/B258-1,"")</f>
        <v/>
      </c>
      <c r="E262" s="19" t="str">
        <f aca="false">IFERROR(IF(B262="",IFERROR(GROWTH($B$200:$B$287,$A$200:$A$287,$A262),TREND($B$200:$B$287,$A$200:$A$287,$A262)),""),"")</f>
        <v/>
      </c>
      <c r="F262" s="19" t="str">
        <f aca="false">IFERROR(forecast.ets($A262,$B$200:$B$287,$A$200:$A$287,4,1,1),"")</f>
        <v/>
      </c>
      <c r="G262" s="19" t="str">
        <f aca="false">IFERROR(F262-forecast.ets.confint($A262,$B$200:$B$287,$A$200:$A$287,0.95,4,1,1),"")</f>
        <v/>
      </c>
      <c r="H262" s="19" t="str">
        <f aca="false">IFERROR(F262+forecast.ets.confint($A262,$B$200:$B$287,$A$200:$A$287,0.95,4,1,1),"")</f>
        <v/>
      </c>
    </row>
    <row r="263" customFormat="false" ht="15" hidden="false" customHeight="false" outlineLevel="0" collapsed="false">
      <c r="A263" s="21" t="n">
        <v>45200</v>
      </c>
      <c r="B263" s="22" t="str">
        <f aca="false">IFERROR(haverdata(Codes!$D$10,$A263),"")</f>
        <v/>
      </c>
      <c r="C263" s="23" t="str">
        <f aca="false">IFERROR(B263/B262-1,"")</f>
        <v/>
      </c>
      <c r="D263" s="23" t="str">
        <f aca="false">IFERROR(B263/B259-1,"")</f>
        <v/>
      </c>
      <c r="E263" s="24" t="str">
        <f aca="false">IFERROR(IF(B263="",IFERROR(GROWTH($B$200:$B$287,$A$200:$A$287,$A263),TREND($B$200:$B$287,$A$200:$A$287,$A263)),""),"")</f>
        <v/>
      </c>
      <c r="F263" s="24" t="str">
        <f aca="false">IFERROR(forecast.ets($A263,$B$200:$B$287,$A$200:$A$287,4,1,1),"")</f>
        <v/>
      </c>
      <c r="G263" s="24" t="str">
        <f aca="false">IFERROR(F263-forecast.ets.confint($A263,$B$200:$B$287,$A$200:$A$287,0.95,4,1,1),"")</f>
        <v/>
      </c>
      <c r="H263" s="24" t="str">
        <f aca="false">IFERROR(F263+forecast.ets.confint($A263,$B$200:$B$287,$A$200:$A$287,0.95,4,1,1),"")</f>
        <v/>
      </c>
    </row>
    <row r="264" customFormat="false" ht="15" hidden="false" customHeight="false" outlineLevel="0" collapsed="false">
      <c r="A264" s="16" t="n">
        <v>45292</v>
      </c>
      <c r="B264" s="17" t="str">
        <f aca="false">IFERROR(haverdata(Codes!$D$10,$A264),"")</f>
        <v/>
      </c>
      <c r="C264" s="18" t="str">
        <f aca="false">IFERROR(B264/B263-1,"")</f>
        <v/>
      </c>
      <c r="D264" s="18" t="str">
        <f aca="false">IFERROR(B264/B260-1,"")</f>
        <v/>
      </c>
      <c r="E264" s="19" t="str">
        <f aca="false">IFERROR(IF(B264="",IFERROR(GROWTH($B$200:$B$287,$A$200:$A$287,$A264),TREND($B$200:$B$287,$A$200:$A$287,$A264)),""),"")</f>
        <v/>
      </c>
      <c r="F264" s="19" t="str">
        <f aca="false">IFERROR(forecast.ets($A264,$B$200:$B$287,$A$200:$A$287,4,1,1),"")</f>
        <v/>
      </c>
      <c r="G264" s="19" t="str">
        <f aca="false">IFERROR(F264-forecast.ets.confint($A264,$B$200:$B$287,$A$200:$A$287,0.95,4,1,1),"")</f>
        <v/>
      </c>
      <c r="H264" s="19" t="str">
        <f aca="false">IFERROR(F264+forecast.ets.confint($A264,$B$200:$B$287,$A$200:$A$287,0.95,4,1,1),"")</f>
        <v/>
      </c>
    </row>
    <row r="265" customFormat="false" ht="15" hidden="false" customHeight="false" outlineLevel="0" collapsed="false">
      <c r="A265" s="21" t="n">
        <v>45383</v>
      </c>
      <c r="B265" s="22" t="str">
        <f aca="false">IFERROR(haverdata(Codes!$D$10,$A265),"")</f>
        <v/>
      </c>
      <c r="C265" s="23" t="str">
        <f aca="false">IFERROR(B265/B264-1,"")</f>
        <v/>
      </c>
      <c r="D265" s="23" t="str">
        <f aca="false">IFERROR(B265/B261-1,"")</f>
        <v/>
      </c>
      <c r="E265" s="24" t="str">
        <f aca="false">IFERROR(IF(B265="",IFERROR(GROWTH($B$200:$B$287,$A$200:$A$287,$A265),TREND($B$200:$B$287,$A$200:$A$287,$A265)),""),"")</f>
        <v/>
      </c>
      <c r="F265" s="24" t="str">
        <f aca="false">IFERROR(forecast.ets($A265,$B$200:$B$287,$A$200:$A$287,4,1,1),"")</f>
        <v/>
      </c>
      <c r="G265" s="24" t="str">
        <f aca="false">IFERROR(F265-forecast.ets.confint($A265,$B$200:$B$287,$A$200:$A$287,0.95,4,1,1),"")</f>
        <v/>
      </c>
      <c r="H265" s="24" t="str">
        <f aca="false">IFERROR(F265+forecast.ets.confint($A265,$B$200:$B$287,$A$200:$A$287,0.95,4,1,1),"")</f>
        <v/>
      </c>
    </row>
    <row r="266" customFormat="false" ht="15" hidden="false" customHeight="false" outlineLevel="0" collapsed="false">
      <c r="A266" s="16" t="n">
        <v>45474</v>
      </c>
      <c r="B266" s="17" t="str">
        <f aca="false">IFERROR(haverdata(Codes!$D$10,$A266),"")</f>
        <v/>
      </c>
      <c r="C266" s="18" t="str">
        <f aca="false">IFERROR(B266/B265-1,"")</f>
        <v/>
      </c>
      <c r="D266" s="18" t="str">
        <f aca="false">IFERROR(B266/B262-1,"")</f>
        <v/>
      </c>
      <c r="E266" s="19" t="str">
        <f aca="false">IFERROR(IF(B266="",IFERROR(GROWTH($B$200:$B$287,$A$200:$A$287,$A266),TREND($B$200:$B$287,$A$200:$A$287,$A266)),""),"")</f>
        <v/>
      </c>
      <c r="F266" s="19" t="str">
        <f aca="false">IFERROR(forecast.ets($A266,$B$200:$B$287,$A$200:$A$287,4,1,1),"")</f>
        <v/>
      </c>
      <c r="G266" s="19" t="str">
        <f aca="false">IFERROR(F266-forecast.ets.confint($A266,$B$200:$B$287,$A$200:$A$287,0.95,4,1,1),"")</f>
        <v/>
      </c>
      <c r="H266" s="19" t="str">
        <f aca="false">IFERROR(F266+forecast.ets.confint($A266,$B$200:$B$287,$A$200:$A$287,0.95,4,1,1),"")</f>
        <v/>
      </c>
    </row>
    <row r="267" customFormat="false" ht="15" hidden="false" customHeight="false" outlineLevel="0" collapsed="false">
      <c r="A267" s="21" t="n">
        <v>45566</v>
      </c>
      <c r="B267" s="22" t="str">
        <f aca="false">IFERROR(haverdata(Codes!$D$10,$A267),"")</f>
        <v/>
      </c>
      <c r="C267" s="23" t="str">
        <f aca="false">IFERROR(B267/B266-1,"")</f>
        <v/>
      </c>
      <c r="D267" s="23" t="str">
        <f aca="false">IFERROR(B267/B263-1,"")</f>
        <v/>
      </c>
      <c r="E267" s="24" t="str">
        <f aca="false">IFERROR(IF(B267="",IFERROR(GROWTH($B$200:$B$287,$A$200:$A$287,$A267),TREND($B$200:$B$287,$A$200:$A$287,$A267)),""),"")</f>
        <v/>
      </c>
      <c r="F267" s="24" t="str">
        <f aca="false">IFERROR(forecast.ets($A267,$B$200:$B$287,$A$200:$A$287,4,1,1),"")</f>
        <v/>
      </c>
      <c r="G267" s="24" t="str">
        <f aca="false">IFERROR(F267-forecast.ets.confint($A267,$B$200:$B$287,$A$200:$A$287,0.95,4,1,1),"")</f>
        <v/>
      </c>
      <c r="H267" s="24" t="str">
        <f aca="false">IFERROR(F267+forecast.ets.confint($A267,$B$200:$B$287,$A$200:$A$287,0.95,4,1,1),"")</f>
        <v/>
      </c>
    </row>
    <row r="268" customFormat="false" ht="15" hidden="false" customHeight="false" outlineLevel="0" collapsed="false">
      <c r="A268" s="16" t="n">
        <v>45658</v>
      </c>
      <c r="B268" s="17" t="str">
        <f aca="false">IFERROR(haverdata(Codes!$D$10,$A268),"")</f>
        <v/>
      </c>
      <c r="C268" s="18" t="str">
        <f aca="false">IFERROR(B268/B267-1,"")</f>
        <v/>
      </c>
      <c r="D268" s="18" t="str">
        <f aca="false">IFERROR(B268/B264-1,"")</f>
        <v/>
      </c>
      <c r="E268" s="19" t="str">
        <f aca="false">IFERROR(IF(B268="",IFERROR(GROWTH($B$200:$B$287,$A$200:$A$287,$A268),TREND($B$200:$B$287,$A$200:$A$287,$A268)),""),"")</f>
        <v/>
      </c>
      <c r="F268" s="19" t="str">
        <f aca="false">IFERROR(forecast.ets($A268,$B$200:$B$287,$A$200:$A$287,4,1,1),"")</f>
        <v/>
      </c>
      <c r="G268" s="19" t="str">
        <f aca="false">IFERROR(F268-forecast.ets.confint($A268,$B$200:$B$287,$A$200:$A$287,0.95,4,1,1),"")</f>
        <v/>
      </c>
      <c r="H268" s="19" t="str">
        <f aca="false">IFERROR(F268+forecast.ets.confint($A268,$B$200:$B$287,$A$200:$A$287,0.95,4,1,1),"")</f>
        <v/>
      </c>
    </row>
    <row r="269" customFormat="false" ht="15" hidden="false" customHeight="false" outlineLevel="0" collapsed="false">
      <c r="A269" s="21" t="n">
        <v>45748</v>
      </c>
      <c r="B269" s="22" t="str">
        <f aca="false">IFERROR(haverdata(Codes!$D$10,$A269),"")</f>
        <v/>
      </c>
      <c r="C269" s="23" t="str">
        <f aca="false">IFERROR(B269/B268-1,"")</f>
        <v/>
      </c>
      <c r="D269" s="23" t="str">
        <f aca="false">IFERROR(B269/B265-1,"")</f>
        <v/>
      </c>
      <c r="E269" s="24" t="str">
        <f aca="false">IFERROR(IF(B269="",IFERROR(GROWTH($B$200:$B$287,$A$200:$A$287,$A269),TREND($B$200:$B$287,$A$200:$A$287,$A269)),""),"")</f>
        <v/>
      </c>
      <c r="F269" s="24" t="str">
        <f aca="false">IFERROR(forecast.ets($A269,$B$200:$B$287,$A$200:$A$287,4,1,1),"")</f>
        <v/>
      </c>
      <c r="G269" s="24" t="str">
        <f aca="false">IFERROR(F269-forecast.ets.confint($A269,$B$200:$B$287,$A$200:$A$287,0.95,4,1,1),"")</f>
        <v/>
      </c>
      <c r="H269" s="24" t="str">
        <f aca="false">IFERROR(F269+forecast.ets.confint($A269,$B$200:$B$287,$A$200:$A$287,0.95,4,1,1),"")</f>
        <v/>
      </c>
    </row>
    <row r="270" customFormat="false" ht="15" hidden="false" customHeight="false" outlineLevel="0" collapsed="false">
      <c r="A270" s="16" t="n">
        <v>45839</v>
      </c>
      <c r="B270" s="17" t="str">
        <f aca="false">IFERROR(haverdata(Codes!$D$10,$A270),"")</f>
        <v/>
      </c>
      <c r="C270" s="18" t="str">
        <f aca="false">IFERROR(B270/B269-1,"")</f>
        <v/>
      </c>
      <c r="D270" s="18" t="str">
        <f aca="false">IFERROR(B270/B266-1,"")</f>
        <v/>
      </c>
      <c r="E270" s="19" t="str">
        <f aca="false">IFERROR(IF(B270="",IFERROR(GROWTH($B$200:$B$287,$A$200:$A$287,$A270),TREND($B$200:$B$287,$A$200:$A$287,$A270)),""),"")</f>
        <v/>
      </c>
      <c r="F270" s="19" t="str">
        <f aca="false">IFERROR(forecast.ets($A270,$B$200:$B$287,$A$200:$A$287,4,1,1),"")</f>
        <v/>
      </c>
      <c r="G270" s="19" t="str">
        <f aca="false">IFERROR(F270-forecast.ets.confint($A270,$B$200:$B$287,$A$200:$A$287,0.95,4,1,1),"")</f>
        <v/>
      </c>
      <c r="H270" s="19" t="str">
        <f aca="false">IFERROR(F270+forecast.ets.confint($A270,$B$200:$B$287,$A$200:$A$287,0.95,4,1,1),"")</f>
        <v/>
      </c>
    </row>
    <row r="271" customFormat="false" ht="15" hidden="false" customHeight="false" outlineLevel="0" collapsed="false">
      <c r="A271" s="21" t="n">
        <v>45931</v>
      </c>
      <c r="B271" s="22" t="str">
        <f aca="false">IFERROR(haverdata(Codes!$D$10,$A271),"")</f>
        <v/>
      </c>
      <c r="C271" s="23" t="str">
        <f aca="false">IFERROR(B271/B270-1,"")</f>
        <v/>
      </c>
      <c r="D271" s="23" t="str">
        <f aca="false">IFERROR(B271/B267-1,"")</f>
        <v/>
      </c>
      <c r="E271" s="24" t="str">
        <f aca="false">IFERROR(IF(B271="",IFERROR(GROWTH($B$200:$B$287,$A$200:$A$287,$A271),TREND($B$200:$B$287,$A$200:$A$287,$A271)),""),"")</f>
        <v/>
      </c>
      <c r="F271" s="24" t="str">
        <f aca="false">IFERROR(forecast.ets($A271,$B$200:$B$287,$A$200:$A$287,4,1,1),"")</f>
        <v/>
      </c>
      <c r="G271" s="24" t="str">
        <f aca="false">IFERROR(F271-forecast.ets.confint($A271,$B$200:$B$287,$A$200:$A$287,0.95,4,1,1),"")</f>
        <v/>
      </c>
      <c r="H271" s="24" t="str">
        <f aca="false">IFERROR(F271+forecast.ets.confint($A271,$B$200:$B$287,$A$200:$A$287,0.95,4,1,1),"")</f>
        <v/>
      </c>
    </row>
    <row r="272" customFormat="false" ht="15" hidden="false" customHeight="false" outlineLevel="0" collapsed="false">
      <c r="A272" s="16" t="n">
        <v>46023</v>
      </c>
      <c r="B272" s="17" t="str">
        <f aca="false">IFERROR(haverdata(Codes!$D$10,$A272),"")</f>
        <v/>
      </c>
      <c r="C272" s="18" t="str">
        <f aca="false">IFERROR(B272/B271-1,"")</f>
        <v/>
      </c>
      <c r="D272" s="18" t="str">
        <f aca="false">IFERROR(B272/B268-1,"")</f>
        <v/>
      </c>
      <c r="E272" s="19" t="str">
        <f aca="false">IFERROR(IF(B272="",IFERROR(GROWTH($B$200:$B$287,$A$200:$A$287,$A272),TREND($B$200:$B$287,$A$200:$A$287,$A272)),""),"")</f>
        <v/>
      </c>
      <c r="F272" s="19" t="str">
        <f aca="false">IFERROR(forecast.ets($A272,$B$200:$B$287,$A$200:$A$287,4,1,1),"")</f>
        <v/>
      </c>
      <c r="G272" s="19" t="str">
        <f aca="false">IFERROR(F272-forecast.ets.confint($A272,$B$200:$B$287,$A$200:$A$287,0.95,4,1,1),"")</f>
        <v/>
      </c>
      <c r="H272" s="19" t="str">
        <f aca="false">IFERROR(F272+forecast.ets.confint($A272,$B$200:$B$287,$A$200:$A$287,0.95,4,1,1),"")</f>
        <v/>
      </c>
    </row>
    <row r="273" customFormat="false" ht="15" hidden="false" customHeight="false" outlineLevel="0" collapsed="false">
      <c r="A273" s="21" t="n">
        <v>46113</v>
      </c>
      <c r="B273" s="22" t="str">
        <f aca="false">IFERROR(haverdata(Codes!$D$10,$A273),"")</f>
        <v/>
      </c>
      <c r="C273" s="23" t="str">
        <f aca="false">IFERROR(B273/B272-1,"")</f>
        <v/>
      </c>
      <c r="D273" s="23" t="str">
        <f aca="false">IFERROR(B273/B269-1,"")</f>
        <v/>
      </c>
      <c r="E273" s="24" t="str">
        <f aca="false">IFERROR(IF(B273="",IFERROR(GROWTH($B$200:$B$287,$A$200:$A$287,$A273),TREND($B$200:$B$287,$A$200:$A$287,$A273)),""),"")</f>
        <v/>
      </c>
      <c r="F273" s="24" t="str">
        <f aca="false">IFERROR(forecast.ets($A273,$B$200:$B$287,$A$200:$A$287,4,1,1),"")</f>
        <v/>
      </c>
      <c r="G273" s="24" t="str">
        <f aca="false">IFERROR(F273-forecast.ets.confint($A273,$B$200:$B$287,$A$200:$A$287,0.95,4,1,1),"")</f>
        <v/>
      </c>
      <c r="H273" s="24" t="str">
        <f aca="false">IFERROR(F273+forecast.ets.confint($A273,$B$200:$B$287,$A$200:$A$287,0.95,4,1,1),"")</f>
        <v/>
      </c>
    </row>
    <row r="274" customFormat="false" ht="15" hidden="false" customHeight="false" outlineLevel="0" collapsed="false">
      <c r="A274" s="16" t="n">
        <v>46204</v>
      </c>
      <c r="B274" s="17" t="str">
        <f aca="false">IFERROR(haverdata(Codes!$D$10,$A274),"")</f>
        <v/>
      </c>
      <c r="C274" s="18" t="str">
        <f aca="false">IFERROR(B274/B273-1,"")</f>
        <v/>
      </c>
      <c r="D274" s="18" t="str">
        <f aca="false">IFERROR(B274/B270-1,"")</f>
        <v/>
      </c>
      <c r="E274" s="19" t="str">
        <f aca="false">IFERROR(IF(B274="",IFERROR(GROWTH($B$200:$B$287,$A$200:$A$287,$A274),TREND($B$200:$B$287,$A$200:$A$287,$A274)),""),"")</f>
        <v/>
      </c>
      <c r="F274" s="19" t="str">
        <f aca="false">IFERROR(forecast.ets($A274,$B$200:$B$287,$A$200:$A$287,4,1,1),"")</f>
        <v/>
      </c>
      <c r="G274" s="19" t="str">
        <f aca="false">IFERROR(F274-forecast.ets.confint($A274,$B$200:$B$287,$A$200:$A$287,0.95,4,1,1),"")</f>
        <v/>
      </c>
      <c r="H274" s="19" t="str">
        <f aca="false">IFERROR(F274+forecast.ets.confint($A274,$B$200:$B$287,$A$200:$A$287,0.95,4,1,1),"")</f>
        <v/>
      </c>
    </row>
    <row r="275" customFormat="false" ht="15" hidden="false" customHeight="false" outlineLevel="0" collapsed="false">
      <c r="A275" s="21" t="n">
        <v>46296</v>
      </c>
      <c r="B275" s="22" t="str">
        <f aca="false">IFERROR(haverdata(Codes!$D$10,$A275),"")</f>
        <v/>
      </c>
      <c r="C275" s="23" t="str">
        <f aca="false">IFERROR(B275/B274-1,"")</f>
        <v/>
      </c>
      <c r="D275" s="23" t="str">
        <f aca="false">IFERROR(B275/B271-1,"")</f>
        <v/>
      </c>
      <c r="E275" s="24" t="str">
        <f aca="false">IFERROR(IF(B275="",IFERROR(GROWTH($B$200:$B$287,$A$200:$A$287,$A275),TREND($B$200:$B$287,$A$200:$A$287,$A275)),""),"")</f>
        <v/>
      </c>
      <c r="F275" s="24" t="str">
        <f aca="false">IFERROR(forecast.ets($A275,$B$200:$B$287,$A$200:$A$287,4,1,1),"")</f>
        <v/>
      </c>
      <c r="G275" s="24" t="str">
        <f aca="false">IFERROR(F275-forecast.ets.confint($A275,$B$200:$B$287,$A$200:$A$287,0.95,4,1,1),"")</f>
        <v/>
      </c>
      <c r="H275" s="24" t="str">
        <f aca="false">IFERROR(F275+forecast.ets.confint($A275,$B$200:$B$287,$A$200:$A$287,0.95,4,1,1),"")</f>
        <v/>
      </c>
    </row>
    <row r="276" customFormat="false" ht="15" hidden="false" customHeight="false" outlineLevel="0" collapsed="false">
      <c r="A276" s="16" t="n">
        <v>46388</v>
      </c>
      <c r="B276" s="17" t="str">
        <f aca="false">IFERROR(haverdata(Codes!$D$10,$A276),"")</f>
        <v/>
      </c>
      <c r="C276" s="18" t="str">
        <f aca="false">IFERROR(B276/B275-1,"")</f>
        <v/>
      </c>
      <c r="D276" s="18" t="str">
        <f aca="false">IFERROR(B276/B272-1,"")</f>
        <v/>
      </c>
      <c r="E276" s="19" t="str">
        <f aca="false">IFERROR(IF(B276="",IFERROR(GROWTH($B$200:$B$287,$A$200:$A$287,$A276),TREND($B$200:$B$287,$A$200:$A$287,$A276)),""),"")</f>
        <v/>
      </c>
      <c r="F276" s="19" t="str">
        <f aca="false">IFERROR(forecast.ets($A276,$B$200:$B$287,$A$200:$A$287,4,1,1),"")</f>
        <v/>
      </c>
      <c r="G276" s="19" t="str">
        <f aca="false">IFERROR(F276-forecast.ets.confint($A276,$B$200:$B$287,$A$200:$A$287,0.95,4,1,1),"")</f>
        <v/>
      </c>
      <c r="H276" s="19" t="str">
        <f aca="false">IFERROR(F276+forecast.ets.confint($A276,$B$200:$B$287,$A$200:$A$287,0.95,4,1,1),"")</f>
        <v/>
      </c>
    </row>
    <row r="277" customFormat="false" ht="15" hidden="false" customHeight="false" outlineLevel="0" collapsed="false">
      <c r="A277" s="21" t="n">
        <v>46478</v>
      </c>
      <c r="B277" s="22" t="str">
        <f aca="false">IFERROR(haverdata(Codes!$D$10,$A277),"")</f>
        <v/>
      </c>
      <c r="C277" s="23" t="str">
        <f aca="false">IFERROR(B277/B276-1,"")</f>
        <v/>
      </c>
      <c r="D277" s="23" t="str">
        <f aca="false">IFERROR(B277/B273-1,"")</f>
        <v/>
      </c>
      <c r="E277" s="24" t="str">
        <f aca="false">IFERROR(IF(B277="",IFERROR(GROWTH($B$200:$B$287,$A$200:$A$287,$A277),TREND($B$200:$B$287,$A$200:$A$287,$A277)),""),"")</f>
        <v/>
      </c>
      <c r="F277" s="24" t="str">
        <f aca="false">IFERROR(forecast.ets($A277,$B$200:$B$287,$A$200:$A$287,4,1,1),"")</f>
        <v/>
      </c>
      <c r="G277" s="24" t="str">
        <f aca="false">IFERROR(F277-forecast.ets.confint($A277,$B$200:$B$287,$A$200:$A$287,0.95,4,1,1),"")</f>
        <v/>
      </c>
      <c r="H277" s="24" t="str">
        <f aca="false">IFERROR(F277+forecast.ets.confint($A277,$B$200:$B$287,$A$200:$A$287,0.95,4,1,1),"")</f>
        <v/>
      </c>
    </row>
    <row r="278" customFormat="false" ht="15" hidden="false" customHeight="false" outlineLevel="0" collapsed="false">
      <c r="A278" s="16" t="n">
        <v>46569</v>
      </c>
      <c r="B278" s="17" t="str">
        <f aca="false">IFERROR(haverdata(Codes!$D$10,$A278),"")</f>
        <v/>
      </c>
      <c r="C278" s="18" t="str">
        <f aca="false">IFERROR(B278/B277-1,"")</f>
        <v/>
      </c>
      <c r="D278" s="18" t="str">
        <f aca="false">IFERROR(B278/B274-1,"")</f>
        <v/>
      </c>
      <c r="E278" s="19" t="str">
        <f aca="false">IFERROR(IF(B278="",IFERROR(GROWTH($B$200:$B$287,$A$200:$A$287,$A278),TREND($B$200:$B$287,$A$200:$A$287,$A278)),""),"")</f>
        <v/>
      </c>
      <c r="F278" s="19" t="str">
        <f aca="false">IFERROR(forecast.ets($A278,$B$200:$B$287,$A$200:$A$287,4,1,1),"")</f>
        <v/>
      </c>
      <c r="G278" s="19" t="str">
        <f aca="false">IFERROR(F278-forecast.ets.confint($A278,$B$200:$B$287,$A$200:$A$287,0.95,4,1,1),"")</f>
        <v/>
      </c>
      <c r="H278" s="19" t="str">
        <f aca="false">IFERROR(F278+forecast.ets.confint($A278,$B$200:$B$287,$A$200:$A$287,0.95,4,1,1),"")</f>
        <v/>
      </c>
    </row>
    <row r="279" customFormat="false" ht="15" hidden="false" customHeight="false" outlineLevel="0" collapsed="false">
      <c r="A279" s="21" t="n">
        <v>46661</v>
      </c>
      <c r="B279" s="22" t="str">
        <f aca="false">IFERROR(haverdata(Codes!$D$10,$A279),"")</f>
        <v/>
      </c>
      <c r="C279" s="23" t="str">
        <f aca="false">IFERROR(B279/B278-1,"")</f>
        <v/>
      </c>
      <c r="D279" s="23" t="str">
        <f aca="false">IFERROR(B279/B275-1,"")</f>
        <v/>
      </c>
      <c r="E279" s="24" t="str">
        <f aca="false">IFERROR(IF(B279="",IFERROR(GROWTH($B$200:$B$287,$A$200:$A$287,$A279),TREND($B$200:$B$287,$A$200:$A$287,$A279)),""),"")</f>
        <v/>
      </c>
      <c r="F279" s="24" t="str">
        <f aca="false">IFERROR(forecast.ets($A279,$B$200:$B$287,$A$200:$A$287,4,1,1),"")</f>
        <v/>
      </c>
      <c r="G279" s="24" t="str">
        <f aca="false">IFERROR(F279-forecast.ets.confint($A279,$B$200:$B$287,$A$200:$A$287,0.95,4,1,1),"")</f>
        <v/>
      </c>
      <c r="H279" s="24" t="str">
        <f aca="false">IFERROR(F279+forecast.ets.confint($A279,$B$200:$B$287,$A$200:$A$287,0.95,4,1,1),"")</f>
        <v/>
      </c>
    </row>
    <row r="280" customFormat="false" ht="15" hidden="false" customHeight="false" outlineLevel="0" collapsed="false">
      <c r="A280" s="16" t="n">
        <v>46753</v>
      </c>
      <c r="B280" s="17" t="str">
        <f aca="false">IFERROR(haverdata(Codes!$D$10,$A280),"")</f>
        <v/>
      </c>
      <c r="C280" s="18" t="str">
        <f aca="false">IFERROR(B280/B279-1,"")</f>
        <v/>
      </c>
      <c r="D280" s="18" t="str">
        <f aca="false">IFERROR(B280/B276-1,"")</f>
        <v/>
      </c>
      <c r="E280" s="19" t="str">
        <f aca="false">IFERROR(IF(B280="",IFERROR(GROWTH($B$200:$B$287,$A$200:$A$287,$A280),TREND($B$200:$B$287,$A$200:$A$287,$A280)),""),"")</f>
        <v/>
      </c>
      <c r="F280" s="19" t="str">
        <f aca="false">IFERROR(forecast.ets($A280,$B$200:$B$287,$A$200:$A$287,4,1,1),"")</f>
        <v/>
      </c>
      <c r="G280" s="19" t="str">
        <f aca="false">IFERROR(F280-forecast.ets.confint($A280,$B$200:$B$287,$A$200:$A$287,0.95,4,1,1),"")</f>
        <v/>
      </c>
      <c r="H280" s="19" t="str">
        <f aca="false">IFERROR(F280+forecast.ets.confint($A280,$B$200:$B$287,$A$200:$A$287,0.95,4,1,1),"")</f>
        <v/>
      </c>
    </row>
    <row r="281" customFormat="false" ht="15" hidden="false" customHeight="false" outlineLevel="0" collapsed="false">
      <c r="A281" s="21" t="n">
        <v>46844</v>
      </c>
      <c r="B281" s="22" t="str">
        <f aca="false">IFERROR(haverdata(Codes!$D$10,$A281),"")</f>
        <v/>
      </c>
      <c r="C281" s="23" t="str">
        <f aca="false">IFERROR(B281/B280-1,"")</f>
        <v/>
      </c>
      <c r="D281" s="23" t="str">
        <f aca="false">IFERROR(B281/B277-1,"")</f>
        <v/>
      </c>
      <c r="E281" s="24" t="str">
        <f aca="false">IFERROR(IF(B281="",IFERROR(GROWTH($B$200:$B$287,$A$200:$A$287,$A281),TREND($B$200:$B$287,$A$200:$A$287,$A281)),""),"")</f>
        <v/>
      </c>
      <c r="F281" s="24" t="str">
        <f aca="false">IFERROR(forecast.ets($A281,$B$200:$B$287,$A$200:$A$287,4,1,1),"")</f>
        <v/>
      </c>
      <c r="G281" s="24" t="str">
        <f aca="false">IFERROR(F281-forecast.ets.confint($A281,$B$200:$B$287,$A$200:$A$287,0.95,4,1,1),"")</f>
        <v/>
      </c>
      <c r="H281" s="24" t="str">
        <f aca="false">IFERROR(F281+forecast.ets.confint($A281,$B$200:$B$287,$A$200:$A$287,0.95,4,1,1),"")</f>
        <v/>
      </c>
    </row>
    <row r="282" customFormat="false" ht="15" hidden="false" customHeight="false" outlineLevel="0" collapsed="false">
      <c r="A282" s="16" t="n">
        <v>46935</v>
      </c>
      <c r="B282" s="17" t="str">
        <f aca="false">IFERROR(haverdata(Codes!$D$10,$A282),"")</f>
        <v/>
      </c>
      <c r="C282" s="18" t="str">
        <f aca="false">IFERROR(B282/B281-1,"")</f>
        <v/>
      </c>
      <c r="D282" s="18" t="str">
        <f aca="false">IFERROR(B282/B278-1,"")</f>
        <v/>
      </c>
      <c r="E282" s="19" t="str">
        <f aca="false">IFERROR(IF(B282="",IFERROR(GROWTH($B$200:$B$287,$A$200:$A$287,$A282),TREND($B$200:$B$287,$A$200:$A$287,$A282)),""),"")</f>
        <v/>
      </c>
      <c r="F282" s="19" t="str">
        <f aca="false">IFERROR(forecast.ets($A282,$B$200:$B$287,$A$200:$A$287,4,1,1),"")</f>
        <v/>
      </c>
      <c r="G282" s="19" t="str">
        <f aca="false">IFERROR(F282-forecast.ets.confint($A282,$B$200:$B$287,$A$200:$A$287,0.95,4,1,1),"")</f>
        <v/>
      </c>
      <c r="H282" s="19" t="str">
        <f aca="false">IFERROR(F282+forecast.ets.confint($A282,$B$200:$B$287,$A$200:$A$287,0.95,4,1,1),"")</f>
        <v/>
      </c>
    </row>
    <row r="283" customFormat="false" ht="15" hidden="false" customHeight="false" outlineLevel="0" collapsed="false">
      <c r="A283" s="21" t="n">
        <v>47027</v>
      </c>
      <c r="B283" s="22" t="str">
        <f aca="false">IFERROR(haverdata(Codes!$D$10,$A283),"")</f>
        <v/>
      </c>
      <c r="C283" s="23" t="str">
        <f aca="false">IFERROR(B283/B282-1,"")</f>
        <v/>
      </c>
      <c r="D283" s="23" t="str">
        <f aca="false">IFERROR(B283/B279-1,"")</f>
        <v/>
      </c>
      <c r="E283" s="24" t="str">
        <f aca="false">IFERROR(IF(B283="",IFERROR(GROWTH($B$200:$B$287,$A$200:$A$287,$A283),TREND($B$200:$B$287,$A$200:$A$287,$A283)),""),"")</f>
        <v/>
      </c>
      <c r="F283" s="24" t="str">
        <f aca="false">IFERROR(forecast.ets($A283,$B$200:$B$287,$A$200:$A$287,4,1,1),"")</f>
        <v/>
      </c>
      <c r="G283" s="24" t="str">
        <f aca="false">IFERROR(F283-forecast.ets.confint($A283,$B$200:$B$287,$A$200:$A$287,0.95,4,1,1),"")</f>
        <v/>
      </c>
      <c r="H283" s="24" t="str">
        <f aca="false">IFERROR(F283+forecast.ets.confint($A283,$B$200:$B$287,$A$200:$A$287,0.95,4,1,1),"")</f>
        <v/>
      </c>
    </row>
    <row r="284" customFormat="false" ht="15" hidden="false" customHeight="false" outlineLevel="0" collapsed="false">
      <c r="A284" s="16" t="n">
        <v>47119</v>
      </c>
      <c r="B284" s="17" t="str">
        <f aca="false">IFERROR(haverdata(Codes!$D$10,$A284),"")</f>
        <v/>
      </c>
      <c r="C284" s="18" t="str">
        <f aca="false">IFERROR(B284/B283-1,"")</f>
        <v/>
      </c>
      <c r="D284" s="18" t="str">
        <f aca="false">IFERROR(B284/B280-1,"")</f>
        <v/>
      </c>
      <c r="E284" s="19" t="str">
        <f aca="false">IFERROR(IF(B284="",IFERROR(GROWTH($B$200:$B$287,$A$200:$A$287,$A284),TREND($B$200:$B$287,$A$200:$A$287,$A284)),""),"")</f>
        <v/>
      </c>
      <c r="F284" s="19" t="str">
        <f aca="false">IFERROR(forecast.ets($A284,$B$200:$B$287,$A$200:$A$287,4,1,1),"")</f>
        <v/>
      </c>
      <c r="G284" s="19" t="str">
        <f aca="false">IFERROR(F284-forecast.ets.confint($A284,$B$200:$B$287,$A$200:$A$287,0.95,4,1,1),"")</f>
        <v/>
      </c>
      <c r="H284" s="19" t="str">
        <f aca="false">IFERROR(F284+forecast.ets.confint($A284,$B$200:$B$287,$A$200:$A$287,0.95,4,1,1),"")</f>
        <v/>
      </c>
    </row>
    <row r="285" customFormat="false" ht="15" hidden="false" customHeight="false" outlineLevel="0" collapsed="false">
      <c r="A285" s="21" t="n">
        <v>47209</v>
      </c>
      <c r="B285" s="22" t="str">
        <f aca="false">IFERROR(haverdata(Codes!$D$10,$A285),"")</f>
        <v/>
      </c>
      <c r="C285" s="23" t="str">
        <f aca="false">IFERROR(B285/B284-1,"")</f>
        <v/>
      </c>
      <c r="D285" s="23" t="str">
        <f aca="false">IFERROR(B285/B281-1,"")</f>
        <v/>
      </c>
      <c r="E285" s="24" t="str">
        <f aca="false">IFERROR(IF(B285="",IFERROR(GROWTH($B$200:$B$287,$A$200:$A$287,$A285),TREND($B$200:$B$287,$A$200:$A$287,$A285)),""),"")</f>
        <v/>
      </c>
      <c r="F285" s="24" t="str">
        <f aca="false">IFERROR(forecast.ets($A285,$B$200:$B$287,$A$200:$A$287,4,1,1),"")</f>
        <v/>
      </c>
      <c r="G285" s="24" t="str">
        <f aca="false">IFERROR(F285-forecast.ets.confint($A285,$B$200:$B$287,$A$200:$A$287,0.95,4,1,1),"")</f>
        <v/>
      </c>
      <c r="H285" s="24" t="str">
        <f aca="false">IFERROR(F285+forecast.ets.confint($A285,$B$200:$B$287,$A$200:$A$287,0.95,4,1,1),"")</f>
        <v/>
      </c>
    </row>
    <row r="286" customFormat="false" ht="15" hidden="false" customHeight="false" outlineLevel="0" collapsed="false">
      <c r="A286" s="16" t="n">
        <v>47300</v>
      </c>
      <c r="B286" s="17" t="str">
        <f aca="false">IFERROR(haverdata(Codes!$D$10,$A286),"")</f>
        <v/>
      </c>
      <c r="C286" s="18" t="str">
        <f aca="false">IFERROR(B286/B285-1,"")</f>
        <v/>
      </c>
      <c r="D286" s="18" t="str">
        <f aca="false">IFERROR(B286/B282-1,"")</f>
        <v/>
      </c>
      <c r="E286" s="19" t="str">
        <f aca="false">IFERROR(IF(B286="",IFERROR(GROWTH($B$200:$B$287,$A$200:$A$287,$A286),TREND($B$200:$B$287,$A$200:$A$287,$A286)),""),"")</f>
        <v/>
      </c>
      <c r="F286" s="19" t="str">
        <f aca="false">IFERROR(forecast.ets($A286,$B$200:$B$287,$A$200:$A$287,4,1,1),"")</f>
        <v/>
      </c>
      <c r="G286" s="19" t="str">
        <f aca="false">IFERROR(F286-forecast.ets.confint($A286,$B$200:$B$287,$A$200:$A$287,0.95,4,1,1),"")</f>
        <v/>
      </c>
      <c r="H286" s="19" t="str">
        <f aca="false">IFERROR(F286+forecast.ets.confint($A286,$B$200:$B$287,$A$200:$A$287,0.95,4,1,1),"")</f>
        <v/>
      </c>
    </row>
    <row r="287" customFormat="false" ht="15" hidden="false" customHeight="false" outlineLevel="0" collapsed="false">
      <c r="A287" s="21" t="n">
        <v>47392</v>
      </c>
      <c r="B287" s="22" t="str">
        <f aca="false">IFERROR(haverdata(Codes!$D$10,$A287),"")</f>
        <v/>
      </c>
      <c r="C287" s="23" t="str">
        <f aca="false">IFERROR(B287/B286-1,"")</f>
        <v/>
      </c>
      <c r="D287" s="23" t="str">
        <f aca="false">IFERROR(B287/B283-1,"")</f>
        <v/>
      </c>
      <c r="E287" s="24" t="str">
        <f aca="false">IFERROR(IF(B287="",IFERROR(GROWTH($B$200:$B$287,$A$200:$A$287,$A287),TREND($B$200:$B$287,$A$200:$A$287,$A287)),""),"")</f>
        <v/>
      </c>
      <c r="F287" s="24" t="str">
        <f aca="false">IFERROR(forecast.ets($A287,$B$200:$B$287,$A$200:$A$287,4,1,1),"")</f>
        <v/>
      </c>
      <c r="G287" s="24" t="str">
        <f aca="false">IFERROR(F287-forecast.ets.confint($A287,$B$200:$B$287,$A$200:$A$287,0.95,4,1,1),"")</f>
        <v/>
      </c>
      <c r="H287" s="24" t="str">
        <f aca="false">IFERROR(F287+forecast.ets.confint($A287,$B$200:$B$287,$A$200:$A$287,0.95,4,1,1),"")</f>
        <v/>
      </c>
    </row>
  </sheetData>
  <mergeCells count="13">
    <mergeCell ref="A2:O2"/>
    <mergeCell ref="A4:M4"/>
    <mergeCell ref="E5:M5"/>
    <mergeCell ref="A6:H6"/>
    <mergeCell ref="J6:M6"/>
    <mergeCell ref="A100:M100"/>
    <mergeCell ref="E101:M101"/>
    <mergeCell ref="A102:H102"/>
    <mergeCell ref="J102:M102"/>
    <mergeCell ref="A196:M196"/>
    <mergeCell ref="E197:M197"/>
    <mergeCell ref="A198:H198"/>
    <mergeCell ref="J198:M1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8" min="5" style="0" width="12"/>
    <col collapsed="false" customWidth="true" hidden="false" outlineLevel="0" max="9" min="9" style="0" width="2"/>
    <col collapsed="false" customWidth="true" hidden="false" outlineLevel="0" max="10" min="10" style="0" width="7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"/>
  </cols>
  <sheetData>
    <row r="1" customFormat="false" ht="22.0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6" t="s">
        <v>106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customFormat="false" ht="21.75" hidden="false" customHeight="true" outlineLevel="0" collapsed="false">
      <c r="A4" s="13" t="str">
        <f aca="false">Codes!$B$11&amp;"   ["&amp;Codes!$D$11&amp;"]   "&amp;Codes!$F$11</f>
        <v>Primary Fiscal Balance   [SPNFBAL@ARGEN]   Mn ARS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customFormat="false" ht="15" hidden="false" customHeight="false" outlineLevel="0" collapsed="false">
      <c r="A5" s="4" t="s">
        <v>107</v>
      </c>
      <c r="B5" s="14" t="str">
        <f aca="false">Codes!$G$11</f>
        <v>sum</v>
      </c>
      <c r="D5" s="4" t="s">
        <v>108</v>
      </c>
      <c r="E5" s="6" t="str">
        <f aca="false">Codes!$H$11</f>
        <v>Sector Publico Nacional No Financiero. [VERIFY]</v>
      </c>
      <c r="F5" s="6"/>
      <c r="G5" s="6"/>
      <c r="H5" s="6"/>
      <c r="I5" s="6"/>
      <c r="J5" s="6"/>
      <c r="K5" s="6"/>
      <c r="L5" s="6"/>
      <c r="M5" s="6"/>
    </row>
    <row r="6" customFormat="false" ht="18" hidden="false" customHeight="true" outlineLevel="0" collapsed="false">
      <c r="A6" s="15" t="s">
        <v>109</v>
      </c>
      <c r="B6" s="15"/>
      <c r="C6" s="15"/>
      <c r="D6" s="15"/>
      <c r="E6" s="15"/>
      <c r="F6" s="15"/>
      <c r="G6" s="15"/>
      <c r="H6" s="15"/>
      <c r="J6" s="15" t="s">
        <v>110</v>
      </c>
      <c r="K6" s="15"/>
      <c r="L6" s="15"/>
      <c r="M6" s="15"/>
    </row>
    <row r="7" customFormat="false" ht="15" hidden="false" customHeight="false" outlineLevel="0" collapsed="false">
      <c r="A7" s="7" t="s">
        <v>111</v>
      </c>
      <c r="B7" s="7" t="s">
        <v>112</v>
      </c>
      <c r="C7" s="7" t="s">
        <v>113</v>
      </c>
      <c r="D7" s="7" t="s">
        <v>114</v>
      </c>
      <c r="E7" s="7" t="s">
        <v>115</v>
      </c>
      <c r="F7" s="7" t="s">
        <v>116</v>
      </c>
      <c r="G7" s="7" t="s">
        <v>117</v>
      </c>
      <c r="H7" s="7" t="s">
        <v>118</v>
      </c>
      <c r="J7" s="7" t="s">
        <v>119</v>
      </c>
      <c r="K7" s="7" t="s">
        <v>112</v>
      </c>
      <c r="L7" s="7" t="s">
        <v>114</v>
      </c>
      <c r="M7" s="7" t="s">
        <v>120</v>
      </c>
    </row>
    <row r="8" customFormat="false" ht="15" hidden="false" customHeight="false" outlineLevel="0" collapsed="false">
      <c r="A8" s="16" t="n">
        <v>39448</v>
      </c>
      <c r="B8" s="17" t="str">
        <f aca="false">IFERROR(haverdata(Codes!$D$11,$A8),"")</f>
        <v/>
      </c>
      <c r="C8" s="18"/>
      <c r="D8" s="18"/>
      <c r="E8" s="19" t="str">
        <f aca="false">IFERROR(IF(B8="",IFERROR(GROWTH($B$8:$B$95,$A$8:$A$95,$A8),TREND($B$8:$B$95,$A$8:$A$95,$A8)),""),"")</f>
        <v/>
      </c>
      <c r="F8" s="19" t="str">
        <f aca="false">IFERROR(forecast.ets($A8,$B$8:$B$95,$A$8:$A$95,4,1,1),"")</f>
        <v/>
      </c>
      <c r="G8" s="19" t="str">
        <f aca="false">IFERROR(F8-forecast.ets.confint($A8,$B$8:$B$95,$A$8:$A$95,0.95,4,1,1),"")</f>
        <v/>
      </c>
      <c r="H8" s="19" t="str">
        <f aca="false">IFERROR(F8+forecast.ets.confint($A8,$B$8:$B$95,$A$8:$A$95,0.95,4,1,1),"")</f>
        <v/>
      </c>
      <c r="J8" s="20" t="n">
        <v>2008</v>
      </c>
      <c r="K8" s="19" t="n">
        <f aca="false">IFERROR(SUMIFS($B$8:$B$95,$A$8:$A$95,"&gt;="&amp;DATE(J8,1,1),$A$8:$A$95,"&lt;="&amp;DATE(J8,12,31)),"")</f>
        <v>0</v>
      </c>
      <c r="L8" s="18"/>
      <c r="M8" s="19" t="n">
        <f aca="false">IFERROR(SUMIFS($F$8:$F$95,$A$8:$A$95,"&gt;="&amp;DATE(J8,1,1),$A$8:$A$95,"&lt;="&amp;DATE(J8,12,31)),"")</f>
        <v>0</v>
      </c>
    </row>
    <row r="9" customFormat="false" ht="15" hidden="false" customHeight="false" outlineLevel="0" collapsed="false">
      <c r="A9" s="21" t="n">
        <v>39539</v>
      </c>
      <c r="B9" s="22" t="str">
        <f aca="false">IFERROR(haverdata(Codes!$D$11,$A9),"")</f>
        <v/>
      </c>
      <c r="C9" s="23" t="str">
        <f aca="false">IFERROR(B9/B8-1,"")</f>
        <v/>
      </c>
      <c r="D9" s="23"/>
      <c r="E9" s="24" t="str">
        <f aca="false">IFERROR(IF(B9="",IFERROR(GROWTH($B$8:$B$95,$A$8:$A$95,$A9),TREND($B$8:$B$95,$A$8:$A$95,$A9)),""),"")</f>
        <v/>
      </c>
      <c r="F9" s="24" t="str">
        <f aca="false">IFERROR(forecast.ets($A9,$B$8:$B$95,$A$8:$A$95,4,1,1),"")</f>
        <v/>
      </c>
      <c r="G9" s="24" t="str">
        <f aca="false">IFERROR(F9-forecast.ets.confint($A9,$B$8:$B$95,$A$8:$A$95,0.95,4,1,1),"")</f>
        <v/>
      </c>
      <c r="H9" s="24" t="str">
        <f aca="false">IFERROR(F9+forecast.ets.confint($A9,$B$8:$B$95,$A$8:$A$95,0.95,4,1,1),"")</f>
        <v/>
      </c>
      <c r="J9" s="25" t="n">
        <v>2009</v>
      </c>
      <c r="K9" s="24" t="n">
        <f aca="false">IFERROR(SUMIFS($B$8:$B$95,$A$8:$A$95,"&gt;="&amp;DATE(J9,1,1),$A$8:$A$95,"&lt;="&amp;DATE(J9,12,31)),"")</f>
        <v>0</v>
      </c>
      <c r="L9" s="23" t="str">
        <f aca="false">IFERROR(K9/K8-1,"")</f>
        <v/>
      </c>
      <c r="M9" s="24" t="n">
        <f aca="false">IFERROR(SUMIFS($F$8:$F$95,$A$8:$A$95,"&gt;="&amp;DATE(J9,1,1),$A$8:$A$95,"&lt;="&amp;DATE(J9,12,31)),"")</f>
        <v>0</v>
      </c>
    </row>
    <row r="10" customFormat="false" ht="15" hidden="false" customHeight="false" outlineLevel="0" collapsed="false">
      <c r="A10" s="16" t="n">
        <v>39630</v>
      </c>
      <c r="B10" s="17" t="str">
        <f aca="false">IFERROR(haverdata(Codes!$D$11,$A10),"")</f>
        <v/>
      </c>
      <c r="C10" s="18" t="str">
        <f aca="false">IFERROR(B10/B9-1,"")</f>
        <v/>
      </c>
      <c r="D10" s="18"/>
      <c r="E10" s="19" t="str">
        <f aca="false">IFERROR(IF(B10="",IFERROR(GROWTH($B$8:$B$95,$A$8:$A$95,$A10),TREND($B$8:$B$95,$A$8:$A$95,$A10)),""),"")</f>
        <v/>
      </c>
      <c r="F10" s="19" t="str">
        <f aca="false">IFERROR(forecast.ets($A10,$B$8:$B$95,$A$8:$A$95,4,1,1),"")</f>
        <v/>
      </c>
      <c r="G10" s="19" t="str">
        <f aca="false">IFERROR(F10-forecast.ets.confint($A10,$B$8:$B$95,$A$8:$A$95,0.95,4,1,1),"")</f>
        <v/>
      </c>
      <c r="H10" s="19" t="str">
        <f aca="false">IFERROR(F10+forecast.ets.confint($A10,$B$8:$B$95,$A$8:$A$95,0.95,4,1,1),"")</f>
        <v/>
      </c>
      <c r="J10" s="20" t="n">
        <v>2010</v>
      </c>
      <c r="K10" s="19" t="n">
        <f aca="false">IFERROR(SUMIFS($B$8:$B$95,$A$8:$A$95,"&gt;="&amp;DATE(J10,1,1),$A$8:$A$95,"&lt;="&amp;DATE(J10,12,31)),"")</f>
        <v>0</v>
      </c>
      <c r="L10" s="18" t="str">
        <f aca="false">IFERROR(K10/K9-1,"")</f>
        <v/>
      </c>
      <c r="M10" s="19" t="n">
        <f aca="false">IFERROR(SUMIFS($F$8:$F$95,$A$8:$A$95,"&gt;="&amp;DATE(J10,1,1),$A$8:$A$95,"&lt;="&amp;DATE(J10,12,31)),"")</f>
        <v>0</v>
      </c>
    </row>
    <row r="11" customFormat="false" ht="15" hidden="false" customHeight="false" outlineLevel="0" collapsed="false">
      <c r="A11" s="21" t="n">
        <v>39722</v>
      </c>
      <c r="B11" s="22" t="str">
        <f aca="false">IFERROR(haverdata(Codes!$D$11,$A11),"")</f>
        <v/>
      </c>
      <c r="C11" s="23" t="str">
        <f aca="false">IFERROR(B11/B10-1,"")</f>
        <v/>
      </c>
      <c r="D11" s="23"/>
      <c r="E11" s="24" t="str">
        <f aca="false">IFERROR(IF(B11="",IFERROR(GROWTH($B$8:$B$95,$A$8:$A$95,$A11),TREND($B$8:$B$95,$A$8:$A$95,$A11)),""),"")</f>
        <v/>
      </c>
      <c r="F11" s="24" t="str">
        <f aca="false">IFERROR(forecast.ets($A11,$B$8:$B$95,$A$8:$A$95,4,1,1),"")</f>
        <v/>
      </c>
      <c r="G11" s="24" t="str">
        <f aca="false">IFERROR(F11-forecast.ets.confint($A11,$B$8:$B$95,$A$8:$A$95,0.95,4,1,1),"")</f>
        <v/>
      </c>
      <c r="H11" s="24" t="str">
        <f aca="false">IFERROR(F11+forecast.ets.confint($A11,$B$8:$B$95,$A$8:$A$95,0.95,4,1,1),"")</f>
        <v/>
      </c>
      <c r="J11" s="25" t="n">
        <v>2011</v>
      </c>
      <c r="K11" s="24" t="n">
        <f aca="false">IFERROR(SUMIFS($B$8:$B$95,$A$8:$A$95,"&gt;="&amp;DATE(J11,1,1),$A$8:$A$95,"&lt;="&amp;DATE(J11,12,31)),"")</f>
        <v>0</v>
      </c>
      <c r="L11" s="23" t="str">
        <f aca="false">IFERROR(K11/K10-1,"")</f>
        <v/>
      </c>
      <c r="M11" s="24" t="n">
        <f aca="false">IFERROR(SUMIFS($F$8:$F$95,$A$8:$A$95,"&gt;="&amp;DATE(J11,1,1),$A$8:$A$95,"&lt;="&amp;DATE(J11,12,31)),"")</f>
        <v>0</v>
      </c>
    </row>
    <row r="12" customFormat="false" ht="15" hidden="false" customHeight="false" outlineLevel="0" collapsed="false">
      <c r="A12" s="16" t="n">
        <v>39814</v>
      </c>
      <c r="B12" s="17" t="str">
        <f aca="false">IFERROR(haverdata(Codes!$D$11,$A12),"")</f>
        <v/>
      </c>
      <c r="C12" s="18" t="str">
        <f aca="false">IFERROR(B12/B11-1,"")</f>
        <v/>
      </c>
      <c r="D12" s="18" t="str">
        <f aca="false">IFERROR(B12/B8-1,"")</f>
        <v/>
      </c>
      <c r="E12" s="19" t="str">
        <f aca="false">IFERROR(IF(B12="",IFERROR(GROWTH($B$8:$B$95,$A$8:$A$95,$A12),TREND($B$8:$B$95,$A$8:$A$95,$A12)),""),"")</f>
        <v/>
      </c>
      <c r="F12" s="19" t="str">
        <f aca="false">IFERROR(forecast.ets($A12,$B$8:$B$95,$A$8:$A$95,4,1,1),"")</f>
        <v/>
      </c>
      <c r="G12" s="19" t="str">
        <f aca="false">IFERROR(F12-forecast.ets.confint($A12,$B$8:$B$95,$A$8:$A$95,0.95,4,1,1),"")</f>
        <v/>
      </c>
      <c r="H12" s="19" t="str">
        <f aca="false">IFERROR(F12+forecast.ets.confint($A12,$B$8:$B$95,$A$8:$A$95,0.95,4,1,1),"")</f>
        <v/>
      </c>
      <c r="J12" s="20" t="n">
        <v>2012</v>
      </c>
      <c r="K12" s="19" t="n">
        <f aca="false">IFERROR(SUMIFS($B$8:$B$95,$A$8:$A$95,"&gt;="&amp;DATE(J12,1,1),$A$8:$A$95,"&lt;="&amp;DATE(J12,12,31)),"")</f>
        <v>0</v>
      </c>
      <c r="L12" s="18" t="str">
        <f aca="false">IFERROR(K12/K11-1,"")</f>
        <v/>
      </c>
      <c r="M12" s="19" t="n">
        <f aca="false">IFERROR(SUMIFS($F$8:$F$95,$A$8:$A$95,"&gt;="&amp;DATE(J12,1,1),$A$8:$A$95,"&lt;="&amp;DATE(J12,12,31)),"")</f>
        <v>0</v>
      </c>
    </row>
    <row r="13" customFormat="false" ht="15" hidden="false" customHeight="false" outlineLevel="0" collapsed="false">
      <c r="A13" s="21" t="n">
        <v>39904</v>
      </c>
      <c r="B13" s="22" t="str">
        <f aca="false">IFERROR(haverdata(Codes!$D$11,$A13),"")</f>
        <v/>
      </c>
      <c r="C13" s="23" t="str">
        <f aca="false">IFERROR(B13/B12-1,"")</f>
        <v/>
      </c>
      <c r="D13" s="23" t="str">
        <f aca="false">IFERROR(B13/B9-1,"")</f>
        <v/>
      </c>
      <c r="E13" s="24" t="str">
        <f aca="false">IFERROR(IF(B13="",IFERROR(GROWTH($B$8:$B$95,$A$8:$A$95,$A13),TREND($B$8:$B$95,$A$8:$A$95,$A13)),""),"")</f>
        <v/>
      </c>
      <c r="F13" s="24" t="str">
        <f aca="false">IFERROR(forecast.ets($A13,$B$8:$B$95,$A$8:$A$95,4,1,1),"")</f>
        <v/>
      </c>
      <c r="G13" s="24" t="str">
        <f aca="false">IFERROR(F13-forecast.ets.confint($A13,$B$8:$B$95,$A$8:$A$95,0.95,4,1,1),"")</f>
        <v/>
      </c>
      <c r="H13" s="24" t="str">
        <f aca="false">IFERROR(F13+forecast.ets.confint($A13,$B$8:$B$95,$A$8:$A$95,0.95,4,1,1),"")</f>
        <v/>
      </c>
      <c r="J13" s="25" t="n">
        <v>2013</v>
      </c>
      <c r="K13" s="24" t="n">
        <f aca="false">IFERROR(SUMIFS($B$8:$B$95,$A$8:$A$95,"&gt;="&amp;DATE(J13,1,1),$A$8:$A$95,"&lt;="&amp;DATE(J13,12,31)),"")</f>
        <v>0</v>
      </c>
      <c r="L13" s="23" t="str">
        <f aca="false">IFERROR(K13/K12-1,"")</f>
        <v/>
      </c>
      <c r="M13" s="24" t="n">
        <f aca="false">IFERROR(SUMIFS($F$8:$F$95,$A$8:$A$95,"&gt;="&amp;DATE(J13,1,1),$A$8:$A$95,"&lt;="&amp;DATE(J13,12,31)),"")</f>
        <v>0</v>
      </c>
    </row>
    <row r="14" customFormat="false" ht="15" hidden="false" customHeight="false" outlineLevel="0" collapsed="false">
      <c r="A14" s="16" t="n">
        <v>39995</v>
      </c>
      <c r="B14" s="17" t="str">
        <f aca="false">IFERROR(haverdata(Codes!$D$11,$A14),"")</f>
        <v/>
      </c>
      <c r="C14" s="18" t="str">
        <f aca="false">IFERROR(B14/B13-1,"")</f>
        <v/>
      </c>
      <c r="D14" s="18" t="str">
        <f aca="false">IFERROR(B14/B10-1,"")</f>
        <v/>
      </c>
      <c r="E14" s="19" t="str">
        <f aca="false">IFERROR(IF(B14="",IFERROR(GROWTH($B$8:$B$95,$A$8:$A$95,$A14),TREND($B$8:$B$95,$A$8:$A$95,$A14)),""),"")</f>
        <v/>
      </c>
      <c r="F14" s="19" t="str">
        <f aca="false">IFERROR(forecast.ets($A14,$B$8:$B$95,$A$8:$A$95,4,1,1),"")</f>
        <v/>
      </c>
      <c r="G14" s="19" t="str">
        <f aca="false">IFERROR(F14-forecast.ets.confint($A14,$B$8:$B$95,$A$8:$A$95,0.95,4,1,1),"")</f>
        <v/>
      </c>
      <c r="H14" s="19" t="str">
        <f aca="false">IFERROR(F14+forecast.ets.confint($A14,$B$8:$B$95,$A$8:$A$95,0.95,4,1,1),"")</f>
        <v/>
      </c>
      <c r="J14" s="20" t="n">
        <v>2014</v>
      </c>
      <c r="K14" s="19" t="n">
        <f aca="false">IFERROR(SUMIFS($B$8:$B$95,$A$8:$A$95,"&gt;="&amp;DATE(J14,1,1),$A$8:$A$95,"&lt;="&amp;DATE(J14,12,31)),"")</f>
        <v>0</v>
      </c>
      <c r="L14" s="18" t="str">
        <f aca="false">IFERROR(K14/K13-1,"")</f>
        <v/>
      </c>
      <c r="M14" s="19" t="n">
        <f aca="false">IFERROR(SUMIFS($F$8:$F$95,$A$8:$A$95,"&gt;="&amp;DATE(J14,1,1),$A$8:$A$95,"&lt;="&amp;DATE(J14,12,31)),"")</f>
        <v>0</v>
      </c>
    </row>
    <row r="15" customFormat="false" ht="15" hidden="false" customHeight="false" outlineLevel="0" collapsed="false">
      <c r="A15" s="21" t="n">
        <v>40087</v>
      </c>
      <c r="B15" s="22" t="str">
        <f aca="false">IFERROR(haverdata(Codes!$D$11,$A15),"")</f>
        <v/>
      </c>
      <c r="C15" s="23" t="str">
        <f aca="false">IFERROR(B15/B14-1,"")</f>
        <v/>
      </c>
      <c r="D15" s="23" t="str">
        <f aca="false">IFERROR(B15/B11-1,"")</f>
        <v/>
      </c>
      <c r="E15" s="24" t="str">
        <f aca="false">IFERROR(IF(B15="",IFERROR(GROWTH($B$8:$B$95,$A$8:$A$95,$A15),TREND($B$8:$B$95,$A$8:$A$95,$A15)),""),"")</f>
        <v/>
      </c>
      <c r="F15" s="24" t="str">
        <f aca="false">IFERROR(forecast.ets($A15,$B$8:$B$95,$A$8:$A$95,4,1,1),"")</f>
        <v/>
      </c>
      <c r="G15" s="24" t="str">
        <f aca="false">IFERROR(F15-forecast.ets.confint($A15,$B$8:$B$95,$A$8:$A$95,0.95,4,1,1),"")</f>
        <v/>
      </c>
      <c r="H15" s="24" t="str">
        <f aca="false">IFERROR(F15+forecast.ets.confint($A15,$B$8:$B$95,$A$8:$A$95,0.95,4,1,1),"")</f>
        <v/>
      </c>
      <c r="J15" s="25" t="n">
        <v>2015</v>
      </c>
      <c r="K15" s="24" t="n">
        <f aca="false">IFERROR(SUMIFS($B$8:$B$95,$A$8:$A$95,"&gt;="&amp;DATE(J15,1,1),$A$8:$A$95,"&lt;="&amp;DATE(J15,12,31)),"")</f>
        <v>0</v>
      </c>
      <c r="L15" s="23" t="str">
        <f aca="false">IFERROR(K15/K14-1,"")</f>
        <v/>
      </c>
      <c r="M15" s="24" t="n">
        <f aca="false">IFERROR(SUMIFS($F$8:$F$95,$A$8:$A$95,"&gt;="&amp;DATE(J15,1,1),$A$8:$A$95,"&lt;="&amp;DATE(J15,12,31)),"")</f>
        <v>0</v>
      </c>
    </row>
    <row r="16" customFormat="false" ht="15" hidden="false" customHeight="false" outlineLevel="0" collapsed="false">
      <c r="A16" s="16" t="n">
        <v>40179</v>
      </c>
      <c r="B16" s="17" t="str">
        <f aca="false">IFERROR(haverdata(Codes!$D$11,$A16),"")</f>
        <v/>
      </c>
      <c r="C16" s="18" t="str">
        <f aca="false">IFERROR(B16/B15-1,"")</f>
        <v/>
      </c>
      <c r="D16" s="18" t="str">
        <f aca="false">IFERROR(B16/B12-1,"")</f>
        <v/>
      </c>
      <c r="E16" s="19" t="str">
        <f aca="false">IFERROR(IF(B16="",IFERROR(GROWTH($B$8:$B$95,$A$8:$A$95,$A16),TREND($B$8:$B$95,$A$8:$A$95,$A16)),""),"")</f>
        <v/>
      </c>
      <c r="F16" s="19" t="str">
        <f aca="false">IFERROR(forecast.ets($A16,$B$8:$B$95,$A$8:$A$95,4,1,1),"")</f>
        <v/>
      </c>
      <c r="G16" s="19" t="str">
        <f aca="false">IFERROR(F16-forecast.ets.confint($A16,$B$8:$B$95,$A$8:$A$95,0.95,4,1,1),"")</f>
        <v/>
      </c>
      <c r="H16" s="19" t="str">
        <f aca="false">IFERROR(F16+forecast.ets.confint($A16,$B$8:$B$95,$A$8:$A$95,0.95,4,1,1),"")</f>
        <v/>
      </c>
      <c r="J16" s="20" t="n">
        <v>2016</v>
      </c>
      <c r="K16" s="19" t="n">
        <f aca="false">IFERROR(SUMIFS($B$8:$B$95,$A$8:$A$95,"&gt;="&amp;DATE(J16,1,1),$A$8:$A$95,"&lt;="&amp;DATE(J16,12,31)),"")</f>
        <v>0</v>
      </c>
      <c r="L16" s="18" t="str">
        <f aca="false">IFERROR(K16/K15-1,"")</f>
        <v/>
      </c>
      <c r="M16" s="19" t="n">
        <f aca="false">IFERROR(SUMIFS($F$8:$F$95,$A$8:$A$95,"&gt;="&amp;DATE(J16,1,1),$A$8:$A$95,"&lt;="&amp;DATE(J16,12,31)),"")</f>
        <v>0</v>
      </c>
    </row>
    <row r="17" customFormat="false" ht="15" hidden="false" customHeight="false" outlineLevel="0" collapsed="false">
      <c r="A17" s="21" t="n">
        <v>40269</v>
      </c>
      <c r="B17" s="22" t="str">
        <f aca="false">IFERROR(haverdata(Codes!$D$11,$A17),"")</f>
        <v/>
      </c>
      <c r="C17" s="23" t="str">
        <f aca="false">IFERROR(B17/B16-1,"")</f>
        <v/>
      </c>
      <c r="D17" s="23" t="str">
        <f aca="false">IFERROR(B17/B13-1,"")</f>
        <v/>
      </c>
      <c r="E17" s="24" t="str">
        <f aca="false">IFERROR(IF(B17="",IFERROR(GROWTH($B$8:$B$95,$A$8:$A$95,$A17),TREND($B$8:$B$95,$A$8:$A$95,$A17)),""),"")</f>
        <v/>
      </c>
      <c r="F17" s="24" t="str">
        <f aca="false">IFERROR(forecast.ets($A17,$B$8:$B$95,$A$8:$A$95,4,1,1),"")</f>
        <v/>
      </c>
      <c r="G17" s="24" t="str">
        <f aca="false">IFERROR(F17-forecast.ets.confint($A17,$B$8:$B$95,$A$8:$A$95,0.95,4,1,1),"")</f>
        <v/>
      </c>
      <c r="H17" s="24" t="str">
        <f aca="false">IFERROR(F17+forecast.ets.confint($A17,$B$8:$B$95,$A$8:$A$95,0.95,4,1,1),"")</f>
        <v/>
      </c>
      <c r="J17" s="25" t="n">
        <v>2017</v>
      </c>
      <c r="K17" s="24" t="n">
        <f aca="false">IFERROR(SUMIFS($B$8:$B$95,$A$8:$A$95,"&gt;="&amp;DATE(J17,1,1),$A$8:$A$95,"&lt;="&amp;DATE(J17,12,31)),"")</f>
        <v>0</v>
      </c>
      <c r="L17" s="23" t="str">
        <f aca="false">IFERROR(K17/K16-1,"")</f>
        <v/>
      </c>
      <c r="M17" s="24" t="n">
        <f aca="false">IFERROR(SUMIFS($F$8:$F$95,$A$8:$A$95,"&gt;="&amp;DATE(J17,1,1),$A$8:$A$95,"&lt;="&amp;DATE(J17,12,31)),"")</f>
        <v>0</v>
      </c>
    </row>
    <row r="18" customFormat="false" ht="15" hidden="false" customHeight="false" outlineLevel="0" collapsed="false">
      <c r="A18" s="16" t="n">
        <v>40360</v>
      </c>
      <c r="B18" s="17" t="str">
        <f aca="false">IFERROR(haverdata(Codes!$D$11,$A18),"")</f>
        <v/>
      </c>
      <c r="C18" s="18" t="str">
        <f aca="false">IFERROR(B18/B17-1,"")</f>
        <v/>
      </c>
      <c r="D18" s="18" t="str">
        <f aca="false">IFERROR(B18/B14-1,"")</f>
        <v/>
      </c>
      <c r="E18" s="19" t="str">
        <f aca="false">IFERROR(IF(B18="",IFERROR(GROWTH($B$8:$B$95,$A$8:$A$95,$A18),TREND($B$8:$B$95,$A$8:$A$95,$A18)),""),"")</f>
        <v/>
      </c>
      <c r="F18" s="19" t="str">
        <f aca="false">IFERROR(forecast.ets($A18,$B$8:$B$95,$A$8:$A$95,4,1,1),"")</f>
        <v/>
      </c>
      <c r="G18" s="19" t="str">
        <f aca="false">IFERROR(F18-forecast.ets.confint($A18,$B$8:$B$95,$A$8:$A$95,0.95,4,1,1),"")</f>
        <v/>
      </c>
      <c r="H18" s="19" t="str">
        <f aca="false">IFERROR(F18+forecast.ets.confint($A18,$B$8:$B$95,$A$8:$A$95,0.95,4,1,1),"")</f>
        <v/>
      </c>
      <c r="J18" s="20" t="n">
        <v>2018</v>
      </c>
      <c r="K18" s="19" t="n">
        <f aca="false">IFERROR(SUMIFS($B$8:$B$95,$A$8:$A$95,"&gt;="&amp;DATE(J18,1,1),$A$8:$A$95,"&lt;="&amp;DATE(J18,12,31)),"")</f>
        <v>0</v>
      </c>
      <c r="L18" s="18" t="str">
        <f aca="false">IFERROR(K18/K17-1,"")</f>
        <v/>
      </c>
      <c r="M18" s="19" t="n">
        <f aca="false">IFERROR(SUMIFS($F$8:$F$95,$A$8:$A$95,"&gt;="&amp;DATE(J18,1,1),$A$8:$A$95,"&lt;="&amp;DATE(J18,12,31)),"")</f>
        <v>0</v>
      </c>
    </row>
    <row r="19" customFormat="false" ht="15" hidden="false" customHeight="false" outlineLevel="0" collapsed="false">
      <c r="A19" s="21" t="n">
        <v>40452</v>
      </c>
      <c r="B19" s="22" t="str">
        <f aca="false">IFERROR(haverdata(Codes!$D$11,$A19),"")</f>
        <v/>
      </c>
      <c r="C19" s="23" t="str">
        <f aca="false">IFERROR(B19/B18-1,"")</f>
        <v/>
      </c>
      <c r="D19" s="23" t="str">
        <f aca="false">IFERROR(B19/B15-1,"")</f>
        <v/>
      </c>
      <c r="E19" s="24" t="str">
        <f aca="false">IFERROR(IF(B19="",IFERROR(GROWTH($B$8:$B$95,$A$8:$A$95,$A19),TREND($B$8:$B$95,$A$8:$A$95,$A19)),""),"")</f>
        <v/>
      </c>
      <c r="F19" s="24" t="str">
        <f aca="false">IFERROR(forecast.ets($A19,$B$8:$B$95,$A$8:$A$95,4,1,1),"")</f>
        <v/>
      </c>
      <c r="G19" s="24" t="str">
        <f aca="false">IFERROR(F19-forecast.ets.confint($A19,$B$8:$B$95,$A$8:$A$95,0.95,4,1,1),"")</f>
        <v/>
      </c>
      <c r="H19" s="24" t="str">
        <f aca="false">IFERROR(F19+forecast.ets.confint($A19,$B$8:$B$95,$A$8:$A$95,0.95,4,1,1),"")</f>
        <v/>
      </c>
      <c r="J19" s="25" t="n">
        <v>2019</v>
      </c>
      <c r="K19" s="24" t="n">
        <f aca="false">IFERROR(SUMIFS($B$8:$B$95,$A$8:$A$95,"&gt;="&amp;DATE(J19,1,1),$A$8:$A$95,"&lt;="&amp;DATE(J19,12,31)),"")</f>
        <v>0</v>
      </c>
      <c r="L19" s="23" t="str">
        <f aca="false">IFERROR(K19/K18-1,"")</f>
        <v/>
      </c>
      <c r="M19" s="24" t="n">
        <f aca="false">IFERROR(SUMIFS($F$8:$F$95,$A$8:$A$95,"&gt;="&amp;DATE(J19,1,1),$A$8:$A$95,"&lt;="&amp;DATE(J19,12,31)),"")</f>
        <v>0</v>
      </c>
    </row>
    <row r="20" customFormat="false" ht="15" hidden="false" customHeight="false" outlineLevel="0" collapsed="false">
      <c r="A20" s="16" t="n">
        <v>40544</v>
      </c>
      <c r="B20" s="17" t="str">
        <f aca="false">IFERROR(haverdata(Codes!$D$11,$A20),"")</f>
        <v/>
      </c>
      <c r="C20" s="18" t="str">
        <f aca="false">IFERROR(B20/B19-1,"")</f>
        <v/>
      </c>
      <c r="D20" s="18" t="str">
        <f aca="false">IFERROR(B20/B16-1,"")</f>
        <v/>
      </c>
      <c r="E20" s="19" t="str">
        <f aca="false">IFERROR(IF(B20="",IFERROR(GROWTH($B$8:$B$95,$A$8:$A$95,$A20),TREND($B$8:$B$95,$A$8:$A$95,$A20)),""),"")</f>
        <v/>
      </c>
      <c r="F20" s="19" t="str">
        <f aca="false">IFERROR(forecast.ets($A20,$B$8:$B$95,$A$8:$A$95,4,1,1),"")</f>
        <v/>
      </c>
      <c r="G20" s="19" t="str">
        <f aca="false">IFERROR(F20-forecast.ets.confint($A20,$B$8:$B$95,$A$8:$A$95,0.95,4,1,1),"")</f>
        <v/>
      </c>
      <c r="H20" s="19" t="str">
        <f aca="false">IFERROR(F20+forecast.ets.confint($A20,$B$8:$B$95,$A$8:$A$95,0.95,4,1,1),"")</f>
        <v/>
      </c>
      <c r="J20" s="20" t="n">
        <v>2020</v>
      </c>
      <c r="K20" s="19" t="n">
        <f aca="false">IFERROR(SUMIFS($B$8:$B$95,$A$8:$A$95,"&gt;="&amp;DATE(J20,1,1),$A$8:$A$95,"&lt;="&amp;DATE(J20,12,31)),"")</f>
        <v>0</v>
      </c>
      <c r="L20" s="18" t="str">
        <f aca="false">IFERROR(K20/K19-1,"")</f>
        <v/>
      </c>
      <c r="M20" s="19" t="n">
        <f aca="false">IFERROR(SUMIFS($F$8:$F$95,$A$8:$A$95,"&gt;="&amp;DATE(J20,1,1),$A$8:$A$95,"&lt;="&amp;DATE(J20,12,31)),"")</f>
        <v>0</v>
      </c>
    </row>
    <row r="21" customFormat="false" ht="15" hidden="false" customHeight="false" outlineLevel="0" collapsed="false">
      <c r="A21" s="21" t="n">
        <v>40634</v>
      </c>
      <c r="B21" s="22" t="str">
        <f aca="false">IFERROR(haverdata(Codes!$D$11,$A21),"")</f>
        <v/>
      </c>
      <c r="C21" s="23" t="str">
        <f aca="false">IFERROR(B21/B20-1,"")</f>
        <v/>
      </c>
      <c r="D21" s="23" t="str">
        <f aca="false">IFERROR(B21/B17-1,"")</f>
        <v/>
      </c>
      <c r="E21" s="24" t="str">
        <f aca="false">IFERROR(IF(B21="",IFERROR(GROWTH($B$8:$B$95,$A$8:$A$95,$A21),TREND($B$8:$B$95,$A$8:$A$95,$A21)),""),"")</f>
        <v/>
      </c>
      <c r="F21" s="24" t="str">
        <f aca="false">IFERROR(forecast.ets($A21,$B$8:$B$95,$A$8:$A$95,4,1,1),"")</f>
        <v/>
      </c>
      <c r="G21" s="24" t="str">
        <f aca="false">IFERROR(F21-forecast.ets.confint($A21,$B$8:$B$95,$A$8:$A$95,0.95,4,1,1),"")</f>
        <v/>
      </c>
      <c r="H21" s="24" t="str">
        <f aca="false">IFERROR(F21+forecast.ets.confint($A21,$B$8:$B$95,$A$8:$A$95,0.95,4,1,1),"")</f>
        <v/>
      </c>
      <c r="J21" s="25" t="n">
        <v>2021</v>
      </c>
      <c r="K21" s="24" t="n">
        <f aca="false">IFERROR(SUMIFS($B$8:$B$95,$A$8:$A$95,"&gt;="&amp;DATE(J21,1,1),$A$8:$A$95,"&lt;="&amp;DATE(J21,12,31)),"")</f>
        <v>0</v>
      </c>
      <c r="L21" s="23" t="str">
        <f aca="false">IFERROR(K21/K20-1,"")</f>
        <v/>
      </c>
      <c r="M21" s="24" t="n">
        <f aca="false">IFERROR(SUMIFS($F$8:$F$95,$A$8:$A$95,"&gt;="&amp;DATE(J21,1,1),$A$8:$A$95,"&lt;="&amp;DATE(J21,12,31)),"")</f>
        <v>0</v>
      </c>
    </row>
    <row r="22" customFormat="false" ht="15" hidden="false" customHeight="false" outlineLevel="0" collapsed="false">
      <c r="A22" s="16" t="n">
        <v>40725</v>
      </c>
      <c r="B22" s="17" t="str">
        <f aca="false">IFERROR(haverdata(Codes!$D$11,$A22),"")</f>
        <v/>
      </c>
      <c r="C22" s="18" t="str">
        <f aca="false">IFERROR(B22/B21-1,"")</f>
        <v/>
      </c>
      <c r="D22" s="18" t="str">
        <f aca="false">IFERROR(B22/B18-1,"")</f>
        <v/>
      </c>
      <c r="E22" s="19" t="str">
        <f aca="false">IFERROR(IF(B22="",IFERROR(GROWTH($B$8:$B$95,$A$8:$A$95,$A22),TREND($B$8:$B$95,$A$8:$A$95,$A22)),""),"")</f>
        <v/>
      </c>
      <c r="F22" s="19" t="str">
        <f aca="false">IFERROR(forecast.ets($A22,$B$8:$B$95,$A$8:$A$95,4,1,1),"")</f>
        <v/>
      </c>
      <c r="G22" s="19" t="str">
        <f aca="false">IFERROR(F22-forecast.ets.confint($A22,$B$8:$B$95,$A$8:$A$95,0.95,4,1,1),"")</f>
        <v/>
      </c>
      <c r="H22" s="19" t="str">
        <f aca="false">IFERROR(F22+forecast.ets.confint($A22,$B$8:$B$95,$A$8:$A$95,0.95,4,1,1),"")</f>
        <v/>
      </c>
      <c r="J22" s="20" t="n">
        <v>2022</v>
      </c>
      <c r="K22" s="19" t="n">
        <f aca="false">IFERROR(SUMIFS($B$8:$B$95,$A$8:$A$95,"&gt;="&amp;DATE(J22,1,1),$A$8:$A$95,"&lt;="&amp;DATE(J22,12,31)),"")</f>
        <v>0</v>
      </c>
      <c r="L22" s="18" t="str">
        <f aca="false">IFERROR(K22/K21-1,"")</f>
        <v/>
      </c>
      <c r="M22" s="19" t="n">
        <f aca="false">IFERROR(SUMIFS($F$8:$F$95,$A$8:$A$95,"&gt;="&amp;DATE(J22,1,1),$A$8:$A$95,"&lt;="&amp;DATE(J22,12,31)),"")</f>
        <v>0</v>
      </c>
    </row>
    <row r="23" customFormat="false" ht="15" hidden="false" customHeight="false" outlineLevel="0" collapsed="false">
      <c r="A23" s="21" t="n">
        <v>40817</v>
      </c>
      <c r="B23" s="22" t="str">
        <f aca="false">IFERROR(haverdata(Codes!$D$11,$A23),"")</f>
        <v/>
      </c>
      <c r="C23" s="23" t="str">
        <f aca="false">IFERROR(B23/B22-1,"")</f>
        <v/>
      </c>
      <c r="D23" s="23" t="str">
        <f aca="false">IFERROR(B23/B19-1,"")</f>
        <v/>
      </c>
      <c r="E23" s="24" t="str">
        <f aca="false">IFERROR(IF(B23="",IFERROR(GROWTH($B$8:$B$95,$A$8:$A$95,$A23),TREND($B$8:$B$95,$A$8:$A$95,$A23)),""),"")</f>
        <v/>
      </c>
      <c r="F23" s="24" t="str">
        <f aca="false">IFERROR(forecast.ets($A23,$B$8:$B$95,$A$8:$A$95,4,1,1),"")</f>
        <v/>
      </c>
      <c r="G23" s="24" t="str">
        <f aca="false">IFERROR(F23-forecast.ets.confint($A23,$B$8:$B$95,$A$8:$A$95,0.95,4,1,1),"")</f>
        <v/>
      </c>
      <c r="H23" s="24" t="str">
        <f aca="false">IFERROR(F23+forecast.ets.confint($A23,$B$8:$B$95,$A$8:$A$95,0.95,4,1,1),"")</f>
        <v/>
      </c>
      <c r="J23" s="25" t="n">
        <v>2023</v>
      </c>
      <c r="K23" s="24" t="n">
        <f aca="false">IFERROR(SUMIFS($B$8:$B$95,$A$8:$A$95,"&gt;="&amp;DATE(J23,1,1),$A$8:$A$95,"&lt;="&amp;DATE(J23,12,31)),"")</f>
        <v>0</v>
      </c>
      <c r="L23" s="23" t="str">
        <f aca="false">IFERROR(K23/K22-1,"")</f>
        <v/>
      </c>
      <c r="M23" s="24" t="n">
        <f aca="false">IFERROR(SUMIFS($F$8:$F$95,$A$8:$A$95,"&gt;="&amp;DATE(J23,1,1),$A$8:$A$95,"&lt;="&amp;DATE(J23,12,31)),"")</f>
        <v>0</v>
      </c>
    </row>
    <row r="24" customFormat="false" ht="15" hidden="false" customHeight="false" outlineLevel="0" collapsed="false">
      <c r="A24" s="16" t="n">
        <v>40909</v>
      </c>
      <c r="B24" s="17" t="str">
        <f aca="false">IFERROR(haverdata(Codes!$D$11,$A24),"")</f>
        <v/>
      </c>
      <c r="C24" s="18" t="str">
        <f aca="false">IFERROR(B24/B23-1,"")</f>
        <v/>
      </c>
      <c r="D24" s="18" t="str">
        <f aca="false">IFERROR(B24/B20-1,"")</f>
        <v/>
      </c>
      <c r="E24" s="19" t="str">
        <f aca="false">IFERROR(IF(B24="",IFERROR(GROWTH($B$8:$B$95,$A$8:$A$95,$A24),TREND($B$8:$B$95,$A$8:$A$95,$A24)),""),"")</f>
        <v/>
      </c>
      <c r="F24" s="19" t="str">
        <f aca="false">IFERROR(forecast.ets($A24,$B$8:$B$95,$A$8:$A$95,4,1,1),"")</f>
        <v/>
      </c>
      <c r="G24" s="19" t="str">
        <f aca="false">IFERROR(F24-forecast.ets.confint($A24,$B$8:$B$95,$A$8:$A$95,0.95,4,1,1),"")</f>
        <v/>
      </c>
      <c r="H24" s="19" t="str">
        <f aca="false">IFERROR(F24+forecast.ets.confint($A24,$B$8:$B$95,$A$8:$A$95,0.95,4,1,1),"")</f>
        <v/>
      </c>
      <c r="J24" s="20" t="n">
        <v>2024</v>
      </c>
      <c r="K24" s="19" t="n">
        <f aca="false">IFERROR(SUMIFS($B$8:$B$95,$A$8:$A$95,"&gt;="&amp;DATE(J24,1,1),$A$8:$A$95,"&lt;="&amp;DATE(J24,12,31)),"")</f>
        <v>0</v>
      </c>
      <c r="L24" s="18" t="str">
        <f aca="false">IFERROR(K24/K23-1,"")</f>
        <v/>
      </c>
      <c r="M24" s="19" t="n">
        <f aca="false">IFERROR(SUMIFS($F$8:$F$95,$A$8:$A$95,"&gt;="&amp;DATE(J24,1,1),$A$8:$A$95,"&lt;="&amp;DATE(J24,12,31)),"")</f>
        <v>0</v>
      </c>
    </row>
    <row r="25" customFormat="false" ht="15" hidden="false" customHeight="false" outlineLevel="0" collapsed="false">
      <c r="A25" s="21" t="n">
        <v>41000</v>
      </c>
      <c r="B25" s="22" t="str">
        <f aca="false">IFERROR(haverdata(Codes!$D$11,$A25),"")</f>
        <v/>
      </c>
      <c r="C25" s="23" t="str">
        <f aca="false">IFERROR(B25/B24-1,"")</f>
        <v/>
      </c>
      <c r="D25" s="23" t="str">
        <f aca="false">IFERROR(B25/B21-1,"")</f>
        <v/>
      </c>
      <c r="E25" s="24" t="str">
        <f aca="false">IFERROR(IF(B25="",IFERROR(GROWTH($B$8:$B$95,$A$8:$A$95,$A25),TREND($B$8:$B$95,$A$8:$A$95,$A25)),""),"")</f>
        <v/>
      </c>
      <c r="F25" s="24" t="str">
        <f aca="false">IFERROR(forecast.ets($A25,$B$8:$B$95,$A$8:$A$95,4,1,1),"")</f>
        <v/>
      </c>
      <c r="G25" s="24" t="str">
        <f aca="false">IFERROR(F25-forecast.ets.confint($A25,$B$8:$B$95,$A$8:$A$95,0.95,4,1,1),"")</f>
        <v/>
      </c>
      <c r="H25" s="24" t="str">
        <f aca="false">IFERROR(F25+forecast.ets.confint($A25,$B$8:$B$95,$A$8:$A$95,0.95,4,1,1),"")</f>
        <v/>
      </c>
      <c r="J25" s="25" t="n">
        <v>2025</v>
      </c>
      <c r="K25" s="24" t="n">
        <f aca="false">IFERROR(SUMIFS($B$8:$B$95,$A$8:$A$95,"&gt;="&amp;DATE(J25,1,1),$A$8:$A$95,"&lt;="&amp;DATE(J25,12,31)),"")</f>
        <v>0</v>
      </c>
      <c r="L25" s="23" t="str">
        <f aca="false">IFERROR(K25/K24-1,"")</f>
        <v/>
      </c>
      <c r="M25" s="24" t="n">
        <f aca="false">IFERROR(SUMIFS($F$8:$F$95,$A$8:$A$95,"&gt;="&amp;DATE(J25,1,1),$A$8:$A$95,"&lt;="&amp;DATE(J25,12,31)),"")</f>
        <v>0</v>
      </c>
    </row>
    <row r="26" customFormat="false" ht="15" hidden="false" customHeight="false" outlineLevel="0" collapsed="false">
      <c r="A26" s="16" t="n">
        <v>41091</v>
      </c>
      <c r="B26" s="17" t="str">
        <f aca="false">IFERROR(haverdata(Codes!$D$11,$A26),"")</f>
        <v/>
      </c>
      <c r="C26" s="18" t="str">
        <f aca="false">IFERROR(B26/B25-1,"")</f>
        <v/>
      </c>
      <c r="D26" s="18" t="str">
        <f aca="false">IFERROR(B26/B22-1,"")</f>
        <v/>
      </c>
      <c r="E26" s="19" t="str">
        <f aca="false">IFERROR(IF(B26="",IFERROR(GROWTH($B$8:$B$95,$A$8:$A$95,$A26),TREND($B$8:$B$95,$A$8:$A$95,$A26)),""),"")</f>
        <v/>
      </c>
      <c r="F26" s="19" t="str">
        <f aca="false">IFERROR(forecast.ets($A26,$B$8:$B$95,$A$8:$A$95,4,1,1),"")</f>
        <v/>
      </c>
      <c r="G26" s="19" t="str">
        <f aca="false">IFERROR(F26-forecast.ets.confint($A26,$B$8:$B$95,$A$8:$A$95,0.95,4,1,1),"")</f>
        <v/>
      </c>
      <c r="H26" s="19" t="str">
        <f aca="false">IFERROR(F26+forecast.ets.confint($A26,$B$8:$B$95,$A$8:$A$95,0.95,4,1,1),"")</f>
        <v/>
      </c>
      <c r="J26" s="20" t="n">
        <v>2026</v>
      </c>
      <c r="K26" s="19" t="n">
        <f aca="false">IFERROR(SUMIFS($B$8:$B$95,$A$8:$A$95,"&gt;="&amp;DATE(J26,1,1),$A$8:$A$95,"&lt;="&amp;DATE(J26,12,31)),"")</f>
        <v>0</v>
      </c>
      <c r="L26" s="18" t="str">
        <f aca="false">IFERROR(K26/K25-1,"")</f>
        <v/>
      </c>
      <c r="M26" s="19" t="n">
        <f aca="false">IFERROR(SUMIFS($F$8:$F$95,$A$8:$A$95,"&gt;="&amp;DATE(J26,1,1),$A$8:$A$95,"&lt;="&amp;DATE(J26,12,31)),"")</f>
        <v>0</v>
      </c>
    </row>
    <row r="27" customFormat="false" ht="15" hidden="false" customHeight="false" outlineLevel="0" collapsed="false">
      <c r="A27" s="21" t="n">
        <v>41183</v>
      </c>
      <c r="B27" s="22" t="str">
        <f aca="false">IFERROR(haverdata(Codes!$D$11,$A27),"")</f>
        <v/>
      </c>
      <c r="C27" s="23" t="str">
        <f aca="false">IFERROR(B27/B26-1,"")</f>
        <v/>
      </c>
      <c r="D27" s="23" t="str">
        <f aca="false">IFERROR(B27/B23-1,"")</f>
        <v/>
      </c>
      <c r="E27" s="24" t="str">
        <f aca="false">IFERROR(IF(B27="",IFERROR(GROWTH($B$8:$B$95,$A$8:$A$95,$A27),TREND($B$8:$B$95,$A$8:$A$95,$A27)),""),"")</f>
        <v/>
      </c>
      <c r="F27" s="24" t="str">
        <f aca="false">IFERROR(forecast.ets($A27,$B$8:$B$95,$A$8:$A$95,4,1,1),"")</f>
        <v/>
      </c>
      <c r="G27" s="24" t="str">
        <f aca="false">IFERROR(F27-forecast.ets.confint($A27,$B$8:$B$95,$A$8:$A$95,0.95,4,1,1),"")</f>
        <v/>
      </c>
      <c r="H27" s="24" t="str">
        <f aca="false">IFERROR(F27+forecast.ets.confint($A27,$B$8:$B$95,$A$8:$A$95,0.95,4,1,1),"")</f>
        <v/>
      </c>
      <c r="J27" s="25" t="n">
        <v>2027</v>
      </c>
      <c r="K27" s="24" t="n">
        <f aca="false">IFERROR(SUMIFS($B$8:$B$95,$A$8:$A$95,"&gt;="&amp;DATE(J27,1,1),$A$8:$A$95,"&lt;="&amp;DATE(J27,12,31)),"")</f>
        <v>0</v>
      </c>
      <c r="L27" s="23" t="str">
        <f aca="false">IFERROR(K27/K26-1,"")</f>
        <v/>
      </c>
      <c r="M27" s="24" t="n">
        <f aca="false">IFERROR(SUMIFS($F$8:$F$95,$A$8:$A$95,"&gt;="&amp;DATE(J27,1,1),$A$8:$A$95,"&lt;="&amp;DATE(J27,12,31)),"")</f>
        <v>0</v>
      </c>
    </row>
    <row r="28" customFormat="false" ht="15" hidden="false" customHeight="false" outlineLevel="0" collapsed="false">
      <c r="A28" s="16" t="n">
        <v>41275</v>
      </c>
      <c r="B28" s="17" t="str">
        <f aca="false">IFERROR(haverdata(Codes!$D$11,$A28),"")</f>
        <v/>
      </c>
      <c r="C28" s="18" t="str">
        <f aca="false">IFERROR(B28/B27-1,"")</f>
        <v/>
      </c>
      <c r="D28" s="18" t="str">
        <f aca="false">IFERROR(B28/B24-1,"")</f>
        <v/>
      </c>
      <c r="E28" s="19" t="str">
        <f aca="false">IFERROR(IF(B28="",IFERROR(GROWTH($B$8:$B$95,$A$8:$A$95,$A28),TREND($B$8:$B$95,$A$8:$A$95,$A28)),""),"")</f>
        <v/>
      </c>
      <c r="F28" s="19" t="str">
        <f aca="false">IFERROR(forecast.ets($A28,$B$8:$B$95,$A$8:$A$95,4,1,1),"")</f>
        <v/>
      </c>
      <c r="G28" s="19" t="str">
        <f aca="false">IFERROR(F28-forecast.ets.confint($A28,$B$8:$B$95,$A$8:$A$95,0.95,4,1,1),"")</f>
        <v/>
      </c>
      <c r="H28" s="19" t="str">
        <f aca="false">IFERROR(F28+forecast.ets.confint($A28,$B$8:$B$95,$A$8:$A$95,0.95,4,1,1),"")</f>
        <v/>
      </c>
      <c r="J28" s="20" t="n">
        <v>2028</v>
      </c>
      <c r="K28" s="19" t="n">
        <f aca="false">IFERROR(SUMIFS($B$8:$B$95,$A$8:$A$95,"&gt;="&amp;DATE(J28,1,1),$A$8:$A$95,"&lt;="&amp;DATE(J28,12,31)),"")</f>
        <v>0</v>
      </c>
      <c r="L28" s="18" t="str">
        <f aca="false">IFERROR(K28/K27-1,"")</f>
        <v/>
      </c>
      <c r="M28" s="19" t="n">
        <f aca="false">IFERROR(SUMIFS($F$8:$F$95,$A$8:$A$95,"&gt;="&amp;DATE(J28,1,1),$A$8:$A$95,"&lt;="&amp;DATE(J28,12,31)),"")</f>
        <v>0</v>
      </c>
    </row>
    <row r="29" customFormat="false" ht="15" hidden="false" customHeight="false" outlineLevel="0" collapsed="false">
      <c r="A29" s="21" t="n">
        <v>41365</v>
      </c>
      <c r="B29" s="22" t="str">
        <f aca="false">IFERROR(haverdata(Codes!$D$11,$A29),"")</f>
        <v/>
      </c>
      <c r="C29" s="23" t="str">
        <f aca="false">IFERROR(B29/B28-1,"")</f>
        <v/>
      </c>
      <c r="D29" s="23" t="str">
        <f aca="false">IFERROR(B29/B25-1,"")</f>
        <v/>
      </c>
      <c r="E29" s="24" t="str">
        <f aca="false">IFERROR(IF(B29="",IFERROR(GROWTH($B$8:$B$95,$A$8:$A$95,$A29),TREND($B$8:$B$95,$A$8:$A$95,$A29)),""),"")</f>
        <v/>
      </c>
      <c r="F29" s="24" t="str">
        <f aca="false">IFERROR(forecast.ets($A29,$B$8:$B$95,$A$8:$A$95,4,1,1),"")</f>
        <v/>
      </c>
      <c r="G29" s="24" t="str">
        <f aca="false">IFERROR(F29-forecast.ets.confint($A29,$B$8:$B$95,$A$8:$A$95,0.95,4,1,1),"")</f>
        <v/>
      </c>
      <c r="H29" s="24" t="str">
        <f aca="false">IFERROR(F29+forecast.ets.confint($A29,$B$8:$B$95,$A$8:$A$95,0.95,4,1,1),"")</f>
        <v/>
      </c>
      <c r="J29" s="25" t="n">
        <v>2029</v>
      </c>
      <c r="K29" s="24" t="n">
        <f aca="false">IFERROR(SUMIFS($B$8:$B$95,$A$8:$A$95,"&gt;="&amp;DATE(J29,1,1),$A$8:$A$95,"&lt;="&amp;DATE(J29,12,31)),"")</f>
        <v>0</v>
      </c>
      <c r="L29" s="23" t="str">
        <f aca="false">IFERROR(K29/K28-1,"")</f>
        <v/>
      </c>
      <c r="M29" s="24" t="n">
        <f aca="false">IFERROR(SUMIFS($F$8:$F$95,$A$8:$A$95,"&gt;="&amp;DATE(J29,1,1),$A$8:$A$95,"&lt;="&amp;DATE(J29,12,31)),"")</f>
        <v>0</v>
      </c>
    </row>
    <row r="30" customFormat="false" ht="15" hidden="false" customHeight="false" outlineLevel="0" collapsed="false">
      <c r="A30" s="16" t="n">
        <v>41456</v>
      </c>
      <c r="B30" s="17" t="str">
        <f aca="false">IFERROR(haverdata(Codes!$D$11,$A30),"")</f>
        <v/>
      </c>
      <c r="C30" s="18" t="str">
        <f aca="false">IFERROR(B30/B29-1,"")</f>
        <v/>
      </c>
      <c r="D30" s="18" t="str">
        <f aca="false">IFERROR(B30/B26-1,"")</f>
        <v/>
      </c>
      <c r="E30" s="19" t="str">
        <f aca="false">IFERROR(IF(B30="",IFERROR(GROWTH($B$8:$B$95,$A$8:$A$95,$A30),TREND($B$8:$B$95,$A$8:$A$95,$A30)),""),"")</f>
        <v/>
      </c>
      <c r="F30" s="19" t="str">
        <f aca="false">IFERROR(forecast.ets($A30,$B$8:$B$95,$A$8:$A$95,4,1,1),"")</f>
        <v/>
      </c>
      <c r="G30" s="19" t="str">
        <f aca="false">IFERROR(F30-forecast.ets.confint($A30,$B$8:$B$95,$A$8:$A$95,0.95,4,1,1),"")</f>
        <v/>
      </c>
      <c r="H30" s="19" t="str">
        <f aca="false">IFERROR(F30+forecast.ets.confint($A30,$B$8:$B$95,$A$8:$A$95,0.95,4,1,1),"")</f>
        <v/>
      </c>
    </row>
    <row r="31" customFormat="false" ht="15" hidden="false" customHeight="false" outlineLevel="0" collapsed="false">
      <c r="A31" s="21" t="n">
        <v>41548</v>
      </c>
      <c r="B31" s="22" t="str">
        <f aca="false">IFERROR(haverdata(Codes!$D$11,$A31),"")</f>
        <v/>
      </c>
      <c r="C31" s="23" t="str">
        <f aca="false">IFERROR(B31/B30-1,"")</f>
        <v/>
      </c>
      <c r="D31" s="23" t="str">
        <f aca="false">IFERROR(B31/B27-1,"")</f>
        <v/>
      </c>
      <c r="E31" s="24" t="str">
        <f aca="false">IFERROR(IF(B31="",IFERROR(GROWTH($B$8:$B$95,$A$8:$A$95,$A31),TREND($B$8:$B$95,$A$8:$A$95,$A31)),""),"")</f>
        <v/>
      </c>
      <c r="F31" s="24" t="str">
        <f aca="false">IFERROR(forecast.ets($A31,$B$8:$B$95,$A$8:$A$95,4,1,1),"")</f>
        <v/>
      </c>
      <c r="G31" s="24" t="str">
        <f aca="false">IFERROR(F31-forecast.ets.confint($A31,$B$8:$B$95,$A$8:$A$95,0.95,4,1,1),"")</f>
        <v/>
      </c>
      <c r="H31" s="24" t="str">
        <f aca="false">IFERROR(F31+forecast.ets.confint($A31,$B$8:$B$95,$A$8:$A$95,0.95,4,1,1),"")</f>
        <v/>
      </c>
    </row>
    <row r="32" customFormat="false" ht="15" hidden="false" customHeight="false" outlineLevel="0" collapsed="false">
      <c r="A32" s="16" t="n">
        <v>41640</v>
      </c>
      <c r="B32" s="17" t="str">
        <f aca="false">IFERROR(haverdata(Codes!$D$11,$A32),"")</f>
        <v/>
      </c>
      <c r="C32" s="18" t="str">
        <f aca="false">IFERROR(B32/B31-1,"")</f>
        <v/>
      </c>
      <c r="D32" s="18" t="str">
        <f aca="false">IFERROR(B32/B28-1,"")</f>
        <v/>
      </c>
      <c r="E32" s="19" t="str">
        <f aca="false">IFERROR(IF(B32="",IFERROR(GROWTH($B$8:$B$95,$A$8:$A$95,$A32),TREND($B$8:$B$95,$A$8:$A$95,$A32)),""),"")</f>
        <v/>
      </c>
      <c r="F32" s="19" t="str">
        <f aca="false">IFERROR(forecast.ets($A32,$B$8:$B$95,$A$8:$A$95,4,1,1),"")</f>
        <v/>
      </c>
      <c r="G32" s="19" t="str">
        <f aca="false">IFERROR(F32-forecast.ets.confint($A32,$B$8:$B$95,$A$8:$A$95,0.95,4,1,1),"")</f>
        <v/>
      </c>
      <c r="H32" s="19" t="str">
        <f aca="false">IFERROR(F32+forecast.ets.confint($A32,$B$8:$B$95,$A$8:$A$95,0.95,4,1,1),"")</f>
        <v/>
      </c>
    </row>
    <row r="33" customFormat="false" ht="15" hidden="false" customHeight="false" outlineLevel="0" collapsed="false">
      <c r="A33" s="21" t="n">
        <v>41730</v>
      </c>
      <c r="B33" s="22" t="str">
        <f aca="false">IFERROR(haverdata(Codes!$D$11,$A33),"")</f>
        <v/>
      </c>
      <c r="C33" s="23" t="str">
        <f aca="false">IFERROR(B33/B32-1,"")</f>
        <v/>
      </c>
      <c r="D33" s="23" t="str">
        <f aca="false">IFERROR(B33/B29-1,"")</f>
        <v/>
      </c>
      <c r="E33" s="24" t="str">
        <f aca="false">IFERROR(IF(B33="",IFERROR(GROWTH($B$8:$B$95,$A$8:$A$95,$A33),TREND($B$8:$B$95,$A$8:$A$95,$A33)),""),"")</f>
        <v/>
      </c>
      <c r="F33" s="24" t="str">
        <f aca="false">IFERROR(forecast.ets($A33,$B$8:$B$95,$A$8:$A$95,4,1,1),"")</f>
        <v/>
      </c>
      <c r="G33" s="24" t="str">
        <f aca="false">IFERROR(F33-forecast.ets.confint($A33,$B$8:$B$95,$A$8:$A$95,0.95,4,1,1),"")</f>
        <v/>
      </c>
      <c r="H33" s="24" t="str">
        <f aca="false">IFERROR(F33+forecast.ets.confint($A33,$B$8:$B$95,$A$8:$A$95,0.95,4,1,1),"")</f>
        <v/>
      </c>
    </row>
    <row r="34" customFormat="false" ht="15" hidden="false" customHeight="false" outlineLevel="0" collapsed="false">
      <c r="A34" s="16" t="n">
        <v>41821</v>
      </c>
      <c r="B34" s="17" t="str">
        <f aca="false">IFERROR(haverdata(Codes!$D$11,$A34),"")</f>
        <v/>
      </c>
      <c r="C34" s="18" t="str">
        <f aca="false">IFERROR(B34/B33-1,"")</f>
        <v/>
      </c>
      <c r="D34" s="18" t="str">
        <f aca="false">IFERROR(B34/B30-1,"")</f>
        <v/>
      </c>
      <c r="E34" s="19" t="str">
        <f aca="false">IFERROR(IF(B34="",IFERROR(GROWTH($B$8:$B$95,$A$8:$A$95,$A34),TREND($B$8:$B$95,$A$8:$A$95,$A34)),""),"")</f>
        <v/>
      </c>
      <c r="F34" s="19" t="str">
        <f aca="false">IFERROR(forecast.ets($A34,$B$8:$B$95,$A$8:$A$95,4,1,1),"")</f>
        <v/>
      </c>
      <c r="G34" s="19" t="str">
        <f aca="false">IFERROR(F34-forecast.ets.confint($A34,$B$8:$B$95,$A$8:$A$95,0.95,4,1,1),"")</f>
        <v/>
      </c>
      <c r="H34" s="19" t="str">
        <f aca="false">IFERROR(F34+forecast.ets.confint($A34,$B$8:$B$95,$A$8:$A$95,0.95,4,1,1),"")</f>
        <v/>
      </c>
    </row>
    <row r="35" customFormat="false" ht="15" hidden="false" customHeight="false" outlineLevel="0" collapsed="false">
      <c r="A35" s="21" t="n">
        <v>41913</v>
      </c>
      <c r="B35" s="22" t="str">
        <f aca="false">IFERROR(haverdata(Codes!$D$11,$A35),"")</f>
        <v/>
      </c>
      <c r="C35" s="23" t="str">
        <f aca="false">IFERROR(B35/B34-1,"")</f>
        <v/>
      </c>
      <c r="D35" s="23" t="str">
        <f aca="false">IFERROR(B35/B31-1,"")</f>
        <v/>
      </c>
      <c r="E35" s="24" t="str">
        <f aca="false">IFERROR(IF(B35="",IFERROR(GROWTH($B$8:$B$95,$A$8:$A$95,$A35),TREND($B$8:$B$95,$A$8:$A$95,$A35)),""),"")</f>
        <v/>
      </c>
      <c r="F35" s="24" t="str">
        <f aca="false">IFERROR(forecast.ets($A35,$B$8:$B$95,$A$8:$A$95,4,1,1),"")</f>
        <v/>
      </c>
      <c r="G35" s="24" t="str">
        <f aca="false">IFERROR(F35-forecast.ets.confint($A35,$B$8:$B$95,$A$8:$A$95,0.95,4,1,1),"")</f>
        <v/>
      </c>
      <c r="H35" s="24" t="str">
        <f aca="false">IFERROR(F35+forecast.ets.confint($A35,$B$8:$B$95,$A$8:$A$95,0.95,4,1,1),"")</f>
        <v/>
      </c>
    </row>
    <row r="36" customFormat="false" ht="15" hidden="false" customHeight="false" outlineLevel="0" collapsed="false">
      <c r="A36" s="16" t="n">
        <v>42005</v>
      </c>
      <c r="B36" s="17" t="str">
        <f aca="false">IFERROR(haverdata(Codes!$D$11,$A36),"")</f>
        <v/>
      </c>
      <c r="C36" s="18" t="str">
        <f aca="false">IFERROR(B36/B35-1,"")</f>
        <v/>
      </c>
      <c r="D36" s="18" t="str">
        <f aca="false">IFERROR(B36/B32-1,"")</f>
        <v/>
      </c>
      <c r="E36" s="19" t="str">
        <f aca="false">IFERROR(IF(B36="",IFERROR(GROWTH($B$8:$B$95,$A$8:$A$95,$A36),TREND($B$8:$B$95,$A$8:$A$95,$A36)),""),"")</f>
        <v/>
      </c>
      <c r="F36" s="19" t="str">
        <f aca="false">IFERROR(forecast.ets($A36,$B$8:$B$95,$A$8:$A$95,4,1,1),"")</f>
        <v/>
      </c>
      <c r="G36" s="19" t="str">
        <f aca="false">IFERROR(F36-forecast.ets.confint($A36,$B$8:$B$95,$A$8:$A$95,0.95,4,1,1),"")</f>
        <v/>
      </c>
      <c r="H36" s="19" t="str">
        <f aca="false">IFERROR(F36+forecast.ets.confint($A36,$B$8:$B$95,$A$8:$A$95,0.95,4,1,1),"")</f>
        <v/>
      </c>
    </row>
    <row r="37" customFormat="false" ht="15" hidden="false" customHeight="false" outlineLevel="0" collapsed="false">
      <c r="A37" s="21" t="n">
        <v>42095</v>
      </c>
      <c r="B37" s="22" t="str">
        <f aca="false">IFERROR(haverdata(Codes!$D$11,$A37),"")</f>
        <v/>
      </c>
      <c r="C37" s="23" t="str">
        <f aca="false">IFERROR(B37/B36-1,"")</f>
        <v/>
      </c>
      <c r="D37" s="23" t="str">
        <f aca="false">IFERROR(B37/B33-1,"")</f>
        <v/>
      </c>
      <c r="E37" s="24" t="str">
        <f aca="false">IFERROR(IF(B37="",IFERROR(GROWTH($B$8:$B$95,$A$8:$A$95,$A37),TREND($B$8:$B$95,$A$8:$A$95,$A37)),""),"")</f>
        <v/>
      </c>
      <c r="F37" s="24" t="str">
        <f aca="false">IFERROR(forecast.ets($A37,$B$8:$B$95,$A$8:$A$95,4,1,1),"")</f>
        <v/>
      </c>
      <c r="G37" s="24" t="str">
        <f aca="false">IFERROR(F37-forecast.ets.confint($A37,$B$8:$B$95,$A$8:$A$95,0.95,4,1,1),"")</f>
        <v/>
      </c>
      <c r="H37" s="24" t="str">
        <f aca="false">IFERROR(F37+forecast.ets.confint($A37,$B$8:$B$95,$A$8:$A$95,0.95,4,1,1),"")</f>
        <v/>
      </c>
    </row>
    <row r="38" customFormat="false" ht="15" hidden="false" customHeight="false" outlineLevel="0" collapsed="false">
      <c r="A38" s="16" t="n">
        <v>42186</v>
      </c>
      <c r="B38" s="17" t="str">
        <f aca="false">IFERROR(haverdata(Codes!$D$11,$A38),"")</f>
        <v/>
      </c>
      <c r="C38" s="18" t="str">
        <f aca="false">IFERROR(B38/B37-1,"")</f>
        <v/>
      </c>
      <c r="D38" s="18" t="str">
        <f aca="false">IFERROR(B38/B34-1,"")</f>
        <v/>
      </c>
      <c r="E38" s="19" t="str">
        <f aca="false">IFERROR(IF(B38="",IFERROR(GROWTH($B$8:$B$95,$A$8:$A$95,$A38),TREND($B$8:$B$95,$A$8:$A$95,$A38)),""),"")</f>
        <v/>
      </c>
      <c r="F38" s="19" t="str">
        <f aca="false">IFERROR(forecast.ets($A38,$B$8:$B$95,$A$8:$A$95,4,1,1),"")</f>
        <v/>
      </c>
      <c r="G38" s="19" t="str">
        <f aca="false">IFERROR(F38-forecast.ets.confint($A38,$B$8:$B$95,$A$8:$A$95,0.95,4,1,1),"")</f>
        <v/>
      </c>
      <c r="H38" s="19" t="str">
        <f aca="false">IFERROR(F38+forecast.ets.confint($A38,$B$8:$B$95,$A$8:$A$95,0.95,4,1,1),"")</f>
        <v/>
      </c>
    </row>
    <row r="39" customFormat="false" ht="15" hidden="false" customHeight="false" outlineLevel="0" collapsed="false">
      <c r="A39" s="21" t="n">
        <v>42278</v>
      </c>
      <c r="B39" s="22" t="str">
        <f aca="false">IFERROR(haverdata(Codes!$D$11,$A39),"")</f>
        <v/>
      </c>
      <c r="C39" s="23" t="str">
        <f aca="false">IFERROR(B39/B38-1,"")</f>
        <v/>
      </c>
      <c r="D39" s="23" t="str">
        <f aca="false">IFERROR(B39/B35-1,"")</f>
        <v/>
      </c>
      <c r="E39" s="24" t="str">
        <f aca="false">IFERROR(IF(B39="",IFERROR(GROWTH($B$8:$B$95,$A$8:$A$95,$A39),TREND($B$8:$B$95,$A$8:$A$95,$A39)),""),"")</f>
        <v/>
      </c>
      <c r="F39" s="24" t="str">
        <f aca="false">IFERROR(forecast.ets($A39,$B$8:$B$95,$A$8:$A$95,4,1,1),"")</f>
        <v/>
      </c>
      <c r="G39" s="24" t="str">
        <f aca="false">IFERROR(F39-forecast.ets.confint($A39,$B$8:$B$95,$A$8:$A$95,0.95,4,1,1),"")</f>
        <v/>
      </c>
      <c r="H39" s="24" t="str">
        <f aca="false">IFERROR(F39+forecast.ets.confint($A39,$B$8:$B$95,$A$8:$A$95,0.95,4,1,1),"")</f>
        <v/>
      </c>
    </row>
    <row r="40" customFormat="false" ht="15" hidden="false" customHeight="false" outlineLevel="0" collapsed="false">
      <c r="A40" s="16" t="n">
        <v>42370</v>
      </c>
      <c r="B40" s="17" t="str">
        <f aca="false">IFERROR(haverdata(Codes!$D$11,$A40),"")</f>
        <v/>
      </c>
      <c r="C40" s="18" t="str">
        <f aca="false">IFERROR(B40/B39-1,"")</f>
        <v/>
      </c>
      <c r="D40" s="18" t="str">
        <f aca="false">IFERROR(B40/B36-1,"")</f>
        <v/>
      </c>
      <c r="E40" s="19" t="str">
        <f aca="false">IFERROR(IF(B40="",IFERROR(GROWTH($B$8:$B$95,$A$8:$A$95,$A40),TREND($B$8:$B$95,$A$8:$A$95,$A40)),""),"")</f>
        <v/>
      </c>
      <c r="F40" s="19" t="str">
        <f aca="false">IFERROR(forecast.ets($A40,$B$8:$B$95,$A$8:$A$95,4,1,1),"")</f>
        <v/>
      </c>
      <c r="G40" s="19" t="str">
        <f aca="false">IFERROR(F40-forecast.ets.confint($A40,$B$8:$B$95,$A$8:$A$95,0.95,4,1,1),"")</f>
        <v/>
      </c>
      <c r="H40" s="19" t="str">
        <f aca="false">IFERROR(F40+forecast.ets.confint($A40,$B$8:$B$95,$A$8:$A$95,0.95,4,1,1),"")</f>
        <v/>
      </c>
    </row>
    <row r="41" customFormat="false" ht="15" hidden="false" customHeight="false" outlineLevel="0" collapsed="false">
      <c r="A41" s="21" t="n">
        <v>42461</v>
      </c>
      <c r="B41" s="22" t="str">
        <f aca="false">IFERROR(haverdata(Codes!$D$11,$A41),"")</f>
        <v/>
      </c>
      <c r="C41" s="23" t="str">
        <f aca="false">IFERROR(B41/B40-1,"")</f>
        <v/>
      </c>
      <c r="D41" s="23" t="str">
        <f aca="false">IFERROR(B41/B37-1,"")</f>
        <v/>
      </c>
      <c r="E41" s="24" t="str">
        <f aca="false">IFERROR(IF(B41="",IFERROR(GROWTH($B$8:$B$95,$A$8:$A$95,$A41),TREND($B$8:$B$95,$A$8:$A$95,$A41)),""),"")</f>
        <v/>
      </c>
      <c r="F41" s="24" t="str">
        <f aca="false">IFERROR(forecast.ets($A41,$B$8:$B$95,$A$8:$A$95,4,1,1),"")</f>
        <v/>
      </c>
      <c r="G41" s="24" t="str">
        <f aca="false">IFERROR(F41-forecast.ets.confint($A41,$B$8:$B$95,$A$8:$A$95,0.95,4,1,1),"")</f>
        <v/>
      </c>
      <c r="H41" s="24" t="str">
        <f aca="false">IFERROR(F41+forecast.ets.confint($A41,$B$8:$B$95,$A$8:$A$95,0.95,4,1,1),"")</f>
        <v/>
      </c>
    </row>
    <row r="42" customFormat="false" ht="15" hidden="false" customHeight="false" outlineLevel="0" collapsed="false">
      <c r="A42" s="16" t="n">
        <v>42552</v>
      </c>
      <c r="B42" s="17" t="str">
        <f aca="false">IFERROR(haverdata(Codes!$D$11,$A42),"")</f>
        <v/>
      </c>
      <c r="C42" s="18" t="str">
        <f aca="false">IFERROR(B42/B41-1,"")</f>
        <v/>
      </c>
      <c r="D42" s="18" t="str">
        <f aca="false">IFERROR(B42/B38-1,"")</f>
        <v/>
      </c>
      <c r="E42" s="19" t="str">
        <f aca="false">IFERROR(IF(B42="",IFERROR(GROWTH($B$8:$B$95,$A$8:$A$95,$A42),TREND($B$8:$B$95,$A$8:$A$95,$A42)),""),"")</f>
        <v/>
      </c>
      <c r="F42" s="19" t="str">
        <f aca="false">IFERROR(forecast.ets($A42,$B$8:$B$95,$A$8:$A$95,4,1,1),"")</f>
        <v/>
      </c>
      <c r="G42" s="19" t="str">
        <f aca="false">IFERROR(F42-forecast.ets.confint($A42,$B$8:$B$95,$A$8:$A$95,0.95,4,1,1),"")</f>
        <v/>
      </c>
      <c r="H42" s="19" t="str">
        <f aca="false">IFERROR(F42+forecast.ets.confint($A42,$B$8:$B$95,$A$8:$A$95,0.95,4,1,1),"")</f>
        <v/>
      </c>
    </row>
    <row r="43" customFormat="false" ht="15" hidden="false" customHeight="false" outlineLevel="0" collapsed="false">
      <c r="A43" s="21" t="n">
        <v>42644</v>
      </c>
      <c r="B43" s="22" t="str">
        <f aca="false">IFERROR(haverdata(Codes!$D$11,$A43),"")</f>
        <v/>
      </c>
      <c r="C43" s="23" t="str">
        <f aca="false">IFERROR(B43/B42-1,"")</f>
        <v/>
      </c>
      <c r="D43" s="23" t="str">
        <f aca="false">IFERROR(B43/B39-1,"")</f>
        <v/>
      </c>
      <c r="E43" s="24" t="str">
        <f aca="false">IFERROR(IF(B43="",IFERROR(GROWTH($B$8:$B$95,$A$8:$A$95,$A43),TREND($B$8:$B$95,$A$8:$A$95,$A43)),""),"")</f>
        <v/>
      </c>
      <c r="F43" s="24" t="str">
        <f aca="false">IFERROR(forecast.ets($A43,$B$8:$B$95,$A$8:$A$95,4,1,1),"")</f>
        <v/>
      </c>
      <c r="G43" s="24" t="str">
        <f aca="false">IFERROR(F43-forecast.ets.confint($A43,$B$8:$B$95,$A$8:$A$95,0.95,4,1,1),"")</f>
        <v/>
      </c>
      <c r="H43" s="24" t="str">
        <f aca="false">IFERROR(F43+forecast.ets.confint($A43,$B$8:$B$95,$A$8:$A$95,0.95,4,1,1),"")</f>
        <v/>
      </c>
    </row>
    <row r="44" customFormat="false" ht="15" hidden="false" customHeight="false" outlineLevel="0" collapsed="false">
      <c r="A44" s="16" t="n">
        <v>42736</v>
      </c>
      <c r="B44" s="17" t="str">
        <f aca="false">IFERROR(haverdata(Codes!$D$11,$A44),"")</f>
        <v/>
      </c>
      <c r="C44" s="18" t="str">
        <f aca="false">IFERROR(B44/B43-1,"")</f>
        <v/>
      </c>
      <c r="D44" s="18" t="str">
        <f aca="false">IFERROR(B44/B40-1,"")</f>
        <v/>
      </c>
      <c r="E44" s="19" t="str">
        <f aca="false">IFERROR(IF(B44="",IFERROR(GROWTH($B$8:$B$95,$A$8:$A$95,$A44),TREND($B$8:$B$95,$A$8:$A$95,$A44)),""),"")</f>
        <v/>
      </c>
      <c r="F44" s="19" t="str">
        <f aca="false">IFERROR(forecast.ets($A44,$B$8:$B$95,$A$8:$A$95,4,1,1),"")</f>
        <v/>
      </c>
      <c r="G44" s="19" t="str">
        <f aca="false">IFERROR(F44-forecast.ets.confint($A44,$B$8:$B$95,$A$8:$A$95,0.95,4,1,1),"")</f>
        <v/>
      </c>
      <c r="H44" s="19" t="str">
        <f aca="false">IFERROR(F44+forecast.ets.confint($A44,$B$8:$B$95,$A$8:$A$95,0.95,4,1,1),"")</f>
        <v/>
      </c>
    </row>
    <row r="45" customFormat="false" ht="15" hidden="false" customHeight="false" outlineLevel="0" collapsed="false">
      <c r="A45" s="21" t="n">
        <v>42826</v>
      </c>
      <c r="B45" s="22" t="str">
        <f aca="false">IFERROR(haverdata(Codes!$D$11,$A45),"")</f>
        <v/>
      </c>
      <c r="C45" s="23" t="str">
        <f aca="false">IFERROR(B45/B44-1,"")</f>
        <v/>
      </c>
      <c r="D45" s="23" t="str">
        <f aca="false">IFERROR(B45/B41-1,"")</f>
        <v/>
      </c>
      <c r="E45" s="24" t="str">
        <f aca="false">IFERROR(IF(B45="",IFERROR(GROWTH($B$8:$B$95,$A$8:$A$95,$A45),TREND($B$8:$B$95,$A$8:$A$95,$A45)),""),"")</f>
        <v/>
      </c>
      <c r="F45" s="24" t="str">
        <f aca="false">IFERROR(forecast.ets($A45,$B$8:$B$95,$A$8:$A$95,4,1,1),"")</f>
        <v/>
      </c>
      <c r="G45" s="24" t="str">
        <f aca="false">IFERROR(F45-forecast.ets.confint($A45,$B$8:$B$95,$A$8:$A$95,0.95,4,1,1),"")</f>
        <v/>
      </c>
      <c r="H45" s="24" t="str">
        <f aca="false">IFERROR(F45+forecast.ets.confint($A45,$B$8:$B$95,$A$8:$A$95,0.95,4,1,1),"")</f>
        <v/>
      </c>
    </row>
    <row r="46" customFormat="false" ht="15" hidden="false" customHeight="false" outlineLevel="0" collapsed="false">
      <c r="A46" s="16" t="n">
        <v>42917</v>
      </c>
      <c r="B46" s="17" t="str">
        <f aca="false">IFERROR(haverdata(Codes!$D$11,$A46),"")</f>
        <v/>
      </c>
      <c r="C46" s="18" t="str">
        <f aca="false">IFERROR(B46/B45-1,"")</f>
        <v/>
      </c>
      <c r="D46" s="18" t="str">
        <f aca="false">IFERROR(B46/B42-1,"")</f>
        <v/>
      </c>
      <c r="E46" s="19" t="str">
        <f aca="false">IFERROR(IF(B46="",IFERROR(GROWTH($B$8:$B$95,$A$8:$A$95,$A46),TREND($B$8:$B$95,$A$8:$A$95,$A46)),""),"")</f>
        <v/>
      </c>
      <c r="F46" s="19" t="str">
        <f aca="false">IFERROR(forecast.ets($A46,$B$8:$B$95,$A$8:$A$95,4,1,1),"")</f>
        <v/>
      </c>
      <c r="G46" s="19" t="str">
        <f aca="false">IFERROR(F46-forecast.ets.confint($A46,$B$8:$B$95,$A$8:$A$95,0.95,4,1,1),"")</f>
        <v/>
      </c>
      <c r="H46" s="19" t="str">
        <f aca="false">IFERROR(F46+forecast.ets.confint($A46,$B$8:$B$95,$A$8:$A$95,0.95,4,1,1),"")</f>
        <v/>
      </c>
    </row>
    <row r="47" customFormat="false" ht="15" hidden="false" customHeight="false" outlineLevel="0" collapsed="false">
      <c r="A47" s="21" t="n">
        <v>43009</v>
      </c>
      <c r="B47" s="22" t="str">
        <f aca="false">IFERROR(haverdata(Codes!$D$11,$A47),"")</f>
        <v/>
      </c>
      <c r="C47" s="23" t="str">
        <f aca="false">IFERROR(B47/B46-1,"")</f>
        <v/>
      </c>
      <c r="D47" s="23" t="str">
        <f aca="false">IFERROR(B47/B43-1,"")</f>
        <v/>
      </c>
      <c r="E47" s="24" t="str">
        <f aca="false">IFERROR(IF(B47="",IFERROR(GROWTH($B$8:$B$95,$A$8:$A$95,$A47),TREND($B$8:$B$95,$A$8:$A$95,$A47)),""),"")</f>
        <v/>
      </c>
      <c r="F47" s="24" t="str">
        <f aca="false">IFERROR(forecast.ets($A47,$B$8:$B$95,$A$8:$A$95,4,1,1),"")</f>
        <v/>
      </c>
      <c r="G47" s="24" t="str">
        <f aca="false">IFERROR(F47-forecast.ets.confint($A47,$B$8:$B$95,$A$8:$A$95,0.95,4,1,1),"")</f>
        <v/>
      </c>
      <c r="H47" s="24" t="str">
        <f aca="false">IFERROR(F47+forecast.ets.confint($A47,$B$8:$B$95,$A$8:$A$95,0.95,4,1,1),"")</f>
        <v/>
      </c>
    </row>
    <row r="48" customFormat="false" ht="15" hidden="false" customHeight="false" outlineLevel="0" collapsed="false">
      <c r="A48" s="16" t="n">
        <v>43101</v>
      </c>
      <c r="B48" s="17" t="str">
        <f aca="false">IFERROR(haverdata(Codes!$D$11,$A48),"")</f>
        <v/>
      </c>
      <c r="C48" s="18" t="str">
        <f aca="false">IFERROR(B48/B47-1,"")</f>
        <v/>
      </c>
      <c r="D48" s="18" t="str">
        <f aca="false">IFERROR(B48/B44-1,"")</f>
        <v/>
      </c>
      <c r="E48" s="19" t="str">
        <f aca="false">IFERROR(IF(B48="",IFERROR(GROWTH($B$8:$B$95,$A$8:$A$95,$A48),TREND($B$8:$B$95,$A$8:$A$95,$A48)),""),"")</f>
        <v/>
      </c>
      <c r="F48" s="19" t="str">
        <f aca="false">IFERROR(forecast.ets($A48,$B$8:$B$95,$A$8:$A$95,4,1,1),"")</f>
        <v/>
      </c>
      <c r="G48" s="19" t="str">
        <f aca="false">IFERROR(F48-forecast.ets.confint($A48,$B$8:$B$95,$A$8:$A$95,0.95,4,1,1),"")</f>
        <v/>
      </c>
      <c r="H48" s="19" t="str">
        <f aca="false">IFERROR(F48+forecast.ets.confint($A48,$B$8:$B$95,$A$8:$A$95,0.95,4,1,1),"")</f>
        <v/>
      </c>
    </row>
    <row r="49" customFormat="false" ht="15" hidden="false" customHeight="false" outlineLevel="0" collapsed="false">
      <c r="A49" s="21" t="n">
        <v>43191</v>
      </c>
      <c r="B49" s="22" t="str">
        <f aca="false">IFERROR(haverdata(Codes!$D$11,$A49),"")</f>
        <v/>
      </c>
      <c r="C49" s="23" t="str">
        <f aca="false">IFERROR(B49/B48-1,"")</f>
        <v/>
      </c>
      <c r="D49" s="23" t="str">
        <f aca="false">IFERROR(B49/B45-1,"")</f>
        <v/>
      </c>
      <c r="E49" s="24" t="str">
        <f aca="false">IFERROR(IF(B49="",IFERROR(GROWTH($B$8:$B$95,$A$8:$A$95,$A49),TREND($B$8:$B$95,$A$8:$A$95,$A49)),""),"")</f>
        <v/>
      </c>
      <c r="F49" s="24" t="str">
        <f aca="false">IFERROR(forecast.ets($A49,$B$8:$B$95,$A$8:$A$95,4,1,1),"")</f>
        <v/>
      </c>
      <c r="G49" s="24" t="str">
        <f aca="false">IFERROR(F49-forecast.ets.confint($A49,$B$8:$B$95,$A$8:$A$95,0.95,4,1,1),"")</f>
        <v/>
      </c>
      <c r="H49" s="24" t="str">
        <f aca="false">IFERROR(F49+forecast.ets.confint($A49,$B$8:$B$95,$A$8:$A$95,0.95,4,1,1),"")</f>
        <v/>
      </c>
    </row>
    <row r="50" customFormat="false" ht="15" hidden="false" customHeight="false" outlineLevel="0" collapsed="false">
      <c r="A50" s="16" t="n">
        <v>43282</v>
      </c>
      <c r="B50" s="17" t="str">
        <f aca="false">IFERROR(haverdata(Codes!$D$11,$A50),"")</f>
        <v/>
      </c>
      <c r="C50" s="18" t="str">
        <f aca="false">IFERROR(B50/B49-1,"")</f>
        <v/>
      </c>
      <c r="D50" s="18" t="str">
        <f aca="false">IFERROR(B50/B46-1,"")</f>
        <v/>
      </c>
      <c r="E50" s="19" t="str">
        <f aca="false">IFERROR(IF(B50="",IFERROR(GROWTH($B$8:$B$95,$A$8:$A$95,$A50),TREND($B$8:$B$95,$A$8:$A$95,$A50)),""),"")</f>
        <v/>
      </c>
      <c r="F50" s="19" t="str">
        <f aca="false">IFERROR(forecast.ets($A50,$B$8:$B$95,$A$8:$A$95,4,1,1),"")</f>
        <v/>
      </c>
      <c r="G50" s="19" t="str">
        <f aca="false">IFERROR(F50-forecast.ets.confint($A50,$B$8:$B$95,$A$8:$A$95,0.95,4,1,1),"")</f>
        <v/>
      </c>
      <c r="H50" s="19" t="str">
        <f aca="false">IFERROR(F50+forecast.ets.confint($A50,$B$8:$B$95,$A$8:$A$95,0.95,4,1,1),"")</f>
        <v/>
      </c>
    </row>
    <row r="51" customFormat="false" ht="15" hidden="false" customHeight="false" outlineLevel="0" collapsed="false">
      <c r="A51" s="21" t="n">
        <v>43374</v>
      </c>
      <c r="B51" s="22" t="str">
        <f aca="false">IFERROR(haverdata(Codes!$D$11,$A51),"")</f>
        <v/>
      </c>
      <c r="C51" s="23" t="str">
        <f aca="false">IFERROR(B51/B50-1,"")</f>
        <v/>
      </c>
      <c r="D51" s="23" t="str">
        <f aca="false">IFERROR(B51/B47-1,"")</f>
        <v/>
      </c>
      <c r="E51" s="24" t="str">
        <f aca="false">IFERROR(IF(B51="",IFERROR(GROWTH($B$8:$B$95,$A$8:$A$95,$A51),TREND($B$8:$B$95,$A$8:$A$95,$A51)),""),"")</f>
        <v/>
      </c>
      <c r="F51" s="24" t="str">
        <f aca="false">IFERROR(forecast.ets($A51,$B$8:$B$95,$A$8:$A$95,4,1,1),"")</f>
        <v/>
      </c>
      <c r="G51" s="24" t="str">
        <f aca="false">IFERROR(F51-forecast.ets.confint($A51,$B$8:$B$95,$A$8:$A$95,0.95,4,1,1),"")</f>
        <v/>
      </c>
      <c r="H51" s="24" t="str">
        <f aca="false">IFERROR(F51+forecast.ets.confint($A51,$B$8:$B$95,$A$8:$A$95,0.95,4,1,1),"")</f>
        <v/>
      </c>
    </row>
    <row r="52" customFormat="false" ht="15" hidden="false" customHeight="false" outlineLevel="0" collapsed="false">
      <c r="A52" s="16" t="n">
        <v>43466</v>
      </c>
      <c r="B52" s="17" t="str">
        <f aca="false">IFERROR(haverdata(Codes!$D$11,$A52),"")</f>
        <v/>
      </c>
      <c r="C52" s="18" t="str">
        <f aca="false">IFERROR(B52/B51-1,"")</f>
        <v/>
      </c>
      <c r="D52" s="18" t="str">
        <f aca="false">IFERROR(B52/B48-1,"")</f>
        <v/>
      </c>
      <c r="E52" s="19" t="str">
        <f aca="false">IFERROR(IF(B52="",IFERROR(GROWTH($B$8:$B$95,$A$8:$A$95,$A52),TREND($B$8:$B$95,$A$8:$A$95,$A52)),""),"")</f>
        <v/>
      </c>
      <c r="F52" s="19" t="str">
        <f aca="false">IFERROR(forecast.ets($A52,$B$8:$B$95,$A$8:$A$95,4,1,1),"")</f>
        <v/>
      </c>
      <c r="G52" s="19" t="str">
        <f aca="false">IFERROR(F52-forecast.ets.confint($A52,$B$8:$B$95,$A$8:$A$95,0.95,4,1,1),"")</f>
        <v/>
      </c>
      <c r="H52" s="19" t="str">
        <f aca="false">IFERROR(F52+forecast.ets.confint($A52,$B$8:$B$95,$A$8:$A$95,0.95,4,1,1),"")</f>
        <v/>
      </c>
    </row>
    <row r="53" customFormat="false" ht="15" hidden="false" customHeight="false" outlineLevel="0" collapsed="false">
      <c r="A53" s="21" t="n">
        <v>43556</v>
      </c>
      <c r="B53" s="22" t="str">
        <f aca="false">IFERROR(haverdata(Codes!$D$11,$A53),"")</f>
        <v/>
      </c>
      <c r="C53" s="23" t="str">
        <f aca="false">IFERROR(B53/B52-1,"")</f>
        <v/>
      </c>
      <c r="D53" s="23" t="str">
        <f aca="false">IFERROR(B53/B49-1,"")</f>
        <v/>
      </c>
      <c r="E53" s="24" t="str">
        <f aca="false">IFERROR(IF(B53="",IFERROR(GROWTH($B$8:$B$95,$A$8:$A$95,$A53),TREND($B$8:$B$95,$A$8:$A$95,$A53)),""),"")</f>
        <v/>
      </c>
      <c r="F53" s="24" t="str">
        <f aca="false">IFERROR(forecast.ets($A53,$B$8:$B$95,$A$8:$A$95,4,1,1),"")</f>
        <v/>
      </c>
      <c r="G53" s="24" t="str">
        <f aca="false">IFERROR(F53-forecast.ets.confint($A53,$B$8:$B$95,$A$8:$A$95,0.95,4,1,1),"")</f>
        <v/>
      </c>
      <c r="H53" s="24" t="str">
        <f aca="false">IFERROR(F53+forecast.ets.confint($A53,$B$8:$B$95,$A$8:$A$95,0.95,4,1,1),"")</f>
        <v/>
      </c>
    </row>
    <row r="54" customFormat="false" ht="15" hidden="false" customHeight="false" outlineLevel="0" collapsed="false">
      <c r="A54" s="16" t="n">
        <v>43647</v>
      </c>
      <c r="B54" s="17" t="str">
        <f aca="false">IFERROR(haverdata(Codes!$D$11,$A54),"")</f>
        <v/>
      </c>
      <c r="C54" s="18" t="str">
        <f aca="false">IFERROR(B54/B53-1,"")</f>
        <v/>
      </c>
      <c r="D54" s="18" t="str">
        <f aca="false">IFERROR(B54/B50-1,"")</f>
        <v/>
      </c>
      <c r="E54" s="19" t="str">
        <f aca="false">IFERROR(IF(B54="",IFERROR(GROWTH($B$8:$B$95,$A$8:$A$95,$A54),TREND($B$8:$B$95,$A$8:$A$95,$A54)),""),"")</f>
        <v/>
      </c>
      <c r="F54" s="19" t="str">
        <f aca="false">IFERROR(forecast.ets($A54,$B$8:$B$95,$A$8:$A$95,4,1,1),"")</f>
        <v/>
      </c>
      <c r="G54" s="19" t="str">
        <f aca="false">IFERROR(F54-forecast.ets.confint($A54,$B$8:$B$95,$A$8:$A$95,0.95,4,1,1),"")</f>
        <v/>
      </c>
      <c r="H54" s="19" t="str">
        <f aca="false">IFERROR(F54+forecast.ets.confint($A54,$B$8:$B$95,$A$8:$A$95,0.95,4,1,1),"")</f>
        <v/>
      </c>
    </row>
    <row r="55" customFormat="false" ht="15" hidden="false" customHeight="false" outlineLevel="0" collapsed="false">
      <c r="A55" s="21" t="n">
        <v>43739</v>
      </c>
      <c r="B55" s="22" t="str">
        <f aca="false">IFERROR(haverdata(Codes!$D$11,$A55),"")</f>
        <v/>
      </c>
      <c r="C55" s="23" t="str">
        <f aca="false">IFERROR(B55/B54-1,"")</f>
        <v/>
      </c>
      <c r="D55" s="23" t="str">
        <f aca="false">IFERROR(B55/B51-1,"")</f>
        <v/>
      </c>
      <c r="E55" s="24" t="str">
        <f aca="false">IFERROR(IF(B55="",IFERROR(GROWTH($B$8:$B$95,$A$8:$A$95,$A55),TREND($B$8:$B$95,$A$8:$A$95,$A55)),""),"")</f>
        <v/>
      </c>
      <c r="F55" s="24" t="str">
        <f aca="false">IFERROR(forecast.ets($A55,$B$8:$B$95,$A$8:$A$95,4,1,1),"")</f>
        <v/>
      </c>
      <c r="G55" s="24" t="str">
        <f aca="false">IFERROR(F55-forecast.ets.confint($A55,$B$8:$B$95,$A$8:$A$95,0.95,4,1,1),"")</f>
        <v/>
      </c>
      <c r="H55" s="24" t="str">
        <f aca="false">IFERROR(F55+forecast.ets.confint($A55,$B$8:$B$95,$A$8:$A$95,0.95,4,1,1),"")</f>
        <v/>
      </c>
    </row>
    <row r="56" customFormat="false" ht="15" hidden="false" customHeight="false" outlineLevel="0" collapsed="false">
      <c r="A56" s="16" t="n">
        <v>43831</v>
      </c>
      <c r="B56" s="17" t="str">
        <f aca="false">IFERROR(haverdata(Codes!$D$11,$A56),"")</f>
        <v/>
      </c>
      <c r="C56" s="18" t="str">
        <f aca="false">IFERROR(B56/B55-1,"")</f>
        <v/>
      </c>
      <c r="D56" s="18" t="str">
        <f aca="false">IFERROR(B56/B52-1,"")</f>
        <v/>
      </c>
      <c r="E56" s="19" t="str">
        <f aca="false">IFERROR(IF(B56="",IFERROR(GROWTH($B$8:$B$95,$A$8:$A$95,$A56),TREND($B$8:$B$95,$A$8:$A$95,$A56)),""),"")</f>
        <v/>
      </c>
      <c r="F56" s="19" t="str">
        <f aca="false">IFERROR(forecast.ets($A56,$B$8:$B$95,$A$8:$A$95,4,1,1),"")</f>
        <v/>
      </c>
      <c r="G56" s="19" t="str">
        <f aca="false">IFERROR(F56-forecast.ets.confint($A56,$B$8:$B$95,$A$8:$A$95,0.95,4,1,1),"")</f>
        <v/>
      </c>
      <c r="H56" s="19" t="str">
        <f aca="false">IFERROR(F56+forecast.ets.confint($A56,$B$8:$B$95,$A$8:$A$95,0.95,4,1,1),"")</f>
        <v/>
      </c>
    </row>
    <row r="57" customFormat="false" ht="15" hidden="false" customHeight="false" outlineLevel="0" collapsed="false">
      <c r="A57" s="21" t="n">
        <v>43922</v>
      </c>
      <c r="B57" s="22" t="str">
        <f aca="false">IFERROR(haverdata(Codes!$D$11,$A57),"")</f>
        <v/>
      </c>
      <c r="C57" s="23" t="str">
        <f aca="false">IFERROR(B57/B56-1,"")</f>
        <v/>
      </c>
      <c r="D57" s="23" t="str">
        <f aca="false">IFERROR(B57/B53-1,"")</f>
        <v/>
      </c>
      <c r="E57" s="24" t="str">
        <f aca="false">IFERROR(IF(B57="",IFERROR(GROWTH($B$8:$B$95,$A$8:$A$95,$A57),TREND($B$8:$B$95,$A$8:$A$95,$A57)),""),"")</f>
        <v/>
      </c>
      <c r="F57" s="24" t="str">
        <f aca="false">IFERROR(forecast.ets($A57,$B$8:$B$95,$A$8:$A$95,4,1,1),"")</f>
        <v/>
      </c>
      <c r="G57" s="24" t="str">
        <f aca="false">IFERROR(F57-forecast.ets.confint($A57,$B$8:$B$95,$A$8:$A$95,0.95,4,1,1),"")</f>
        <v/>
      </c>
      <c r="H57" s="24" t="str">
        <f aca="false">IFERROR(F57+forecast.ets.confint($A57,$B$8:$B$95,$A$8:$A$95,0.95,4,1,1),"")</f>
        <v/>
      </c>
    </row>
    <row r="58" customFormat="false" ht="15" hidden="false" customHeight="false" outlineLevel="0" collapsed="false">
      <c r="A58" s="16" t="n">
        <v>44013</v>
      </c>
      <c r="B58" s="17" t="str">
        <f aca="false">IFERROR(haverdata(Codes!$D$11,$A58),"")</f>
        <v/>
      </c>
      <c r="C58" s="18" t="str">
        <f aca="false">IFERROR(B58/B57-1,"")</f>
        <v/>
      </c>
      <c r="D58" s="18" t="str">
        <f aca="false">IFERROR(B58/B54-1,"")</f>
        <v/>
      </c>
      <c r="E58" s="19" t="str">
        <f aca="false">IFERROR(IF(B58="",IFERROR(GROWTH($B$8:$B$95,$A$8:$A$95,$A58),TREND($B$8:$B$95,$A$8:$A$95,$A58)),""),"")</f>
        <v/>
      </c>
      <c r="F58" s="19" t="str">
        <f aca="false">IFERROR(forecast.ets($A58,$B$8:$B$95,$A$8:$A$95,4,1,1),"")</f>
        <v/>
      </c>
      <c r="G58" s="19" t="str">
        <f aca="false">IFERROR(F58-forecast.ets.confint($A58,$B$8:$B$95,$A$8:$A$95,0.95,4,1,1),"")</f>
        <v/>
      </c>
      <c r="H58" s="19" t="str">
        <f aca="false">IFERROR(F58+forecast.ets.confint($A58,$B$8:$B$95,$A$8:$A$95,0.95,4,1,1),"")</f>
        <v/>
      </c>
    </row>
    <row r="59" customFormat="false" ht="15" hidden="false" customHeight="false" outlineLevel="0" collapsed="false">
      <c r="A59" s="21" t="n">
        <v>44105</v>
      </c>
      <c r="B59" s="22" t="str">
        <f aca="false">IFERROR(haverdata(Codes!$D$11,$A59),"")</f>
        <v/>
      </c>
      <c r="C59" s="23" t="str">
        <f aca="false">IFERROR(B59/B58-1,"")</f>
        <v/>
      </c>
      <c r="D59" s="23" t="str">
        <f aca="false">IFERROR(B59/B55-1,"")</f>
        <v/>
      </c>
      <c r="E59" s="24" t="str">
        <f aca="false">IFERROR(IF(B59="",IFERROR(GROWTH($B$8:$B$95,$A$8:$A$95,$A59),TREND($B$8:$B$95,$A$8:$A$95,$A59)),""),"")</f>
        <v/>
      </c>
      <c r="F59" s="24" t="str">
        <f aca="false">IFERROR(forecast.ets($A59,$B$8:$B$95,$A$8:$A$95,4,1,1),"")</f>
        <v/>
      </c>
      <c r="G59" s="24" t="str">
        <f aca="false">IFERROR(F59-forecast.ets.confint($A59,$B$8:$B$95,$A$8:$A$95,0.95,4,1,1),"")</f>
        <v/>
      </c>
      <c r="H59" s="24" t="str">
        <f aca="false">IFERROR(F59+forecast.ets.confint($A59,$B$8:$B$95,$A$8:$A$95,0.95,4,1,1),"")</f>
        <v/>
      </c>
    </row>
    <row r="60" customFormat="false" ht="15" hidden="false" customHeight="false" outlineLevel="0" collapsed="false">
      <c r="A60" s="16" t="n">
        <v>44197</v>
      </c>
      <c r="B60" s="17" t="str">
        <f aca="false">IFERROR(haverdata(Codes!$D$11,$A60),"")</f>
        <v/>
      </c>
      <c r="C60" s="18" t="str">
        <f aca="false">IFERROR(B60/B59-1,"")</f>
        <v/>
      </c>
      <c r="D60" s="18" t="str">
        <f aca="false">IFERROR(B60/B56-1,"")</f>
        <v/>
      </c>
      <c r="E60" s="19" t="str">
        <f aca="false">IFERROR(IF(B60="",IFERROR(GROWTH($B$8:$B$95,$A$8:$A$95,$A60),TREND($B$8:$B$95,$A$8:$A$95,$A60)),""),"")</f>
        <v/>
      </c>
      <c r="F60" s="19" t="str">
        <f aca="false">IFERROR(forecast.ets($A60,$B$8:$B$95,$A$8:$A$95,4,1,1),"")</f>
        <v/>
      </c>
      <c r="G60" s="19" t="str">
        <f aca="false">IFERROR(F60-forecast.ets.confint($A60,$B$8:$B$95,$A$8:$A$95,0.95,4,1,1),"")</f>
        <v/>
      </c>
      <c r="H60" s="19" t="str">
        <f aca="false">IFERROR(F60+forecast.ets.confint($A60,$B$8:$B$95,$A$8:$A$95,0.95,4,1,1),"")</f>
        <v/>
      </c>
    </row>
    <row r="61" customFormat="false" ht="15" hidden="false" customHeight="false" outlineLevel="0" collapsed="false">
      <c r="A61" s="21" t="n">
        <v>44287</v>
      </c>
      <c r="B61" s="22" t="str">
        <f aca="false">IFERROR(haverdata(Codes!$D$11,$A61),"")</f>
        <v/>
      </c>
      <c r="C61" s="23" t="str">
        <f aca="false">IFERROR(B61/B60-1,"")</f>
        <v/>
      </c>
      <c r="D61" s="23" t="str">
        <f aca="false">IFERROR(B61/B57-1,"")</f>
        <v/>
      </c>
      <c r="E61" s="24" t="str">
        <f aca="false">IFERROR(IF(B61="",IFERROR(GROWTH($B$8:$B$95,$A$8:$A$95,$A61),TREND($B$8:$B$95,$A$8:$A$95,$A61)),""),"")</f>
        <v/>
      </c>
      <c r="F61" s="24" t="str">
        <f aca="false">IFERROR(forecast.ets($A61,$B$8:$B$95,$A$8:$A$95,4,1,1),"")</f>
        <v/>
      </c>
      <c r="G61" s="24" t="str">
        <f aca="false">IFERROR(F61-forecast.ets.confint($A61,$B$8:$B$95,$A$8:$A$95,0.95,4,1,1),"")</f>
        <v/>
      </c>
      <c r="H61" s="24" t="str">
        <f aca="false">IFERROR(F61+forecast.ets.confint($A61,$B$8:$B$95,$A$8:$A$95,0.95,4,1,1),"")</f>
        <v/>
      </c>
    </row>
    <row r="62" customFormat="false" ht="15" hidden="false" customHeight="false" outlineLevel="0" collapsed="false">
      <c r="A62" s="16" t="n">
        <v>44378</v>
      </c>
      <c r="B62" s="17" t="str">
        <f aca="false">IFERROR(haverdata(Codes!$D$11,$A62),"")</f>
        <v/>
      </c>
      <c r="C62" s="18" t="str">
        <f aca="false">IFERROR(B62/B61-1,"")</f>
        <v/>
      </c>
      <c r="D62" s="18" t="str">
        <f aca="false">IFERROR(B62/B58-1,"")</f>
        <v/>
      </c>
      <c r="E62" s="19" t="str">
        <f aca="false">IFERROR(IF(B62="",IFERROR(GROWTH($B$8:$B$95,$A$8:$A$95,$A62),TREND($B$8:$B$95,$A$8:$A$95,$A62)),""),"")</f>
        <v/>
      </c>
      <c r="F62" s="19" t="str">
        <f aca="false">IFERROR(forecast.ets($A62,$B$8:$B$95,$A$8:$A$95,4,1,1),"")</f>
        <v/>
      </c>
      <c r="G62" s="19" t="str">
        <f aca="false">IFERROR(F62-forecast.ets.confint($A62,$B$8:$B$95,$A$8:$A$95,0.95,4,1,1),"")</f>
        <v/>
      </c>
      <c r="H62" s="19" t="str">
        <f aca="false">IFERROR(F62+forecast.ets.confint($A62,$B$8:$B$95,$A$8:$A$95,0.95,4,1,1),"")</f>
        <v/>
      </c>
    </row>
    <row r="63" customFormat="false" ht="15" hidden="false" customHeight="false" outlineLevel="0" collapsed="false">
      <c r="A63" s="21" t="n">
        <v>44470</v>
      </c>
      <c r="B63" s="22" t="str">
        <f aca="false">IFERROR(haverdata(Codes!$D$11,$A63),"")</f>
        <v/>
      </c>
      <c r="C63" s="23" t="str">
        <f aca="false">IFERROR(B63/B62-1,"")</f>
        <v/>
      </c>
      <c r="D63" s="23" t="str">
        <f aca="false">IFERROR(B63/B59-1,"")</f>
        <v/>
      </c>
      <c r="E63" s="24" t="str">
        <f aca="false">IFERROR(IF(B63="",IFERROR(GROWTH($B$8:$B$95,$A$8:$A$95,$A63),TREND($B$8:$B$95,$A$8:$A$95,$A63)),""),"")</f>
        <v/>
      </c>
      <c r="F63" s="24" t="str">
        <f aca="false">IFERROR(forecast.ets($A63,$B$8:$B$95,$A$8:$A$95,4,1,1),"")</f>
        <v/>
      </c>
      <c r="G63" s="24" t="str">
        <f aca="false">IFERROR(F63-forecast.ets.confint($A63,$B$8:$B$95,$A$8:$A$95,0.95,4,1,1),"")</f>
        <v/>
      </c>
      <c r="H63" s="24" t="str">
        <f aca="false">IFERROR(F63+forecast.ets.confint($A63,$B$8:$B$95,$A$8:$A$95,0.95,4,1,1),"")</f>
        <v/>
      </c>
    </row>
    <row r="64" customFormat="false" ht="15" hidden="false" customHeight="false" outlineLevel="0" collapsed="false">
      <c r="A64" s="16" t="n">
        <v>44562</v>
      </c>
      <c r="B64" s="17" t="str">
        <f aca="false">IFERROR(haverdata(Codes!$D$11,$A64),"")</f>
        <v/>
      </c>
      <c r="C64" s="18" t="str">
        <f aca="false">IFERROR(B64/B63-1,"")</f>
        <v/>
      </c>
      <c r="D64" s="18" t="str">
        <f aca="false">IFERROR(B64/B60-1,"")</f>
        <v/>
      </c>
      <c r="E64" s="19" t="str">
        <f aca="false">IFERROR(IF(B64="",IFERROR(GROWTH($B$8:$B$95,$A$8:$A$95,$A64),TREND($B$8:$B$95,$A$8:$A$95,$A64)),""),"")</f>
        <v/>
      </c>
      <c r="F64" s="19" t="str">
        <f aca="false">IFERROR(forecast.ets($A64,$B$8:$B$95,$A$8:$A$95,4,1,1),"")</f>
        <v/>
      </c>
      <c r="G64" s="19" t="str">
        <f aca="false">IFERROR(F64-forecast.ets.confint($A64,$B$8:$B$95,$A$8:$A$95,0.95,4,1,1),"")</f>
        <v/>
      </c>
      <c r="H64" s="19" t="str">
        <f aca="false">IFERROR(F64+forecast.ets.confint($A64,$B$8:$B$95,$A$8:$A$95,0.95,4,1,1),"")</f>
        <v/>
      </c>
    </row>
    <row r="65" customFormat="false" ht="15" hidden="false" customHeight="false" outlineLevel="0" collapsed="false">
      <c r="A65" s="21" t="n">
        <v>44652</v>
      </c>
      <c r="B65" s="22" t="str">
        <f aca="false">IFERROR(haverdata(Codes!$D$11,$A65),"")</f>
        <v/>
      </c>
      <c r="C65" s="23" t="str">
        <f aca="false">IFERROR(B65/B64-1,"")</f>
        <v/>
      </c>
      <c r="D65" s="23" t="str">
        <f aca="false">IFERROR(B65/B61-1,"")</f>
        <v/>
      </c>
      <c r="E65" s="24" t="str">
        <f aca="false">IFERROR(IF(B65="",IFERROR(GROWTH($B$8:$B$95,$A$8:$A$95,$A65),TREND($B$8:$B$95,$A$8:$A$95,$A65)),""),"")</f>
        <v/>
      </c>
      <c r="F65" s="24" t="str">
        <f aca="false">IFERROR(forecast.ets($A65,$B$8:$B$95,$A$8:$A$95,4,1,1),"")</f>
        <v/>
      </c>
      <c r="G65" s="24" t="str">
        <f aca="false">IFERROR(F65-forecast.ets.confint($A65,$B$8:$B$95,$A$8:$A$95,0.95,4,1,1),"")</f>
        <v/>
      </c>
      <c r="H65" s="24" t="str">
        <f aca="false">IFERROR(F65+forecast.ets.confint($A65,$B$8:$B$95,$A$8:$A$95,0.95,4,1,1),"")</f>
        <v/>
      </c>
    </row>
    <row r="66" customFormat="false" ht="15" hidden="false" customHeight="false" outlineLevel="0" collapsed="false">
      <c r="A66" s="16" t="n">
        <v>44743</v>
      </c>
      <c r="B66" s="17" t="str">
        <f aca="false">IFERROR(haverdata(Codes!$D$11,$A66),"")</f>
        <v/>
      </c>
      <c r="C66" s="18" t="str">
        <f aca="false">IFERROR(B66/B65-1,"")</f>
        <v/>
      </c>
      <c r="D66" s="18" t="str">
        <f aca="false">IFERROR(B66/B62-1,"")</f>
        <v/>
      </c>
      <c r="E66" s="19" t="str">
        <f aca="false">IFERROR(IF(B66="",IFERROR(GROWTH($B$8:$B$95,$A$8:$A$95,$A66),TREND($B$8:$B$95,$A$8:$A$95,$A66)),""),"")</f>
        <v/>
      </c>
      <c r="F66" s="19" t="str">
        <f aca="false">IFERROR(forecast.ets($A66,$B$8:$B$95,$A$8:$A$95,4,1,1),"")</f>
        <v/>
      </c>
      <c r="G66" s="19" t="str">
        <f aca="false">IFERROR(F66-forecast.ets.confint($A66,$B$8:$B$95,$A$8:$A$95,0.95,4,1,1),"")</f>
        <v/>
      </c>
      <c r="H66" s="19" t="str">
        <f aca="false">IFERROR(F66+forecast.ets.confint($A66,$B$8:$B$95,$A$8:$A$95,0.95,4,1,1),"")</f>
        <v/>
      </c>
    </row>
    <row r="67" customFormat="false" ht="15" hidden="false" customHeight="false" outlineLevel="0" collapsed="false">
      <c r="A67" s="21" t="n">
        <v>44835</v>
      </c>
      <c r="B67" s="22" t="str">
        <f aca="false">IFERROR(haverdata(Codes!$D$11,$A67),"")</f>
        <v/>
      </c>
      <c r="C67" s="23" t="str">
        <f aca="false">IFERROR(B67/B66-1,"")</f>
        <v/>
      </c>
      <c r="D67" s="23" t="str">
        <f aca="false">IFERROR(B67/B63-1,"")</f>
        <v/>
      </c>
      <c r="E67" s="24" t="str">
        <f aca="false">IFERROR(IF(B67="",IFERROR(GROWTH($B$8:$B$95,$A$8:$A$95,$A67),TREND($B$8:$B$95,$A$8:$A$95,$A67)),""),"")</f>
        <v/>
      </c>
      <c r="F67" s="24" t="str">
        <f aca="false">IFERROR(forecast.ets($A67,$B$8:$B$95,$A$8:$A$95,4,1,1),"")</f>
        <v/>
      </c>
      <c r="G67" s="24" t="str">
        <f aca="false">IFERROR(F67-forecast.ets.confint($A67,$B$8:$B$95,$A$8:$A$95,0.95,4,1,1),"")</f>
        <v/>
      </c>
      <c r="H67" s="24" t="str">
        <f aca="false">IFERROR(F67+forecast.ets.confint($A67,$B$8:$B$95,$A$8:$A$95,0.95,4,1,1),"")</f>
        <v/>
      </c>
    </row>
    <row r="68" customFormat="false" ht="15" hidden="false" customHeight="false" outlineLevel="0" collapsed="false">
      <c r="A68" s="16" t="n">
        <v>44927</v>
      </c>
      <c r="B68" s="17" t="str">
        <f aca="false">IFERROR(haverdata(Codes!$D$11,$A68),"")</f>
        <v/>
      </c>
      <c r="C68" s="18" t="str">
        <f aca="false">IFERROR(B68/B67-1,"")</f>
        <v/>
      </c>
      <c r="D68" s="18" t="str">
        <f aca="false">IFERROR(B68/B64-1,"")</f>
        <v/>
      </c>
      <c r="E68" s="19" t="str">
        <f aca="false">IFERROR(IF(B68="",IFERROR(GROWTH($B$8:$B$95,$A$8:$A$95,$A68),TREND($B$8:$B$95,$A$8:$A$95,$A68)),""),"")</f>
        <v/>
      </c>
      <c r="F68" s="19" t="str">
        <f aca="false">IFERROR(forecast.ets($A68,$B$8:$B$95,$A$8:$A$95,4,1,1),"")</f>
        <v/>
      </c>
      <c r="G68" s="19" t="str">
        <f aca="false">IFERROR(F68-forecast.ets.confint($A68,$B$8:$B$95,$A$8:$A$95,0.95,4,1,1),"")</f>
        <v/>
      </c>
      <c r="H68" s="19" t="str">
        <f aca="false">IFERROR(F68+forecast.ets.confint($A68,$B$8:$B$95,$A$8:$A$95,0.95,4,1,1),"")</f>
        <v/>
      </c>
    </row>
    <row r="69" customFormat="false" ht="15" hidden="false" customHeight="false" outlineLevel="0" collapsed="false">
      <c r="A69" s="21" t="n">
        <v>45017</v>
      </c>
      <c r="B69" s="22" t="str">
        <f aca="false">IFERROR(haverdata(Codes!$D$11,$A69),"")</f>
        <v/>
      </c>
      <c r="C69" s="23" t="str">
        <f aca="false">IFERROR(B69/B68-1,"")</f>
        <v/>
      </c>
      <c r="D69" s="23" t="str">
        <f aca="false">IFERROR(B69/B65-1,"")</f>
        <v/>
      </c>
      <c r="E69" s="24" t="str">
        <f aca="false">IFERROR(IF(B69="",IFERROR(GROWTH($B$8:$B$95,$A$8:$A$95,$A69),TREND($B$8:$B$95,$A$8:$A$95,$A69)),""),"")</f>
        <v/>
      </c>
      <c r="F69" s="24" t="str">
        <f aca="false">IFERROR(forecast.ets($A69,$B$8:$B$95,$A$8:$A$95,4,1,1),"")</f>
        <v/>
      </c>
      <c r="G69" s="24" t="str">
        <f aca="false">IFERROR(F69-forecast.ets.confint($A69,$B$8:$B$95,$A$8:$A$95,0.95,4,1,1),"")</f>
        <v/>
      </c>
      <c r="H69" s="24" t="str">
        <f aca="false">IFERROR(F69+forecast.ets.confint($A69,$B$8:$B$95,$A$8:$A$95,0.95,4,1,1),"")</f>
        <v/>
      </c>
    </row>
    <row r="70" customFormat="false" ht="15" hidden="false" customHeight="false" outlineLevel="0" collapsed="false">
      <c r="A70" s="16" t="n">
        <v>45108</v>
      </c>
      <c r="B70" s="17" t="str">
        <f aca="false">IFERROR(haverdata(Codes!$D$11,$A70),"")</f>
        <v/>
      </c>
      <c r="C70" s="18" t="str">
        <f aca="false">IFERROR(B70/B69-1,"")</f>
        <v/>
      </c>
      <c r="D70" s="18" t="str">
        <f aca="false">IFERROR(B70/B66-1,"")</f>
        <v/>
      </c>
      <c r="E70" s="19" t="str">
        <f aca="false">IFERROR(IF(B70="",IFERROR(GROWTH($B$8:$B$95,$A$8:$A$95,$A70),TREND($B$8:$B$95,$A$8:$A$95,$A70)),""),"")</f>
        <v/>
      </c>
      <c r="F70" s="19" t="str">
        <f aca="false">IFERROR(forecast.ets($A70,$B$8:$B$95,$A$8:$A$95,4,1,1),"")</f>
        <v/>
      </c>
      <c r="G70" s="19" t="str">
        <f aca="false">IFERROR(F70-forecast.ets.confint($A70,$B$8:$B$95,$A$8:$A$95,0.95,4,1,1),"")</f>
        <v/>
      </c>
      <c r="H70" s="19" t="str">
        <f aca="false">IFERROR(F70+forecast.ets.confint($A70,$B$8:$B$95,$A$8:$A$95,0.95,4,1,1),"")</f>
        <v/>
      </c>
    </row>
    <row r="71" customFormat="false" ht="15" hidden="false" customHeight="false" outlineLevel="0" collapsed="false">
      <c r="A71" s="21" t="n">
        <v>45200</v>
      </c>
      <c r="B71" s="22" t="str">
        <f aca="false">IFERROR(haverdata(Codes!$D$11,$A71),"")</f>
        <v/>
      </c>
      <c r="C71" s="23" t="str">
        <f aca="false">IFERROR(B71/B70-1,"")</f>
        <v/>
      </c>
      <c r="D71" s="23" t="str">
        <f aca="false">IFERROR(B71/B67-1,"")</f>
        <v/>
      </c>
      <c r="E71" s="24" t="str">
        <f aca="false">IFERROR(IF(B71="",IFERROR(GROWTH($B$8:$B$95,$A$8:$A$95,$A71),TREND($B$8:$B$95,$A$8:$A$95,$A71)),""),"")</f>
        <v/>
      </c>
      <c r="F71" s="24" t="str">
        <f aca="false">IFERROR(forecast.ets($A71,$B$8:$B$95,$A$8:$A$95,4,1,1),"")</f>
        <v/>
      </c>
      <c r="G71" s="24" t="str">
        <f aca="false">IFERROR(F71-forecast.ets.confint($A71,$B$8:$B$95,$A$8:$A$95,0.95,4,1,1),"")</f>
        <v/>
      </c>
      <c r="H71" s="24" t="str">
        <f aca="false">IFERROR(F71+forecast.ets.confint($A71,$B$8:$B$95,$A$8:$A$95,0.95,4,1,1),"")</f>
        <v/>
      </c>
    </row>
    <row r="72" customFormat="false" ht="15" hidden="false" customHeight="false" outlineLevel="0" collapsed="false">
      <c r="A72" s="16" t="n">
        <v>45292</v>
      </c>
      <c r="B72" s="17" t="str">
        <f aca="false">IFERROR(haverdata(Codes!$D$11,$A72),"")</f>
        <v/>
      </c>
      <c r="C72" s="18" t="str">
        <f aca="false">IFERROR(B72/B71-1,"")</f>
        <v/>
      </c>
      <c r="D72" s="18" t="str">
        <f aca="false">IFERROR(B72/B68-1,"")</f>
        <v/>
      </c>
      <c r="E72" s="19" t="str">
        <f aca="false">IFERROR(IF(B72="",IFERROR(GROWTH($B$8:$B$95,$A$8:$A$95,$A72),TREND($B$8:$B$95,$A$8:$A$95,$A72)),""),"")</f>
        <v/>
      </c>
      <c r="F72" s="19" t="str">
        <f aca="false">IFERROR(forecast.ets($A72,$B$8:$B$95,$A$8:$A$95,4,1,1),"")</f>
        <v/>
      </c>
      <c r="G72" s="19" t="str">
        <f aca="false">IFERROR(F72-forecast.ets.confint($A72,$B$8:$B$95,$A$8:$A$95,0.95,4,1,1),"")</f>
        <v/>
      </c>
      <c r="H72" s="19" t="str">
        <f aca="false">IFERROR(F72+forecast.ets.confint($A72,$B$8:$B$95,$A$8:$A$95,0.95,4,1,1),"")</f>
        <v/>
      </c>
    </row>
    <row r="73" customFormat="false" ht="15" hidden="false" customHeight="false" outlineLevel="0" collapsed="false">
      <c r="A73" s="21" t="n">
        <v>45383</v>
      </c>
      <c r="B73" s="22" t="str">
        <f aca="false">IFERROR(haverdata(Codes!$D$11,$A73),"")</f>
        <v/>
      </c>
      <c r="C73" s="23" t="str">
        <f aca="false">IFERROR(B73/B72-1,"")</f>
        <v/>
      </c>
      <c r="D73" s="23" t="str">
        <f aca="false">IFERROR(B73/B69-1,"")</f>
        <v/>
      </c>
      <c r="E73" s="24" t="str">
        <f aca="false">IFERROR(IF(B73="",IFERROR(GROWTH($B$8:$B$95,$A$8:$A$95,$A73),TREND($B$8:$B$95,$A$8:$A$95,$A73)),""),"")</f>
        <v/>
      </c>
      <c r="F73" s="24" t="str">
        <f aca="false">IFERROR(forecast.ets($A73,$B$8:$B$95,$A$8:$A$95,4,1,1),"")</f>
        <v/>
      </c>
      <c r="G73" s="24" t="str">
        <f aca="false">IFERROR(F73-forecast.ets.confint($A73,$B$8:$B$95,$A$8:$A$95,0.95,4,1,1),"")</f>
        <v/>
      </c>
      <c r="H73" s="24" t="str">
        <f aca="false">IFERROR(F73+forecast.ets.confint($A73,$B$8:$B$95,$A$8:$A$95,0.95,4,1,1),"")</f>
        <v/>
      </c>
    </row>
    <row r="74" customFormat="false" ht="15" hidden="false" customHeight="false" outlineLevel="0" collapsed="false">
      <c r="A74" s="16" t="n">
        <v>45474</v>
      </c>
      <c r="B74" s="17" t="str">
        <f aca="false">IFERROR(haverdata(Codes!$D$11,$A74),"")</f>
        <v/>
      </c>
      <c r="C74" s="18" t="str">
        <f aca="false">IFERROR(B74/B73-1,"")</f>
        <v/>
      </c>
      <c r="D74" s="18" t="str">
        <f aca="false">IFERROR(B74/B70-1,"")</f>
        <v/>
      </c>
      <c r="E74" s="19" t="str">
        <f aca="false">IFERROR(IF(B74="",IFERROR(GROWTH($B$8:$B$95,$A$8:$A$95,$A74),TREND($B$8:$B$95,$A$8:$A$95,$A74)),""),"")</f>
        <v/>
      </c>
      <c r="F74" s="19" t="str">
        <f aca="false">IFERROR(forecast.ets($A74,$B$8:$B$95,$A$8:$A$95,4,1,1),"")</f>
        <v/>
      </c>
      <c r="G74" s="19" t="str">
        <f aca="false">IFERROR(F74-forecast.ets.confint($A74,$B$8:$B$95,$A$8:$A$95,0.95,4,1,1),"")</f>
        <v/>
      </c>
      <c r="H74" s="19" t="str">
        <f aca="false">IFERROR(F74+forecast.ets.confint($A74,$B$8:$B$95,$A$8:$A$95,0.95,4,1,1),"")</f>
        <v/>
      </c>
    </row>
    <row r="75" customFormat="false" ht="15" hidden="false" customHeight="false" outlineLevel="0" collapsed="false">
      <c r="A75" s="21" t="n">
        <v>45566</v>
      </c>
      <c r="B75" s="22" t="str">
        <f aca="false">IFERROR(haverdata(Codes!$D$11,$A75),"")</f>
        <v/>
      </c>
      <c r="C75" s="23" t="str">
        <f aca="false">IFERROR(B75/B74-1,"")</f>
        <v/>
      </c>
      <c r="D75" s="23" t="str">
        <f aca="false">IFERROR(B75/B71-1,"")</f>
        <v/>
      </c>
      <c r="E75" s="24" t="str">
        <f aca="false">IFERROR(IF(B75="",IFERROR(GROWTH($B$8:$B$95,$A$8:$A$95,$A75),TREND($B$8:$B$95,$A$8:$A$95,$A75)),""),"")</f>
        <v/>
      </c>
      <c r="F75" s="24" t="str">
        <f aca="false">IFERROR(forecast.ets($A75,$B$8:$B$95,$A$8:$A$95,4,1,1),"")</f>
        <v/>
      </c>
      <c r="G75" s="24" t="str">
        <f aca="false">IFERROR(F75-forecast.ets.confint($A75,$B$8:$B$95,$A$8:$A$95,0.95,4,1,1),"")</f>
        <v/>
      </c>
      <c r="H75" s="24" t="str">
        <f aca="false">IFERROR(F75+forecast.ets.confint($A75,$B$8:$B$95,$A$8:$A$95,0.95,4,1,1),"")</f>
        <v/>
      </c>
    </row>
    <row r="76" customFormat="false" ht="15" hidden="false" customHeight="false" outlineLevel="0" collapsed="false">
      <c r="A76" s="16" t="n">
        <v>45658</v>
      </c>
      <c r="B76" s="17" t="str">
        <f aca="false">IFERROR(haverdata(Codes!$D$11,$A76),"")</f>
        <v/>
      </c>
      <c r="C76" s="18" t="str">
        <f aca="false">IFERROR(B76/B75-1,"")</f>
        <v/>
      </c>
      <c r="D76" s="18" t="str">
        <f aca="false">IFERROR(B76/B72-1,"")</f>
        <v/>
      </c>
      <c r="E76" s="19" t="str">
        <f aca="false">IFERROR(IF(B76="",IFERROR(GROWTH($B$8:$B$95,$A$8:$A$95,$A76),TREND($B$8:$B$95,$A$8:$A$95,$A76)),""),"")</f>
        <v/>
      </c>
      <c r="F76" s="19" t="str">
        <f aca="false">IFERROR(forecast.ets($A76,$B$8:$B$95,$A$8:$A$95,4,1,1),"")</f>
        <v/>
      </c>
      <c r="G76" s="19" t="str">
        <f aca="false">IFERROR(F76-forecast.ets.confint($A76,$B$8:$B$95,$A$8:$A$95,0.95,4,1,1),"")</f>
        <v/>
      </c>
      <c r="H76" s="19" t="str">
        <f aca="false">IFERROR(F76+forecast.ets.confint($A76,$B$8:$B$95,$A$8:$A$95,0.95,4,1,1),"")</f>
        <v/>
      </c>
    </row>
    <row r="77" customFormat="false" ht="15" hidden="false" customHeight="false" outlineLevel="0" collapsed="false">
      <c r="A77" s="21" t="n">
        <v>45748</v>
      </c>
      <c r="B77" s="22" t="str">
        <f aca="false">IFERROR(haverdata(Codes!$D$11,$A77),"")</f>
        <v/>
      </c>
      <c r="C77" s="23" t="str">
        <f aca="false">IFERROR(B77/B76-1,"")</f>
        <v/>
      </c>
      <c r="D77" s="23" t="str">
        <f aca="false">IFERROR(B77/B73-1,"")</f>
        <v/>
      </c>
      <c r="E77" s="24" t="str">
        <f aca="false">IFERROR(IF(B77="",IFERROR(GROWTH($B$8:$B$95,$A$8:$A$95,$A77),TREND($B$8:$B$95,$A$8:$A$95,$A77)),""),"")</f>
        <v/>
      </c>
      <c r="F77" s="24" t="str">
        <f aca="false">IFERROR(forecast.ets($A77,$B$8:$B$95,$A$8:$A$95,4,1,1),"")</f>
        <v/>
      </c>
      <c r="G77" s="24" t="str">
        <f aca="false">IFERROR(F77-forecast.ets.confint($A77,$B$8:$B$95,$A$8:$A$95,0.95,4,1,1),"")</f>
        <v/>
      </c>
      <c r="H77" s="24" t="str">
        <f aca="false">IFERROR(F77+forecast.ets.confint($A77,$B$8:$B$95,$A$8:$A$95,0.95,4,1,1),"")</f>
        <v/>
      </c>
    </row>
    <row r="78" customFormat="false" ht="15" hidden="false" customHeight="false" outlineLevel="0" collapsed="false">
      <c r="A78" s="16" t="n">
        <v>45839</v>
      </c>
      <c r="B78" s="17" t="str">
        <f aca="false">IFERROR(haverdata(Codes!$D$11,$A78),"")</f>
        <v/>
      </c>
      <c r="C78" s="18" t="str">
        <f aca="false">IFERROR(B78/B77-1,"")</f>
        <v/>
      </c>
      <c r="D78" s="18" t="str">
        <f aca="false">IFERROR(B78/B74-1,"")</f>
        <v/>
      </c>
      <c r="E78" s="19" t="str">
        <f aca="false">IFERROR(IF(B78="",IFERROR(GROWTH($B$8:$B$95,$A$8:$A$95,$A78),TREND($B$8:$B$95,$A$8:$A$95,$A78)),""),"")</f>
        <v/>
      </c>
      <c r="F78" s="19" t="str">
        <f aca="false">IFERROR(forecast.ets($A78,$B$8:$B$95,$A$8:$A$95,4,1,1),"")</f>
        <v/>
      </c>
      <c r="G78" s="19" t="str">
        <f aca="false">IFERROR(F78-forecast.ets.confint($A78,$B$8:$B$95,$A$8:$A$95,0.95,4,1,1),"")</f>
        <v/>
      </c>
      <c r="H78" s="19" t="str">
        <f aca="false">IFERROR(F78+forecast.ets.confint($A78,$B$8:$B$95,$A$8:$A$95,0.95,4,1,1),"")</f>
        <v/>
      </c>
    </row>
    <row r="79" customFormat="false" ht="15" hidden="false" customHeight="false" outlineLevel="0" collapsed="false">
      <c r="A79" s="21" t="n">
        <v>45931</v>
      </c>
      <c r="B79" s="22" t="str">
        <f aca="false">IFERROR(haverdata(Codes!$D$11,$A79),"")</f>
        <v/>
      </c>
      <c r="C79" s="23" t="str">
        <f aca="false">IFERROR(B79/B78-1,"")</f>
        <v/>
      </c>
      <c r="D79" s="23" t="str">
        <f aca="false">IFERROR(B79/B75-1,"")</f>
        <v/>
      </c>
      <c r="E79" s="24" t="str">
        <f aca="false">IFERROR(IF(B79="",IFERROR(GROWTH($B$8:$B$95,$A$8:$A$95,$A79),TREND($B$8:$B$95,$A$8:$A$95,$A79)),""),"")</f>
        <v/>
      </c>
      <c r="F79" s="24" t="str">
        <f aca="false">IFERROR(forecast.ets($A79,$B$8:$B$95,$A$8:$A$95,4,1,1),"")</f>
        <v/>
      </c>
      <c r="G79" s="24" t="str">
        <f aca="false">IFERROR(F79-forecast.ets.confint($A79,$B$8:$B$95,$A$8:$A$95,0.95,4,1,1),"")</f>
        <v/>
      </c>
      <c r="H79" s="24" t="str">
        <f aca="false">IFERROR(F79+forecast.ets.confint($A79,$B$8:$B$95,$A$8:$A$95,0.95,4,1,1),"")</f>
        <v/>
      </c>
    </row>
    <row r="80" customFormat="false" ht="15" hidden="false" customHeight="false" outlineLevel="0" collapsed="false">
      <c r="A80" s="16" t="n">
        <v>46023</v>
      </c>
      <c r="B80" s="17" t="str">
        <f aca="false">IFERROR(haverdata(Codes!$D$11,$A80),"")</f>
        <v/>
      </c>
      <c r="C80" s="18" t="str">
        <f aca="false">IFERROR(B80/B79-1,"")</f>
        <v/>
      </c>
      <c r="D80" s="18" t="str">
        <f aca="false">IFERROR(B80/B76-1,"")</f>
        <v/>
      </c>
      <c r="E80" s="19" t="str">
        <f aca="false">IFERROR(IF(B80="",IFERROR(GROWTH($B$8:$B$95,$A$8:$A$95,$A80),TREND($B$8:$B$95,$A$8:$A$95,$A80)),""),"")</f>
        <v/>
      </c>
      <c r="F80" s="19" t="str">
        <f aca="false">IFERROR(forecast.ets($A80,$B$8:$B$95,$A$8:$A$95,4,1,1),"")</f>
        <v/>
      </c>
      <c r="G80" s="19" t="str">
        <f aca="false">IFERROR(F80-forecast.ets.confint($A80,$B$8:$B$95,$A$8:$A$95,0.95,4,1,1),"")</f>
        <v/>
      </c>
      <c r="H80" s="19" t="str">
        <f aca="false">IFERROR(F80+forecast.ets.confint($A80,$B$8:$B$95,$A$8:$A$95,0.95,4,1,1),"")</f>
        <v/>
      </c>
    </row>
    <row r="81" customFormat="false" ht="15" hidden="false" customHeight="false" outlineLevel="0" collapsed="false">
      <c r="A81" s="21" t="n">
        <v>46113</v>
      </c>
      <c r="B81" s="22" t="str">
        <f aca="false">IFERROR(haverdata(Codes!$D$11,$A81),"")</f>
        <v/>
      </c>
      <c r="C81" s="23" t="str">
        <f aca="false">IFERROR(B81/B80-1,"")</f>
        <v/>
      </c>
      <c r="D81" s="23" t="str">
        <f aca="false">IFERROR(B81/B77-1,"")</f>
        <v/>
      </c>
      <c r="E81" s="24" t="str">
        <f aca="false">IFERROR(IF(B81="",IFERROR(GROWTH($B$8:$B$95,$A$8:$A$95,$A81),TREND($B$8:$B$95,$A$8:$A$95,$A81)),""),"")</f>
        <v/>
      </c>
      <c r="F81" s="24" t="str">
        <f aca="false">IFERROR(forecast.ets($A81,$B$8:$B$95,$A$8:$A$95,4,1,1),"")</f>
        <v/>
      </c>
      <c r="G81" s="24" t="str">
        <f aca="false">IFERROR(F81-forecast.ets.confint($A81,$B$8:$B$95,$A$8:$A$95,0.95,4,1,1),"")</f>
        <v/>
      </c>
      <c r="H81" s="24" t="str">
        <f aca="false">IFERROR(F81+forecast.ets.confint($A81,$B$8:$B$95,$A$8:$A$95,0.95,4,1,1),"")</f>
        <v/>
      </c>
    </row>
    <row r="82" customFormat="false" ht="15" hidden="false" customHeight="false" outlineLevel="0" collapsed="false">
      <c r="A82" s="16" t="n">
        <v>46204</v>
      </c>
      <c r="B82" s="17" t="str">
        <f aca="false">IFERROR(haverdata(Codes!$D$11,$A82),"")</f>
        <v/>
      </c>
      <c r="C82" s="18" t="str">
        <f aca="false">IFERROR(B82/B81-1,"")</f>
        <v/>
      </c>
      <c r="D82" s="18" t="str">
        <f aca="false">IFERROR(B82/B78-1,"")</f>
        <v/>
      </c>
      <c r="E82" s="19" t="str">
        <f aca="false">IFERROR(IF(B82="",IFERROR(GROWTH($B$8:$B$95,$A$8:$A$95,$A82),TREND($B$8:$B$95,$A$8:$A$95,$A82)),""),"")</f>
        <v/>
      </c>
      <c r="F82" s="19" t="str">
        <f aca="false">IFERROR(forecast.ets($A82,$B$8:$B$95,$A$8:$A$95,4,1,1),"")</f>
        <v/>
      </c>
      <c r="G82" s="19" t="str">
        <f aca="false">IFERROR(F82-forecast.ets.confint($A82,$B$8:$B$95,$A$8:$A$95,0.95,4,1,1),"")</f>
        <v/>
      </c>
      <c r="H82" s="19" t="str">
        <f aca="false">IFERROR(F82+forecast.ets.confint($A82,$B$8:$B$95,$A$8:$A$95,0.95,4,1,1),"")</f>
        <v/>
      </c>
    </row>
    <row r="83" customFormat="false" ht="15" hidden="false" customHeight="false" outlineLevel="0" collapsed="false">
      <c r="A83" s="21" t="n">
        <v>46296</v>
      </c>
      <c r="B83" s="22" t="str">
        <f aca="false">IFERROR(haverdata(Codes!$D$11,$A83),"")</f>
        <v/>
      </c>
      <c r="C83" s="23" t="str">
        <f aca="false">IFERROR(B83/B82-1,"")</f>
        <v/>
      </c>
      <c r="D83" s="23" t="str">
        <f aca="false">IFERROR(B83/B79-1,"")</f>
        <v/>
      </c>
      <c r="E83" s="24" t="str">
        <f aca="false">IFERROR(IF(B83="",IFERROR(GROWTH($B$8:$B$95,$A$8:$A$95,$A83),TREND($B$8:$B$95,$A$8:$A$95,$A83)),""),"")</f>
        <v/>
      </c>
      <c r="F83" s="24" t="str">
        <f aca="false">IFERROR(forecast.ets($A83,$B$8:$B$95,$A$8:$A$95,4,1,1),"")</f>
        <v/>
      </c>
      <c r="G83" s="24" t="str">
        <f aca="false">IFERROR(F83-forecast.ets.confint($A83,$B$8:$B$95,$A$8:$A$95,0.95,4,1,1),"")</f>
        <v/>
      </c>
      <c r="H83" s="24" t="str">
        <f aca="false">IFERROR(F83+forecast.ets.confint($A83,$B$8:$B$95,$A$8:$A$95,0.95,4,1,1),"")</f>
        <v/>
      </c>
    </row>
    <row r="84" customFormat="false" ht="15" hidden="false" customHeight="false" outlineLevel="0" collapsed="false">
      <c r="A84" s="16" t="n">
        <v>46388</v>
      </c>
      <c r="B84" s="17" t="str">
        <f aca="false">IFERROR(haverdata(Codes!$D$11,$A84),"")</f>
        <v/>
      </c>
      <c r="C84" s="18" t="str">
        <f aca="false">IFERROR(B84/B83-1,"")</f>
        <v/>
      </c>
      <c r="D84" s="18" t="str">
        <f aca="false">IFERROR(B84/B80-1,"")</f>
        <v/>
      </c>
      <c r="E84" s="19" t="str">
        <f aca="false">IFERROR(IF(B84="",IFERROR(GROWTH($B$8:$B$95,$A$8:$A$95,$A84),TREND($B$8:$B$95,$A$8:$A$95,$A84)),""),"")</f>
        <v/>
      </c>
      <c r="F84" s="19" t="str">
        <f aca="false">IFERROR(forecast.ets($A84,$B$8:$B$95,$A$8:$A$95,4,1,1),"")</f>
        <v/>
      </c>
      <c r="G84" s="19" t="str">
        <f aca="false">IFERROR(F84-forecast.ets.confint($A84,$B$8:$B$95,$A$8:$A$95,0.95,4,1,1),"")</f>
        <v/>
      </c>
      <c r="H84" s="19" t="str">
        <f aca="false">IFERROR(F84+forecast.ets.confint($A84,$B$8:$B$95,$A$8:$A$95,0.95,4,1,1),"")</f>
        <v/>
      </c>
    </row>
    <row r="85" customFormat="false" ht="15" hidden="false" customHeight="false" outlineLevel="0" collapsed="false">
      <c r="A85" s="21" t="n">
        <v>46478</v>
      </c>
      <c r="B85" s="22" t="str">
        <f aca="false">IFERROR(haverdata(Codes!$D$11,$A85),"")</f>
        <v/>
      </c>
      <c r="C85" s="23" t="str">
        <f aca="false">IFERROR(B85/B84-1,"")</f>
        <v/>
      </c>
      <c r="D85" s="23" t="str">
        <f aca="false">IFERROR(B85/B81-1,"")</f>
        <v/>
      </c>
      <c r="E85" s="24" t="str">
        <f aca="false">IFERROR(IF(B85="",IFERROR(GROWTH($B$8:$B$95,$A$8:$A$95,$A85),TREND($B$8:$B$95,$A$8:$A$95,$A85)),""),"")</f>
        <v/>
      </c>
      <c r="F85" s="24" t="str">
        <f aca="false">IFERROR(forecast.ets($A85,$B$8:$B$95,$A$8:$A$95,4,1,1),"")</f>
        <v/>
      </c>
      <c r="G85" s="24" t="str">
        <f aca="false">IFERROR(F85-forecast.ets.confint($A85,$B$8:$B$95,$A$8:$A$95,0.95,4,1,1),"")</f>
        <v/>
      </c>
      <c r="H85" s="24" t="str">
        <f aca="false">IFERROR(F85+forecast.ets.confint($A85,$B$8:$B$95,$A$8:$A$95,0.95,4,1,1),"")</f>
        <v/>
      </c>
    </row>
    <row r="86" customFormat="false" ht="15" hidden="false" customHeight="false" outlineLevel="0" collapsed="false">
      <c r="A86" s="16" t="n">
        <v>46569</v>
      </c>
      <c r="B86" s="17" t="str">
        <f aca="false">IFERROR(haverdata(Codes!$D$11,$A86),"")</f>
        <v/>
      </c>
      <c r="C86" s="18" t="str">
        <f aca="false">IFERROR(B86/B85-1,"")</f>
        <v/>
      </c>
      <c r="D86" s="18" t="str">
        <f aca="false">IFERROR(B86/B82-1,"")</f>
        <v/>
      </c>
      <c r="E86" s="19" t="str">
        <f aca="false">IFERROR(IF(B86="",IFERROR(GROWTH($B$8:$B$95,$A$8:$A$95,$A86),TREND($B$8:$B$95,$A$8:$A$95,$A86)),""),"")</f>
        <v/>
      </c>
      <c r="F86" s="19" t="str">
        <f aca="false">IFERROR(forecast.ets($A86,$B$8:$B$95,$A$8:$A$95,4,1,1),"")</f>
        <v/>
      </c>
      <c r="G86" s="19" t="str">
        <f aca="false">IFERROR(F86-forecast.ets.confint($A86,$B$8:$B$95,$A$8:$A$95,0.95,4,1,1),"")</f>
        <v/>
      </c>
      <c r="H86" s="19" t="str">
        <f aca="false">IFERROR(F86+forecast.ets.confint($A86,$B$8:$B$95,$A$8:$A$95,0.95,4,1,1),"")</f>
        <v/>
      </c>
    </row>
    <row r="87" customFormat="false" ht="15" hidden="false" customHeight="false" outlineLevel="0" collapsed="false">
      <c r="A87" s="21" t="n">
        <v>46661</v>
      </c>
      <c r="B87" s="22" t="str">
        <f aca="false">IFERROR(haverdata(Codes!$D$11,$A87),"")</f>
        <v/>
      </c>
      <c r="C87" s="23" t="str">
        <f aca="false">IFERROR(B87/B86-1,"")</f>
        <v/>
      </c>
      <c r="D87" s="23" t="str">
        <f aca="false">IFERROR(B87/B83-1,"")</f>
        <v/>
      </c>
      <c r="E87" s="24" t="str">
        <f aca="false">IFERROR(IF(B87="",IFERROR(GROWTH($B$8:$B$95,$A$8:$A$95,$A87),TREND($B$8:$B$95,$A$8:$A$95,$A87)),""),"")</f>
        <v/>
      </c>
      <c r="F87" s="24" t="str">
        <f aca="false">IFERROR(forecast.ets($A87,$B$8:$B$95,$A$8:$A$95,4,1,1),"")</f>
        <v/>
      </c>
      <c r="G87" s="24" t="str">
        <f aca="false">IFERROR(F87-forecast.ets.confint($A87,$B$8:$B$95,$A$8:$A$95,0.95,4,1,1),"")</f>
        <v/>
      </c>
      <c r="H87" s="24" t="str">
        <f aca="false">IFERROR(F87+forecast.ets.confint($A87,$B$8:$B$95,$A$8:$A$95,0.95,4,1,1),"")</f>
        <v/>
      </c>
    </row>
    <row r="88" customFormat="false" ht="15" hidden="false" customHeight="false" outlineLevel="0" collapsed="false">
      <c r="A88" s="16" t="n">
        <v>46753</v>
      </c>
      <c r="B88" s="17" t="str">
        <f aca="false">IFERROR(haverdata(Codes!$D$11,$A88),"")</f>
        <v/>
      </c>
      <c r="C88" s="18" t="str">
        <f aca="false">IFERROR(B88/B87-1,"")</f>
        <v/>
      </c>
      <c r="D88" s="18" t="str">
        <f aca="false">IFERROR(B88/B84-1,"")</f>
        <v/>
      </c>
      <c r="E88" s="19" t="str">
        <f aca="false">IFERROR(IF(B88="",IFERROR(GROWTH($B$8:$B$95,$A$8:$A$95,$A88),TREND($B$8:$B$95,$A$8:$A$95,$A88)),""),"")</f>
        <v/>
      </c>
      <c r="F88" s="19" t="str">
        <f aca="false">IFERROR(forecast.ets($A88,$B$8:$B$95,$A$8:$A$95,4,1,1),"")</f>
        <v/>
      </c>
      <c r="G88" s="19" t="str">
        <f aca="false">IFERROR(F88-forecast.ets.confint($A88,$B$8:$B$95,$A$8:$A$95,0.95,4,1,1),"")</f>
        <v/>
      </c>
      <c r="H88" s="19" t="str">
        <f aca="false">IFERROR(F88+forecast.ets.confint($A88,$B$8:$B$95,$A$8:$A$95,0.95,4,1,1),"")</f>
        <v/>
      </c>
    </row>
    <row r="89" customFormat="false" ht="15" hidden="false" customHeight="false" outlineLevel="0" collapsed="false">
      <c r="A89" s="21" t="n">
        <v>46844</v>
      </c>
      <c r="B89" s="22" t="str">
        <f aca="false">IFERROR(haverdata(Codes!$D$11,$A89),"")</f>
        <v/>
      </c>
      <c r="C89" s="23" t="str">
        <f aca="false">IFERROR(B89/B88-1,"")</f>
        <v/>
      </c>
      <c r="D89" s="23" t="str">
        <f aca="false">IFERROR(B89/B85-1,"")</f>
        <v/>
      </c>
      <c r="E89" s="24" t="str">
        <f aca="false">IFERROR(IF(B89="",IFERROR(GROWTH($B$8:$B$95,$A$8:$A$95,$A89),TREND($B$8:$B$95,$A$8:$A$95,$A89)),""),"")</f>
        <v/>
      </c>
      <c r="F89" s="24" t="str">
        <f aca="false">IFERROR(forecast.ets($A89,$B$8:$B$95,$A$8:$A$95,4,1,1),"")</f>
        <v/>
      </c>
      <c r="G89" s="24" t="str">
        <f aca="false">IFERROR(F89-forecast.ets.confint($A89,$B$8:$B$95,$A$8:$A$95,0.95,4,1,1),"")</f>
        <v/>
      </c>
      <c r="H89" s="24" t="str">
        <f aca="false">IFERROR(F89+forecast.ets.confint($A89,$B$8:$B$95,$A$8:$A$95,0.95,4,1,1),"")</f>
        <v/>
      </c>
    </row>
    <row r="90" customFormat="false" ht="15" hidden="false" customHeight="false" outlineLevel="0" collapsed="false">
      <c r="A90" s="16" t="n">
        <v>46935</v>
      </c>
      <c r="B90" s="17" t="str">
        <f aca="false">IFERROR(haverdata(Codes!$D$11,$A90),"")</f>
        <v/>
      </c>
      <c r="C90" s="18" t="str">
        <f aca="false">IFERROR(B90/B89-1,"")</f>
        <v/>
      </c>
      <c r="D90" s="18" t="str">
        <f aca="false">IFERROR(B90/B86-1,"")</f>
        <v/>
      </c>
      <c r="E90" s="19" t="str">
        <f aca="false">IFERROR(IF(B90="",IFERROR(GROWTH($B$8:$B$95,$A$8:$A$95,$A90),TREND($B$8:$B$95,$A$8:$A$95,$A90)),""),"")</f>
        <v/>
      </c>
      <c r="F90" s="19" t="str">
        <f aca="false">IFERROR(forecast.ets($A90,$B$8:$B$95,$A$8:$A$95,4,1,1),"")</f>
        <v/>
      </c>
      <c r="G90" s="19" t="str">
        <f aca="false">IFERROR(F90-forecast.ets.confint($A90,$B$8:$B$95,$A$8:$A$95,0.95,4,1,1),"")</f>
        <v/>
      </c>
      <c r="H90" s="19" t="str">
        <f aca="false">IFERROR(F90+forecast.ets.confint($A90,$B$8:$B$95,$A$8:$A$95,0.95,4,1,1),"")</f>
        <v/>
      </c>
    </row>
    <row r="91" customFormat="false" ht="15" hidden="false" customHeight="false" outlineLevel="0" collapsed="false">
      <c r="A91" s="21" t="n">
        <v>47027</v>
      </c>
      <c r="B91" s="22" t="str">
        <f aca="false">IFERROR(haverdata(Codes!$D$11,$A91),"")</f>
        <v/>
      </c>
      <c r="C91" s="23" t="str">
        <f aca="false">IFERROR(B91/B90-1,"")</f>
        <v/>
      </c>
      <c r="D91" s="23" t="str">
        <f aca="false">IFERROR(B91/B87-1,"")</f>
        <v/>
      </c>
      <c r="E91" s="24" t="str">
        <f aca="false">IFERROR(IF(B91="",IFERROR(GROWTH($B$8:$B$95,$A$8:$A$95,$A91),TREND($B$8:$B$95,$A$8:$A$95,$A91)),""),"")</f>
        <v/>
      </c>
      <c r="F91" s="24" t="str">
        <f aca="false">IFERROR(forecast.ets($A91,$B$8:$B$95,$A$8:$A$95,4,1,1),"")</f>
        <v/>
      </c>
      <c r="G91" s="24" t="str">
        <f aca="false">IFERROR(F91-forecast.ets.confint($A91,$B$8:$B$95,$A$8:$A$95,0.95,4,1,1),"")</f>
        <v/>
      </c>
      <c r="H91" s="24" t="str">
        <f aca="false">IFERROR(F91+forecast.ets.confint($A91,$B$8:$B$95,$A$8:$A$95,0.95,4,1,1),"")</f>
        <v/>
      </c>
    </row>
    <row r="92" customFormat="false" ht="15" hidden="false" customHeight="false" outlineLevel="0" collapsed="false">
      <c r="A92" s="16" t="n">
        <v>47119</v>
      </c>
      <c r="B92" s="17" t="str">
        <f aca="false">IFERROR(haverdata(Codes!$D$11,$A92),"")</f>
        <v/>
      </c>
      <c r="C92" s="18" t="str">
        <f aca="false">IFERROR(B92/B91-1,"")</f>
        <v/>
      </c>
      <c r="D92" s="18" t="str">
        <f aca="false">IFERROR(B92/B88-1,"")</f>
        <v/>
      </c>
      <c r="E92" s="19" t="str">
        <f aca="false">IFERROR(IF(B92="",IFERROR(GROWTH($B$8:$B$95,$A$8:$A$95,$A92),TREND($B$8:$B$95,$A$8:$A$95,$A92)),""),"")</f>
        <v/>
      </c>
      <c r="F92" s="19" t="str">
        <f aca="false">IFERROR(forecast.ets($A92,$B$8:$B$95,$A$8:$A$95,4,1,1),"")</f>
        <v/>
      </c>
      <c r="G92" s="19" t="str">
        <f aca="false">IFERROR(F92-forecast.ets.confint($A92,$B$8:$B$95,$A$8:$A$95,0.95,4,1,1),"")</f>
        <v/>
      </c>
      <c r="H92" s="19" t="str">
        <f aca="false">IFERROR(F92+forecast.ets.confint($A92,$B$8:$B$95,$A$8:$A$95,0.95,4,1,1),"")</f>
        <v/>
      </c>
    </row>
    <row r="93" customFormat="false" ht="15" hidden="false" customHeight="false" outlineLevel="0" collapsed="false">
      <c r="A93" s="21" t="n">
        <v>47209</v>
      </c>
      <c r="B93" s="22" t="str">
        <f aca="false">IFERROR(haverdata(Codes!$D$11,$A93),"")</f>
        <v/>
      </c>
      <c r="C93" s="23" t="str">
        <f aca="false">IFERROR(B93/B92-1,"")</f>
        <v/>
      </c>
      <c r="D93" s="23" t="str">
        <f aca="false">IFERROR(B93/B89-1,"")</f>
        <v/>
      </c>
      <c r="E93" s="24" t="str">
        <f aca="false">IFERROR(IF(B93="",IFERROR(GROWTH($B$8:$B$95,$A$8:$A$95,$A93),TREND($B$8:$B$95,$A$8:$A$95,$A93)),""),"")</f>
        <v/>
      </c>
      <c r="F93" s="24" t="str">
        <f aca="false">IFERROR(forecast.ets($A93,$B$8:$B$95,$A$8:$A$95,4,1,1),"")</f>
        <v/>
      </c>
      <c r="G93" s="24" t="str">
        <f aca="false">IFERROR(F93-forecast.ets.confint($A93,$B$8:$B$95,$A$8:$A$95,0.95,4,1,1),"")</f>
        <v/>
      </c>
      <c r="H93" s="24" t="str">
        <f aca="false">IFERROR(F93+forecast.ets.confint($A93,$B$8:$B$95,$A$8:$A$95,0.95,4,1,1),"")</f>
        <v/>
      </c>
    </row>
    <row r="94" customFormat="false" ht="15" hidden="false" customHeight="false" outlineLevel="0" collapsed="false">
      <c r="A94" s="16" t="n">
        <v>47300</v>
      </c>
      <c r="B94" s="17" t="str">
        <f aca="false">IFERROR(haverdata(Codes!$D$11,$A94),"")</f>
        <v/>
      </c>
      <c r="C94" s="18" t="str">
        <f aca="false">IFERROR(B94/B93-1,"")</f>
        <v/>
      </c>
      <c r="D94" s="18" t="str">
        <f aca="false">IFERROR(B94/B90-1,"")</f>
        <v/>
      </c>
      <c r="E94" s="19" t="str">
        <f aca="false">IFERROR(IF(B94="",IFERROR(GROWTH($B$8:$B$95,$A$8:$A$95,$A94),TREND($B$8:$B$95,$A$8:$A$95,$A94)),""),"")</f>
        <v/>
      </c>
      <c r="F94" s="19" t="str">
        <f aca="false">IFERROR(forecast.ets($A94,$B$8:$B$95,$A$8:$A$95,4,1,1),"")</f>
        <v/>
      </c>
      <c r="G94" s="19" t="str">
        <f aca="false">IFERROR(F94-forecast.ets.confint($A94,$B$8:$B$95,$A$8:$A$95,0.95,4,1,1),"")</f>
        <v/>
      </c>
      <c r="H94" s="19" t="str">
        <f aca="false">IFERROR(F94+forecast.ets.confint($A94,$B$8:$B$95,$A$8:$A$95,0.95,4,1,1),"")</f>
        <v/>
      </c>
    </row>
    <row r="95" customFormat="false" ht="15" hidden="false" customHeight="false" outlineLevel="0" collapsed="false">
      <c r="A95" s="21" t="n">
        <v>47392</v>
      </c>
      <c r="B95" s="22" t="str">
        <f aca="false">IFERROR(haverdata(Codes!$D$11,$A95),"")</f>
        <v/>
      </c>
      <c r="C95" s="23" t="str">
        <f aca="false">IFERROR(B95/B94-1,"")</f>
        <v/>
      </c>
      <c r="D95" s="23" t="str">
        <f aca="false">IFERROR(B95/B91-1,"")</f>
        <v/>
      </c>
      <c r="E95" s="24" t="str">
        <f aca="false">IFERROR(IF(B95="",IFERROR(GROWTH($B$8:$B$95,$A$8:$A$95,$A95),TREND($B$8:$B$95,$A$8:$A$95,$A95)),""),"")</f>
        <v/>
      </c>
      <c r="F95" s="24" t="str">
        <f aca="false">IFERROR(forecast.ets($A95,$B$8:$B$95,$A$8:$A$95,4,1,1),"")</f>
        <v/>
      </c>
      <c r="G95" s="24" t="str">
        <f aca="false">IFERROR(F95-forecast.ets.confint($A95,$B$8:$B$95,$A$8:$A$95,0.95,4,1,1),"")</f>
        <v/>
      </c>
      <c r="H95" s="24" t="str">
        <f aca="false">IFERROR(F95+forecast.ets.confint($A95,$B$8:$B$95,$A$8:$A$95,0.95,4,1,1),"")</f>
        <v/>
      </c>
    </row>
    <row r="100" customFormat="false" ht="21.75" hidden="false" customHeight="true" outlineLevel="0" collapsed="false">
      <c r="A100" s="13" t="str">
        <f aca="false">Codes!$B$12&amp;"   ["&amp;Codes!$D$12&amp;"]   "&amp;Codes!$F$12</f>
        <v>Federal Tax Revenue   [RECNAC@ARGEN]   Mn ARS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customFormat="false" ht="15" hidden="false" customHeight="false" outlineLevel="0" collapsed="false">
      <c r="A101" s="4" t="s">
        <v>107</v>
      </c>
      <c r="B101" s="14" t="str">
        <f aca="false">Codes!$G$12</f>
        <v>sum</v>
      </c>
      <c r="D101" s="4" t="s">
        <v>108</v>
      </c>
      <c r="E101" s="6" t="str">
        <f aca="false">Codes!$H$12</f>
        <v>[VERIFY]</v>
      </c>
      <c r="F101" s="6"/>
      <c r="G101" s="6"/>
      <c r="H101" s="6"/>
      <c r="I101" s="6"/>
      <c r="J101" s="6"/>
      <c r="K101" s="6"/>
      <c r="L101" s="6"/>
      <c r="M101" s="6"/>
    </row>
    <row r="102" customFormat="false" ht="18" hidden="false" customHeight="true" outlineLevel="0" collapsed="false">
      <c r="A102" s="15" t="s">
        <v>109</v>
      </c>
      <c r="B102" s="15"/>
      <c r="C102" s="15"/>
      <c r="D102" s="15"/>
      <c r="E102" s="15"/>
      <c r="F102" s="15"/>
      <c r="G102" s="15"/>
      <c r="H102" s="15"/>
      <c r="J102" s="15" t="s">
        <v>110</v>
      </c>
      <c r="K102" s="15"/>
      <c r="L102" s="15"/>
      <c r="M102" s="15"/>
    </row>
    <row r="103" customFormat="false" ht="15" hidden="false" customHeight="false" outlineLevel="0" collapsed="false">
      <c r="A103" s="7" t="s">
        <v>111</v>
      </c>
      <c r="B103" s="7" t="s">
        <v>112</v>
      </c>
      <c r="C103" s="7" t="s">
        <v>113</v>
      </c>
      <c r="D103" s="7" t="s">
        <v>114</v>
      </c>
      <c r="E103" s="7" t="s">
        <v>115</v>
      </c>
      <c r="F103" s="7" t="s">
        <v>116</v>
      </c>
      <c r="G103" s="7" t="s">
        <v>117</v>
      </c>
      <c r="H103" s="7" t="s">
        <v>118</v>
      </c>
      <c r="J103" s="7" t="s">
        <v>119</v>
      </c>
      <c r="K103" s="7" t="s">
        <v>112</v>
      </c>
      <c r="L103" s="7" t="s">
        <v>114</v>
      </c>
      <c r="M103" s="7" t="s">
        <v>120</v>
      </c>
    </row>
    <row r="104" customFormat="false" ht="15" hidden="false" customHeight="false" outlineLevel="0" collapsed="false">
      <c r="A104" s="16" t="n">
        <v>39448</v>
      </c>
      <c r="B104" s="17" t="str">
        <f aca="false">IFERROR(haverdata(Codes!$D$12,$A104),"")</f>
        <v/>
      </c>
      <c r="C104" s="18"/>
      <c r="D104" s="18"/>
      <c r="E104" s="19" t="str">
        <f aca="false">IFERROR(IF(B104="",IFERROR(GROWTH($B$104:$B$191,$A$104:$A$191,$A104),TREND($B$104:$B$191,$A$104:$A$191,$A104)),""),"")</f>
        <v/>
      </c>
      <c r="F104" s="19" t="str">
        <f aca="false">IFERROR(forecast.ets($A104,$B$104:$B$191,$A$104:$A$191,4,1,1),"")</f>
        <v/>
      </c>
      <c r="G104" s="19" t="str">
        <f aca="false">IFERROR(F104-forecast.ets.confint($A104,$B$104:$B$191,$A$104:$A$191,0.95,4,1,1),"")</f>
        <v/>
      </c>
      <c r="H104" s="19" t="str">
        <f aca="false">IFERROR(F104+forecast.ets.confint($A104,$B$104:$B$191,$A$104:$A$191,0.95,4,1,1),"")</f>
        <v/>
      </c>
      <c r="J104" s="20" t="n">
        <v>2008</v>
      </c>
      <c r="K104" s="19" t="n">
        <f aca="false">IFERROR(SUMIFS($B$104:$B$191,$A$104:$A$191,"&gt;="&amp;DATE(J104,1,1),$A$104:$A$191,"&lt;="&amp;DATE(J104,12,31)),"")</f>
        <v>0</v>
      </c>
      <c r="L104" s="18"/>
      <c r="M104" s="19" t="n">
        <f aca="false">IFERROR(SUMIFS($F$104:$F$191,$A$104:$A$191,"&gt;="&amp;DATE(J104,1,1),$A$104:$A$191,"&lt;="&amp;DATE(J104,12,31)),"")</f>
        <v>0</v>
      </c>
    </row>
    <row r="105" customFormat="false" ht="15" hidden="false" customHeight="false" outlineLevel="0" collapsed="false">
      <c r="A105" s="21" t="n">
        <v>39539</v>
      </c>
      <c r="B105" s="22" t="str">
        <f aca="false">IFERROR(haverdata(Codes!$D$12,$A105),"")</f>
        <v/>
      </c>
      <c r="C105" s="23" t="str">
        <f aca="false">IFERROR(B105/B104-1,"")</f>
        <v/>
      </c>
      <c r="D105" s="23"/>
      <c r="E105" s="24" t="str">
        <f aca="false">IFERROR(IF(B105="",IFERROR(GROWTH($B$104:$B$191,$A$104:$A$191,$A105),TREND($B$104:$B$191,$A$104:$A$191,$A105)),""),"")</f>
        <v/>
      </c>
      <c r="F105" s="24" t="str">
        <f aca="false">IFERROR(forecast.ets($A105,$B$104:$B$191,$A$104:$A$191,4,1,1),"")</f>
        <v/>
      </c>
      <c r="G105" s="24" t="str">
        <f aca="false">IFERROR(F105-forecast.ets.confint($A105,$B$104:$B$191,$A$104:$A$191,0.95,4,1,1),"")</f>
        <v/>
      </c>
      <c r="H105" s="24" t="str">
        <f aca="false">IFERROR(F105+forecast.ets.confint($A105,$B$104:$B$191,$A$104:$A$191,0.95,4,1,1),"")</f>
        <v/>
      </c>
      <c r="J105" s="25" t="n">
        <v>2009</v>
      </c>
      <c r="K105" s="24" t="n">
        <f aca="false">IFERROR(SUMIFS($B$104:$B$191,$A$104:$A$191,"&gt;="&amp;DATE(J105,1,1),$A$104:$A$191,"&lt;="&amp;DATE(J105,12,31)),"")</f>
        <v>0</v>
      </c>
      <c r="L105" s="23" t="str">
        <f aca="false">IFERROR(K105/K104-1,"")</f>
        <v/>
      </c>
      <c r="M105" s="24" t="n">
        <f aca="false">IFERROR(SUMIFS($F$104:$F$191,$A$104:$A$191,"&gt;="&amp;DATE(J105,1,1),$A$104:$A$191,"&lt;="&amp;DATE(J105,12,31)),"")</f>
        <v>0</v>
      </c>
    </row>
    <row r="106" customFormat="false" ht="15" hidden="false" customHeight="false" outlineLevel="0" collapsed="false">
      <c r="A106" s="16" t="n">
        <v>39630</v>
      </c>
      <c r="B106" s="17" t="str">
        <f aca="false">IFERROR(haverdata(Codes!$D$12,$A106),"")</f>
        <v/>
      </c>
      <c r="C106" s="18" t="str">
        <f aca="false">IFERROR(B106/B105-1,"")</f>
        <v/>
      </c>
      <c r="D106" s="18"/>
      <c r="E106" s="19" t="str">
        <f aca="false">IFERROR(IF(B106="",IFERROR(GROWTH($B$104:$B$191,$A$104:$A$191,$A106),TREND($B$104:$B$191,$A$104:$A$191,$A106)),""),"")</f>
        <v/>
      </c>
      <c r="F106" s="19" t="str">
        <f aca="false">IFERROR(forecast.ets($A106,$B$104:$B$191,$A$104:$A$191,4,1,1),"")</f>
        <v/>
      </c>
      <c r="G106" s="19" t="str">
        <f aca="false">IFERROR(F106-forecast.ets.confint($A106,$B$104:$B$191,$A$104:$A$191,0.95,4,1,1),"")</f>
        <v/>
      </c>
      <c r="H106" s="19" t="str">
        <f aca="false">IFERROR(F106+forecast.ets.confint($A106,$B$104:$B$191,$A$104:$A$191,0.95,4,1,1),"")</f>
        <v/>
      </c>
      <c r="J106" s="20" t="n">
        <v>2010</v>
      </c>
      <c r="K106" s="19" t="n">
        <f aca="false">IFERROR(SUMIFS($B$104:$B$191,$A$104:$A$191,"&gt;="&amp;DATE(J106,1,1),$A$104:$A$191,"&lt;="&amp;DATE(J106,12,31)),"")</f>
        <v>0</v>
      </c>
      <c r="L106" s="18" t="str">
        <f aca="false">IFERROR(K106/K105-1,"")</f>
        <v/>
      </c>
      <c r="M106" s="19" t="n">
        <f aca="false">IFERROR(SUMIFS($F$104:$F$191,$A$104:$A$191,"&gt;="&amp;DATE(J106,1,1),$A$104:$A$191,"&lt;="&amp;DATE(J106,12,31)),"")</f>
        <v>0</v>
      </c>
    </row>
    <row r="107" customFormat="false" ht="15" hidden="false" customHeight="false" outlineLevel="0" collapsed="false">
      <c r="A107" s="21" t="n">
        <v>39722</v>
      </c>
      <c r="B107" s="22" t="str">
        <f aca="false">IFERROR(haverdata(Codes!$D$12,$A107),"")</f>
        <v/>
      </c>
      <c r="C107" s="23" t="str">
        <f aca="false">IFERROR(B107/B106-1,"")</f>
        <v/>
      </c>
      <c r="D107" s="23"/>
      <c r="E107" s="24" t="str">
        <f aca="false">IFERROR(IF(B107="",IFERROR(GROWTH($B$104:$B$191,$A$104:$A$191,$A107),TREND($B$104:$B$191,$A$104:$A$191,$A107)),""),"")</f>
        <v/>
      </c>
      <c r="F107" s="24" t="str">
        <f aca="false">IFERROR(forecast.ets($A107,$B$104:$B$191,$A$104:$A$191,4,1,1),"")</f>
        <v/>
      </c>
      <c r="G107" s="24" t="str">
        <f aca="false">IFERROR(F107-forecast.ets.confint($A107,$B$104:$B$191,$A$104:$A$191,0.95,4,1,1),"")</f>
        <v/>
      </c>
      <c r="H107" s="24" t="str">
        <f aca="false">IFERROR(F107+forecast.ets.confint($A107,$B$104:$B$191,$A$104:$A$191,0.95,4,1,1),"")</f>
        <v/>
      </c>
      <c r="J107" s="25" t="n">
        <v>2011</v>
      </c>
      <c r="K107" s="24" t="n">
        <f aca="false">IFERROR(SUMIFS($B$104:$B$191,$A$104:$A$191,"&gt;="&amp;DATE(J107,1,1),$A$104:$A$191,"&lt;="&amp;DATE(J107,12,31)),"")</f>
        <v>0</v>
      </c>
      <c r="L107" s="23" t="str">
        <f aca="false">IFERROR(K107/K106-1,"")</f>
        <v/>
      </c>
      <c r="M107" s="24" t="n">
        <f aca="false">IFERROR(SUMIFS($F$104:$F$191,$A$104:$A$191,"&gt;="&amp;DATE(J107,1,1),$A$104:$A$191,"&lt;="&amp;DATE(J107,12,31)),"")</f>
        <v>0</v>
      </c>
    </row>
    <row r="108" customFormat="false" ht="15" hidden="false" customHeight="false" outlineLevel="0" collapsed="false">
      <c r="A108" s="16" t="n">
        <v>39814</v>
      </c>
      <c r="B108" s="17" t="str">
        <f aca="false">IFERROR(haverdata(Codes!$D$12,$A108),"")</f>
        <v/>
      </c>
      <c r="C108" s="18" t="str">
        <f aca="false">IFERROR(B108/B107-1,"")</f>
        <v/>
      </c>
      <c r="D108" s="18" t="str">
        <f aca="false">IFERROR(B108/B104-1,"")</f>
        <v/>
      </c>
      <c r="E108" s="19" t="str">
        <f aca="false">IFERROR(IF(B108="",IFERROR(GROWTH($B$104:$B$191,$A$104:$A$191,$A108),TREND($B$104:$B$191,$A$104:$A$191,$A108)),""),"")</f>
        <v/>
      </c>
      <c r="F108" s="19" t="str">
        <f aca="false">IFERROR(forecast.ets($A108,$B$104:$B$191,$A$104:$A$191,4,1,1),"")</f>
        <v/>
      </c>
      <c r="G108" s="19" t="str">
        <f aca="false">IFERROR(F108-forecast.ets.confint($A108,$B$104:$B$191,$A$104:$A$191,0.95,4,1,1),"")</f>
        <v/>
      </c>
      <c r="H108" s="19" t="str">
        <f aca="false">IFERROR(F108+forecast.ets.confint($A108,$B$104:$B$191,$A$104:$A$191,0.95,4,1,1),"")</f>
        <v/>
      </c>
      <c r="J108" s="20" t="n">
        <v>2012</v>
      </c>
      <c r="K108" s="19" t="n">
        <f aca="false">IFERROR(SUMIFS($B$104:$B$191,$A$104:$A$191,"&gt;="&amp;DATE(J108,1,1),$A$104:$A$191,"&lt;="&amp;DATE(J108,12,31)),"")</f>
        <v>0</v>
      </c>
      <c r="L108" s="18" t="str">
        <f aca="false">IFERROR(K108/K107-1,"")</f>
        <v/>
      </c>
      <c r="M108" s="19" t="n">
        <f aca="false">IFERROR(SUMIFS($F$104:$F$191,$A$104:$A$191,"&gt;="&amp;DATE(J108,1,1),$A$104:$A$191,"&lt;="&amp;DATE(J108,12,31)),"")</f>
        <v>0</v>
      </c>
    </row>
    <row r="109" customFormat="false" ht="15" hidden="false" customHeight="false" outlineLevel="0" collapsed="false">
      <c r="A109" s="21" t="n">
        <v>39904</v>
      </c>
      <c r="B109" s="22" t="str">
        <f aca="false">IFERROR(haverdata(Codes!$D$12,$A109),"")</f>
        <v/>
      </c>
      <c r="C109" s="23" t="str">
        <f aca="false">IFERROR(B109/B108-1,"")</f>
        <v/>
      </c>
      <c r="D109" s="23" t="str">
        <f aca="false">IFERROR(B109/B105-1,"")</f>
        <v/>
      </c>
      <c r="E109" s="24" t="str">
        <f aca="false">IFERROR(IF(B109="",IFERROR(GROWTH($B$104:$B$191,$A$104:$A$191,$A109),TREND($B$104:$B$191,$A$104:$A$191,$A109)),""),"")</f>
        <v/>
      </c>
      <c r="F109" s="24" t="str">
        <f aca="false">IFERROR(forecast.ets($A109,$B$104:$B$191,$A$104:$A$191,4,1,1),"")</f>
        <v/>
      </c>
      <c r="G109" s="24" t="str">
        <f aca="false">IFERROR(F109-forecast.ets.confint($A109,$B$104:$B$191,$A$104:$A$191,0.95,4,1,1),"")</f>
        <v/>
      </c>
      <c r="H109" s="24" t="str">
        <f aca="false">IFERROR(F109+forecast.ets.confint($A109,$B$104:$B$191,$A$104:$A$191,0.95,4,1,1),"")</f>
        <v/>
      </c>
      <c r="J109" s="25" t="n">
        <v>2013</v>
      </c>
      <c r="K109" s="24" t="n">
        <f aca="false">IFERROR(SUMIFS($B$104:$B$191,$A$104:$A$191,"&gt;="&amp;DATE(J109,1,1),$A$104:$A$191,"&lt;="&amp;DATE(J109,12,31)),"")</f>
        <v>0</v>
      </c>
      <c r="L109" s="23" t="str">
        <f aca="false">IFERROR(K109/K108-1,"")</f>
        <v/>
      </c>
      <c r="M109" s="24" t="n">
        <f aca="false">IFERROR(SUMIFS($F$104:$F$191,$A$104:$A$191,"&gt;="&amp;DATE(J109,1,1),$A$104:$A$191,"&lt;="&amp;DATE(J109,12,31)),"")</f>
        <v>0</v>
      </c>
    </row>
    <row r="110" customFormat="false" ht="15" hidden="false" customHeight="false" outlineLevel="0" collapsed="false">
      <c r="A110" s="16" t="n">
        <v>39995</v>
      </c>
      <c r="B110" s="17" t="str">
        <f aca="false">IFERROR(haverdata(Codes!$D$12,$A110),"")</f>
        <v/>
      </c>
      <c r="C110" s="18" t="str">
        <f aca="false">IFERROR(B110/B109-1,"")</f>
        <v/>
      </c>
      <c r="D110" s="18" t="str">
        <f aca="false">IFERROR(B110/B106-1,"")</f>
        <v/>
      </c>
      <c r="E110" s="19" t="str">
        <f aca="false">IFERROR(IF(B110="",IFERROR(GROWTH($B$104:$B$191,$A$104:$A$191,$A110),TREND($B$104:$B$191,$A$104:$A$191,$A110)),""),"")</f>
        <v/>
      </c>
      <c r="F110" s="19" t="str">
        <f aca="false">IFERROR(forecast.ets($A110,$B$104:$B$191,$A$104:$A$191,4,1,1),"")</f>
        <v/>
      </c>
      <c r="G110" s="19" t="str">
        <f aca="false">IFERROR(F110-forecast.ets.confint($A110,$B$104:$B$191,$A$104:$A$191,0.95,4,1,1),"")</f>
        <v/>
      </c>
      <c r="H110" s="19" t="str">
        <f aca="false">IFERROR(F110+forecast.ets.confint($A110,$B$104:$B$191,$A$104:$A$191,0.95,4,1,1),"")</f>
        <v/>
      </c>
      <c r="J110" s="20" t="n">
        <v>2014</v>
      </c>
      <c r="K110" s="19" t="n">
        <f aca="false">IFERROR(SUMIFS($B$104:$B$191,$A$104:$A$191,"&gt;="&amp;DATE(J110,1,1),$A$104:$A$191,"&lt;="&amp;DATE(J110,12,31)),"")</f>
        <v>0</v>
      </c>
      <c r="L110" s="18" t="str">
        <f aca="false">IFERROR(K110/K109-1,"")</f>
        <v/>
      </c>
      <c r="M110" s="19" t="n">
        <f aca="false">IFERROR(SUMIFS($F$104:$F$191,$A$104:$A$191,"&gt;="&amp;DATE(J110,1,1),$A$104:$A$191,"&lt;="&amp;DATE(J110,12,31)),"")</f>
        <v>0</v>
      </c>
    </row>
    <row r="111" customFormat="false" ht="15" hidden="false" customHeight="false" outlineLevel="0" collapsed="false">
      <c r="A111" s="21" t="n">
        <v>40087</v>
      </c>
      <c r="B111" s="22" t="str">
        <f aca="false">IFERROR(haverdata(Codes!$D$12,$A111),"")</f>
        <v/>
      </c>
      <c r="C111" s="23" t="str">
        <f aca="false">IFERROR(B111/B110-1,"")</f>
        <v/>
      </c>
      <c r="D111" s="23" t="str">
        <f aca="false">IFERROR(B111/B107-1,"")</f>
        <v/>
      </c>
      <c r="E111" s="24" t="str">
        <f aca="false">IFERROR(IF(B111="",IFERROR(GROWTH($B$104:$B$191,$A$104:$A$191,$A111),TREND($B$104:$B$191,$A$104:$A$191,$A111)),""),"")</f>
        <v/>
      </c>
      <c r="F111" s="24" t="str">
        <f aca="false">IFERROR(forecast.ets($A111,$B$104:$B$191,$A$104:$A$191,4,1,1),"")</f>
        <v/>
      </c>
      <c r="G111" s="24" t="str">
        <f aca="false">IFERROR(F111-forecast.ets.confint($A111,$B$104:$B$191,$A$104:$A$191,0.95,4,1,1),"")</f>
        <v/>
      </c>
      <c r="H111" s="24" t="str">
        <f aca="false">IFERROR(F111+forecast.ets.confint($A111,$B$104:$B$191,$A$104:$A$191,0.95,4,1,1),"")</f>
        <v/>
      </c>
      <c r="J111" s="25" t="n">
        <v>2015</v>
      </c>
      <c r="K111" s="24" t="n">
        <f aca="false">IFERROR(SUMIFS($B$104:$B$191,$A$104:$A$191,"&gt;="&amp;DATE(J111,1,1),$A$104:$A$191,"&lt;="&amp;DATE(J111,12,31)),"")</f>
        <v>0</v>
      </c>
      <c r="L111" s="23" t="str">
        <f aca="false">IFERROR(K111/K110-1,"")</f>
        <v/>
      </c>
      <c r="M111" s="24" t="n">
        <f aca="false">IFERROR(SUMIFS($F$104:$F$191,$A$104:$A$191,"&gt;="&amp;DATE(J111,1,1),$A$104:$A$191,"&lt;="&amp;DATE(J111,12,31)),"")</f>
        <v>0</v>
      </c>
    </row>
    <row r="112" customFormat="false" ht="15" hidden="false" customHeight="false" outlineLevel="0" collapsed="false">
      <c r="A112" s="16" t="n">
        <v>40179</v>
      </c>
      <c r="B112" s="17" t="str">
        <f aca="false">IFERROR(haverdata(Codes!$D$12,$A112),"")</f>
        <v/>
      </c>
      <c r="C112" s="18" t="str">
        <f aca="false">IFERROR(B112/B111-1,"")</f>
        <v/>
      </c>
      <c r="D112" s="18" t="str">
        <f aca="false">IFERROR(B112/B108-1,"")</f>
        <v/>
      </c>
      <c r="E112" s="19" t="str">
        <f aca="false">IFERROR(IF(B112="",IFERROR(GROWTH($B$104:$B$191,$A$104:$A$191,$A112),TREND($B$104:$B$191,$A$104:$A$191,$A112)),""),"")</f>
        <v/>
      </c>
      <c r="F112" s="19" t="str">
        <f aca="false">IFERROR(forecast.ets($A112,$B$104:$B$191,$A$104:$A$191,4,1,1),"")</f>
        <v/>
      </c>
      <c r="G112" s="19" t="str">
        <f aca="false">IFERROR(F112-forecast.ets.confint($A112,$B$104:$B$191,$A$104:$A$191,0.95,4,1,1),"")</f>
        <v/>
      </c>
      <c r="H112" s="19" t="str">
        <f aca="false">IFERROR(F112+forecast.ets.confint($A112,$B$104:$B$191,$A$104:$A$191,0.95,4,1,1),"")</f>
        <v/>
      </c>
      <c r="J112" s="20" t="n">
        <v>2016</v>
      </c>
      <c r="K112" s="19" t="n">
        <f aca="false">IFERROR(SUMIFS($B$104:$B$191,$A$104:$A$191,"&gt;="&amp;DATE(J112,1,1),$A$104:$A$191,"&lt;="&amp;DATE(J112,12,31)),"")</f>
        <v>0</v>
      </c>
      <c r="L112" s="18" t="str">
        <f aca="false">IFERROR(K112/K111-1,"")</f>
        <v/>
      </c>
      <c r="M112" s="19" t="n">
        <f aca="false">IFERROR(SUMIFS($F$104:$F$191,$A$104:$A$191,"&gt;="&amp;DATE(J112,1,1),$A$104:$A$191,"&lt;="&amp;DATE(J112,12,31)),"")</f>
        <v>0</v>
      </c>
    </row>
    <row r="113" customFormat="false" ht="15" hidden="false" customHeight="false" outlineLevel="0" collapsed="false">
      <c r="A113" s="21" t="n">
        <v>40269</v>
      </c>
      <c r="B113" s="22" t="str">
        <f aca="false">IFERROR(haverdata(Codes!$D$12,$A113),"")</f>
        <v/>
      </c>
      <c r="C113" s="23" t="str">
        <f aca="false">IFERROR(B113/B112-1,"")</f>
        <v/>
      </c>
      <c r="D113" s="23" t="str">
        <f aca="false">IFERROR(B113/B109-1,"")</f>
        <v/>
      </c>
      <c r="E113" s="24" t="str">
        <f aca="false">IFERROR(IF(B113="",IFERROR(GROWTH($B$104:$B$191,$A$104:$A$191,$A113),TREND($B$104:$B$191,$A$104:$A$191,$A113)),""),"")</f>
        <v/>
      </c>
      <c r="F113" s="24" t="str">
        <f aca="false">IFERROR(forecast.ets($A113,$B$104:$B$191,$A$104:$A$191,4,1,1),"")</f>
        <v/>
      </c>
      <c r="G113" s="24" t="str">
        <f aca="false">IFERROR(F113-forecast.ets.confint($A113,$B$104:$B$191,$A$104:$A$191,0.95,4,1,1),"")</f>
        <v/>
      </c>
      <c r="H113" s="24" t="str">
        <f aca="false">IFERROR(F113+forecast.ets.confint($A113,$B$104:$B$191,$A$104:$A$191,0.95,4,1,1),"")</f>
        <v/>
      </c>
      <c r="J113" s="25" t="n">
        <v>2017</v>
      </c>
      <c r="K113" s="24" t="n">
        <f aca="false">IFERROR(SUMIFS($B$104:$B$191,$A$104:$A$191,"&gt;="&amp;DATE(J113,1,1),$A$104:$A$191,"&lt;="&amp;DATE(J113,12,31)),"")</f>
        <v>0</v>
      </c>
      <c r="L113" s="23" t="str">
        <f aca="false">IFERROR(K113/K112-1,"")</f>
        <v/>
      </c>
      <c r="M113" s="24" t="n">
        <f aca="false">IFERROR(SUMIFS($F$104:$F$191,$A$104:$A$191,"&gt;="&amp;DATE(J113,1,1),$A$104:$A$191,"&lt;="&amp;DATE(J113,12,31)),"")</f>
        <v>0</v>
      </c>
    </row>
    <row r="114" customFormat="false" ht="15" hidden="false" customHeight="false" outlineLevel="0" collapsed="false">
      <c r="A114" s="16" t="n">
        <v>40360</v>
      </c>
      <c r="B114" s="17" t="str">
        <f aca="false">IFERROR(haverdata(Codes!$D$12,$A114),"")</f>
        <v/>
      </c>
      <c r="C114" s="18" t="str">
        <f aca="false">IFERROR(B114/B113-1,"")</f>
        <v/>
      </c>
      <c r="D114" s="18" t="str">
        <f aca="false">IFERROR(B114/B110-1,"")</f>
        <v/>
      </c>
      <c r="E114" s="19" t="str">
        <f aca="false">IFERROR(IF(B114="",IFERROR(GROWTH($B$104:$B$191,$A$104:$A$191,$A114),TREND($B$104:$B$191,$A$104:$A$191,$A114)),""),"")</f>
        <v/>
      </c>
      <c r="F114" s="19" t="str">
        <f aca="false">IFERROR(forecast.ets($A114,$B$104:$B$191,$A$104:$A$191,4,1,1),"")</f>
        <v/>
      </c>
      <c r="G114" s="19" t="str">
        <f aca="false">IFERROR(F114-forecast.ets.confint($A114,$B$104:$B$191,$A$104:$A$191,0.95,4,1,1),"")</f>
        <v/>
      </c>
      <c r="H114" s="19" t="str">
        <f aca="false">IFERROR(F114+forecast.ets.confint($A114,$B$104:$B$191,$A$104:$A$191,0.95,4,1,1),"")</f>
        <v/>
      </c>
      <c r="J114" s="20" t="n">
        <v>2018</v>
      </c>
      <c r="K114" s="19" t="n">
        <f aca="false">IFERROR(SUMIFS($B$104:$B$191,$A$104:$A$191,"&gt;="&amp;DATE(J114,1,1),$A$104:$A$191,"&lt;="&amp;DATE(J114,12,31)),"")</f>
        <v>0</v>
      </c>
      <c r="L114" s="18" t="str">
        <f aca="false">IFERROR(K114/K113-1,"")</f>
        <v/>
      </c>
      <c r="M114" s="19" t="n">
        <f aca="false">IFERROR(SUMIFS($F$104:$F$191,$A$104:$A$191,"&gt;="&amp;DATE(J114,1,1),$A$104:$A$191,"&lt;="&amp;DATE(J114,12,31)),"")</f>
        <v>0</v>
      </c>
    </row>
    <row r="115" customFormat="false" ht="15" hidden="false" customHeight="false" outlineLevel="0" collapsed="false">
      <c r="A115" s="21" t="n">
        <v>40452</v>
      </c>
      <c r="B115" s="22" t="str">
        <f aca="false">IFERROR(haverdata(Codes!$D$12,$A115),"")</f>
        <v/>
      </c>
      <c r="C115" s="23" t="str">
        <f aca="false">IFERROR(B115/B114-1,"")</f>
        <v/>
      </c>
      <c r="D115" s="23" t="str">
        <f aca="false">IFERROR(B115/B111-1,"")</f>
        <v/>
      </c>
      <c r="E115" s="24" t="str">
        <f aca="false">IFERROR(IF(B115="",IFERROR(GROWTH($B$104:$B$191,$A$104:$A$191,$A115),TREND($B$104:$B$191,$A$104:$A$191,$A115)),""),"")</f>
        <v/>
      </c>
      <c r="F115" s="24" t="str">
        <f aca="false">IFERROR(forecast.ets($A115,$B$104:$B$191,$A$104:$A$191,4,1,1),"")</f>
        <v/>
      </c>
      <c r="G115" s="24" t="str">
        <f aca="false">IFERROR(F115-forecast.ets.confint($A115,$B$104:$B$191,$A$104:$A$191,0.95,4,1,1),"")</f>
        <v/>
      </c>
      <c r="H115" s="24" t="str">
        <f aca="false">IFERROR(F115+forecast.ets.confint($A115,$B$104:$B$191,$A$104:$A$191,0.95,4,1,1),"")</f>
        <v/>
      </c>
      <c r="J115" s="25" t="n">
        <v>2019</v>
      </c>
      <c r="K115" s="24" t="n">
        <f aca="false">IFERROR(SUMIFS($B$104:$B$191,$A$104:$A$191,"&gt;="&amp;DATE(J115,1,1),$A$104:$A$191,"&lt;="&amp;DATE(J115,12,31)),"")</f>
        <v>0</v>
      </c>
      <c r="L115" s="23" t="str">
        <f aca="false">IFERROR(K115/K114-1,"")</f>
        <v/>
      </c>
      <c r="M115" s="24" t="n">
        <f aca="false">IFERROR(SUMIFS($F$104:$F$191,$A$104:$A$191,"&gt;="&amp;DATE(J115,1,1),$A$104:$A$191,"&lt;="&amp;DATE(J115,12,31)),"")</f>
        <v>0</v>
      </c>
    </row>
    <row r="116" customFormat="false" ht="15" hidden="false" customHeight="false" outlineLevel="0" collapsed="false">
      <c r="A116" s="16" t="n">
        <v>40544</v>
      </c>
      <c r="B116" s="17" t="str">
        <f aca="false">IFERROR(haverdata(Codes!$D$12,$A116),"")</f>
        <v/>
      </c>
      <c r="C116" s="18" t="str">
        <f aca="false">IFERROR(B116/B115-1,"")</f>
        <v/>
      </c>
      <c r="D116" s="18" t="str">
        <f aca="false">IFERROR(B116/B112-1,"")</f>
        <v/>
      </c>
      <c r="E116" s="19" t="str">
        <f aca="false">IFERROR(IF(B116="",IFERROR(GROWTH($B$104:$B$191,$A$104:$A$191,$A116),TREND($B$104:$B$191,$A$104:$A$191,$A116)),""),"")</f>
        <v/>
      </c>
      <c r="F116" s="19" t="str">
        <f aca="false">IFERROR(forecast.ets($A116,$B$104:$B$191,$A$104:$A$191,4,1,1),"")</f>
        <v/>
      </c>
      <c r="G116" s="19" t="str">
        <f aca="false">IFERROR(F116-forecast.ets.confint($A116,$B$104:$B$191,$A$104:$A$191,0.95,4,1,1),"")</f>
        <v/>
      </c>
      <c r="H116" s="19" t="str">
        <f aca="false">IFERROR(F116+forecast.ets.confint($A116,$B$104:$B$191,$A$104:$A$191,0.95,4,1,1),"")</f>
        <v/>
      </c>
      <c r="J116" s="20" t="n">
        <v>2020</v>
      </c>
      <c r="K116" s="19" t="n">
        <f aca="false">IFERROR(SUMIFS($B$104:$B$191,$A$104:$A$191,"&gt;="&amp;DATE(J116,1,1),$A$104:$A$191,"&lt;="&amp;DATE(J116,12,31)),"")</f>
        <v>0</v>
      </c>
      <c r="L116" s="18" t="str">
        <f aca="false">IFERROR(K116/K115-1,"")</f>
        <v/>
      </c>
      <c r="M116" s="19" t="n">
        <f aca="false">IFERROR(SUMIFS($F$104:$F$191,$A$104:$A$191,"&gt;="&amp;DATE(J116,1,1),$A$104:$A$191,"&lt;="&amp;DATE(J116,12,31)),"")</f>
        <v>0</v>
      </c>
    </row>
    <row r="117" customFormat="false" ht="15" hidden="false" customHeight="false" outlineLevel="0" collapsed="false">
      <c r="A117" s="21" t="n">
        <v>40634</v>
      </c>
      <c r="B117" s="22" t="str">
        <f aca="false">IFERROR(haverdata(Codes!$D$12,$A117),"")</f>
        <v/>
      </c>
      <c r="C117" s="23" t="str">
        <f aca="false">IFERROR(B117/B116-1,"")</f>
        <v/>
      </c>
      <c r="D117" s="23" t="str">
        <f aca="false">IFERROR(B117/B113-1,"")</f>
        <v/>
      </c>
      <c r="E117" s="24" t="str">
        <f aca="false">IFERROR(IF(B117="",IFERROR(GROWTH($B$104:$B$191,$A$104:$A$191,$A117),TREND($B$104:$B$191,$A$104:$A$191,$A117)),""),"")</f>
        <v/>
      </c>
      <c r="F117" s="24" t="str">
        <f aca="false">IFERROR(forecast.ets($A117,$B$104:$B$191,$A$104:$A$191,4,1,1),"")</f>
        <v/>
      </c>
      <c r="G117" s="24" t="str">
        <f aca="false">IFERROR(F117-forecast.ets.confint($A117,$B$104:$B$191,$A$104:$A$191,0.95,4,1,1),"")</f>
        <v/>
      </c>
      <c r="H117" s="24" t="str">
        <f aca="false">IFERROR(F117+forecast.ets.confint($A117,$B$104:$B$191,$A$104:$A$191,0.95,4,1,1),"")</f>
        <v/>
      </c>
      <c r="J117" s="25" t="n">
        <v>2021</v>
      </c>
      <c r="K117" s="24" t="n">
        <f aca="false">IFERROR(SUMIFS($B$104:$B$191,$A$104:$A$191,"&gt;="&amp;DATE(J117,1,1),$A$104:$A$191,"&lt;="&amp;DATE(J117,12,31)),"")</f>
        <v>0</v>
      </c>
      <c r="L117" s="23" t="str">
        <f aca="false">IFERROR(K117/K116-1,"")</f>
        <v/>
      </c>
      <c r="M117" s="24" t="n">
        <f aca="false">IFERROR(SUMIFS($F$104:$F$191,$A$104:$A$191,"&gt;="&amp;DATE(J117,1,1),$A$104:$A$191,"&lt;="&amp;DATE(J117,12,31)),"")</f>
        <v>0</v>
      </c>
    </row>
    <row r="118" customFormat="false" ht="15" hidden="false" customHeight="false" outlineLevel="0" collapsed="false">
      <c r="A118" s="16" t="n">
        <v>40725</v>
      </c>
      <c r="B118" s="17" t="str">
        <f aca="false">IFERROR(haverdata(Codes!$D$12,$A118),"")</f>
        <v/>
      </c>
      <c r="C118" s="18" t="str">
        <f aca="false">IFERROR(B118/B117-1,"")</f>
        <v/>
      </c>
      <c r="D118" s="18" t="str">
        <f aca="false">IFERROR(B118/B114-1,"")</f>
        <v/>
      </c>
      <c r="E118" s="19" t="str">
        <f aca="false">IFERROR(IF(B118="",IFERROR(GROWTH($B$104:$B$191,$A$104:$A$191,$A118),TREND($B$104:$B$191,$A$104:$A$191,$A118)),""),"")</f>
        <v/>
      </c>
      <c r="F118" s="19" t="str">
        <f aca="false">IFERROR(forecast.ets($A118,$B$104:$B$191,$A$104:$A$191,4,1,1),"")</f>
        <v/>
      </c>
      <c r="G118" s="19" t="str">
        <f aca="false">IFERROR(F118-forecast.ets.confint($A118,$B$104:$B$191,$A$104:$A$191,0.95,4,1,1),"")</f>
        <v/>
      </c>
      <c r="H118" s="19" t="str">
        <f aca="false">IFERROR(F118+forecast.ets.confint($A118,$B$104:$B$191,$A$104:$A$191,0.95,4,1,1),"")</f>
        <v/>
      </c>
      <c r="J118" s="20" t="n">
        <v>2022</v>
      </c>
      <c r="K118" s="19" t="n">
        <f aca="false">IFERROR(SUMIFS($B$104:$B$191,$A$104:$A$191,"&gt;="&amp;DATE(J118,1,1),$A$104:$A$191,"&lt;="&amp;DATE(J118,12,31)),"")</f>
        <v>0</v>
      </c>
      <c r="L118" s="18" t="str">
        <f aca="false">IFERROR(K118/K117-1,"")</f>
        <v/>
      </c>
      <c r="M118" s="19" t="n">
        <f aca="false">IFERROR(SUMIFS($F$104:$F$191,$A$104:$A$191,"&gt;="&amp;DATE(J118,1,1),$A$104:$A$191,"&lt;="&amp;DATE(J118,12,31)),"")</f>
        <v>0</v>
      </c>
    </row>
    <row r="119" customFormat="false" ht="15" hidden="false" customHeight="false" outlineLevel="0" collapsed="false">
      <c r="A119" s="21" t="n">
        <v>40817</v>
      </c>
      <c r="B119" s="22" t="str">
        <f aca="false">IFERROR(haverdata(Codes!$D$12,$A119),"")</f>
        <v/>
      </c>
      <c r="C119" s="23" t="str">
        <f aca="false">IFERROR(B119/B118-1,"")</f>
        <v/>
      </c>
      <c r="D119" s="23" t="str">
        <f aca="false">IFERROR(B119/B115-1,"")</f>
        <v/>
      </c>
      <c r="E119" s="24" t="str">
        <f aca="false">IFERROR(IF(B119="",IFERROR(GROWTH($B$104:$B$191,$A$104:$A$191,$A119),TREND($B$104:$B$191,$A$104:$A$191,$A119)),""),"")</f>
        <v/>
      </c>
      <c r="F119" s="24" t="str">
        <f aca="false">IFERROR(forecast.ets($A119,$B$104:$B$191,$A$104:$A$191,4,1,1),"")</f>
        <v/>
      </c>
      <c r="G119" s="24" t="str">
        <f aca="false">IFERROR(F119-forecast.ets.confint($A119,$B$104:$B$191,$A$104:$A$191,0.95,4,1,1),"")</f>
        <v/>
      </c>
      <c r="H119" s="24" t="str">
        <f aca="false">IFERROR(F119+forecast.ets.confint($A119,$B$104:$B$191,$A$104:$A$191,0.95,4,1,1),"")</f>
        <v/>
      </c>
      <c r="J119" s="25" t="n">
        <v>2023</v>
      </c>
      <c r="K119" s="24" t="n">
        <f aca="false">IFERROR(SUMIFS($B$104:$B$191,$A$104:$A$191,"&gt;="&amp;DATE(J119,1,1),$A$104:$A$191,"&lt;="&amp;DATE(J119,12,31)),"")</f>
        <v>0</v>
      </c>
      <c r="L119" s="23" t="str">
        <f aca="false">IFERROR(K119/K118-1,"")</f>
        <v/>
      </c>
      <c r="M119" s="24" t="n">
        <f aca="false">IFERROR(SUMIFS($F$104:$F$191,$A$104:$A$191,"&gt;="&amp;DATE(J119,1,1),$A$104:$A$191,"&lt;="&amp;DATE(J119,12,31)),"")</f>
        <v>0</v>
      </c>
    </row>
    <row r="120" customFormat="false" ht="15" hidden="false" customHeight="false" outlineLevel="0" collapsed="false">
      <c r="A120" s="16" t="n">
        <v>40909</v>
      </c>
      <c r="B120" s="17" t="str">
        <f aca="false">IFERROR(haverdata(Codes!$D$12,$A120),"")</f>
        <v/>
      </c>
      <c r="C120" s="18" t="str">
        <f aca="false">IFERROR(B120/B119-1,"")</f>
        <v/>
      </c>
      <c r="D120" s="18" t="str">
        <f aca="false">IFERROR(B120/B116-1,"")</f>
        <v/>
      </c>
      <c r="E120" s="19" t="str">
        <f aca="false">IFERROR(IF(B120="",IFERROR(GROWTH($B$104:$B$191,$A$104:$A$191,$A120),TREND($B$104:$B$191,$A$104:$A$191,$A120)),""),"")</f>
        <v/>
      </c>
      <c r="F120" s="19" t="str">
        <f aca="false">IFERROR(forecast.ets($A120,$B$104:$B$191,$A$104:$A$191,4,1,1),"")</f>
        <v/>
      </c>
      <c r="G120" s="19" t="str">
        <f aca="false">IFERROR(F120-forecast.ets.confint($A120,$B$104:$B$191,$A$104:$A$191,0.95,4,1,1),"")</f>
        <v/>
      </c>
      <c r="H120" s="19" t="str">
        <f aca="false">IFERROR(F120+forecast.ets.confint($A120,$B$104:$B$191,$A$104:$A$191,0.95,4,1,1),"")</f>
        <v/>
      </c>
      <c r="J120" s="20" t="n">
        <v>2024</v>
      </c>
      <c r="K120" s="19" t="n">
        <f aca="false">IFERROR(SUMIFS($B$104:$B$191,$A$104:$A$191,"&gt;="&amp;DATE(J120,1,1),$A$104:$A$191,"&lt;="&amp;DATE(J120,12,31)),"")</f>
        <v>0</v>
      </c>
      <c r="L120" s="18" t="str">
        <f aca="false">IFERROR(K120/K119-1,"")</f>
        <v/>
      </c>
      <c r="M120" s="19" t="n">
        <f aca="false">IFERROR(SUMIFS($F$104:$F$191,$A$104:$A$191,"&gt;="&amp;DATE(J120,1,1),$A$104:$A$191,"&lt;="&amp;DATE(J120,12,31)),"")</f>
        <v>0</v>
      </c>
    </row>
    <row r="121" customFormat="false" ht="15" hidden="false" customHeight="false" outlineLevel="0" collapsed="false">
      <c r="A121" s="21" t="n">
        <v>41000</v>
      </c>
      <c r="B121" s="22" t="str">
        <f aca="false">IFERROR(haverdata(Codes!$D$12,$A121),"")</f>
        <v/>
      </c>
      <c r="C121" s="23" t="str">
        <f aca="false">IFERROR(B121/B120-1,"")</f>
        <v/>
      </c>
      <c r="D121" s="23" t="str">
        <f aca="false">IFERROR(B121/B117-1,"")</f>
        <v/>
      </c>
      <c r="E121" s="24" t="str">
        <f aca="false">IFERROR(IF(B121="",IFERROR(GROWTH($B$104:$B$191,$A$104:$A$191,$A121),TREND($B$104:$B$191,$A$104:$A$191,$A121)),""),"")</f>
        <v/>
      </c>
      <c r="F121" s="24" t="str">
        <f aca="false">IFERROR(forecast.ets($A121,$B$104:$B$191,$A$104:$A$191,4,1,1),"")</f>
        <v/>
      </c>
      <c r="G121" s="24" t="str">
        <f aca="false">IFERROR(F121-forecast.ets.confint($A121,$B$104:$B$191,$A$104:$A$191,0.95,4,1,1),"")</f>
        <v/>
      </c>
      <c r="H121" s="24" t="str">
        <f aca="false">IFERROR(F121+forecast.ets.confint($A121,$B$104:$B$191,$A$104:$A$191,0.95,4,1,1),"")</f>
        <v/>
      </c>
      <c r="J121" s="25" t="n">
        <v>2025</v>
      </c>
      <c r="K121" s="24" t="n">
        <f aca="false">IFERROR(SUMIFS($B$104:$B$191,$A$104:$A$191,"&gt;="&amp;DATE(J121,1,1),$A$104:$A$191,"&lt;="&amp;DATE(J121,12,31)),"")</f>
        <v>0</v>
      </c>
      <c r="L121" s="23" t="str">
        <f aca="false">IFERROR(K121/K120-1,"")</f>
        <v/>
      </c>
      <c r="M121" s="24" t="n">
        <f aca="false">IFERROR(SUMIFS($F$104:$F$191,$A$104:$A$191,"&gt;="&amp;DATE(J121,1,1),$A$104:$A$191,"&lt;="&amp;DATE(J121,12,31)),"")</f>
        <v>0</v>
      </c>
    </row>
    <row r="122" customFormat="false" ht="15" hidden="false" customHeight="false" outlineLevel="0" collapsed="false">
      <c r="A122" s="16" t="n">
        <v>41091</v>
      </c>
      <c r="B122" s="17" t="str">
        <f aca="false">IFERROR(haverdata(Codes!$D$12,$A122),"")</f>
        <v/>
      </c>
      <c r="C122" s="18" t="str">
        <f aca="false">IFERROR(B122/B121-1,"")</f>
        <v/>
      </c>
      <c r="D122" s="18" t="str">
        <f aca="false">IFERROR(B122/B118-1,"")</f>
        <v/>
      </c>
      <c r="E122" s="19" t="str">
        <f aca="false">IFERROR(IF(B122="",IFERROR(GROWTH($B$104:$B$191,$A$104:$A$191,$A122),TREND($B$104:$B$191,$A$104:$A$191,$A122)),""),"")</f>
        <v/>
      </c>
      <c r="F122" s="19" t="str">
        <f aca="false">IFERROR(forecast.ets($A122,$B$104:$B$191,$A$104:$A$191,4,1,1),"")</f>
        <v/>
      </c>
      <c r="G122" s="19" t="str">
        <f aca="false">IFERROR(F122-forecast.ets.confint($A122,$B$104:$B$191,$A$104:$A$191,0.95,4,1,1),"")</f>
        <v/>
      </c>
      <c r="H122" s="19" t="str">
        <f aca="false">IFERROR(F122+forecast.ets.confint($A122,$B$104:$B$191,$A$104:$A$191,0.95,4,1,1),"")</f>
        <v/>
      </c>
      <c r="J122" s="20" t="n">
        <v>2026</v>
      </c>
      <c r="K122" s="19" t="n">
        <f aca="false">IFERROR(SUMIFS($B$104:$B$191,$A$104:$A$191,"&gt;="&amp;DATE(J122,1,1),$A$104:$A$191,"&lt;="&amp;DATE(J122,12,31)),"")</f>
        <v>0</v>
      </c>
      <c r="L122" s="18" t="str">
        <f aca="false">IFERROR(K122/K121-1,"")</f>
        <v/>
      </c>
      <c r="M122" s="19" t="n">
        <f aca="false">IFERROR(SUMIFS($F$104:$F$191,$A$104:$A$191,"&gt;="&amp;DATE(J122,1,1),$A$104:$A$191,"&lt;="&amp;DATE(J122,12,31)),"")</f>
        <v>0</v>
      </c>
    </row>
    <row r="123" customFormat="false" ht="15" hidden="false" customHeight="false" outlineLevel="0" collapsed="false">
      <c r="A123" s="21" t="n">
        <v>41183</v>
      </c>
      <c r="B123" s="22" t="str">
        <f aca="false">IFERROR(haverdata(Codes!$D$12,$A123),"")</f>
        <v/>
      </c>
      <c r="C123" s="23" t="str">
        <f aca="false">IFERROR(B123/B122-1,"")</f>
        <v/>
      </c>
      <c r="D123" s="23" t="str">
        <f aca="false">IFERROR(B123/B119-1,"")</f>
        <v/>
      </c>
      <c r="E123" s="24" t="str">
        <f aca="false">IFERROR(IF(B123="",IFERROR(GROWTH($B$104:$B$191,$A$104:$A$191,$A123),TREND($B$104:$B$191,$A$104:$A$191,$A123)),""),"")</f>
        <v/>
      </c>
      <c r="F123" s="24" t="str">
        <f aca="false">IFERROR(forecast.ets($A123,$B$104:$B$191,$A$104:$A$191,4,1,1),"")</f>
        <v/>
      </c>
      <c r="G123" s="24" t="str">
        <f aca="false">IFERROR(F123-forecast.ets.confint($A123,$B$104:$B$191,$A$104:$A$191,0.95,4,1,1),"")</f>
        <v/>
      </c>
      <c r="H123" s="24" t="str">
        <f aca="false">IFERROR(F123+forecast.ets.confint($A123,$B$104:$B$191,$A$104:$A$191,0.95,4,1,1),"")</f>
        <v/>
      </c>
      <c r="J123" s="25" t="n">
        <v>2027</v>
      </c>
      <c r="K123" s="24" t="n">
        <f aca="false">IFERROR(SUMIFS($B$104:$B$191,$A$104:$A$191,"&gt;="&amp;DATE(J123,1,1),$A$104:$A$191,"&lt;="&amp;DATE(J123,12,31)),"")</f>
        <v>0</v>
      </c>
      <c r="L123" s="23" t="str">
        <f aca="false">IFERROR(K123/K122-1,"")</f>
        <v/>
      </c>
      <c r="M123" s="24" t="n">
        <f aca="false">IFERROR(SUMIFS($F$104:$F$191,$A$104:$A$191,"&gt;="&amp;DATE(J123,1,1),$A$104:$A$191,"&lt;="&amp;DATE(J123,12,31)),"")</f>
        <v>0</v>
      </c>
    </row>
    <row r="124" customFormat="false" ht="15" hidden="false" customHeight="false" outlineLevel="0" collapsed="false">
      <c r="A124" s="16" t="n">
        <v>41275</v>
      </c>
      <c r="B124" s="17" t="str">
        <f aca="false">IFERROR(haverdata(Codes!$D$12,$A124),"")</f>
        <v/>
      </c>
      <c r="C124" s="18" t="str">
        <f aca="false">IFERROR(B124/B123-1,"")</f>
        <v/>
      </c>
      <c r="D124" s="18" t="str">
        <f aca="false">IFERROR(B124/B120-1,"")</f>
        <v/>
      </c>
      <c r="E124" s="19" t="str">
        <f aca="false">IFERROR(IF(B124="",IFERROR(GROWTH($B$104:$B$191,$A$104:$A$191,$A124),TREND($B$104:$B$191,$A$104:$A$191,$A124)),""),"")</f>
        <v/>
      </c>
      <c r="F124" s="19" t="str">
        <f aca="false">IFERROR(forecast.ets($A124,$B$104:$B$191,$A$104:$A$191,4,1,1),"")</f>
        <v/>
      </c>
      <c r="G124" s="19" t="str">
        <f aca="false">IFERROR(F124-forecast.ets.confint($A124,$B$104:$B$191,$A$104:$A$191,0.95,4,1,1),"")</f>
        <v/>
      </c>
      <c r="H124" s="19" t="str">
        <f aca="false">IFERROR(F124+forecast.ets.confint($A124,$B$104:$B$191,$A$104:$A$191,0.95,4,1,1),"")</f>
        <v/>
      </c>
      <c r="J124" s="20" t="n">
        <v>2028</v>
      </c>
      <c r="K124" s="19" t="n">
        <f aca="false">IFERROR(SUMIFS($B$104:$B$191,$A$104:$A$191,"&gt;="&amp;DATE(J124,1,1),$A$104:$A$191,"&lt;="&amp;DATE(J124,12,31)),"")</f>
        <v>0</v>
      </c>
      <c r="L124" s="18" t="str">
        <f aca="false">IFERROR(K124/K123-1,"")</f>
        <v/>
      </c>
      <c r="M124" s="19" t="n">
        <f aca="false">IFERROR(SUMIFS($F$104:$F$191,$A$104:$A$191,"&gt;="&amp;DATE(J124,1,1),$A$104:$A$191,"&lt;="&amp;DATE(J124,12,31)),"")</f>
        <v>0</v>
      </c>
    </row>
    <row r="125" customFormat="false" ht="15" hidden="false" customHeight="false" outlineLevel="0" collapsed="false">
      <c r="A125" s="21" t="n">
        <v>41365</v>
      </c>
      <c r="B125" s="22" t="str">
        <f aca="false">IFERROR(haverdata(Codes!$D$12,$A125),"")</f>
        <v/>
      </c>
      <c r="C125" s="23" t="str">
        <f aca="false">IFERROR(B125/B124-1,"")</f>
        <v/>
      </c>
      <c r="D125" s="23" t="str">
        <f aca="false">IFERROR(B125/B121-1,"")</f>
        <v/>
      </c>
      <c r="E125" s="24" t="str">
        <f aca="false">IFERROR(IF(B125="",IFERROR(GROWTH($B$104:$B$191,$A$104:$A$191,$A125),TREND($B$104:$B$191,$A$104:$A$191,$A125)),""),"")</f>
        <v/>
      </c>
      <c r="F125" s="24" t="str">
        <f aca="false">IFERROR(forecast.ets($A125,$B$104:$B$191,$A$104:$A$191,4,1,1),"")</f>
        <v/>
      </c>
      <c r="G125" s="24" t="str">
        <f aca="false">IFERROR(F125-forecast.ets.confint($A125,$B$104:$B$191,$A$104:$A$191,0.95,4,1,1),"")</f>
        <v/>
      </c>
      <c r="H125" s="24" t="str">
        <f aca="false">IFERROR(F125+forecast.ets.confint($A125,$B$104:$B$191,$A$104:$A$191,0.95,4,1,1),"")</f>
        <v/>
      </c>
      <c r="J125" s="25" t="n">
        <v>2029</v>
      </c>
      <c r="K125" s="24" t="n">
        <f aca="false">IFERROR(SUMIFS($B$104:$B$191,$A$104:$A$191,"&gt;="&amp;DATE(J125,1,1),$A$104:$A$191,"&lt;="&amp;DATE(J125,12,31)),"")</f>
        <v>0</v>
      </c>
      <c r="L125" s="23" t="str">
        <f aca="false">IFERROR(K125/K124-1,"")</f>
        <v/>
      </c>
      <c r="M125" s="24" t="n">
        <f aca="false">IFERROR(SUMIFS($F$104:$F$191,$A$104:$A$191,"&gt;="&amp;DATE(J125,1,1),$A$104:$A$191,"&lt;="&amp;DATE(J125,12,31)),"")</f>
        <v>0</v>
      </c>
    </row>
    <row r="126" customFormat="false" ht="15" hidden="false" customHeight="false" outlineLevel="0" collapsed="false">
      <c r="A126" s="16" t="n">
        <v>41456</v>
      </c>
      <c r="B126" s="17" t="str">
        <f aca="false">IFERROR(haverdata(Codes!$D$12,$A126),"")</f>
        <v/>
      </c>
      <c r="C126" s="18" t="str">
        <f aca="false">IFERROR(B126/B125-1,"")</f>
        <v/>
      </c>
      <c r="D126" s="18" t="str">
        <f aca="false">IFERROR(B126/B122-1,"")</f>
        <v/>
      </c>
      <c r="E126" s="19" t="str">
        <f aca="false">IFERROR(IF(B126="",IFERROR(GROWTH($B$104:$B$191,$A$104:$A$191,$A126),TREND($B$104:$B$191,$A$104:$A$191,$A126)),""),"")</f>
        <v/>
      </c>
      <c r="F126" s="19" t="str">
        <f aca="false">IFERROR(forecast.ets($A126,$B$104:$B$191,$A$104:$A$191,4,1,1),"")</f>
        <v/>
      </c>
      <c r="G126" s="19" t="str">
        <f aca="false">IFERROR(F126-forecast.ets.confint($A126,$B$104:$B$191,$A$104:$A$191,0.95,4,1,1),"")</f>
        <v/>
      </c>
      <c r="H126" s="19" t="str">
        <f aca="false">IFERROR(F126+forecast.ets.confint($A126,$B$104:$B$191,$A$104:$A$191,0.95,4,1,1),"")</f>
        <v/>
      </c>
    </row>
    <row r="127" customFormat="false" ht="15" hidden="false" customHeight="false" outlineLevel="0" collapsed="false">
      <c r="A127" s="21" t="n">
        <v>41548</v>
      </c>
      <c r="B127" s="22" t="str">
        <f aca="false">IFERROR(haverdata(Codes!$D$12,$A127),"")</f>
        <v/>
      </c>
      <c r="C127" s="23" t="str">
        <f aca="false">IFERROR(B127/B126-1,"")</f>
        <v/>
      </c>
      <c r="D127" s="23" t="str">
        <f aca="false">IFERROR(B127/B123-1,"")</f>
        <v/>
      </c>
      <c r="E127" s="24" t="str">
        <f aca="false">IFERROR(IF(B127="",IFERROR(GROWTH($B$104:$B$191,$A$104:$A$191,$A127),TREND($B$104:$B$191,$A$104:$A$191,$A127)),""),"")</f>
        <v/>
      </c>
      <c r="F127" s="24" t="str">
        <f aca="false">IFERROR(forecast.ets($A127,$B$104:$B$191,$A$104:$A$191,4,1,1),"")</f>
        <v/>
      </c>
      <c r="G127" s="24" t="str">
        <f aca="false">IFERROR(F127-forecast.ets.confint($A127,$B$104:$B$191,$A$104:$A$191,0.95,4,1,1),"")</f>
        <v/>
      </c>
      <c r="H127" s="24" t="str">
        <f aca="false">IFERROR(F127+forecast.ets.confint($A127,$B$104:$B$191,$A$104:$A$191,0.95,4,1,1),"")</f>
        <v/>
      </c>
    </row>
    <row r="128" customFormat="false" ht="15" hidden="false" customHeight="false" outlineLevel="0" collapsed="false">
      <c r="A128" s="16" t="n">
        <v>41640</v>
      </c>
      <c r="B128" s="17" t="str">
        <f aca="false">IFERROR(haverdata(Codes!$D$12,$A128),"")</f>
        <v/>
      </c>
      <c r="C128" s="18" t="str">
        <f aca="false">IFERROR(B128/B127-1,"")</f>
        <v/>
      </c>
      <c r="D128" s="18" t="str">
        <f aca="false">IFERROR(B128/B124-1,"")</f>
        <v/>
      </c>
      <c r="E128" s="19" t="str">
        <f aca="false">IFERROR(IF(B128="",IFERROR(GROWTH($B$104:$B$191,$A$104:$A$191,$A128),TREND($B$104:$B$191,$A$104:$A$191,$A128)),""),"")</f>
        <v/>
      </c>
      <c r="F128" s="19" t="str">
        <f aca="false">IFERROR(forecast.ets($A128,$B$104:$B$191,$A$104:$A$191,4,1,1),"")</f>
        <v/>
      </c>
      <c r="G128" s="19" t="str">
        <f aca="false">IFERROR(F128-forecast.ets.confint($A128,$B$104:$B$191,$A$104:$A$191,0.95,4,1,1),"")</f>
        <v/>
      </c>
      <c r="H128" s="19" t="str">
        <f aca="false">IFERROR(F128+forecast.ets.confint($A128,$B$104:$B$191,$A$104:$A$191,0.95,4,1,1),"")</f>
        <v/>
      </c>
    </row>
    <row r="129" customFormat="false" ht="15" hidden="false" customHeight="false" outlineLevel="0" collapsed="false">
      <c r="A129" s="21" t="n">
        <v>41730</v>
      </c>
      <c r="B129" s="22" t="str">
        <f aca="false">IFERROR(haverdata(Codes!$D$12,$A129),"")</f>
        <v/>
      </c>
      <c r="C129" s="23" t="str">
        <f aca="false">IFERROR(B129/B128-1,"")</f>
        <v/>
      </c>
      <c r="D129" s="23" t="str">
        <f aca="false">IFERROR(B129/B125-1,"")</f>
        <v/>
      </c>
      <c r="E129" s="24" t="str">
        <f aca="false">IFERROR(IF(B129="",IFERROR(GROWTH($B$104:$B$191,$A$104:$A$191,$A129),TREND($B$104:$B$191,$A$104:$A$191,$A129)),""),"")</f>
        <v/>
      </c>
      <c r="F129" s="24" t="str">
        <f aca="false">IFERROR(forecast.ets($A129,$B$104:$B$191,$A$104:$A$191,4,1,1),"")</f>
        <v/>
      </c>
      <c r="G129" s="24" t="str">
        <f aca="false">IFERROR(F129-forecast.ets.confint($A129,$B$104:$B$191,$A$104:$A$191,0.95,4,1,1),"")</f>
        <v/>
      </c>
      <c r="H129" s="24" t="str">
        <f aca="false">IFERROR(F129+forecast.ets.confint($A129,$B$104:$B$191,$A$104:$A$191,0.95,4,1,1),"")</f>
        <v/>
      </c>
    </row>
    <row r="130" customFormat="false" ht="15" hidden="false" customHeight="false" outlineLevel="0" collapsed="false">
      <c r="A130" s="16" t="n">
        <v>41821</v>
      </c>
      <c r="B130" s="17" t="str">
        <f aca="false">IFERROR(haverdata(Codes!$D$12,$A130),"")</f>
        <v/>
      </c>
      <c r="C130" s="18" t="str">
        <f aca="false">IFERROR(B130/B129-1,"")</f>
        <v/>
      </c>
      <c r="D130" s="18" t="str">
        <f aca="false">IFERROR(B130/B126-1,"")</f>
        <v/>
      </c>
      <c r="E130" s="19" t="str">
        <f aca="false">IFERROR(IF(B130="",IFERROR(GROWTH($B$104:$B$191,$A$104:$A$191,$A130),TREND($B$104:$B$191,$A$104:$A$191,$A130)),""),"")</f>
        <v/>
      </c>
      <c r="F130" s="19" t="str">
        <f aca="false">IFERROR(forecast.ets($A130,$B$104:$B$191,$A$104:$A$191,4,1,1),"")</f>
        <v/>
      </c>
      <c r="G130" s="19" t="str">
        <f aca="false">IFERROR(F130-forecast.ets.confint($A130,$B$104:$B$191,$A$104:$A$191,0.95,4,1,1),"")</f>
        <v/>
      </c>
      <c r="H130" s="19" t="str">
        <f aca="false">IFERROR(F130+forecast.ets.confint($A130,$B$104:$B$191,$A$104:$A$191,0.95,4,1,1),"")</f>
        <v/>
      </c>
    </row>
    <row r="131" customFormat="false" ht="15" hidden="false" customHeight="false" outlineLevel="0" collapsed="false">
      <c r="A131" s="21" t="n">
        <v>41913</v>
      </c>
      <c r="B131" s="22" t="str">
        <f aca="false">IFERROR(haverdata(Codes!$D$12,$A131),"")</f>
        <v/>
      </c>
      <c r="C131" s="23" t="str">
        <f aca="false">IFERROR(B131/B130-1,"")</f>
        <v/>
      </c>
      <c r="D131" s="23" t="str">
        <f aca="false">IFERROR(B131/B127-1,"")</f>
        <v/>
      </c>
      <c r="E131" s="24" t="str">
        <f aca="false">IFERROR(IF(B131="",IFERROR(GROWTH($B$104:$B$191,$A$104:$A$191,$A131),TREND($B$104:$B$191,$A$104:$A$191,$A131)),""),"")</f>
        <v/>
      </c>
      <c r="F131" s="24" t="str">
        <f aca="false">IFERROR(forecast.ets($A131,$B$104:$B$191,$A$104:$A$191,4,1,1),"")</f>
        <v/>
      </c>
      <c r="G131" s="24" t="str">
        <f aca="false">IFERROR(F131-forecast.ets.confint($A131,$B$104:$B$191,$A$104:$A$191,0.95,4,1,1),"")</f>
        <v/>
      </c>
      <c r="H131" s="24" t="str">
        <f aca="false">IFERROR(F131+forecast.ets.confint($A131,$B$104:$B$191,$A$104:$A$191,0.95,4,1,1),"")</f>
        <v/>
      </c>
    </row>
    <row r="132" customFormat="false" ht="15" hidden="false" customHeight="false" outlineLevel="0" collapsed="false">
      <c r="A132" s="16" t="n">
        <v>42005</v>
      </c>
      <c r="B132" s="17" t="str">
        <f aca="false">IFERROR(haverdata(Codes!$D$12,$A132),"")</f>
        <v/>
      </c>
      <c r="C132" s="18" t="str">
        <f aca="false">IFERROR(B132/B131-1,"")</f>
        <v/>
      </c>
      <c r="D132" s="18" t="str">
        <f aca="false">IFERROR(B132/B128-1,"")</f>
        <v/>
      </c>
      <c r="E132" s="19" t="str">
        <f aca="false">IFERROR(IF(B132="",IFERROR(GROWTH($B$104:$B$191,$A$104:$A$191,$A132),TREND($B$104:$B$191,$A$104:$A$191,$A132)),""),"")</f>
        <v/>
      </c>
      <c r="F132" s="19" t="str">
        <f aca="false">IFERROR(forecast.ets($A132,$B$104:$B$191,$A$104:$A$191,4,1,1),"")</f>
        <v/>
      </c>
      <c r="G132" s="19" t="str">
        <f aca="false">IFERROR(F132-forecast.ets.confint($A132,$B$104:$B$191,$A$104:$A$191,0.95,4,1,1),"")</f>
        <v/>
      </c>
      <c r="H132" s="19" t="str">
        <f aca="false">IFERROR(F132+forecast.ets.confint($A132,$B$104:$B$191,$A$104:$A$191,0.95,4,1,1),"")</f>
        <v/>
      </c>
    </row>
    <row r="133" customFormat="false" ht="15" hidden="false" customHeight="false" outlineLevel="0" collapsed="false">
      <c r="A133" s="21" t="n">
        <v>42095</v>
      </c>
      <c r="B133" s="22" t="str">
        <f aca="false">IFERROR(haverdata(Codes!$D$12,$A133),"")</f>
        <v/>
      </c>
      <c r="C133" s="23" t="str">
        <f aca="false">IFERROR(B133/B132-1,"")</f>
        <v/>
      </c>
      <c r="D133" s="23" t="str">
        <f aca="false">IFERROR(B133/B129-1,"")</f>
        <v/>
      </c>
      <c r="E133" s="24" t="str">
        <f aca="false">IFERROR(IF(B133="",IFERROR(GROWTH($B$104:$B$191,$A$104:$A$191,$A133),TREND($B$104:$B$191,$A$104:$A$191,$A133)),""),"")</f>
        <v/>
      </c>
      <c r="F133" s="24" t="str">
        <f aca="false">IFERROR(forecast.ets($A133,$B$104:$B$191,$A$104:$A$191,4,1,1),"")</f>
        <v/>
      </c>
      <c r="G133" s="24" t="str">
        <f aca="false">IFERROR(F133-forecast.ets.confint($A133,$B$104:$B$191,$A$104:$A$191,0.95,4,1,1),"")</f>
        <v/>
      </c>
      <c r="H133" s="24" t="str">
        <f aca="false">IFERROR(F133+forecast.ets.confint($A133,$B$104:$B$191,$A$104:$A$191,0.95,4,1,1),"")</f>
        <v/>
      </c>
    </row>
    <row r="134" customFormat="false" ht="15" hidden="false" customHeight="false" outlineLevel="0" collapsed="false">
      <c r="A134" s="16" t="n">
        <v>42186</v>
      </c>
      <c r="B134" s="17" t="str">
        <f aca="false">IFERROR(haverdata(Codes!$D$12,$A134),"")</f>
        <v/>
      </c>
      <c r="C134" s="18" t="str">
        <f aca="false">IFERROR(B134/B133-1,"")</f>
        <v/>
      </c>
      <c r="D134" s="18" t="str">
        <f aca="false">IFERROR(B134/B130-1,"")</f>
        <v/>
      </c>
      <c r="E134" s="19" t="str">
        <f aca="false">IFERROR(IF(B134="",IFERROR(GROWTH($B$104:$B$191,$A$104:$A$191,$A134),TREND($B$104:$B$191,$A$104:$A$191,$A134)),""),"")</f>
        <v/>
      </c>
      <c r="F134" s="19" t="str">
        <f aca="false">IFERROR(forecast.ets($A134,$B$104:$B$191,$A$104:$A$191,4,1,1),"")</f>
        <v/>
      </c>
      <c r="G134" s="19" t="str">
        <f aca="false">IFERROR(F134-forecast.ets.confint($A134,$B$104:$B$191,$A$104:$A$191,0.95,4,1,1),"")</f>
        <v/>
      </c>
      <c r="H134" s="19" t="str">
        <f aca="false">IFERROR(F134+forecast.ets.confint($A134,$B$104:$B$191,$A$104:$A$191,0.95,4,1,1),"")</f>
        <v/>
      </c>
    </row>
    <row r="135" customFormat="false" ht="15" hidden="false" customHeight="false" outlineLevel="0" collapsed="false">
      <c r="A135" s="21" t="n">
        <v>42278</v>
      </c>
      <c r="B135" s="22" t="str">
        <f aca="false">IFERROR(haverdata(Codes!$D$12,$A135),"")</f>
        <v/>
      </c>
      <c r="C135" s="23" t="str">
        <f aca="false">IFERROR(B135/B134-1,"")</f>
        <v/>
      </c>
      <c r="D135" s="23" t="str">
        <f aca="false">IFERROR(B135/B131-1,"")</f>
        <v/>
      </c>
      <c r="E135" s="24" t="str">
        <f aca="false">IFERROR(IF(B135="",IFERROR(GROWTH($B$104:$B$191,$A$104:$A$191,$A135),TREND($B$104:$B$191,$A$104:$A$191,$A135)),""),"")</f>
        <v/>
      </c>
      <c r="F135" s="24" t="str">
        <f aca="false">IFERROR(forecast.ets($A135,$B$104:$B$191,$A$104:$A$191,4,1,1),"")</f>
        <v/>
      </c>
      <c r="G135" s="24" t="str">
        <f aca="false">IFERROR(F135-forecast.ets.confint($A135,$B$104:$B$191,$A$104:$A$191,0.95,4,1,1),"")</f>
        <v/>
      </c>
      <c r="H135" s="24" t="str">
        <f aca="false">IFERROR(F135+forecast.ets.confint($A135,$B$104:$B$191,$A$104:$A$191,0.95,4,1,1),"")</f>
        <v/>
      </c>
    </row>
    <row r="136" customFormat="false" ht="15" hidden="false" customHeight="false" outlineLevel="0" collapsed="false">
      <c r="A136" s="16" t="n">
        <v>42370</v>
      </c>
      <c r="B136" s="17" t="str">
        <f aca="false">IFERROR(haverdata(Codes!$D$12,$A136),"")</f>
        <v/>
      </c>
      <c r="C136" s="18" t="str">
        <f aca="false">IFERROR(B136/B135-1,"")</f>
        <v/>
      </c>
      <c r="D136" s="18" t="str">
        <f aca="false">IFERROR(B136/B132-1,"")</f>
        <v/>
      </c>
      <c r="E136" s="19" t="str">
        <f aca="false">IFERROR(IF(B136="",IFERROR(GROWTH($B$104:$B$191,$A$104:$A$191,$A136),TREND($B$104:$B$191,$A$104:$A$191,$A136)),""),"")</f>
        <v/>
      </c>
      <c r="F136" s="19" t="str">
        <f aca="false">IFERROR(forecast.ets($A136,$B$104:$B$191,$A$104:$A$191,4,1,1),"")</f>
        <v/>
      </c>
      <c r="G136" s="19" t="str">
        <f aca="false">IFERROR(F136-forecast.ets.confint($A136,$B$104:$B$191,$A$104:$A$191,0.95,4,1,1),"")</f>
        <v/>
      </c>
      <c r="H136" s="19" t="str">
        <f aca="false">IFERROR(F136+forecast.ets.confint($A136,$B$104:$B$191,$A$104:$A$191,0.95,4,1,1),"")</f>
        <v/>
      </c>
    </row>
    <row r="137" customFormat="false" ht="15" hidden="false" customHeight="false" outlineLevel="0" collapsed="false">
      <c r="A137" s="21" t="n">
        <v>42461</v>
      </c>
      <c r="B137" s="22" t="str">
        <f aca="false">IFERROR(haverdata(Codes!$D$12,$A137),"")</f>
        <v/>
      </c>
      <c r="C137" s="23" t="str">
        <f aca="false">IFERROR(B137/B136-1,"")</f>
        <v/>
      </c>
      <c r="D137" s="23" t="str">
        <f aca="false">IFERROR(B137/B133-1,"")</f>
        <v/>
      </c>
      <c r="E137" s="24" t="str">
        <f aca="false">IFERROR(IF(B137="",IFERROR(GROWTH($B$104:$B$191,$A$104:$A$191,$A137),TREND($B$104:$B$191,$A$104:$A$191,$A137)),""),"")</f>
        <v/>
      </c>
      <c r="F137" s="24" t="str">
        <f aca="false">IFERROR(forecast.ets($A137,$B$104:$B$191,$A$104:$A$191,4,1,1),"")</f>
        <v/>
      </c>
      <c r="G137" s="24" t="str">
        <f aca="false">IFERROR(F137-forecast.ets.confint($A137,$B$104:$B$191,$A$104:$A$191,0.95,4,1,1),"")</f>
        <v/>
      </c>
      <c r="H137" s="24" t="str">
        <f aca="false">IFERROR(F137+forecast.ets.confint($A137,$B$104:$B$191,$A$104:$A$191,0.95,4,1,1),"")</f>
        <v/>
      </c>
    </row>
    <row r="138" customFormat="false" ht="15" hidden="false" customHeight="false" outlineLevel="0" collapsed="false">
      <c r="A138" s="16" t="n">
        <v>42552</v>
      </c>
      <c r="B138" s="17" t="str">
        <f aca="false">IFERROR(haverdata(Codes!$D$12,$A138),"")</f>
        <v/>
      </c>
      <c r="C138" s="18" t="str">
        <f aca="false">IFERROR(B138/B137-1,"")</f>
        <v/>
      </c>
      <c r="D138" s="18" t="str">
        <f aca="false">IFERROR(B138/B134-1,"")</f>
        <v/>
      </c>
      <c r="E138" s="19" t="str">
        <f aca="false">IFERROR(IF(B138="",IFERROR(GROWTH($B$104:$B$191,$A$104:$A$191,$A138),TREND($B$104:$B$191,$A$104:$A$191,$A138)),""),"")</f>
        <v/>
      </c>
      <c r="F138" s="19" t="str">
        <f aca="false">IFERROR(forecast.ets($A138,$B$104:$B$191,$A$104:$A$191,4,1,1),"")</f>
        <v/>
      </c>
      <c r="G138" s="19" t="str">
        <f aca="false">IFERROR(F138-forecast.ets.confint($A138,$B$104:$B$191,$A$104:$A$191,0.95,4,1,1),"")</f>
        <v/>
      </c>
      <c r="H138" s="19" t="str">
        <f aca="false">IFERROR(F138+forecast.ets.confint($A138,$B$104:$B$191,$A$104:$A$191,0.95,4,1,1),"")</f>
        <v/>
      </c>
    </row>
    <row r="139" customFormat="false" ht="15" hidden="false" customHeight="false" outlineLevel="0" collapsed="false">
      <c r="A139" s="21" t="n">
        <v>42644</v>
      </c>
      <c r="B139" s="22" t="str">
        <f aca="false">IFERROR(haverdata(Codes!$D$12,$A139),"")</f>
        <v/>
      </c>
      <c r="C139" s="23" t="str">
        <f aca="false">IFERROR(B139/B138-1,"")</f>
        <v/>
      </c>
      <c r="D139" s="23" t="str">
        <f aca="false">IFERROR(B139/B135-1,"")</f>
        <v/>
      </c>
      <c r="E139" s="24" t="str">
        <f aca="false">IFERROR(IF(B139="",IFERROR(GROWTH($B$104:$B$191,$A$104:$A$191,$A139),TREND($B$104:$B$191,$A$104:$A$191,$A139)),""),"")</f>
        <v/>
      </c>
      <c r="F139" s="24" t="str">
        <f aca="false">IFERROR(forecast.ets($A139,$B$104:$B$191,$A$104:$A$191,4,1,1),"")</f>
        <v/>
      </c>
      <c r="G139" s="24" t="str">
        <f aca="false">IFERROR(F139-forecast.ets.confint($A139,$B$104:$B$191,$A$104:$A$191,0.95,4,1,1),"")</f>
        <v/>
      </c>
      <c r="H139" s="24" t="str">
        <f aca="false">IFERROR(F139+forecast.ets.confint($A139,$B$104:$B$191,$A$104:$A$191,0.95,4,1,1),"")</f>
        <v/>
      </c>
    </row>
    <row r="140" customFormat="false" ht="15" hidden="false" customHeight="false" outlineLevel="0" collapsed="false">
      <c r="A140" s="16" t="n">
        <v>42736</v>
      </c>
      <c r="B140" s="17" t="str">
        <f aca="false">IFERROR(haverdata(Codes!$D$12,$A140),"")</f>
        <v/>
      </c>
      <c r="C140" s="18" t="str">
        <f aca="false">IFERROR(B140/B139-1,"")</f>
        <v/>
      </c>
      <c r="D140" s="18" t="str">
        <f aca="false">IFERROR(B140/B136-1,"")</f>
        <v/>
      </c>
      <c r="E140" s="19" t="str">
        <f aca="false">IFERROR(IF(B140="",IFERROR(GROWTH($B$104:$B$191,$A$104:$A$191,$A140),TREND($B$104:$B$191,$A$104:$A$191,$A140)),""),"")</f>
        <v/>
      </c>
      <c r="F140" s="19" t="str">
        <f aca="false">IFERROR(forecast.ets($A140,$B$104:$B$191,$A$104:$A$191,4,1,1),"")</f>
        <v/>
      </c>
      <c r="G140" s="19" t="str">
        <f aca="false">IFERROR(F140-forecast.ets.confint($A140,$B$104:$B$191,$A$104:$A$191,0.95,4,1,1),"")</f>
        <v/>
      </c>
      <c r="H140" s="19" t="str">
        <f aca="false">IFERROR(F140+forecast.ets.confint($A140,$B$104:$B$191,$A$104:$A$191,0.95,4,1,1),"")</f>
        <v/>
      </c>
    </row>
    <row r="141" customFormat="false" ht="15" hidden="false" customHeight="false" outlineLevel="0" collapsed="false">
      <c r="A141" s="21" t="n">
        <v>42826</v>
      </c>
      <c r="B141" s="22" t="str">
        <f aca="false">IFERROR(haverdata(Codes!$D$12,$A141),"")</f>
        <v/>
      </c>
      <c r="C141" s="23" t="str">
        <f aca="false">IFERROR(B141/B140-1,"")</f>
        <v/>
      </c>
      <c r="D141" s="23" t="str">
        <f aca="false">IFERROR(B141/B137-1,"")</f>
        <v/>
      </c>
      <c r="E141" s="24" t="str">
        <f aca="false">IFERROR(IF(B141="",IFERROR(GROWTH($B$104:$B$191,$A$104:$A$191,$A141),TREND($B$104:$B$191,$A$104:$A$191,$A141)),""),"")</f>
        <v/>
      </c>
      <c r="F141" s="24" t="str">
        <f aca="false">IFERROR(forecast.ets($A141,$B$104:$B$191,$A$104:$A$191,4,1,1),"")</f>
        <v/>
      </c>
      <c r="G141" s="24" t="str">
        <f aca="false">IFERROR(F141-forecast.ets.confint($A141,$B$104:$B$191,$A$104:$A$191,0.95,4,1,1),"")</f>
        <v/>
      </c>
      <c r="H141" s="24" t="str">
        <f aca="false">IFERROR(F141+forecast.ets.confint($A141,$B$104:$B$191,$A$104:$A$191,0.95,4,1,1),"")</f>
        <v/>
      </c>
    </row>
    <row r="142" customFormat="false" ht="15" hidden="false" customHeight="false" outlineLevel="0" collapsed="false">
      <c r="A142" s="16" t="n">
        <v>42917</v>
      </c>
      <c r="B142" s="17" t="str">
        <f aca="false">IFERROR(haverdata(Codes!$D$12,$A142),"")</f>
        <v/>
      </c>
      <c r="C142" s="18" t="str">
        <f aca="false">IFERROR(B142/B141-1,"")</f>
        <v/>
      </c>
      <c r="D142" s="18" t="str">
        <f aca="false">IFERROR(B142/B138-1,"")</f>
        <v/>
      </c>
      <c r="E142" s="19" t="str">
        <f aca="false">IFERROR(IF(B142="",IFERROR(GROWTH($B$104:$B$191,$A$104:$A$191,$A142),TREND($B$104:$B$191,$A$104:$A$191,$A142)),""),"")</f>
        <v/>
      </c>
      <c r="F142" s="19" t="str">
        <f aca="false">IFERROR(forecast.ets($A142,$B$104:$B$191,$A$104:$A$191,4,1,1),"")</f>
        <v/>
      </c>
      <c r="G142" s="19" t="str">
        <f aca="false">IFERROR(F142-forecast.ets.confint($A142,$B$104:$B$191,$A$104:$A$191,0.95,4,1,1),"")</f>
        <v/>
      </c>
      <c r="H142" s="19" t="str">
        <f aca="false">IFERROR(F142+forecast.ets.confint($A142,$B$104:$B$191,$A$104:$A$191,0.95,4,1,1),"")</f>
        <v/>
      </c>
    </row>
    <row r="143" customFormat="false" ht="15" hidden="false" customHeight="false" outlineLevel="0" collapsed="false">
      <c r="A143" s="21" t="n">
        <v>43009</v>
      </c>
      <c r="B143" s="22" t="str">
        <f aca="false">IFERROR(haverdata(Codes!$D$12,$A143),"")</f>
        <v/>
      </c>
      <c r="C143" s="23" t="str">
        <f aca="false">IFERROR(B143/B142-1,"")</f>
        <v/>
      </c>
      <c r="D143" s="23" t="str">
        <f aca="false">IFERROR(B143/B139-1,"")</f>
        <v/>
      </c>
      <c r="E143" s="24" t="str">
        <f aca="false">IFERROR(IF(B143="",IFERROR(GROWTH($B$104:$B$191,$A$104:$A$191,$A143),TREND($B$104:$B$191,$A$104:$A$191,$A143)),""),"")</f>
        <v/>
      </c>
      <c r="F143" s="24" t="str">
        <f aca="false">IFERROR(forecast.ets($A143,$B$104:$B$191,$A$104:$A$191,4,1,1),"")</f>
        <v/>
      </c>
      <c r="G143" s="24" t="str">
        <f aca="false">IFERROR(F143-forecast.ets.confint($A143,$B$104:$B$191,$A$104:$A$191,0.95,4,1,1),"")</f>
        <v/>
      </c>
      <c r="H143" s="24" t="str">
        <f aca="false">IFERROR(F143+forecast.ets.confint($A143,$B$104:$B$191,$A$104:$A$191,0.95,4,1,1),"")</f>
        <v/>
      </c>
    </row>
    <row r="144" customFormat="false" ht="15" hidden="false" customHeight="false" outlineLevel="0" collapsed="false">
      <c r="A144" s="16" t="n">
        <v>43101</v>
      </c>
      <c r="B144" s="17" t="str">
        <f aca="false">IFERROR(haverdata(Codes!$D$12,$A144),"")</f>
        <v/>
      </c>
      <c r="C144" s="18" t="str">
        <f aca="false">IFERROR(B144/B143-1,"")</f>
        <v/>
      </c>
      <c r="D144" s="18" t="str">
        <f aca="false">IFERROR(B144/B140-1,"")</f>
        <v/>
      </c>
      <c r="E144" s="19" t="str">
        <f aca="false">IFERROR(IF(B144="",IFERROR(GROWTH($B$104:$B$191,$A$104:$A$191,$A144),TREND($B$104:$B$191,$A$104:$A$191,$A144)),""),"")</f>
        <v/>
      </c>
      <c r="F144" s="19" t="str">
        <f aca="false">IFERROR(forecast.ets($A144,$B$104:$B$191,$A$104:$A$191,4,1,1),"")</f>
        <v/>
      </c>
      <c r="G144" s="19" t="str">
        <f aca="false">IFERROR(F144-forecast.ets.confint($A144,$B$104:$B$191,$A$104:$A$191,0.95,4,1,1),"")</f>
        <v/>
      </c>
      <c r="H144" s="19" t="str">
        <f aca="false">IFERROR(F144+forecast.ets.confint($A144,$B$104:$B$191,$A$104:$A$191,0.95,4,1,1),"")</f>
        <v/>
      </c>
    </row>
    <row r="145" customFormat="false" ht="15" hidden="false" customHeight="false" outlineLevel="0" collapsed="false">
      <c r="A145" s="21" t="n">
        <v>43191</v>
      </c>
      <c r="B145" s="22" t="str">
        <f aca="false">IFERROR(haverdata(Codes!$D$12,$A145),"")</f>
        <v/>
      </c>
      <c r="C145" s="23" t="str">
        <f aca="false">IFERROR(B145/B144-1,"")</f>
        <v/>
      </c>
      <c r="D145" s="23" t="str">
        <f aca="false">IFERROR(B145/B141-1,"")</f>
        <v/>
      </c>
      <c r="E145" s="24" t="str">
        <f aca="false">IFERROR(IF(B145="",IFERROR(GROWTH($B$104:$B$191,$A$104:$A$191,$A145),TREND($B$104:$B$191,$A$104:$A$191,$A145)),""),"")</f>
        <v/>
      </c>
      <c r="F145" s="24" t="str">
        <f aca="false">IFERROR(forecast.ets($A145,$B$104:$B$191,$A$104:$A$191,4,1,1),"")</f>
        <v/>
      </c>
      <c r="G145" s="24" t="str">
        <f aca="false">IFERROR(F145-forecast.ets.confint($A145,$B$104:$B$191,$A$104:$A$191,0.95,4,1,1),"")</f>
        <v/>
      </c>
      <c r="H145" s="24" t="str">
        <f aca="false">IFERROR(F145+forecast.ets.confint($A145,$B$104:$B$191,$A$104:$A$191,0.95,4,1,1),"")</f>
        <v/>
      </c>
    </row>
    <row r="146" customFormat="false" ht="15" hidden="false" customHeight="false" outlineLevel="0" collapsed="false">
      <c r="A146" s="16" t="n">
        <v>43282</v>
      </c>
      <c r="B146" s="17" t="str">
        <f aca="false">IFERROR(haverdata(Codes!$D$12,$A146),"")</f>
        <v/>
      </c>
      <c r="C146" s="18" t="str">
        <f aca="false">IFERROR(B146/B145-1,"")</f>
        <v/>
      </c>
      <c r="D146" s="18" t="str">
        <f aca="false">IFERROR(B146/B142-1,"")</f>
        <v/>
      </c>
      <c r="E146" s="19" t="str">
        <f aca="false">IFERROR(IF(B146="",IFERROR(GROWTH($B$104:$B$191,$A$104:$A$191,$A146),TREND($B$104:$B$191,$A$104:$A$191,$A146)),""),"")</f>
        <v/>
      </c>
      <c r="F146" s="19" t="str">
        <f aca="false">IFERROR(forecast.ets($A146,$B$104:$B$191,$A$104:$A$191,4,1,1),"")</f>
        <v/>
      </c>
      <c r="G146" s="19" t="str">
        <f aca="false">IFERROR(F146-forecast.ets.confint($A146,$B$104:$B$191,$A$104:$A$191,0.95,4,1,1),"")</f>
        <v/>
      </c>
      <c r="H146" s="19" t="str">
        <f aca="false">IFERROR(F146+forecast.ets.confint($A146,$B$104:$B$191,$A$104:$A$191,0.95,4,1,1),"")</f>
        <v/>
      </c>
    </row>
    <row r="147" customFormat="false" ht="15" hidden="false" customHeight="false" outlineLevel="0" collapsed="false">
      <c r="A147" s="21" t="n">
        <v>43374</v>
      </c>
      <c r="B147" s="22" t="str">
        <f aca="false">IFERROR(haverdata(Codes!$D$12,$A147),"")</f>
        <v/>
      </c>
      <c r="C147" s="23" t="str">
        <f aca="false">IFERROR(B147/B146-1,"")</f>
        <v/>
      </c>
      <c r="D147" s="23" t="str">
        <f aca="false">IFERROR(B147/B143-1,"")</f>
        <v/>
      </c>
      <c r="E147" s="24" t="str">
        <f aca="false">IFERROR(IF(B147="",IFERROR(GROWTH($B$104:$B$191,$A$104:$A$191,$A147),TREND($B$104:$B$191,$A$104:$A$191,$A147)),""),"")</f>
        <v/>
      </c>
      <c r="F147" s="24" t="str">
        <f aca="false">IFERROR(forecast.ets($A147,$B$104:$B$191,$A$104:$A$191,4,1,1),"")</f>
        <v/>
      </c>
      <c r="G147" s="24" t="str">
        <f aca="false">IFERROR(F147-forecast.ets.confint($A147,$B$104:$B$191,$A$104:$A$191,0.95,4,1,1),"")</f>
        <v/>
      </c>
      <c r="H147" s="24" t="str">
        <f aca="false">IFERROR(F147+forecast.ets.confint($A147,$B$104:$B$191,$A$104:$A$191,0.95,4,1,1),"")</f>
        <v/>
      </c>
    </row>
    <row r="148" customFormat="false" ht="15" hidden="false" customHeight="false" outlineLevel="0" collapsed="false">
      <c r="A148" s="16" t="n">
        <v>43466</v>
      </c>
      <c r="B148" s="17" t="str">
        <f aca="false">IFERROR(haverdata(Codes!$D$12,$A148),"")</f>
        <v/>
      </c>
      <c r="C148" s="18" t="str">
        <f aca="false">IFERROR(B148/B147-1,"")</f>
        <v/>
      </c>
      <c r="D148" s="18" t="str">
        <f aca="false">IFERROR(B148/B144-1,"")</f>
        <v/>
      </c>
      <c r="E148" s="19" t="str">
        <f aca="false">IFERROR(IF(B148="",IFERROR(GROWTH($B$104:$B$191,$A$104:$A$191,$A148),TREND($B$104:$B$191,$A$104:$A$191,$A148)),""),"")</f>
        <v/>
      </c>
      <c r="F148" s="19" t="str">
        <f aca="false">IFERROR(forecast.ets($A148,$B$104:$B$191,$A$104:$A$191,4,1,1),"")</f>
        <v/>
      </c>
      <c r="G148" s="19" t="str">
        <f aca="false">IFERROR(F148-forecast.ets.confint($A148,$B$104:$B$191,$A$104:$A$191,0.95,4,1,1),"")</f>
        <v/>
      </c>
      <c r="H148" s="19" t="str">
        <f aca="false">IFERROR(F148+forecast.ets.confint($A148,$B$104:$B$191,$A$104:$A$191,0.95,4,1,1),"")</f>
        <v/>
      </c>
    </row>
    <row r="149" customFormat="false" ht="15" hidden="false" customHeight="false" outlineLevel="0" collapsed="false">
      <c r="A149" s="21" t="n">
        <v>43556</v>
      </c>
      <c r="B149" s="22" t="str">
        <f aca="false">IFERROR(haverdata(Codes!$D$12,$A149),"")</f>
        <v/>
      </c>
      <c r="C149" s="23" t="str">
        <f aca="false">IFERROR(B149/B148-1,"")</f>
        <v/>
      </c>
      <c r="D149" s="23" t="str">
        <f aca="false">IFERROR(B149/B145-1,"")</f>
        <v/>
      </c>
      <c r="E149" s="24" t="str">
        <f aca="false">IFERROR(IF(B149="",IFERROR(GROWTH($B$104:$B$191,$A$104:$A$191,$A149),TREND($B$104:$B$191,$A$104:$A$191,$A149)),""),"")</f>
        <v/>
      </c>
      <c r="F149" s="24" t="str">
        <f aca="false">IFERROR(forecast.ets($A149,$B$104:$B$191,$A$104:$A$191,4,1,1),"")</f>
        <v/>
      </c>
      <c r="G149" s="24" t="str">
        <f aca="false">IFERROR(F149-forecast.ets.confint($A149,$B$104:$B$191,$A$104:$A$191,0.95,4,1,1),"")</f>
        <v/>
      </c>
      <c r="H149" s="24" t="str">
        <f aca="false">IFERROR(F149+forecast.ets.confint($A149,$B$104:$B$191,$A$104:$A$191,0.95,4,1,1),"")</f>
        <v/>
      </c>
    </row>
    <row r="150" customFormat="false" ht="15" hidden="false" customHeight="false" outlineLevel="0" collapsed="false">
      <c r="A150" s="16" t="n">
        <v>43647</v>
      </c>
      <c r="B150" s="17" t="str">
        <f aca="false">IFERROR(haverdata(Codes!$D$12,$A150),"")</f>
        <v/>
      </c>
      <c r="C150" s="18" t="str">
        <f aca="false">IFERROR(B150/B149-1,"")</f>
        <v/>
      </c>
      <c r="D150" s="18" t="str">
        <f aca="false">IFERROR(B150/B146-1,"")</f>
        <v/>
      </c>
      <c r="E150" s="19" t="str">
        <f aca="false">IFERROR(IF(B150="",IFERROR(GROWTH($B$104:$B$191,$A$104:$A$191,$A150),TREND($B$104:$B$191,$A$104:$A$191,$A150)),""),"")</f>
        <v/>
      </c>
      <c r="F150" s="19" t="str">
        <f aca="false">IFERROR(forecast.ets($A150,$B$104:$B$191,$A$104:$A$191,4,1,1),"")</f>
        <v/>
      </c>
      <c r="G150" s="19" t="str">
        <f aca="false">IFERROR(F150-forecast.ets.confint($A150,$B$104:$B$191,$A$104:$A$191,0.95,4,1,1),"")</f>
        <v/>
      </c>
      <c r="H150" s="19" t="str">
        <f aca="false">IFERROR(F150+forecast.ets.confint($A150,$B$104:$B$191,$A$104:$A$191,0.95,4,1,1),"")</f>
        <v/>
      </c>
    </row>
    <row r="151" customFormat="false" ht="15" hidden="false" customHeight="false" outlineLevel="0" collapsed="false">
      <c r="A151" s="21" t="n">
        <v>43739</v>
      </c>
      <c r="B151" s="22" t="str">
        <f aca="false">IFERROR(haverdata(Codes!$D$12,$A151),"")</f>
        <v/>
      </c>
      <c r="C151" s="23" t="str">
        <f aca="false">IFERROR(B151/B150-1,"")</f>
        <v/>
      </c>
      <c r="D151" s="23" t="str">
        <f aca="false">IFERROR(B151/B147-1,"")</f>
        <v/>
      </c>
      <c r="E151" s="24" t="str">
        <f aca="false">IFERROR(IF(B151="",IFERROR(GROWTH($B$104:$B$191,$A$104:$A$191,$A151),TREND($B$104:$B$191,$A$104:$A$191,$A151)),""),"")</f>
        <v/>
      </c>
      <c r="F151" s="24" t="str">
        <f aca="false">IFERROR(forecast.ets($A151,$B$104:$B$191,$A$104:$A$191,4,1,1),"")</f>
        <v/>
      </c>
      <c r="G151" s="24" t="str">
        <f aca="false">IFERROR(F151-forecast.ets.confint($A151,$B$104:$B$191,$A$104:$A$191,0.95,4,1,1),"")</f>
        <v/>
      </c>
      <c r="H151" s="24" t="str">
        <f aca="false">IFERROR(F151+forecast.ets.confint($A151,$B$104:$B$191,$A$104:$A$191,0.95,4,1,1),"")</f>
        <v/>
      </c>
    </row>
    <row r="152" customFormat="false" ht="15" hidden="false" customHeight="false" outlineLevel="0" collapsed="false">
      <c r="A152" s="16" t="n">
        <v>43831</v>
      </c>
      <c r="B152" s="17" t="str">
        <f aca="false">IFERROR(haverdata(Codes!$D$12,$A152),"")</f>
        <v/>
      </c>
      <c r="C152" s="18" t="str">
        <f aca="false">IFERROR(B152/B151-1,"")</f>
        <v/>
      </c>
      <c r="D152" s="18" t="str">
        <f aca="false">IFERROR(B152/B148-1,"")</f>
        <v/>
      </c>
      <c r="E152" s="19" t="str">
        <f aca="false">IFERROR(IF(B152="",IFERROR(GROWTH($B$104:$B$191,$A$104:$A$191,$A152),TREND($B$104:$B$191,$A$104:$A$191,$A152)),""),"")</f>
        <v/>
      </c>
      <c r="F152" s="19" t="str">
        <f aca="false">IFERROR(forecast.ets($A152,$B$104:$B$191,$A$104:$A$191,4,1,1),"")</f>
        <v/>
      </c>
      <c r="G152" s="19" t="str">
        <f aca="false">IFERROR(F152-forecast.ets.confint($A152,$B$104:$B$191,$A$104:$A$191,0.95,4,1,1),"")</f>
        <v/>
      </c>
      <c r="H152" s="19" t="str">
        <f aca="false">IFERROR(F152+forecast.ets.confint($A152,$B$104:$B$191,$A$104:$A$191,0.95,4,1,1),"")</f>
        <v/>
      </c>
    </row>
    <row r="153" customFormat="false" ht="15" hidden="false" customHeight="false" outlineLevel="0" collapsed="false">
      <c r="A153" s="21" t="n">
        <v>43922</v>
      </c>
      <c r="B153" s="22" t="str">
        <f aca="false">IFERROR(haverdata(Codes!$D$12,$A153),"")</f>
        <v/>
      </c>
      <c r="C153" s="23" t="str">
        <f aca="false">IFERROR(B153/B152-1,"")</f>
        <v/>
      </c>
      <c r="D153" s="23" t="str">
        <f aca="false">IFERROR(B153/B149-1,"")</f>
        <v/>
      </c>
      <c r="E153" s="24" t="str">
        <f aca="false">IFERROR(IF(B153="",IFERROR(GROWTH($B$104:$B$191,$A$104:$A$191,$A153),TREND($B$104:$B$191,$A$104:$A$191,$A153)),""),"")</f>
        <v/>
      </c>
      <c r="F153" s="24" t="str">
        <f aca="false">IFERROR(forecast.ets($A153,$B$104:$B$191,$A$104:$A$191,4,1,1),"")</f>
        <v/>
      </c>
      <c r="G153" s="24" t="str">
        <f aca="false">IFERROR(F153-forecast.ets.confint($A153,$B$104:$B$191,$A$104:$A$191,0.95,4,1,1),"")</f>
        <v/>
      </c>
      <c r="H153" s="24" t="str">
        <f aca="false">IFERROR(F153+forecast.ets.confint($A153,$B$104:$B$191,$A$104:$A$191,0.95,4,1,1),"")</f>
        <v/>
      </c>
    </row>
    <row r="154" customFormat="false" ht="15" hidden="false" customHeight="false" outlineLevel="0" collapsed="false">
      <c r="A154" s="16" t="n">
        <v>44013</v>
      </c>
      <c r="B154" s="17" t="str">
        <f aca="false">IFERROR(haverdata(Codes!$D$12,$A154),"")</f>
        <v/>
      </c>
      <c r="C154" s="18" t="str">
        <f aca="false">IFERROR(B154/B153-1,"")</f>
        <v/>
      </c>
      <c r="D154" s="18" t="str">
        <f aca="false">IFERROR(B154/B150-1,"")</f>
        <v/>
      </c>
      <c r="E154" s="19" t="str">
        <f aca="false">IFERROR(IF(B154="",IFERROR(GROWTH($B$104:$B$191,$A$104:$A$191,$A154),TREND($B$104:$B$191,$A$104:$A$191,$A154)),""),"")</f>
        <v/>
      </c>
      <c r="F154" s="19" t="str">
        <f aca="false">IFERROR(forecast.ets($A154,$B$104:$B$191,$A$104:$A$191,4,1,1),"")</f>
        <v/>
      </c>
      <c r="G154" s="19" t="str">
        <f aca="false">IFERROR(F154-forecast.ets.confint($A154,$B$104:$B$191,$A$104:$A$191,0.95,4,1,1),"")</f>
        <v/>
      </c>
      <c r="H154" s="19" t="str">
        <f aca="false">IFERROR(F154+forecast.ets.confint($A154,$B$104:$B$191,$A$104:$A$191,0.95,4,1,1),"")</f>
        <v/>
      </c>
    </row>
    <row r="155" customFormat="false" ht="15" hidden="false" customHeight="false" outlineLevel="0" collapsed="false">
      <c r="A155" s="21" t="n">
        <v>44105</v>
      </c>
      <c r="B155" s="22" t="str">
        <f aca="false">IFERROR(haverdata(Codes!$D$12,$A155),"")</f>
        <v/>
      </c>
      <c r="C155" s="23" t="str">
        <f aca="false">IFERROR(B155/B154-1,"")</f>
        <v/>
      </c>
      <c r="D155" s="23" t="str">
        <f aca="false">IFERROR(B155/B151-1,"")</f>
        <v/>
      </c>
      <c r="E155" s="24" t="str">
        <f aca="false">IFERROR(IF(B155="",IFERROR(GROWTH($B$104:$B$191,$A$104:$A$191,$A155),TREND($B$104:$B$191,$A$104:$A$191,$A155)),""),"")</f>
        <v/>
      </c>
      <c r="F155" s="24" t="str">
        <f aca="false">IFERROR(forecast.ets($A155,$B$104:$B$191,$A$104:$A$191,4,1,1),"")</f>
        <v/>
      </c>
      <c r="G155" s="24" t="str">
        <f aca="false">IFERROR(F155-forecast.ets.confint($A155,$B$104:$B$191,$A$104:$A$191,0.95,4,1,1),"")</f>
        <v/>
      </c>
      <c r="H155" s="24" t="str">
        <f aca="false">IFERROR(F155+forecast.ets.confint($A155,$B$104:$B$191,$A$104:$A$191,0.95,4,1,1),"")</f>
        <v/>
      </c>
    </row>
    <row r="156" customFormat="false" ht="15" hidden="false" customHeight="false" outlineLevel="0" collapsed="false">
      <c r="A156" s="16" t="n">
        <v>44197</v>
      </c>
      <c r="B156" s="17" t="str">
        <f aca="false">IFERROR(haverdata(Codes!$D$12,$A156),"")</f>
        <v/>
      </c>
      <c r="C156" s="18" t="str">
        <f aca="false">IFERROR(B156/B155-1,"")</f>
        <v/>
      </c>
      <c r="D156" s="18" t="str">
        <f aca="false">IFERROR(B156/B152-1,"")</f>
        <v/>
      </c>
      <c r="E156" s="19" t="str">
        <f aca="false">IFERROR(IF(B156="",IFERROR(GROWTH($B$104:$B$191,$A$104:$A$191,$A156),TREND($B$104:$B$191,$A$104:$A$191,$A156)),""),"")</f>
        <v/>
      </c>
      <c r="F156" s="19" t="str">
        <f aca="false">IFERROR(forecast.ets($A156,$B$104:$B$191,$A$104:$A$191,4,1,1),"")</f>
        <v/>
      </c>
      <c r="G156" s="19" t="str">
        <f aca="false">IFERROR(F156-forecast.ets.confint($A156,$B$104:$B$191,$A$104:$A$191,0.95,4,1,1),"")</f>
        <v/>
      </c>
      <c r="H156" s="19" t="str">
        <f aca="false">IFERROR(F156+forecast.ets.confint($A156,$B$104:$B$191,$A$104:$A$191,0.95,4,1,1),"")</f>
        <v/>
      </c>
    </row>
    <row r="157" customFormat="false" ht="15" hidden="false" customHeight="false" outlineLevel="0" collapsed="false">
      <c r="A157" s="21" t="n">
        <v>44287</v>
      </c>
      <c r="B157" s="22" t="str">
        <f aca="false">IFERROR(haverdata(Codes!$D$12,$A157),"")</f>
        <v/>
      </c>
      <c r="C157" s="23" t="str">
        <f aca="false">IFERROR(B157/B156-1,"")</f>
        <v/>
      </c>
      <c r="D157" s="23" t="str">
        <f aca="false">IFERROR(B157/B153-1,"")</f>
        <v/>
      </c>
      <c r="E157" s="24" t="str">
        <f aca="false">IFERROR(IF(B157="",IFERROR(GROWTH($B$104:$B$191,$A$104:$A$191,$A157),TREND($B$104:$B$191,$A$104:$A$191,$A157)),""),"")</f>
        <v/>
      </c>
      <c r="F157" s="24" t="str">
        <f aca="false">IFERROR(forecast.ets($A157,$B$104:$B$191,$A$104:$A$191,4,1,1),"")</f>
        <v/>
      </c>
      <c r="G157" s="24" t="str">
        <f aca="false">IFERROR(F157-forecast.ets.confint($A157,$B$104:$B$191,$A$104:$A$191,0.95,4,1,1),"")</f>
        <v/>
      </c>
      <c r="H157" s="24" t="str">
        <f aca="false">IFERROR(F157+forecast.ets.confint($A157,$B$104:$B$191,$A$104:$A$191,0.95,4,1,1),"")</f>
        <v/>
      </c>
    </row>
    <row r="158" customFormat="false" ht="15" hidden="false" customHeight="false" outlineLevel="0" collapsed="false">
      <c r="A158" s="16" t="n">
        <v>44378</v>
      </c>
      <c r="B158" s="17" t="str">
        <f aca="false">IFERROR(haverdata(Codes!$D$12,$A158),"")</f>
        <v/>
      </c>
      <c r="C158" s="18" t="str">
        <f aca="false">IFERROR(B158/B157-1,"")</f>
        <v/>
      </c>
      <c r="D158" s="18" t="str">
        <f aca="false">IFERROR(B158/B154-1,"")</f>
        <v/>
      </c>
      <c r="E158" s="19" t="str">
        <f aca="false">IFERROR(IF(B158="",IFERROR(GROWTH($B$104:$B$191,$A$104:$A$191,$A158),TREND($B$104:$B$191,$A$104:$A$191,$A158)),""),"")</f>
        <v/>
      </c>
      <c r="F158" s="19" t="str">
        <f aca="false">IFERROR(forecast.ets($A158,$B$104:$B$191,$A$104:$A$191,4,1,1),"")</f>
        <v/>
      </c>
      <c r="G158" s="19" t="str">
        <f aca="false">IFERROR(F158-forecast.ets.confint($A158,$B$104:$B$191,$A$104:$A$191,0.95,4,1,1),"")</f>
        <v/>
      </c>
      <c r="H158" s="19" t="str">
        <f aca="false">IFERROR(F158+forecast.ets.confint($A158,$B$104:$B$191,$A$104:$A$191,0.95,4,1,1),"")</f>
        <v/>
      </c>
    </row>
    <row r="159" customFormat="false" ht="15" hidden="false" customHeight="false" outlineLevel="0" collapsed="false">
      <c r="A159" s="21" t="n">
        <v>44470</v>
      </c>
      <c r="B159" s="22" t="str">
        <f aca="false">IFERROR(haverdata(Codes!$D$12,$A159),"")</f>
        <v/>
      </c>
      <c r="C159" s="23" t="str">
        <f aca="false">IFERROR(B159/B158-1,"")</f>
        <v/>
      </c>
      <c r="D159" s="23" t="str">
        <f aca="false">IFERROR(B159/B155-1,"")</f>
        <v/>
      </c>
      <c r="E159" s="24" t="str">
        <f aca="false">IFERROR(IF(B159="",IFERROR(GROWTH($B$104:$B$191,$A$104:$A$191,$A159),TREND($B$104:$B$191,$A$104:$A$191,$A159)),""),"")</f>
        <v/>
      </c>
      <c r="F159" s="24" t="str">
        <f aca="false">IFERROR(forecast.ets($A159,$B$104:$B$191,$A$104:$A$191,4,1,1),"")</f>
        <v/>
      </c>
      <c r="G159" s="24" t="str">
        <f aca="false">IFERROR(F159-forecast.ets.confint($A159,$B$104:$B$191,$A$104:$A$191,0.95,4,1,1),"")</f>
        <v/>
      </c>
      <c r="H159" s="24" t="str">
        <f aca="false">IFERROR(F159+forecast.ets.confint($A159,$B$104:$B$191,$A$104:$A$191,0.95,4,1,1),"")</f>
        <v/>
      </c>
    </row>
    <row r="160" customFormat="false" ht="15" hidden="false" customHeight="false" outlineLevel="0" collapsed="false">
      <c r="A160" s="16" t="n">
        <v>44562</v>
      </c>
      <c r="B160" s="17" t="str">
        <f aca="false">IFERROR(haverdata(Codes!$D$12,$A160),"")</f>
        <v/>
      </c>
      <c r="C160" s="18" t="str">
        <f aca="false">IFERROR(B160/B159-1,"")</f>
        <v/>
      </c>
      <c r="D160" s="18" t="str">
        <f aca="false">IFERROR(B160/B156-1,"")</f>
        <v/>
      </c>
      <c r="E160" s="19" t="str">
        <f aca="false">IFERROR(IF(B160="",IFERROR(GROWTH($B$104:$B$191,$A$104:$A$191,$A160),TREND($B$104:$B$191,$A$104:$A$191,$A160)),""),"")</f>
        <v/>
      </c>
      <c r="F160" s="19" t="str">
        <f aca="false">IFERROR(forecast.ets($A160,$B$104:$B$191,$A$104:$A$191,4,1,1),"")</f>
        <v/>
      </c>
      <c r="G160" s="19" t="str">
        <f aca="false">IFERROR(F160-forecast.ets.confint($A160,$B$104:$B$191,$A$104:$A$191,0.95,4,1,1),"")</f>
        <v/>
      </c>
      <c r="H160" s="19" t="str">
        <f aca="false">IFERROR(F160+forecast.ets.confint($A160,$B$104:$B$191,$A$104:$A$191,0.95,4,1,1),"")</f>
        <v/>
      </c>
    </row>
    <row r="161" customFormat="false" ht="15" hidden="false" customHeight="false" outlineLevel="0" collapsed="false">
      <c r="A161" s="21" t="n">
        <v>44652</v>
      </c>
      <c r="B161" s="22" t="str">
        <f aca="false">IFERROR(haverdata(Codes!$D$12,$A161),"")</f>
        <v/>
      </c>
      <c r="C161" s="23" t="str">
        <f aca="false">IFERROR(B161/B160-1,"")</f>
        <v/>
      </c>
      <c r="D161" s="23" t="str">
        <f aca="false">IFERROR(B161/B157-1,"")</f>
        <v/>
      </c>
      <c r="E161" s="24" t="str">
        <f aca="false">IFERROR(IF(B161="",IFERROR(GROWTH($B$104:$B$191,$A$104:$A$191,$A161),TREND($B$104:$B$191,$A$104:$A$191,$A161)),""),"")</f>
        <v/>
      </c>
      <c r="F161" s="24" t="str">
        <f aca="false">IFERROR(forecast.ets($A161,$B$104:$B$191,$A$104:$A$191,4,1,1),"")</f>
        <v/>
      </c>
      <c r="G161" s="24" t="str">
        <f aca="false">IFERROR(F161-forecast.ets.confint($A161,$B$104:$B$191,$A$104:$A$191,0.95,4,1,1),"")</f>
        <v/>
      </c>
      <c r="H161" s="24" t="str">
        <f aca="false">IFERROR(F161+forecast.ets.confint($A161,$B$104:$B$191,$A$104:$A$191,0.95,4,1,1),"")</f>
        <v/>
      </c>
    </row>
    <row r="162" customFormat="false" ht="15" hidden="false" customHeight="false" outlineLevel="0" collapsed="false">
      <c r="A162" s="16" t="n">
        <v>44743</v>
      </c>
      <c r="B162" s="17" t="str">
        <f aca="false">IFERROR(haverdata(Codes!$D$12,$A162),"")</f>
        <v/>
      </c>
      <c r="C162" s="18" t="str">
        <f aca="false">IFERROR(B162/B161-1,"")</f>
        <v/>
      </c>
      <c r="D162" s="18" t="str">
        <f aca="false">IFERROR(B162/B158-1,"")</f>
        <v/>
      </c>
      <c r="E162" s="19" t="str">
        <f aca="false">IFERROR(IF(B162="",IFERROR(GROWTH($B$104:$B$191,$A$104:$A$191,$A162),TREND($B$104:$B$191,$A$104:$A$191,$A162)),""),"")</f>
        <v/>
      </c>
      <c r="F162" s="19" t="str">
        <f aca="false">IFERROR(forecast.ets($A162,$B$104:$B$191,$A$104:$A$191,4,1,1),"")</f>
        <v/>
      </c>
      <c r="G162" s="19" t="str">
        <f aca="false">IFERROR(F162-forecast.ets.confint($A162,$B$104:$B$191,$A$104:$A$191,0.95,4,1,1),"")</f>
        <v/>
      </c>
      <c r="H162" s="19" t="str">
        <f aca="false">IFERROR(F162+forecast.ets.confint($A162,$B$104:$B$191,$A$104:$A$191,0.95,4,1,1),"")</f>
        <v/>
      </c>
    </row>
    <row r="163" customFormat="false" ht="15" hidden="false" customHeight="false" outlineLevel="0" collapsed="false">
      <c r="A163" s="21" t="n">
        <v>44835</v>
      </c>
      <c r="B163" s="22" t="str">
        <f aca="false">IFERROR(haverdata(Codes!$D$12,$A163),"")</f>
        <v/>
      </c>
      <c r="C163" s="23" t="str">
        <f aca="false">IFERROR(B163/B162-1,"")</f>
        <v/>
      </c>
      <c r="D163" s="23" t="str">
        <f aca="false">IFERROR(B163/B159-1,"")</f>
        <v/>
      </c>
      <c r="E163" s="24" t="str">
        <f aca="false">IFERROR(IF(B163="",IFERROR(GROWTH($B$104:$B$191,$A$104:$A$191,$A163),TREND($B$104:$B$191,$A$104:$A$191,$A163)),""),"")</f>
        <v/>
      </c>
      <c r="F163" s="24" t="str">
        <f aca="false">IFERROR(forecast.ets($A163,$B$104:$B$191,$A$104:$A$191,4,1,1),"")</f>
        <v/>
      </c>
      <c r="G163" s="24" t="str">
        <f aca="false">IFERROR(F163-forecast.ets.confint($A163,$B$104:$B$191,$A$104:$A$191,0.95,4,1,1),"")</f>
        <v/>
      </c>
      <c r="H163" s="24" t="str">
        <f aca="false">IFERROR(F163+forecast.ets.confint($A163,$B$104:$B$191,$A$104:$A$191,0.95,4,1,1),"")</f>
        <v/>
      </c>
    </row>
    <row r="164" customFormat="false" ht="15" hidden="false" customHeight="false" outlineLevel="0" collapsed="false">
      <c r="A164" s="16" t="n">
        <v>44927</v>
      </c>
      <c r="B164" s="17" t="str">
        <f aca="false">IFERROR(haverdata(Codes!$D$12,$A164),"")</f>
        <v/>
      </c>
      <c r="C164" s="18" t="str">
        <f aca="false">IFERROR(B164/B163-1,"")</f>
        <v/>
      </c>
      <c r="D164" s="18" t="str">
        <f aca="false">IFERROR(B164/B160-1,"")</f>
        <v/>
      </c>
      <c r="E164" s="19" t="str">
        <f aca="false">IFERROR(IF(B164="",IFERROR(GROWTH($B$104:$B$191,$A$104:$A$191,$A164),TREND($B$104:$B$191,$A$104:$A$191,$A164)),""),"")</f>
        <v/>
      </c>
      <c r="F164" s="19" t="str">
        <f aca="false">IFERROR(forecast.ets($A164,$B$104:$B$191,$A$104:$A$191,4,1,1),"")</f>
        <v/>
      </c>
      <c r="G164" s="19" t="str">
        <f aca="false">IFERROR(F164-forecast.ets.confint($A164,$B$104:$B$191,$A$104:$A$191,0.95,4,1,1),"")</f>
        <v/>
      </c>
      <c r="H164" s="19" t="str">
        <f aca="false">IFERROR(F164+forecast.ets.confint($A164,$B$104:$B$191,$A$104:$A$191,0.95,4,1,1),"")</f>
        <v/>
      </c>
    </row>
    <row r="165" customFormat="false" ht="15" hidden="false" customHeight="false" outlineLevel="0" collapsed="false">
      <c r="A165" s="21" t="n">
        <v>45017</v>
      </c>
      <c r="B165" s="22" t="str">
        <f aca="false">IFERROR(haverdata(Codes!$D$12,$A165),"")</f>
        <v/>
      </c>
      <c r="C165" s="23" t="str">
        <f aca="false">IFERROR(B165/B164-1,"")</f>
        <v/>
      </c>
      <c r="D165" s="23" t="str">
        <f aca="false">IFERROR(B165/B161-1,"")</f>
        <v/>
      </c>
      <c r="E165" s="24" t="str">
        <f aca="false">IFERROR(IF(B165="",IFERROR(GROWTH($B$104:$B$191,$A$104:$A$191,$A165),TREND($B$104:$B$191,$A$104:$A$191,$A165)),""),"")</f>
        <v/>
      </c>
      <c r="F165" s="24" t="str">
        <f aca="false">IFERROR(forecast.ets($A165,$B$104:$B$191,$A$104:$A$191,4,1,1),"")</f>
        <v/>
      </c>
      <c r="G165" s="24" t="str">
        <f aca="false">IFERROR(F165-forecast.ets.confint($A165,$B$104:$B$191,$A$104:$A$191,0.95,4,1,1),"")</f>
        <v/>
      </c>
      <c r="H165" s="24" t="str">
        <f aca="false">IFERROR(F165+forecast.ets.confint($A165,$B$104:$B$191,$A$104:$A$191,0.95,4,1,1),"")</f>
        <v/>
      </c>
    </row>
    <row r="166" customFormat="false" ht="15" hidden="false" customHeight="false" outlineLevel="0" collapsed="false">
      <c r="A166" s="16" t="n">
        <v>45108</v>
      </c>
      <c r="B166" s="17" t="str">
        <f aca="false">IFERROR(haverdata(Codes!$D$12,$A166),"")</f>
        <v/>
      </c>
      <c r="C166" s="18" t="str">
        <f aca="false">IFERROR(B166/B165-1,"")</f>
        <v/>
      </c>
      <c r="D166" s="18" t="str">
        <f aca="false">IFERROR(B166/B162-1,"")</f>
        <v/>
      </c>
      <c r="E166" s="19" t="str">
        <f aca="false">IFERROR(IF(B166="",IFERROR(GROWTH($B$104:$B$191,$A$104:$A$191,$A166),TREND($B$104:$B$191,$A$104:$A$191,$A166)),""),"")</f>
        <v/>
      </c>
      <c r="F166" s="19" t="str">
        <f aca="false">IFERROR(forecast.ets($A166,$B$104:$B$191,$A$104:$A$191,4,1,1),"")</f>
        <v/>
      </c>
      <c r="G166" s="19" t="str">
        <f aca="false">IFERROR(F166-forecast.ets.confint($A166,$B$104:$B$191,$A$104:$A$191,0.95,4,1,1),"")</f>
        <v/>
      </c>
      <c r="H166" s="19" t="str">
        <f aca="false">IFERROR(F166+forecast.ets.confint($A166,$B$104:$B$191,$A$104:$A$191,0.95,4,1,1),"")</f>
        <v/>
      </c>
    </row>
    <row r="167" customFormat="false" ht="15" hidden="false" customHeight="false" outlineLevel="0" collapsed="false">
      <c r="A167" s="21" t="n">
        <v>45200</v>
      </c>
      <c r="B167" s="22" t="str">
        <f aca="false">IFERROR(haverdata(Codes!$D$12,$A167),"")</f>
        <v/>
      </c>
      <c r="C167" s="23" t="str">
        <f aca="false">IFERROR(B167/B166-1,"")</f>
        <v/>
      </c>
      <c r="D167" s="23" t="str">
        <f aca="false">IFERROR(B167/B163-1,"")</f>
        <v/>
      </c>
      <c r="E167" s="24" t="str">
        <f aca="false">IFERROR(IF(B167="",IFERROR(GROWTH($B$104:$B$191,$A$104:$A$191,$A167),TREND($B$104:$B$191,$A$104:$A$191,$A167)),""),"")</f>
        <v/>
      </c>
      <c r="F167" s="24" t="str">
        <f aca="false">IFERROR(forecast.ets($A167,$B$104:$B$191,$A$104:$A$191,4,1,1),"")</f>
        <v/>
      </c>
      <c r="G167" s="24" t="str">
        <f aca="false">IFERROR(F167-forecast.ets.confint($A167,$B$104:$B$191,$A$104:$A$191,0.95,4,1,1),"")</f>
        <v/>
      </c>
      <c r="H167" s="24" t="str">
        <f aca="false">IFERROR(F167+forecast.ets.confint($A167,$B$104:$B$191,$A$104:$A$191,0.95,4,1,1),"")</f>
        <v/>
      </c>
    </row>
    <row r="168" customFormat="false" ht="15" hidden="false" customHeight="false" outlineLevel="0" collapsed="false">
      <c r="A168" s="16" t="n">
        <v>45292</v>
      </c>
      <c r="B168" s="17" t="str">
        <f aca="false">IFERROR(haverdata(Codes!$D$12,$A168),"")</f>
        <v/>
      </c>
      <c r="C168" s="18" t="str">
        <f aca="false">IFERROR(B168/B167-1,"")</f>
        <v/>
      </c>
      <c r="D168" s="18" t="str">
        <f aca="false">IFERROR(B168/B164-1,"")</f>
        <v/>
      </c>
      <c r="E168" s="19" t="str">
        <f aca="false">IFERROR(IF(B168="",IFERROR(GROWTH($B$104:$B$191,$A$104:$A$191,$A168),TREND($B$104:$B$191,$A$104:$A$191,$A168)),""),"")</f>
        <v/>
      </c>
      <c r="F168" s="19" t="str">
        <f aca="false">IFERROR(forecast.ets($A168,$B$104:$B$191,$A$104:$A$191,4,1,1),"")</f>
        <v/>
      </c>
      <c r="G168" s="19" t="str">
        <f aca="false">IFERROR(F168-forecast.ets.confint($A168,$B$104:$B$191,$A$104:$A$191,0.95,4,1,1),"")</f>
        <v/>
      </c>
      <c r="H168" s="19" t="str">
        <f aca="false">IFERROR(F168+forecast.ets.confint($A168,$B$104:$B$191,$A$104:$A$191,0.95,4,1,1),"")</f>
        <v/>
      </c>
    </row>
    <row r="169" customFormat="false" ht="15" hidden="false" customHeight="false" outlineLevel="0" collapsed="false">
      <c r="A169" s="21" t="n">
        <v>45383</v>
      </c>
      <c r="B169" s="22" t="str">
        <f aca="false">IFERROR(haverdata(Codes!$D$12,$A169),"")</f>
        <v/>
      </c>
      <c r="C169" s="23" t="str">
        <f aca="false">IFERROR(B169/B168-1,"")</f>
        <v/>
      </c>
      <c r="D169" s="23" t="str">
        <f aca="false">IFERROR(B169/B165-1,"")</f>
        <v/>
      </c>
      <c r="E169" s="24" t="str">
        <f aca="false">IFERROR(IF(B169="",IFERROR(GROWTH($B$104:$B$191,$A$104:$A$191,$A169),TREND($B$104:$B$191,$A$104:$A$191,$A169)),""),"")</f>
        <v/>
      </c>
      <c r="F169" s="24" t="str">
        <f aca="false">IFERROR(forecast.ets($A169,$B$104:$B$191,$A$104:$A$191,4,1,1),"")</f>
        <v/>
      </c>
      <c r="G169" s="24" t="str">
        <f aca="false">IFERROR(F169-forecast.ets.confint($A169,$B$104:$B$191,$A$104:$A$191,0.95,4,1,1),"")</f>
        <v/>
      </c>
      <c r="H169" s="24" t="str">
        <f aca="false">IFERROR(F169+forecast.ets.confint($A169,$B$104:$B$191,$A$104:$A$191,0.95,4,1,1),"")</f>
        <v/>
      </c>
    </row>
    <row r="170" customFormat="false" ht="15" hidden="false" customHeight="false" outlineLevel="0" collapsed="false">
      <c r="A170" s="16" t="n">
        <v>45474</v>
      </c>
      <c r="B170" s="17" t="str">
        <f aca="false">IFERROR(haverdata(Codes!$D$12,$A170),"")</f>
        <v/>
      </c>
      <c r="C170" s="18" t="str">
        <f aca="false">IFERROR(B170/B169-1,"")</f>
        <v/>
      </c>
      <c r="D170" s="18" t="str">
        <f aca="false">IFERROR(B170/B166-1,"")</f>
        <v/>
      </c>
      <c r="E170" s="19" t="str">
        <f aca="false">IFERROR(IF(B170="",IFERROR(GROWTH($B$104:$B$191,$A$104:$A$191,$A170),TREND($B$104:$B$191,$A$104:$A$191,$A170)),""),"")</f>
        <v/>
      </c>
      <c r="F170" s="19" t="str">
        <f aca="false">IFERROR(forecast.ets($A170,$B$104:$B$191,$A$104:$A$191,4,1,1),"")</f>
        <v/>
      </c>
      <c r="G170" s="19" t="str">
        <f aca="false">IFERROR(F170-forecast.ets.confint($A170,$B$104:$B$191,$A$104:$A$191,0.95,4,1,1),"")</f>
        <v/>
      </c>
      <c r="H170" s="19" t="str">
        <f aca="false">IFERROR(F170+forecast.ets.confint($A170,$B$104:$B$191,$A$104:$A$191,0.95,4,1,1),"")</f>
        <v/>
      </c>
    </row>
    <row r="171" customFormat="false" ht="15" hidden="false" customHeight="false" outlineLevel="0" collapsed="false">
      <c r="A171" s="21" t="n">
        <v>45566</v>
      </c>
      <c r="B171" s="22" t="str">
        <f aca="false">IFERROR(haverdata(Codes!$D$12,$A171),"")</f>
        <v/>
      </c>
      <c r="C171" s="23" t="str">
        <f aca="false">IFERROR(B171/B170-1,"")</f>
        <v/>
      </c>
      <c r="D171" s="23" t="str">
        <f aca="false">IFERROR(B171/B167-1,"")</f>
        <v/>
      </c>
      <c r="E171" s="24" t="str">
        <f aca="false">IFERROR(IF(B171="",IFERROR(GROWTH($B$104:$B$191,$A$104:$A$191,$A171),TREND($B$104:$B$191,$A$104:$A$191,$A171)),""),"")</f>
        <v/>
      </c>
      <c r="F171" s="24" t="str">
        <f aca="false">IFERROR(forecast.ets($A171,$B$104:$B$191,$A$104:$A$191,4,1,1),"")</f>
        <v/>
      </c>
      <c r="G171" s="24" t="str">
        <f aca="false">IFERROR(F171-forecast.ets.confint($A171,$B$104:$B$191,$A$104:$A$191,0.95,4,1,1),"")</f>
        <v/>
      </c>
      <c r="H171" s="24" t="str">
        <f aca="false">IFERROR(F171+forecast.ets.confint($A171,$B$104:$B$191,$A$104:$A$191,0.95,4,1,1),"")</f>
        <v/>
      </c>
    </row>
    <row r="172" customFormat="false" ht="15" hidden="false" customHeight="false" outlineLevel="0" collapsed="false">
      <c r="A172" s="16" t="n">
        <v>45658</v>
      </c>
      <c r="B172" s="17" t="str">
        <f aca="false">IFERROR(haverdata(Codes!$D$12,$A172),"")</f>
        <v/>
      </c>
      <c r="C172" s="18" t="str">
        <f aca="false">IFERROR(B172/B171-1,"")</f>
        <v/>
      </c>
      <c r="D172" s="18" t="str">
        <f aca="false">IFERROR(B172/B168-1,"")</f>
        <v/>
      </c>
      <c r="E172" s="19" t="str">
        <f aca="false">IFERROR(IF(B172="",IFERROR(GROWTH($B$104:$B$191,$A$104:$A$191,$A172),TREND($B$104:$B$191,$A$104:$A$191,$A172)),""),"")</f>
        <v/>
      </c>
      <c r="F172" s="19" t="str">
        <f aca="false">IFERROR(forecast.ets($A172,$B$104:$B$191,$A$104:$A$191,4,1,1),"")</f>
        <v/>
      </c>
      <c r="G172" s="19" t="str">
        <f aca="false">IFERROR(F172-forecast.ets.confint($A172,$B$104:$B$191,$A$104:$A$191,0.95,4,1,1),"")</f>
        <v/>
      </c>
      <c r="H172" s="19" t="str">
        <f aca="false">IFERROR(F172+forecast.ets.confint($A172,$B$104:$B$191,$A$104:$A$191,0.95,4,1,1),"")</f>
        <v/>
      </c>
    </row>
    <row r="173" customFormat="false" ht="15" hidden="false" customHeight="false" outlineLevel="0" collapsed="false">
      <c r="A173" s="21" t="n">
        <v>45748</v>
      </c>
      <c r="B173" s="22" t="str">
        <f aca="false">IFERROR(haverdata(Codes!$D$12,$A173),"")</f>
        <v/>
      </c>
      <c r="C173" s="23" t="str">
        <f aca="false">IFERROR(B173/B172-1,"")</f>
        <v/>
      </c>
      <c r="D173" s="23" t="str">
        <f aca="false">IFERROR(B173/B169-1,"")</f>
        <v/>
      </c>
      <c r="E173" s="24" t="str">
        <f aca="false">IFERROR(IF(B173="",IFERROR(GROWTH($B$104:$B$191,$A$104:$A$191,$A173),TREND($B$104:$B$191,$A$104:$A$191,$A173)),""),"")</f>
        <v/>
      </c>
      <c r="F173" s="24" t="str">
        <f aca="false">IFERROR(forecast.ets($A173,$B$104:$B$191,$A$104:$A$191,4,1,1),"")</f>
        <v/>
      </c>
      <c r="G173" s="24" t="str">
        <f aca="false">IFERROR(F173-forecast.ets.confint($A173,$B$104:$B$191,$A$104:$A$191,0.95,4,1,1),"")</f>
        <v/>
      </c>
      <c r="H173" s="24" t="str">
        <f aca="false">IFERROR(F173+forecast.ets.confint($A173,$B$104:$B$191,$A$104:$A$191,0.95,4,1,1),"")</f>
        <v/>
      </c>
    </row>
    <row r="174" customFormat="false" ht="15" hidden="false" customHeight="false" outlineLevel="0" collapsed="false">
      <c r="A174" s="16" t="n">
        <v>45839</v>
      </c>
      <c r="B174" s="17" t="str">
        <f aca="false">IFERROR(haverdata(Codes!$D$12,$A174),"")</f>
        <v/>
      </c>
      <c r="C174" s="18" t="str">
        <f aca="false">IFERROR(B174/B173-1,"")</f>
        <v/>
      </c>
      <c r="D174" s="18" t="str">
        <f aca="false">IFERROR(B174/B170-1,"")</f>
        <v/>
      </c>
      <c r="E174" s="19" t="str">
        <f aca="false">IFERROR(IF(B174="",IFERROR(GROWTH($B$104:$B$191,$A$104:$A$191,$A174),TREND($B$104:$B$191,$A$104:$A$191,$A174)),""),"")</f>
        <v/>
      </c>
      <c r="F174" s="19" t="str">
        <f aca="false">IFERROR(forecast.ets($A174,$B$104:$B$191,$A$104:$A$191,4,1,1),"")</f>
        <v/>
      </c>
      <c r="G174" s="19" t="str">
        <f aca="false">IFERROR(F174-forecast.ets.confint($A174,$B$104:$B$191,$A$104:$A$191,0.95,4,1,1),"")</f>
        <v/>
      </c>
      <c r="H174" s="19" t="str">
        <f aca="false">IFERROR(F174+forecast.ets.confint($A174,$B$104:$B$191,$A$104:$A$191,0.95,4,1,1),"")</f>
        <v/>
      </c>
    </row>
    <row r="175" customFormat="false" ht="15" hidden="false" customHeight="false" outlineLevel="0" collapsed="false">
      <c r="A175" s="21" t="n">
        <v>45931</v>
      </c>
      <c r="B175" s="22" t="str">
        <f aca="false">IFERROR(haverdata(Codes!$D$12,$A175),"")</f>
        <v/>
      </c>
      <c r="C175" s="23" t="str">
        <f aca="false">IFERROR(B175/B174-1,"")</f>
        <v/>
      </c>
      <c r="D175" s="23" t="str">
        <f aca="false">IFERROR(B175/B171-1,"")</f>
        <v/>
      </c>
      <c r="E175" s="24" t="str">
        <f aca="false">IFERROR(IF(B175="",IFERROR(GROWTH($B$104:$B$191,$A$104:$A$191,$A175),TREND($B$104:$B$191,$A$104:$A$191,$A175)),""),"")</f>
        <v/>
      </c>
      <c r="F175" s="24" t="str">
        <f aca="false">IFERROR(forecast.ets($A175,$B$104:$B$191,$A$104:$A$191,4,1,1),"")</f>
        <v/>
      </c>
      <c r="G175" s="24" t="str">
        <f aca="false">IFERROR(F175-forecast.ets.confint($A175,$B$104:$B$191,$A$104:$A$191,0.95,4,1,1),"")</f>
        <v/>
      </c>
      <c r="H175" s="24" t="str">
        <f aca="false">IFERROR(F175+forecast.ets.confint($A175,$B$104:$B$191,$A$104:$A$191,0.95,4,1,1),"")</f>
        <v/>
      </c>
    </row>
    <row r="176" customFormat="false" ht="15" hidden="false" customHeight="false" outlineLevel="0" collapsed="false">
      <c r="A176" s="16" t="n">
        <v>46023</v>
      </c>
      <c r="B176" s="17" t="str">
        <f aca="false">IFERROR(haverdata(Codes!$D$12,$A176),"")</f>
        <v/>
      </c>
      <c r="C176" s="18" t="str">
        <f aca="false">IFERROR(B176/B175-1,"")</f>
        <v/>
      </c>
      <c r="D176" s="18" t="str">
        <f aca="false">IFERROR(B176/B172-1,"")</f>
        <v/>
      </c>
      <c r="E176" s="19" t="str">
        <f aca="false">IFERROR(IF(B176="",IFERROR(GROWTH($B$104:$B$191,$A$104:$A$191,$A176),TREND($B$104:$B$191,$A$104:$A$191,$A176)),""),"")</f>
        <v/>
      </c>
      <c r="F176" s="19" t="str">
        <f aca="false">IFERROR(forecast.ets($A176,$B$104:$B$191,$A$104:$A$191,4,1,1),"")</f>
        <v/>
      </c>
      <c r="G176" s="19" t="str">
        <f aca="false">IFERROR(F176-forecast.ets.confint($A176,$B$104:$B$191,$A$104:$A$191,0.95,4,1,1),"")</f>
        <v/>
      </c>
      <c r="H176" s="19" t="str">
        <f aca="false">IFERROR(F176+forecast.ets.confint($A176,$B$104:$B$191,$A$104:$A$191,0.95,4,1,1),"")</f>
        <v/>
      </c>
    </row>
    <row r="177" customFormat="false" ht="15" hidden="false" customHeight="false" outlineLevel="0" collapsed="false">
      <c r="A177" s="21" t="n">
        <v>46113</v>
      </c>
      <c r="B177" s="22" t="str">
        <f aca="false">IFERROR(haverdata(Codes!$D$12,$A177),"")</f>
        <v/>
      </c>
      <c r="C177" s="23" t="str">
        <f aca="false">IFERROR(B177/B176-1,"")</f>
        <v/>
      </c>
      <c r="D177" s="23" t="str">
        <f aca="false">IFERROR(B177/B173-1,"")</f>
        <v/>
      </c>
      <c r="E177" s="24" t="str">
        <f aca="false">IFERROR(IF(B177="",IFERROR(GROWTH($B$104:$B$191,$A$104:$A$191,$A177),TREND($B$104:$B$191,$A$104:$A$191,$A177)),""),"")</f>
        <v/>
      </c>
      <c r="F177" s="24" t="str">
        <f aca="false">IFERROR(forecast.ets($A177,$B$104:$B$191,$A$104:$A$191,4,1,1),"")</f>
        <v/>
      </c>
      <c r="G177" s="24" t="str">
        <f aca="false">IFERROR(F177-forecast.ets.confint($A177,$B$104:$B$191,$A$104:$A$191,0.95,4,1,1),"")</f>
        <v/>
      </c>
      <c r="H177" s="24" t="str">
        <f aca="false">IFERROR(F177+forecast.ets.confint($A177,$B$104:$B$191,$A$104:$A$191,0.95,4,1,1),"")</f>
        <v/>
      </c>
    </row>
    <row r="178" customFormat="false" ht="15" hidden="false" customHeight="false" outlineLevel="0" collapsed="false">
      <c r="A178" s="16" t="n">
        <v>46204</v>
      </c>
      <c r="B178" s="17" t="str">
        <f aca="false">IFERROR(haverdata(Codes!$D$12,$A178),"")</f>
        <v/>
      </c>
      <c r="C178" s="18" t="str">
        <f aca="false">IFERROR(B178/B177-1,"")</f>
        <v/>
      </c>
      <c r="D178" s="18" t="str">
        <f aca="false">IFERROR(B178/B174-1,"")</f>
        <v/>
      </c>
      <c r="E178" s="19" t="str">
        <f aca="false">IFERROR(IF(B178="",IFERROR(GROWTH($B$104:$B$191,$A$104:$A$191,$A178),TREND($B$104:$B$191,$A$104:$A$191,$A178)),""),"")</f>
        <v/>
      </c>
      <c r="F178" s="19" t="str">
        <f aca="false">IFERROR(forecast.ets($A178,$B$104:$B$191,$A$104:$A$191,4,1,1),"")</f>
        <v/>
      </c>
      <c r="G178" s="19" t="str">
        <f aca="false">IFERROR(F178-forecast.ets.confint($A178,$B$104:$B$191,$A$104:$A$191,0.95,4,1,1),"")</f>
        <v/>
      </c>
      <c r="H178" s="19" t="str">
        <f aca="false">IFERROR(F178+forecast.ets.confint($A178,$B$104:$B$191,$A$104:$A$191,0.95,4,1,1),"")</f>
        <v/>
      </c>
    </row>
    <row r="179" customFormat="false" ht="15" hidden="false" customHeight="false" outlineLevel="0" collapsed="false">
      <c r="A179" s="21" t="n">
        <v>46296</v>
      </c>
      <c r="B179" s="22" t="str">
        <f aca="false">IFERROR(haverdata(Codes!$D$12,$A179),"")</f>
        <v/>
      </c>
      <c r="C179" s="23" t="str">
        <f aca="false">IFERROR(B179/B178-1,"")</f>
        <v/>
      </c>
      <c r="D179" s="23" t="str">
        <f aca="false">IFERROR(B179/B175-1,"")</f>
        <v/>
      </c>
      <c r="E179" s="24" t="str">
        <f aca="false">IFERROR(IF(B179="",IFERROR(GROWTH($B$104:$B$191,$A$104:$A$191,$A179),TREND($B$104:$B$191,$A$104:$A$191,$A179)),""),"")</f>
        <v/>
      </c>
      <c r="F179" s="24" t="str">
        <f aca="false">IFERROR(forecast.ets($A179,$B$104:$B$191,$A$104:$A$191,4,1,1),"")</f>
        <v/>
      </c>
      <c r="G179" s="24" t="str">
        <f aca="false">IFERROR(F179-forecast.ets.confint($A179,$B$104:$B$191,$A$104:$A$191,0.95,4,1,1),"")</f>
        <v/>
      </c>
      <c r="H179" s="24" t="str">
        <f aca="false">IFERROR(F179+forecast.ets.confint($A179,$B$104:$B$191,$A$104:$A$191,0.95,4,1,1),"")</f>
        <v/>
      </c>
    </row>
    <row r="180" customFormat="false" ht="15" hidden="false" customHeight="false" outlineLevel="0" collapsed="false">
      <c r="A180" s="16" t="n">
        <v>46388</v>
      </c>
      <c r="B180" s="17" t="str">
        <f aca="false">IFERROR(haverdata(Codes!$D$12,$A180),"")</f>
        <v/>
      </c>
      <c r="C180" s="18" t="str">
        <f aca="false">IFERROR(B180/B179-1,"")</f>
        <v/>
      </c>
      <c r="D180" s="18" t="str">
        <f aca="false">IFERROR(B180/B176-1,"")</f>
        <v/>
      </c>
      <c r="E180" s="19" t="str">
        <f aca="false">IFERROR(IF(B180="",IFERROR(GROWTH($B$104:$B$191,$A$104:$A$191,$A180),TREND($B$104:$B$191,$A$104:$A$191,$A180)),""),"")</f>
        <v/>
      </c>
      <c r="F180" s="19" t="str">
        <f aca="false">IFERROR(forecast.ets($A180,$B$104:$B$191,$A$104:$A$191,4,1,1),"")</f>
        <v/>
      </c>
      <c r="G180" s="19" t="str">
        <f aca="false">IFERROR(F180-forecast.ets.confint($A180,$B$104:$B$191,$A$104:$A$191,0.95,4,1,1),"")</f>
        <v/>
      </c>
      <c r="H180" s="19" t="str">
        <f aca="false">IFERROR(F180+forecast.ets.confint($A180,$B$104:$B$191,$A$104:$A$191,0.95,4,1,1),"")</f>
        <v/>
      </c>
    </row>
    <row r="181" customFormat="false" ht="15" hidden="false" customHeight="false" outlineLevel="0" collapsed="false">
      <c r="A181" s="21" t="n">
        <v>46478</v>
      </c>
      <c r="B181" s="22" t="str">
        <f aca="false">IFERROR(haverdata(Codes!$D$12,$A181),"")</f>
        <v/>
      </c>
      <c r="C181" s="23" t="str">
        <f aca="false">IFERROR(B181/B180-1,"")</f>
        <v/>
      </c>
      <c r="D181" s="23" t="str">
        <f aca="false">IFERROR(B181/B177-1,"")</f>
        <v/>
      </c>
      <c r="E181" s="24" t="str">
        <f aca="false">IFERROR(IF(B181="",IFERROR(GROWTH($B$104:$B$191,$A$104:$A$191,$A181),TREND($B$104:$B$191,$A$104:$A$191,$A181)),""),"")</f>
        <v/>
      </c>
      <c r="F181" s="24" t="str">
        <f aca="false">IFERROR(forecast.ets($A181,$B$104:$B$191,$A$104:$A$191,4,1,1),"")</f>
        <v/>
      </c>
      <c r="G181" s="24" t="str">
        <f aca="false">IFERROR(F181-forecast.ets.confint($A181,$B$104:$B$191,$A$104:$A$191,0.95,4,1,1),"")</f>
        <v/>
      </c>
      <c r="H181" s="24" t="str">
        <f aca="false">IFERROR(F181+forecast.ets.confint($A181,$B$104:$B$191,$A$104:$A$191,0.95,4,1,1),"")</f>
        <v/>
      </c>
    </row>
    <row r="182" customFormat="false" ht="15" hidden="false" customHeight="false" outlineLevel="0" collapsed="false">
      <c r="A182" s="16" t="n">
        <v>46569</v>
      </c>
      <c r="B182" s="17" t="str">
        <f aca="false">IFERROR(haverdata(Codes!$D$12,$A182),"")</f>
        <v/>
      </c>
      <c r="C182" s="18" t="str">
        <f aca="false">IFERROR(B182/B181-1,"")</f>
        <v/>
      </c>
      <c r="D182" s="18" t="str">
        <f aca="false">IFERROR(B182/B178-1,"")</f>
        <v/>
      </c>
      <c r="E182" s="19" t="str">
        <f aca="false">IFERROR(IF(B182="",IFERROR(GROWTH($B$104:$B$191,$A$104:$A$191,$A182),TREND($B$104:$B$191,$A$104:$A$191,$A182)),""),"")</f>
        <v/>
      </c>
      <c r="F182" s="19" t="str">
        <f aca="false">IFERROR(forecast.ets($A182,$B$104:$B$191,$A$104:$A$191,4,1,1),"")</f>
        <v/>
      </c>
      <c r="G182" s="19" t="str">
        <f aca="false">IFERROR(F182-forecast.ets.confint($A182,$B$104:$B$191,$A$104:$A$191,0.95,4,1,1),"")</f>
        <v/>
      </c>
      <c r="H182" s="19" t="str">
        <f aca="false">IFERROR(F182+forecast.ets.confint($A182,$B$104:$B$191,$A$104:$A$191,0.95,4,1,1),"")</f>
        <v/>
      </c>
    </row>
    <row r="183" customFormat="false" ht="15" hidden="false" customHeight="false" outlineLevel="0" collapsed="false">
      <c r="A183" s="21" t="n">
        <v>46661</v>
      </c>
      <c r="B183" s="22" t="str">
        <f aca="false">IFERROR(haverdata(Codes!$D$12,$A183),"")</f>
        <v/>
      </c>
      <c r="C183" s="23" t="str">
        <f aca="false">IFERROR(B183/B182-1,"")</f>
        <v/>
      </c>
      <c r="D183" s="23" t="str">
        <f aca="false">IFERROR(B183/B179-1,"")</f>
        <v/>
      </c>
      <c r="E183" s="24" t="str">
        <f aca="false">IFERROR(IF(B183="",IFERROR(GROWTH($B$104:$B$191,$A$104:$A$191,$A183),TREND($B$104:$B$191,$A$104:$A$191,$A183)),""),"")</f>
        <v/>
      </c>
      <c r="F183" s="24" t="str">
        <f aca="false">IFERROR(forecast.ets($A183,$B$104:$B$191,$A$104:$A$191,4,1,1),"")</f>
        <v/>
      </c>
      <c r="G183" s="24" t="str">
        <f aca="false">IFERROR(F183-forecast.ets.confint($A183,$B$104:$B$191,$A$104:$A$191,0.95,4,1,1),"")</f>
        <v/>
      </c>
      <c r="H183" s="24" t="str">
        <f aca="false">IFERROR(F183+forecast.ets.confint($A183,$B$104:$B$191,$A$104:$A$191,0.95,4,1,1),"")</f>
        <v/>
      </c>
    </row>
    <row r="184" customFormat="false" ht="15" hidden="false" customHeight="false" outlineLevel="0" collapsed="false">
      <c r="A184" s="16" t="n">
        <v>46753</v>
      </c>
      <c r="B184" s="17" t="str">
        <f aca="false">IFERROR(haverdata(Codes!$D$12,$A184),"")</f>
        <v/>
      </c>
      <c r="C184" s="18" t="str">
        <f aca="false">IFERROR(B184/B183-1,"")</f>
        <v/>
      </c>
      <c r="D184" s="18" t="str">
        <f aca="false">IFERROR(B184/B180-1,"")</f>
        <v/>
      </c>
      <c r="E184" s="19" t="str">
        <f aca="false">IFERROR(IF(B184="",IFERROR(GROWTH($B$104:$B$191,$A$104:$A$191,$A184),TREND($B$104:$B$191,$A$104:$A$191,$A184)),""),"")</f>
        <v/>
      </c>
      <c r="F184" s="19" t="str">
        <f aca="false">IFERROR(forecast.ets($A184,$B$104:$B$191,$A$104:$A$191,4,1,1),"")</f>
        <v/>
      </c>
      <c r="G184" s="19" t="str">
        <f aca="false">IFERROR(F184-forecast.ets.confint($A184,$B$104:$B$191,$A$104:$A$191,0.95,4,1,1),"")</f>
        <v/>
      </c>
      <c r="H184" s="19" t="str">
        <f aca="false">IFERROR(F184+forecast.ets.confint($A184,$B$104:$B$191,$A$104:$A$191,0.95,4,1,1),"")</f>
        <v/>
      </c>
    </row>
    <row r="185" customFormat="false" ht="15" hidden="false" customHeight="false" outlineLevel="0" collapsed="false">
      <c r="A185" s="21" t="n">
        <v>46844</v>
      </c>
      <c r="B185" s="22" t="str">
        <f aca="false">IFERROR(haverdata(Codes!$D$12,$A185),"")</f>
        <v/>
      </c>
      <c r="C185" s="23" t="str">
        <f aca="false">IFERROR(B185/B184-1,"")</f>
        <v/>
      </c>
      <c r="D185" s="23" t="str">
        <f aca="false">IFERROR(B185/B181-1,"")</f>
        <v/>
      </c>
      <c r="E185" s="24" t="str">
        <f aca="false">IFERROR(IF(B185="",IFERROR(GROWTH($B$104:$B$191,$A$104:$A$191,$A185),TREND($B$104:$B$191,$A$104:$A$191,$A185)),""),"")</f>
        <v/>
      </c>
      <c r="F185" s="24" t="str">
        <f aca="false">IFERROR(forecast.ets($A185,$B$104:$B$191,$A$104:$A$191,4,1,1),"")</f>
        <v/>
      </c>
      <c r="G185" s="24" t="str">
        <f aca="false">IFERROR(F185-forecast.ets.confint($A185,$B$104:$B$191,$A$104:$A$191,0.95,4,1,1),"")</f>
        <v/>
      </c>
      <c r="H185" s="24" t="str">
        <f aca="false">IFERROR(F185+forecast.ets.confint($A185,$B$104:$B$191,$A$104:$A$191,0.95,4,1,1),"")</f>
        <v/>
      </c>
    </row>
    <row r="186" customFormat="false" ht="15" hidden="false" customHeight="false" outlineLevel="0" collapsed="false">
      <c r="A186" s="16" t="n">
        <v>46935</v>
      </c>
      <c r="B186" s="17" t="str">
        <f aca="false">IFERROR(haverdata(Codes!$D$12,$A186),"")</f>
        <v/>
      </c>
      <c r="C186" s="18" t="str">
        <f aca="false">IFERROR(B186/B185-1,"")</f>
        <v/>
      </c>
      <c r="D186" s="18" t="str">
        <f aca="false">IFERROR(B186/B182-1,"")</f>
        <v/>
      </c>
      <c r="E186" s="19" t="str">
        <f aca="false">IFERROR(IF(B186="",IFERROR(GROWTH($B$104:$B$191,$A$104:$A$191,$A186),TREND($B$104:$B$191,$A$104:$A$191,$A186)),""),"")</f>
        <v/>
      </c>
      <c r="F186" s="19" t="str">
        <f aca="false">IFERROR(forecast.ets($A186,$B$104:$B$191,$A$104:$A$191,4,1,1),"")</f>
        <v/>
      </c>
      <c r="G186" s="19" t="str">
        <f aca="false">IFERROR(F186-forecast.ets.confint($A186,$B$104:$B$191,$A$104:$A$191,0.95,4,1,1),"")</f>
        <v/>
      </c>
      <c r="H186" s="19" t="str">
        <f aca="false">IFERROR(F186+forecast.ets.confint($A186,$B$104:$B$191,$A$104:$A$191,0.95,4,1,1),"")</f>
        <v/>
      </c>
    </row>
    <row r="187" customFormat="false" ht="15" hidden="false" customHeight="false" outlineLevel="0" collapsed="false">
      <c r="A187" s="21" t="n">
        <v>47027</v>
      </c>
      <c r="B187" s="22" t="str">
        <f aca="false">IFERROR(haverdata(Codes!$D$12,$A187),"")</f>
        <v/>
      </c>
      <c r="C187" s="23" t="str">
        <f aca="false">IFERROR(B187/B186-1,"")</f>
        <v/>
      </c>
      <c r="D187" s="23" t="str">
        <f aca="false">IFERROR(B187/B183-1,"")</f>
        <v/>
      </c>
      <c r="E187" s="24" t="str">
        <f aca="false">IFERROR(IF(B187="",IFERROR(GROWTH($B$104:$B$191,$A$104:$A$191,$A187),TREND($B$104:$B$191,$A$104:$A$191,$A187)),""),"")</f>
        <v/>
      </c>
      <c r="F187" s="24" t="str">
        <f aca="false">IFERROR(forecast.ets($A187,$B$104:$B$191,$A$104:$A$191,4,1,1),"")</f>
        <v/>
      </c>
      <c r="G187" s="24" t="str">
        <f aca="false">IFERROR(F187-forecast.ets.confint($A187,$B$104:$B$191,$A$104:$A$191,0.95,4,1,1),"")</f>
        <v/>
      </c>
      <c r="H187" s="24" t="str">
        <f aca="false">IFERROR(F187+forecast.ets.confint($A187,$B$104:$B$191,$A$104:$A$191,0.95,4,1,1),"")</f>
        <v/>
      </c>
    </row>
    <row r="188" customFormat="false" ht="15" hidden="false" customHeight="false" outlineLevel="0" collapsed="false">
      <c r="A188" s="16" t="n">
        <v>47119</v>
      </c>
      <c r="B188" s="17" t="str">
        <f aca="false">IFERROR(haverdata(Codes!$D$12,$A188),"")</f>
        <v/>
      </c>
      <c r="C188" s="18" t="str">
        <f aca="false">IFERROR(B188/B187-1,"")</f>
        <v/>
      </c>
      <c r="D188" s="18" t="str">
        <f aca="false">IFERROR(B188/B184-1,"")</f>
        <v/>
      </c>
      <c r="E188" s="19" t="str">
        <f aca="false">IFERROR(IF(B188="",IFERROR(GROWTH($B$104:$B$191,$A$104:$A$191,$A188),TREND($B$104:$B$191,$A$104:$A$191,$A188)),""),"")</f>
        <v/>
      </c>
      <c r="F188" s="19" t="str">
        <f aca="false">IFERROR(forecast.ets($A188,$B$104:$B$191,$A$104:$A$191,4,1,1),"")</f>
        <v/>
      </c>
      <c r="G188" s="19" t="str">
        <f aca="false">IFERROR(F188-forecast.ets.confint($A188,$B$104:$B$191,$A$104:$A$191,0.95,4,1,1),"")</f>
        <v/>
      </c>
      <c r="H188" s="19" t="str">
        <f aca="false">IFERROR(F188+forecast.ets.confint($A188,$B$104:$B$191,$A$104:$A$191,0.95,4,1,1),"")</f>
        <v/>
      </c>
    </row>
    <row r="189" customFormat="false" ht="15" hidden="false" customHeight="false" outlineLevel="0" collapsed="false">
      <c r="A189" s="21" t="n">
        <v>47209</v>
      </c>
      <c r="B189" s="22" t="str">
        <f aca="false">IFERROR(haverdata(Codes!$D$12,$A189),"")</f>
        <v/>
      </c>
      <c r="C189" s="23" t="str">
        <f aca="false">IFERROR(B189/B188-1,"")</f>
        <v/>
      </c>
      <c r="D189" s="23" t="str">
        <f aca="false">IFERROR(B189/B185-1,"")</f>
        <v/>
      </c>
      <c r="E189" s="24" t="str">
        <f aca="false">IFERROR(IF(B189="",IFERROR(GROWTH($B$104:$B$191,$A$104:$A$191,$A189),TREND($B$104:$B$191,$A$104:$A$191,$A189)),""),"")</f>
        <v/>
      </c>
      <c r="F189" s="24" t="str">
        <f aca="false">IFERROR(forecast.ets($A189,$B$104:$B$191,$A$104:$A$191,4,1,1),"")</f>
        <v/>
      </c>
      <c r="G189" s="24" t="str">
        <f aca="false">IFERROR(F189-forecast.ets.confint($A189,$B$104:$B$191,$A$104:$A$191,0.95,4,1,1),"")</f>
        <v/>
      </c>
      <c r="H189" s="24" t="str">
        <f aca="false">IFERROR(F189+forecast.ets.confint($A189,$B$104:$B$191,$A$104:$A$191,0.95,4,1,1),"")</f>
        <v/>
      </c>
    </row>
    <row r="190" customFormat="false" ht="15" hidden="false" customHeight="false" outlineLevel="0" collapsed="false">
      <c r="A190" s="16" t="n">
        <v>47300</v>
      </c>
      <c r="B190" s="17" t="str">
        <f aca="false">IFERROR(haverdata(Codes!$D$12,$A190),"")</f>
        <v/>
      </c>
      <c r="C190" s="18" t="str">
        <f aca="false">IFERROR(B190/B189-1,"")</f>
        <v/>
      </c>
      <c r="D190" s="18" t="str">
        <f aca="false">IFERROR(B190/B186-1,"")</f>
        <v/>
      </c>
      <c r="E190" s="19" t="str">
        <f aca="false">IFERROR(IF(B190="",IFERROR(GROWTH($B$104:$B$191,$A$104:$A$191,$A190),TREND($B$104:$B$191,$A$104:$A$191,$A190)),""),"")</f>
        <v/>
      </c>
      <c r="F190" s="19" t="str">
        <f aca="false">IFERROR(forecast.ets($A190,$B$104:$B$191,$A$104:$A$191,4,1,1),"")</f>
        <v/>
      </c>
      <c r="G190" s="19" t="str">
        <f aca="false">IFERROR(F190-forecast.ets.confint($A190,$B$104:$B$191,$A$104:$A$191,0.95,4,1,1),"")</f>
        <v/>
      </c>
      <c r="H190" s="19" t="str">
        <f aca="false">IFERROR(F190+forecast.ets.confint($A190,$B$104:$B$191,$A$104:$A$191,0.95,4,1,1),"")</f>
        <v/>
      </c>
    </row>
    <row r="191" customFormat="false" ht="15" hidden="false" customHeight="false" outlineLevel="0" collapsed="false">
      <c r="A191" s="21" t="n">
        <v>47392</v>
      </c>
      <c r="B191" s="22" t="str">
        <f aca="false">IFERROR(haverdata(Codes!$D$12,$A191),"")</f>
        <v/>
      </c>
      <c r="C191" s="23" t="str">
        <f aca="false">IFERROR(B191/B190-1,"")</f>
        <v/>
      </c>
      <c r="D191" s="23" t="str">
        <f aca="false">IFERROR(B191/B187-1,"")</f>
        <v/>
      </c>
      <c r="E191" s="24" t="str">
        <f aca="false">IFERROR(IF(B191="",IFERROR(GROWTH($B$104:$B$191,$A$104:$A$191,$A191),TREND($B$104:$B$191,$A$104:$A$191,$A191)),""),"")</f>
        <v/>
      </c>
      <c r="F191" s="24" t="str">
        <f aca="false">IFERROR(forecast.ets($A191,$B$104:$B$191,$A$104:$A$191,4,1,1),"")</f>
        <v/>
      </c>
      <c r="G191" s="24" t="str">
        <f aca="false">IFERROR(F191-forecast.ets.confint($A191,$B$104:$B$191,$A$104:$A$191,0.95,4,1,1),"")</f>
        <v/>
      </c>
      <c r="H191" s="24" t="str">
        <f aca="false">IFERROR(F191+forecast.ets.confint($A191,$B$104:$B$191,$A$104:$A$191,0.95,4,1,1),"")</f>
        <v/>
      </c>
    </row>
    <row r="196" customFormat="false" ht="21.75" hidden="false" customHeight="true" outlineLevel="0" collapsed="false">
      <c r="A196" s="13" t="str">
        <f aca="false">Codes!$B$13&amp;"   ["&amp;Codes!$D$13&amp;"]   "&amp;Codes!$F$13</f>
        <v>Public Debt   [DEUDPUB@ARGEN]   USD Mn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customFormat="false" ht="15" hidden="false" customHeight="false" outlineLevel="0" collapsed="false">
      <c r="A197" s="4" t="s">
        <v>107</v>
      </c>
      <c r="B197" s="14" t="str">
        <f aca="false">Codes!$G$13</f>
        <v>last</v>
      </c>
      <c r="D197" s="4" t="s">
        <v>108</v>
      </c>
      <c r="E197" s="6" t="str">
        <f aca="false">Codes!$H$13</f>
        <v>End-period stock. [VERIFY]</v>
      </c>
      <c r="F197" s="6"/>
      <c r="G197" s="6"/>
      <c r="H197" s="6"/>
      <c r="I197" s="6"/>
      <c r="J197" s="6"/>
      <c r="K197" s="6"/>
      <c r="L197" s="6"/>
      <c r="M197" s="6"/>
    </row>
    <row r="198" customFormat="false" ht="18" hidden="false" customHeight="true" outlineLevel="0" collapsed="false">
      <c r="A198" s="15" t="s">
        <v>109</v>
      </c>
      <c r="B198" s="15"/>
      <c r="C198" s="15"/>
      <c r="D198" s="15"/>
      <c r="E198" s="15"/>
      <c r="F198" s="15"/>
      <c r="G198" s="15"/>
      <c r="H198" s="15"/>
      <c r="J198" s="15" t="s">
        <v>110</v>
      </c>
      <c r="K198" s="15"/>
      <c r="L198" s="15"/>
      <c r="M198" s="15"/>
    </row>
    <row r="199" customFormat="false" ht="15" hidden="false" customHeight="false" outlineLevel="0" collapsed="false">
      <c r="A199" s="7" t="s">
        <v>111</v>
      </c>
      <c r="B199" s="7" t="s">
        <v>112</v>
      </c>
      <c r="C199" s="7" t="s">
        <v>113</v>
      </c>
      <c r="D199" s="7" t="s">
        <v>114</v>
      </c>
      <c r="E199" s="7" t="s">
        <v>115</v>
      </c>
      <c r="F199" s="7" t="s">
        <v>116</v>
      </c>
      <c r="G199" s="7" t="s">
        <v>117</v>
      </c>
      <c r="H199" s="7" t="s">
        <v>118</v>
      </c>
      <c r="J199" s="7" t="s">
        <v>119</v>
      </c>
      <c r="K199" s="7" t="s">
        <v>112</v>
      </c>
      <c r="L199" s="7" t="s">
        <v>114</v>
      </c>
      <c r="M199" s="7" t="s">
        <v>120</v>
      </c>
    </row>
    <row r="200" customFormat="false" ht="15" hidden="false" customHeight="false" outlineLevel="0" collapsed="false">
      <c r="A200" s="16" t="n">
        <v>39448</v>
      </c>
      <c r="B200" s="17" t="str">
        <f aca="false">IFERROR(haverdata(Codes!$D$13,$A200),"")</f>
        <v/>
      </c>
      <c r="C200" s="18"/>
      <c r="D200" s="18"/>
      <c r="E200" s="19" t="str">
        <f aca="false">IFERROR(IF(B200="",IFERROR(GROWTH($B$200:$B$287,$A$200:$A$287,$A200),TREND($B$200:$B$287,$A$200:$A$287,$A200)),""),"")</f>
        <v/>
      </c>
      <c r="F200" s="19" t="str">
        <f aca="false">IFERROR(forecast.ets($A200,$B$200:$B$287,$A$200:$A$287,4,1,1),"")</f>
        <v/>
      </c>
      <c r="G200" s="19" t="str">
        <f aca="false">IFERROR(F200-forecast.ets.confint($A200,$B$200:$B$287,$A$200:$A$287,0.95,4,1,1),"")</f>
        <v/>
      </c>
      <c r="H200" s="19" t="str">
        <f aca="false">IFERROR(F200+forecast.ets.confint($A200,$B$200:$B$287,$A$200:$A$287,0.95,4,1,1),"")</f>
        <v/>
      </c>
      <c r="J200" s="20" t="n">
        <v>2008</v>
      </c>
      <c r="K200" s="19" t="str">
        <f aca="false">IFERROR(INDEX($B$200:$B$287,MATCH(DATE(J200,10,1),$A$200:$A$287,0)),"")</f>
        <v/>
      </c>
      <c r="L200" s="18"/>
      <c r="M200" s="19" t="str">
        <f aca="false">IFERROR(INDEX($F$200:$F$287,MATCH(DATE(J200,10,1),$A$200:$A$287,0)),"")</f>
        <v/>
      </c>
    </row>
    <row r="201" customFormat="false" ht="15" hidden="false" customHeight="false" outlineLevel="0" collapsed="false">
      <c r="A201" s="21" t="n">
        <v>39539</v>
      </c>
      <c r="B201" s="22" t="str">
        <f aca="false">IFERROR(haverdata(Codes!$D$13,$A201),"")</f>
        <v/>
      </c>
      <c r="C201" s="23" t="str">
        <f aca="false">IFERROR(B201/B200-1,"")</f>
        <v/>
      </c>
      <c r="D201" s="23"/>
      <c r="E201" s="24" t="str">
        <f aca="false">IFERROR(IF(B201="",IFERROR(GROWTH($B$200:$B$287,$A$200:$A$287,$A201),TREND($B$200:$B$287,$A$200:$A$287,$A201)),""),"")</f>
        <v/>
      </c>
      <c r="F201" s="24" t="str">
        <f aca="false">IFERROR(forecast.ets($A201,$B$200:$B$287,$A$200:$A$287,4,1,1),"")</f>
        <v/>
      </c>
      <c r="G201" s="24" t="str">
        <f aca="false">IFERROR(F201-forecast.ets.confint($A201,$B$200:$B$287,$A$200:$A$287,0.95,4,1,1),"")</f>
        <v/>
      </c>
      <c r="H201" s="24" t="str">
        <f aca="false">IFERROR(F201+forecast.ets.confint($A201,$B$200:$B$287,$A$200:$A$287,0.95,4,1,1),"")</f>
        <v/>
      </c>
      <c r="J201" s="25" t="n">
        <v>2009</v>
      </c>
      <c r="K201" s="24" t="str">
        <f aca="false">IFERROR(INDEX($B$200:$B$287,MATCH(DATE(J201,10,1),$A$200:$A$287,0)),"")</f>
        <v/>
      </c>
      <c r="L201" s="23" t="str">
        <f aca="false">IFERROR(K201/K200-1,"")</f>
        <v/>
      </c>
      <c r="M201" s="24" t="str">
        <f aca="false">IFERROR(INDEX($F$200:$F$287,MATCH(DATE(J201,10,1),$A$200:$A$287,0)),"")</f>
        <v/>
      </c>
    </row>
    <row r="202" customFormat="false" ht="15" hidden="false" customHeight="false" outlineLevel="0" collapsed="false">
      <c r="A202" s="16" t="n">
        <v>39630</v>
      </c>
      <c r="B202" s="17" t="str">
        <f aca="false">IFERROR(haverdata(Codes!$D$13,$A202),"")</f>
        <v/>
      </c>
      <c r="C202" s="18" t="str">
        <f aca="false">IFERROR(B202/B201-1,"")</f>
        <v/>
      </c>
      <c r="D202" s="18"/>
      <c r="E202" s="19" t="str">
        <f aca="false">IFERROR(IF(B202="",IFERROR(GROWTH($B$200:$B$287,$A$200:$A$287,$A202),TREND($B$200:$B$287,$A$200:$A$287,$A202)),""),"")</f>
        <v/>
      </c>
      <c r="F202" s="19" t="str">
        <f aca="false">IFERROR(forecast.ets($A202,$B$200:$B$287,$A$200:$A$287,4,1,1),"")</f>
        <v/>
      </c>
      <c r="G202" s="19" t="str">
        <f aca="false">IFERROR(F202-forecast.ets.confint($A202,$B$200:$B$287,$A$200:$A$287,0.95,4,1,1),"")</f>
        <v/>
      </c>
      <c r="H202" s="19" t="str">
        <f aca="false">IFERROR(F202+forecast.ets.confint($A202,$B$200:$B$287,$A$200:$A$287,0.95,4,1,1),"")</f>
        <v/>
      </c>
      <c r="J202" s="20" t="n">
        <v>2010</v>
      </c>
      <c r="K202" s="19" t="str">
        <f aca="false">IFERROR(INDEX($B$200:$B$287,MATCH(DATE(J202,10,1),$A$200:$A$287,0)),"")</f>
        <v/>
      </c>
      <c r="L202" s="18" t="str">
        <f aca="false">IFERROR(K202/K201-1,"")</f>
        <v/>
      </c>
      <c r="M202" s="19" t="str">
        <f aca="false">IFERROR(INDEX($F$200:$F$287,MATCH(DATE(J202,10,1),$A$200:$A$287,0)),"")</f>
        <v/>
      </c>
    </row>
    <row r="203" customFormat="false" ht="15" hidden="false" customHeight="false" outlineLevel="0" collapsed="false">
      <c r="A203" s="21" t="n">
        <v>39722</v>
      </c>
      <c r="B203" s="22" t="str">
        <f aca="false">IFERROR(haverdata(Codes!$D$13,$A203),"")</f>
        <v/>
      </c>
      <c r="C203" s="23" t="str">
        <f aca="false">IFERROR(B203/B202-1,"")</f>
        <v/>
      </c>
      <c r="D203" s="23"/>
      <c r="E203" s="24" t="str">
        <f aca="false">IFERROR(IF(B203="",IFERROR(GROWTH($B$200:$B$287,$A$200:$A$287,$A203),TREND($B$200:$B$287,$A$200:$A$287,$A203)),""),"")</f>
        <v/>
      </c>
      <c r="F203" s="24" t="str">
        <f aca="false">IFERROR(forecast.ets($A203,$B$200:$B$287,$A$200:$A$287,4,1,1),"")</f>
        <v/>
      </c>
      <c r="G203" s="24" t="str">
        <f aca="false">IFERROR(F203-forecast.ets.confint($A203,$B$200:$B$287,$A$200:$A$287,0.95,4,1,1),"")</f>
        <v/>
      </c>
      <c r="H203" s="24" t="str">
        <f aca="false">IFERROR(F203+forecast.ets.confint($A203,$B$200:$B$287,$A$200:$A$287,0.95,4,1,1),"")</f>
        <v/>
      </c>
      <c r="J203" s="25" t="n">
        <v>2011</v>
      </c>
      <c r="K203" s="24" t="str">
        <f aca="false">IFERROR(INDEX($B$200:$B$287,MATCH(DATE(J203,10,1),$A$200:$A$287,0)),"")</f>
        <v/>
      </c>
      <c r="L203" s="23" t="str">
        <f aca="false">IFERROR(K203/K202-1,"")</f>
        <v/>
      </c>
      <c r="M203" s="24" t="str">
        <f aca="false">IFERROR(INDEX($F$200:$F$287,MATCH(DATE(J203,10,1),$A$200:$A$287,0)),"")</f>
        <v/>
      </c>
    </row>
    <row r="204" customFormat="false" ht="15" hidden="false" customHeight="false" outlineLevel="0" collapsed="false">
      <c r="A204" s="16" t="n">
        <v>39814</v>
      </c>
      <c r="B204" s="17" t="str">
        <f aca="false">IFERROR(haverdata(Codes!$D$13,$A204),"")</f>
        <v/>
      </c>
      <c r="C204" s="18" t="str">
        <f aca="false">IFERROR(B204/B203-1,"")</f>
        <v/>
      </c>
      <c r="D204" s="18" t="str">
        <f aca="false">IFERROR(B204/B200-1,"")</f>
        <v/>
      </c>
      <c r="E204" s="19" t="str">
        <f aca="false">IFERROR(IF(B204="",IFERROR(GROWTH($B$200:$B$287,$A$200:$A$287,$A204),TREND($B$200:$B$287,$A$200:$A$287,$A204)),""),"")</f>
        <v/>
      </c>
      <c r="F204" s="19" t="str">
        <f aca="false">IFERROR(forecast.ets($A204,$B$200:$B$287,$A$200:$A$287,4,1,1),"")</f>
        <v/>
      </c>
      <c r="G204" s="19" t="str">
        <f aca="false">IFERROR(F204-forecast.ets.confint($A204,$B$200:$B$287,$A$200:$A$287,0.95,4,1,1),"")</f>
        <v/>
      </c>
      <c r="H204" s="19" t="str">
        <f aca="false">IFERROR(F204+forecast.ets.confint($A204,$B$200:$B$287,$A$200:$A$287,0.95,4,1,1),"")</f>
        <v/>
      </c>
      <c r="J204" s="20" t="n">
        <v>2012</v>
      </c>
      <c r="K204" s="19" t="str">
        <f aca="false">IFERROR(INDEX($B$200:$B$287,MATCH(DATE(J204,10,1),$A$200:$A$287,0)),"")</f>
        <v/>
      </c>
      <c r="L204" s="18" t="str">
        <f aca="false">IFERROR(K204/K203-1,"")</f>
        <v/>
      </c>
      <c r="M204" s="19" t="str">
        <f aca="false">IFERROR(INDEX($F$200:$F$287,MATCH(DATE(J204,10,1),$A$200:$A$287,0)),"")</f>
        <v/>
      </c>
    </row>
    <row r="205" customFormat="false" ht="15" hidden="false" customHeight="false" outlineLevel="0" collapsed="false">
      <c r="A205" s="21" t="n">
        <v>39904</v>
      </c>
      <c r="B205" s="22" t="str">
        <f aca="false">IFERROR(haverdata(Codes!$D$13,$A205),"")</f>
        <v/>
      </c>
      <c r="C205" s="23" t="str">
        <f aca="false">IFERROR(B205/B204-1,"")</f>
        <v/>
      </c>
      <c r="D205" s="23" t="str">
        <f aca="false">IFERROR(B205/B201-1,"")</f>
        <v/>
      </c>
      <c r="E205" s="24" t="str">
        <f aca="false">IFERROR(IF(B205="",IFERROR(GROWTH($B$200:$B$287,$A$200:$A$287,$A205),TREND($B$200:$B$287,$A$200:$A$287,$A205)),""),"")</f>
        <v/>
      </c>
      <c r="F205" s="24" t="str">
        <f aca="false">IFERROR(forecast.ets($A205,$B$200:$B$287,$A$200:$A$287,4,1,1),"")</f>
        <v/>
      </c>
      <c r="G205" s="24" t="str">
        <f aca="false">IFERROR(F205-forecast.ets.confint($A205,$B$200:$B$287,$A$200:$A$287,0.95,4,1,1),"")</f>
        <v/>
      </c>
      <c r="H205" s="24" t="str">
        <f aca="false">IFERROR(F205+forecast.ets.confint($A205,$B$200:$B$287,$A$200:$A$287,0.95,4,1,1),"")</f>
        <v/>
      </c>
      <c r="J205" s="25" t="n">
        <v>2013</v>
      </c>
      <c r="K205" s="24" t="str">
        <f aca="false">IFERROR(INDEX($B$200:$B$287,MATCH(DATE(J205,10,1),$A$200:$A$287,0)),"")</f>
        <v/>
      </c>
      <c r="L205" s="23" t="str">
        <f aca="false">IFERROR(K205/K204-1,"")</f>
        <v/>
      </c>
      <c r="M205" s="24" t="str">
        <f aca="false">IFERROR(INDEX($F$200:$F$287,MATCH(DATE(J205,10,1),$A$200:$A$287,0)),"")</f>
        <v/>
      </c>
    </row>
    <row r="206" customFormat="false" ht="15" hidden="false" customHeight="false" outlineLevel="0" collapsed="false">
      <c r="A206" s="16" t="n">
        <v>39995</v>
      </c>
      <c r="B206" s="17" t="str">
        <f aca="false">IFERROR(haverdata(Codes!$D$13,$A206),"")</f>
        <v/>
      </c>
      <c r="C206" s="18" t="str">
        <f aca="false">IFERROR(B206/B205-1,"")</f>
        <v/>
      </c>
      <c r="D206" s="18" t="str">
        <f aca="false">IFERROR(B206/B202-1,"")</f>
        <v/>
      </c>
      <c r="E206" s="19" t="str">
        <f aca="false">IFERROR(IF(B206="",IFERROR(GROWTH($B$200:$B$287,$A$200:$A$287,$A206),TREND($B$200:$B$287,$A$200:$A$287,$A206)),""),"")</f>
        <v/>
      </c>
      <c r="F206" s="19" t="str">
        <f aca="false">IFERROR(forecast.ets($A206,$B$200:$B$287,$A$200:$A$287,4,1,1),"")</f>
        <v/>
      </c>
      <c r="G206" s="19" t="str">
        <f aca="false">IFERROR(F206-forecast.ets.confint($A206,$B$200:$B$287,$A$200:$A$287,0.95,4,1,1),"")</f>
        <v/>
      </c>
      <c r="H206" s="19" t="str">
        <f aca="false">IFERROR(F206+forecast.ets.confint($A206,$B$200:$B$287,$A$200:$A$287,0.95,4,1,1),"")</f>
        <v/>
      </c>
      <c r="J206" s="20" t="n">
        <v>2014</v>
      </c>
      <c r="K206" s="19" t="str">
        <f aca="false">IFERROR(INDEX($B$200:$B$287,MATCH(DATE(J206,10,1),$A$200:$A$287,0)),"")</f>
        <v/>
      </c>
      <c r="L206" s="18" t="str">
        <f aca="false">IFERROR(K206/K205-1,"")</f>
        <v/>
      </c>
      <c r="M206" s="19" t="str">
        <f aca="false">IFERROR(INDEX($F$200:$F$287,MATCH(DATE(J206,10,1),$A$200:$A$287,0)),"")</f>
        <v/>
      </c>
    </row>
    <row r="207" customFormat="false" ht="15" hidden="false" customHeight="false" outlineLevel="0" collapsed="false">
      <c r="A207" s="21" t="n">
        <v>40087</v>
      </c>
      <c r="B207" s="22" t="str">
        <f aca="false">IFERROR(haverdata(Codes!$D$13,$A207),"")</f>
        <v/>
      </c>
      <c r="C207" s="23" t="str">
        <f aca="false">IFERROR(B207/B206-1,"")</f>
        <v/>
      </c>
      <c r="D207" s="23" t="str">
        <f aca="false">IFERROR(B207/B203-1,"")</f>
        <v/>
      </c>
      <c r="E207" s="24" t="str">
        <f aca="false">IFERROR(IF(B207="",IFERROR(GROWTH($B$200:$B$287,$A$200:$A$287,$A207),TREND($B$200:$B$287,$A$200:$A$287,$A207)),""),"")</f>
        <v/>
      </c>
      <c r="F207" s="24" t="str">
        <f aca="false">IFERROR(forecast.ets($A207,$B$200:$B$287,$A$200:$A$287,4,1,1),"")</f>
        <v/>
      </c>
      <c r="G207" s="24" t="str">
        <f aca="false">IFERROR(F207-forecast.ets.confint($A207,$B$200:$B$287,$A$200:$A$287,0.95,4,1,1),"")</f>
        <v/>
      </c>
      <c r="H207" s="24" t="str">
        <f aca="false">IFERROR(F207+forecast.ets.confint($A207,$B$200:$B$287,$A$200:$A$287,0.95,4,1,1),"")</f>
        <v/>
      </c>
      <c r="J207" s="25" t="n">
        <v>2015</v>
      </c>
      <c r="K207" s="24" t="str">
        <f aca="false">IFERROR(INDEX($B$200:$B$287,MATCH(DATE(J207,10,1),$A$200:$A$287,0)),"")</f>
        <v/>
      </c>
      <c r="L207" s="23" t="str">
        <f aca="false">IFERROR(K207/K206-1,"")</f>
        <v/>
      </c>
      <c r="M207" s="24" t="str">
        <f aca="false">IFERROR(INDEX($F$200:$F$287,MATCH(DATE(J207,10,1),$A$200:$A$287,0)),"")</f>
        <v/>
      </c>
    </row>
    <row r="208" customFormat="false" ht="15" hidden="false" customHeight="false" outlineLevel="0" collapsed="false">
      <c r="A208" s="16" t="n">
        <v>40179</v>
      </c>
      <c r="B208" s="17" t="str">
        <f aca="false">IFERROR(haverdata(Codes!$D$13,$A208),"")</f>
        <v/>
      </c>
      <c r="C208" s="18" t="str">
        <f aca="false">IFERROR(B208/B207-1,"")</f>
        <v/>
      </c>
      <c r="D208" s="18" t="str">
        <f aca="false">IFERROR(B208/B204-1,"")</f>
        <v/>
      </c>
      <c r="E208" s="19" t="str">
        <f aca="false">IFERROR(IF(B208="",IFERROR(GROWTH($B$200:$B$287,$A$200:$A$287,$A208),TREND($B$200:$B$287,$A$200:$A$287,$A208)),""),"")</f>
        <v/>
      </c>
      <c r="F208" s="19" t="str">
        <f aca="false">IFERROR(forecast.ets($A208,$B$200:$B$287,$A$200:$A$287,4,1,1),"")</f>
        <v/>
      </c>
      <c r="G208" s="19" t="str">
        <f aca="false">IFERROR(F208-forecast.ets.confint($A208,$B$200:$B$287,$A$200:$A$287,0.95,4,1,1),"")</f>
        <v/>
      </c>
      <c r="H208" s="19" t="str">
        <f aca="false">IFERROR(F208+forecast.ets.confint($A208,$B$200:$B$287,$A$200:$A$287,0.95,4,1,1),"")</f>
        <v/>
      </c>
      <c r="J208" s="20" t="n">
        <v>2016</v>
      </c>
      <c r="K208" s="19" t="str">
        <f aca="false">IFERROR(INDEX($B$200:$B$287,MATCH(DATE(J208,10,1),$A$200:$A$287,0)),"")</f>
        <v/>
      </c>
      <c r="L208" s="18" t="str">
        <f aca="false">IFERROR(K208/K207-1,"")</f>
        <v/>
      </c>
      <c r="M208" s="19" t="str">
        <f aca="false">IFERROR(INDEX($F$200:$F$287,MATCH(DATE(J208,10,1),$A$200:$A$287,0)),"")</f>
        <v/>
      </c>
    </row>
    <row r="209" customFormat="false" ht="15" hidden="false" customHeight="false" outlineLevel="0" collapsed="false">
      <c r="A209" s="21" t="n">
        <v>40269</v>
      </c>
      <c r="B209" s="22" t="str">
        <f aca="false">IFERROR(haverdata(Codes!$D$13,$A209),"")</f>
        <v/>
      </c>
      <c r="C209" s="23" t="str">
        <f aca="false">IFERROR(B209/B208-1,"")</f>
        <v/>
      </c>
      <c r="D209" s="23" t="str">
        <f aca="false">IFERROR(B209/B205-1,"")</f>
        <v/>
      </c>
      <c r="E209" s="24" t="str">
        <f aca="false">IFERROR(IF(B209="",IFERROR(GROWTH($B$200:$B$287,$A$200:$A$287,$A209),TREND($B$200:$B$287,$A$200:$A$287,$A209)),""),"")</f>
        <v/>
      </c>
      <c r="F209" s="24" t="str">
        <f aca="false">IFERROR(forecast.ets($A209,$B$200:$B$287,$A$200:$A$287,4,1,1),"")</f>
        <v/>
      </c>
      <c r="G209" s="24" t="str">
        <f aca="false">IFERROR(F209-forecast.ets.confint($A209,$B$200:$B$287,$A$200:$A$287,0.95,4,1,1),"")</f>
        <v/>
      </c>
      <c r="H209" s="24" t="str">
        <f aca="false">IFERROR(F209+forecast.ets.confint($A209,$B$200:$B$287,$A$200:$A$287,0.95,4,1,1),"")</f>
        <v/>
      </c>
      <c r="J209" s="25" t="n">
        <v>2017</v>
      </c>
      <c r="K209" s="24" t="str">
        <f aca="false">IFERROR(INDEX($B$200:$B$287,MATCH(DATE(J209,10,1),$A$200:$A$287,0)),"")</f>
        <v/>
      </c>
      <c r="L209" s="23" t="str">
        <f aca="false">IFERROR(K209/K208-1,"")</f>
        <v/>
      </c>
      <c r="M209" s="24" t="str">
        <f aca="false">IFERROR(INDEX($F$200:$F$287,MATCH(DATE(J209,10,1),$A$200:$A$287,0)),"")</f>
        <v/>
      </c>
    </row>
    <row r="210" customFormat="false" ht="15" hidden="false" customHeight="false" outlineLevel="0" collapsed="false">
      <c r="A210" s="16" t="n">
        <v>40360</v>
      </c>
      <c r="B210" s="17" t="str">
        <f aca="false">IFERROR(haverdata(Codes!$D$13,$A210),"")</f>
        <v/>
      </c>
      <c r="C210" s="18" t="str">
        <f aca="false">IFERROR(B210/B209-1,"")</f>
        <v/>
      </c>
      <c r="D210" s="18" t="str">
        <f aca="false">IFERROR(B210/B206-1,"")</f>
        <v/>
      </c>
      <c r="E210" s="19" t="str">
        <f aca="false">IFERROR(IF(B210="",IFERROR(GROWTH($B$200:$B$287,$A$200:$A$287,$A210),TREND($B$200:$B$287,$A$200:$A$287,$A210)),""),"")</f>
        <v/>
      </c>
      <c r="F210" s="19" t="str">
        <f aca="false">IFERROR(forecast.ets($A210,$B$200:$B$287,$A$200:$A$287,4,1,1),"")</f>
        <v/>
      </c>
      <c r="G210" s="19" t="str">
        <f aca="false">IFERROR(F210-forecast.ets.confint($A210,$B$200:$B$287,$A$200:$A$287,0.95,4,1,1),"")</f>
        <v/>
      </c>
      <c r="H210" s="19" t="str">
        <f aca="false">IFERROR(F210+forecast.ets.confint($A210,$B$200:$B$287,$A$200:$A$287,0.95,4,1,1),"")</f>
        <v/>
      </c>
      <c r="J210" s="20" t="n">
        <v>2018</v>
      </c>
      <c r="K210" s="19" t="str">
        <f aca="false">IFERROR(INDEX($B$200:$B$287,MATCH(DATE(J210,10,1),$A$200:$A$287,0)),"")</f>
        <v/>
      </c>
      <c r="L210" s="18" t="str">
        <f aca="false">IFERROR(K210/K209-1,"")</f>
        <v/>
      </c>
      <c r="M210" s="19" t="str">
        <f aca="false">IFERROR(INDEX($F$200:$F$287,MATCH(DATE(J210,10,1),$A$200:$A$287,0)),"")</f>
        <v/>
      </c>
    </row>
    <row r="211" customFormat="false" ht="15" hidden="false" customHeight="false" outlineLevel="0" collapsed="false">
      <c r="A211" s="21" t="n">
        <v>40452</v>
      </c>
      <c r="B211" s="22" t="str">
        <f aca="false">IFERROR(haverdata(Codes!$D$13,$A211),"")</f>
        <v/>
      </c>
      <c r="C211" s="23" t="str">
        <f aca="false">IFERROR(B211/B210-1,"")</f>
        <v/>
      </c>
      <c r="D211" s="23" t="str">
        <f aca="false">IFERROR(B211/B207-1,"")</f>
        <v/>
      </c>
      <c r="E211" s="24" t="str">
        <f aca="false">IFERROR(IF(B211="",IFERROR(GROWTH($B$200:$B$287,$A$200:$A$287,$A211),TREND($B$200:$B$287,$A$200:$A$287,$A211)),""),"")</f>
        <v/>
      </c>
      <c r="F211" s="24" t="str">
        <f aca="false">IFERROR(forecast.ets($A211,$B$200:$B$287,$A$200:$A$287,4,1,1),"")</f>
        <v/>
      </c>
      <c r="G211" s="24" t="str">
        <f aca="false">IFERROR(F211-forecast.ets.confint($A211,$B$200:$B$287,$A$200:$A$287,0.95,4,1,1),"")</f>
        <v/>
      </c>
      <c r="H211" s="24" t="str">
        <f aca="false">IFERROR(F211+forecast.ets.confint($A211,$B$200:$B$287,$A$200:$A$287,0.95,4,1,1),"")</f>
        <v/>
      </c>
      <c r="J211" s="25" t="n">
        <v>2019</v>
      </c>
      <c r="K211" s="24" t="str">
        <f aca="false">IFERROR(INDEX($B$200:$B$287,MATCH(DATE(J211,10,1),$A$200:$A$287,0)),"")</f>
        <v/>
      </c>
      <c r="L211" s="23" t="str">
        <f aca="false">IFERROR(K211/K210-1,"")</f>
        <v/>
      </c>
      <c r="M211" s="24" t="str">
        <f aca="false">IFERROR(INDEX($F$200:$F$287,MATCH(DATE(J211,10,1),$A$200:$A$287,0)),"")</f>
        <v/>
      </c>
    </row>
    <row r="212" customFormat="false" ht="15" hidden="false" customHeight="false" outlineLevel="0" collapsed="false">
      <c r="A212" s="16" t="n">
        <v>40544</v>
      </c>
      <c r="B212" s="17" t="str">
        <f aca="false">IFERROR(haverdata(Codes!$D$13,$A212),"")</f>
        <v/>
      </c>
      <c r="C212" s="18" t="str">
        <f aca="false">IFERROR(B212/B211-1,"")</f>
        <v/>
      </c>
      <c r="D212" s="18" t="str">
        <f aca="false">IFERROR(B212/B208-1,"")</f>
        <v/>
      </c>
      <c r="E212" s="19" t="str">
        <f aca="false">IFERROR(IF(B212="",IFERROR(GROWTH($B$200:$B$287,$A$200:$A$287,$A212),TREND($B$200:$B$287,$A$200:$A$287,$A212)),""),"")</f>
        <v/>
      </c>
      <c r="F212" s="19" t="str">
        <f aca="false">IFERROR(forecast.ets($A212,$B$200:$B$287,$A$200:$A$287,4,1,1),"")</f>
        <v/>
      </c>
      <c r="G212" s="19" t="str">
        <f aca="false">IFERROR(F212-forecast.ets.confint($A212,$B$200:$B$287,$A$200:$A$287,0.95,4,1,1),"")</f>
        <v/>
      </c>
      <c r="H212" s="19" t="str">
        <f aca="false">IFERROR(F212+forecast.ets.confint($A212,$B$200:$B$287,$A$200:$A$287,0.95,4,1,1),"")</f>
        <v/>
      </c>
      <c r="J212" s="20" t="n">
        <v>2020</v>
      </c>
      <c r="K212" s="19" t="str">
        <f aca="false">IFERROR(INDEX($B$200:$B$287,MATCH(DATE(J212,10,1),$A$200:$A$287,0)),"")</f>
        <v/>
      </c>
      <c r="L212" s="18" t="str">
        <f aca="false">IFERROR(K212/K211-1,"")</f>
        <v/>
      </c>
      <c r="M212" s="19" t="str">
        <f aca="false">IFERROR(INDEX($F$200:$F$287,MATCH(DATE(J212,10,1),$A$200:$A$287,0)),"")</f>
        <v/>
      </c>
    </row>
    <row r="213" customFormat="false" ht="15" hidden="false" customHeight="false" outlineLevel="0" collapsed="false">
      <c r="A213" s="21" t="n">
        <v>40634</v>
      </c>
      <c r="B213" s="22" t="str">
        <f aca="false">IFERROR(haverdata(Codes!$D$13,$A213),"")</f>
        <v/>
      </c>
      <c r="C213" s="23" t="str">
        <f aca="false">IFERROR(B213/B212-1,"")</f>
        <v/>
      </c>
      <c r="D213" s="23" t="str">
        <f aca="false">IFERROR(B213/B209-1,"")</f>
        <v/>
      </c>
      <c r="E213" s="24" t="str">
        <f aca="false">IFERROR(IF(B213="",IFERROR(GROWTH($B$200:$B$287,$A$200:$A$287,$A213),TREND($B$200:$B$287,$A$200:$A$287,$A213)),""),"")</f>
        <v/>
      </c>
      <c r="F213" s="24" t="str">
        <f aca="false">IFERROR(forecast.ets($A213,$B$200:$B$287,$A$200:$A$287,4,1,1),"")</f>
        <v/>
      </c>
      <c r="G213" s="24" t="str">
        <f aca="false">IFERROR(F213-forecast.ets.confint($A213,$B$200:$B$287,$A$200:$A$287,0.95,4,1,1),"")</f>
        <v/>
      </c>
      <c r="H213" s="24" t="str">
        <f aca="false">IFERROR(F213+forecast.ets.confint($A213,$B$200:$B$287,$A$200:$A$287,0.95,4,1,1),"")</f>
        <v/>
      </c>
      <c r="J213" s="25" t="n">
        <v>2021</v>
      </c>
      <c r="K213" s="24" t="str">
        <f aca="false">IFERROR(INDEX($B$200:$B$287,MATCH(DATE(J213,10,1),$A$200:$A$287,0)),"")</f>
        <v/>
      </c>
      <c r="L213" s="23" t="str">
        <f aca="false">IFERROR(K213/K212-1,"")</f>
        <v/>
      </c>
      <c r="M213" s="24" t="str">
        <f aca="false">IFERROR(INDEX($F$200:$F$287,MATCH(DATE(J213,10,1),$A$200:$A$287,0)),"")</f>
        <v/>
      </c>
    </row>
    <row r="214" customFormat="false" ht="15" hidden="false" customHeight="false" outlineLevel="0" collapsed="false">
      <c r="A214" s="16" t="n">
        <v>40725</v>
      </c>
      <c r="B214" s="17" t="str">
        <f aca="false">IFERROR(haverdata(Codes!$D$13,$A214),"")</f>
        <v/>
      </c>
      <c r="C214" s="18" t="str">
        <f aca="false">IFERROR(B214/B213-1,"")</f>
        <v/>
      </c>
      <c r="D214" s="18" t="str">
        <f aca="false">IFERROR(B214/B210-1,"")</f>
        <v/>
      </c>
      <c r="E214" s="19" t="str">
        <f aca="false">IFERROR(IF(B214="",IFERROR(GROWTH($B$200:$B$287,$A$200:$A$287,$A214),TREND($B$200:$B$287,$A$200:$A$287,$A214)),""),"")</f>
        <v/>
      </c>
      <c r="F214" s="19" t="str">
        <f aca="false">IFERROR(forecast.ets($A214,$B$200:$B$287,$A$200:$A$287,4,1,1),"")</f>
        <v/>
      </c>
      <c r="G214" s="19" t="str">
        <f aca="false">IFERROR(F214-forecast.ets.confint($A214,$B$200:$B$287,$A$200:$A$287,0.95,4,1,1),"")</f>
        <v/>
      </c>
      <c r="H214" s="19" t="str">
        <f aca="false">IFERROR(F214+forecast.ets.confint($A214,$B$200:$B$287,$A$200:$A$287,0.95,4,1,1),"")</f>
        <v/>
      </c>
      <c r="J214" s="20" t="n">
        <v>2022</v>
      </c>
      <c r="K214" s="19" t="str">
        <f aca="false">IFERROR(INDEX($B$200:$B$287,MATCH(DATE(J214,10,1),$A$200:$A$287,0)),"")</f>
        <v/>
      </c>
      <c r="L214" s="18" t="str">
        <f aca="false">IFERROR(K214/K213-1,"")</f>
        <v/>
      </c>
      <c r="M214" s="19" t="str">
        <f aca="false">IFERROR(INDEX($F$200:$F$287,MATCH(DATE(J214,10,1),$A$200:$A$287,0)),"")</f>
        <v/>
      </c>
    </row>
    <row r="215" customFormat="false" ht="15" hidden="false" customHeight="false" outlineLevel="0" collapsed="false">
      <c r="A215" s="21" t="n">
        <v>40817</v>
      </c>
      <c r="B215" s="22" t="str">
        <f aca="false">IFERROR(haverdata(Codes!$D$13,$A215),"")</f>
        <v/>
      </c>
      <c r="C215" s="23" t="str">
        <f aca="false">IFERROR(B215/B214-1,"")</f>
        <v/>
      </c>
      <c r="D215" s="23" t="str">
        <f aca="false">IFERROR(B215/B211-1,"")</f>
        <v/>
      </c>
      <c r="E215" s="24" t="str">
        <f aca="false">IFERROR(IF(B215="",IFERROR(GROWTH($B$200:$B$287,$A$200:$A$287,$A215),TREND($B$200:$B$287,$A$200:$A$287,$A215)),""),"")</f>
        <v/>
      </c>
      <c r="F215" s="24" t="str">
        <f aca="false">IFERROR(forecast.ets($A215,$B$200:$B$287,$A$200:$A$287,4,1,1),"")</f>
        <v/>
      </c>
      <c r="G215" s="24" t="str">
        <f aca="false">IFERROR(F215-forecast.ets.confint($A215,$B$200:$B$287,$A$200:$A$287,0.95,4,1,1),"")</f>
        <v/>
      </c>
      <c r="H215" s="24" t="str">
        <f aca="false">IFERROR(F215+forecast.ets.confint($A215,$B$200:$B$287,$A$200:$A$287,0.95,4,1,1),"")</f>
        <v/>
      </c>
      <c r="J215" s="25" t="n">
        <v>2023</v>
      </c>
      <c r="K215" s="24" t="str">
        <f aca="false">IFERROR(INDEX($B$200:$B$287,MATCH(DATE(J215,10,1),$A$200:$A$287,0)),"")</f>
        <v/>
      </c>
      <c r="L215" s="23" t="str">
        <f aca="false">IFERROR(K215/K214-1,"")</f>
        <v/>
      </c>
      <c r="M215" s="24" t="str">
        <f aca="false">IFERROR(INDEX($F$200:$F$287,MATCH(DATE(J215,10,1),$A$200:$A$287,0)),"")</f>
        <v/>
      </c>
    </row>
    <row r="216" customFormat="false" ht="15" hidden="false" customHeight="false" outlineLevel="0" collapsed="false">
      <c r="A216" s="16" t="n">
        <v>40909</v>
      </c>
      <c r="B216" s="17" t="str">
        <f aca="false">IFERROR(haverdata(Codes!$D$13,$A216),"")</f>
        <v/>
      </c>
      <c r="C216" s="18" t="str">
        <f aca="false">IFERROR(B216/B215-1,"")</f>
        <v/>
      </c>
      <c r="D216" s="18" t="str">
        <f aca="false">IFERROR(B216/B212-1,"")</f>
        <v/>
      </c>
      <c r="E216" s="19" t="str">
        <f aca="false">IFERROR(IF(B216="",IFERROR(GROWTH($B$200:$B$287,$A$200:$A$287,$A216),TREND($B$200:$B$287,$A$200:$A$287,$A216)),""),"")</f>
        <v/>
      </c>
      <c r="F216" s="19" t="str">
        <f aca="false">IFERROR(forecast.ets($A216,$B$200:$B$287,$A$200:$A$287,4,1,1),"")</f>
        <v/>
      </c>
      <c r="G216" s="19" t="str">
        <f aca="false">IFERROR(F216-forecast.ets.confint($A216,$B$200:$B$287,$A$200:$A$287,0.95,4,1,1),"")</f>
        <v/>
      </c>
      <c r="H216" s="19" t="str">
        <f aca="false">IFERROR(F216+forecast.ets.confint($A216,$B$200:$B$287,$A$200:$A$287,0.95,4,1,1),"")</f>
        <v/>
      </c>
      <c r="J216" s="20" t="n">
        <v>2024</v>
      </c>
      <c r="K216" s="19" t="str">
        <f aca="false">IFERROR(INDEX($B$200:$B$287,MATCH(DATE(J216,10,1),$A$200:$A$287,0)),"")</f>
        <v/>
      </c>
      <c r="L216" s="18" t="str">
        <f aca="false">IFERROR(K216/K215-1,"")</f>
        <v/>
      </c>
      <c r="M216" s="19" t="str">
        <f aca="false">IFERROR(INDEX($F$200:$F$287,MATCH(DATE(J216,10,1),$A$200:$A$287,0)),"")</f>
        <v/>
      </c>
    </row>
    <row r="217" customFormat="false" ht="15" hidden="false" customHeight="false" outlineLevel="0" collapsed="false">
      <c r="A217" s="21" t="n">
        <v>41000</v>
      </c>
      <c r="B217" s="22" t="str">
        <f aca="false">IFERROR(haverdata(Codes!$D$13,$A217),"")</f>
        <v/>
      </c>
      <c r="C217" s="23" t="str">
        <f aca="false">IFERROR(B217/B216-1,"")</f>
        <v/>
      </c>
      <c r="D217" s="23" t="str">
        <f aca="false">IFERROR(B217/B213-1,"")</f>
        <v/>
      </c>
      <c r="E217" s="24" t="str">
        <f aca="false">IFERROR(IF(B217="",IFERROR(GROWTH($B$200:$B$287,$A$200:$A$287,$A217),TREND($B$200:$B$287,$A$200:$A$287,$A217)),""),"")</f>
        <v/>
      </c>
      <c r="F217" s="24" t="str">
        <f aca="false">IFERROR(forecast.ets($A217,$B$200:$B$287,$A$200:$A$287,4,1,1),"")</f>
        <v/>
      </c>
      <c r="G217" s="24" t="str">
        <f aca="false">IFERROR(F217-forecast.ets.confint($A217,$B$200:$B$287,$A$200:$A$287,0.95,4,1,1),"")</f>
        <v/>
      </c>
      <c r="H217" s="24" t="str">
        <f aca="false">IFERROR(F217+forecast.ets.confint($A217,$B$200:$B$287,$A$200:$A$287,0.95,4,1,1),"")</f>
        <v/>
      </c>
      <c r="J217" s="25" t="n">
        <v>2025</v>
      </c>
      <c r="K217" s="24" t="str">
        <f aca="false">IFERROR(INDEX($B$200:$B$287,MATCH(DATE(J217,10,1),$A$200:$A$287,0)),"")</f>
        <v/>
      </c>
      <c r="L217" s="23" t="str">
        <f aca="false">IFERROR(K217/K216-1,"")</f>
        <v/>
      </c>
      <c r="M217" s="24" t="str">
        <f aca="false">IFERROR(INDEX($F$200:$F$287,MATCH(DATE(J217,10,1),$A$200:$A$287,0)),"")</f>
        <v/>
      </c>
    </row>
    <row r="218" customFormat="false" ht="15" hidden="false" customHeight="false" outlineLevel="0" collapsed="false">
      <c r="A218" s="16" t="n">
        <v>41091</v>
      </c>
      <c r="B218" s="17" t="str">
        <f aca="false">IFERROR(haverdata(Codes!$D$13,$A218),"")</f>
        <v/>
      </c>
      <c r="C218" s="18" t="str">
        <f aca="false">IFERROR(B218/B217-1,"")</f>
        <v/>
      </c>
      <c r="D218" s="18" t="str">
        <f aca="false">IFERROR(B218/B214-1,"")</f>
        <v/>
      </c>
      <c r="E218" s="19" t="str">
        <f aca="false">IFERROR(IF(B218="",IFERROR(GROWTH($B$200:$B$287,$A$200:$A$287,$A218),TREND($B$200:$B$287,$A$200:$A$287,$A218)),""),"")</f>
        <v/>
      </c>
      <c r="F218" s="19" t="str">
        <f aca="false">IFERROR(forecast.ets($A218,$B$200:$B$287,$A$200:$A$287,4,1,1),"")</f>
        <v/>
      </c>
      <c r="G218" s="19" t="str">
        <f aca="false">IFERROR(F218-forecast.ets.confint($A218,$B$200:$B$287,$A$200:$A$287,0.95,4,1,1),"")</f>
        <v/>
      </c>
      <c r="H218" s="19" t="str">
        <f aca="false">IFERROR(F218+forecast.ets.confint($A218,$B$200:$B$287,$A$200:$A$287,0.95,4,1,1),"")</f>
        <v/>
      </c>
      <c r="J218" s="20" t="n">
        <v>2026</v>
      </c>
      <c r="K218" s="19" t="str">
        <f aca="false">IFERROR(INDEX($B$200:$B$287,MATCH(DATE(J218,10,1),$A$200:$A$287,0)),"")</f>
        <v/>
      </c>
      <c r="L218" s="18" t="str">
        <f aca="false">IFERROR(K218/K217-1,"")</f>
        <v/>
      </c>
      <c r="M218" s="19" t="str">
        <f aca="false">IFERROR(INDEX($F$200:$F$287,MATCH(DATE(J218,10,1),$A$200:$A$287,0)),"")</f>
        <v/>
      </c>
    </row>
    <row r="219" customFormat="false" ht="15" hidden="false" customHeight="false" outlineLevel="0" collapsed="false">
      <c r="A219" s="21" t="n">
        <v>41183</v>
      </c>
      <c r="B219" s="22" t="str">
        <f aca="false">IFERROR(haverdata(Codes!$D$13,$A219),"")</f>
        <v/>
      </c>
      <c r="C219" s="23" t="str">
        <f aca="false">IFERROR(B219/B218-1,"")</f>
        <v/>
      </c>
      <c r="D219" s="23" t="str">
        <f aca="false">IFERROR(B219/B215-1,"")</f>
        <v/>
      </c>
      <c r="E219" s="24" t="str">
        <f aca="false">IFERROR(IF(B219="",IFERROR(GROWTH($B$200:$B$287,$A$200:$A$287,$A219),TREND($B$200:$B$287,$A$200:$A$287,$A219)),""),"")</f>
        <v/>
      </c>
      <c r="F219" s="24" t="str">
        <f aca="false">IFERROR(forecast.ets($A219,$B$200:$B$287,$A$200:$A$287,4,1,1),"")</f>
        <v/>
      </c>
      <c r="G219" s="24" t="str">
        <f aca="false">IFERROR(F219-forecast.ets.confint($A219,$B$200:$B$287,$A$200:$A$287,0.95,4,1,1),"")</f>
        <v/>
      </c>
      <c r="H219" s="24" t="str">
        <f aca="false">IFERROR(F219+forecast.ets.confint($A219,$B$200:$B$287,$A$200:$A$287,0.95,4,1,1),"")</f>
        <v/>
      </c>
      <c r="J219" s="25" t="n">
        <v>2027</v>
      </c>
      <c r="K219" s="24" t="str">
        <f aca="false">IFERROR(INDEX($B$200:$B$287,MATCH(DATE(J219,10,1),$A$200:$A$287,0)),"")</f>
        <v/>
      </c>
      <c r="L219" s="23" t="str">
        <f aca="false">IFERROR(K219/K218-1,"")</f>
        <v/>
      </c>
      <c r="M219" s="24" t="str">
        <f aca="false">IFERROR(INDEX($F$200:$F$287,MATCH(DATE(J219,10,1),$A$200:$A$287,0)),"")</f>
        <v/>
      </c>
    </row>
    <row r="220" customFormat="false" ht="15" hidden="false" customHeight="false" outlineLevel="0" collapsed="false">
      <c r="A220" s="16" t="n">
        <v>41275</v>
      </c>
      <c r="B220" s="17" t="str">
        <f aca="false">IFERROR(haverdata(Codes!$D$13,$A220),"")</f>
        <v/>
      </c>
      <c r="C220" s="18" t="str">
        <f aca="false">IFERROR(B220/B219-1,"")</f>
        <v/>
      </c>
      <c r="D220" s="18" t="str">
        <f aca="false">IFERROR(B220/B216-1,"")</f>
        <v/>
      </c>
      <c r="E220" s="19" t="str">
        <f aca="false">IFERROR(IF(B220="",IFERROR(GROWTH($B$200:$B$287,$A$200:$A$287,$A220),TREND($B$200:$B$287,$A$200:$A$287,$A220)),""),"")</f>
        <v/>
      </c>
      <c r="F220" s="19" t="str">
        <f aca="false">IFERROR(forecast.ets($A220,$B$200:$B$287,$A$200:$A$287,4,1,1),"")</f>
        <v/>
      </c>
      <c r="G220" s="19" t="str">
        <f aca="false">IFERROR(F220-forecast.ets.confint($A220,$B$200:$B$287,$A$200:$A$287,0.95,4,1,1),"")</f>
        <v/>
      </c>
      <c r="H220" s="19" t="str">
        <f aca="false">IFERROR(F220+forecast.ets.confint($A220,$B$200:$B$287,$A$200:$A$287,0.95,4,1,1),"")</f>
        <v/>
      </c>
      <c r="J220" s="20" t="n">
        <v>2028</v>
      </c>
      <c r="K220" s="19" t="str">
        <f aca="false">IFERROR(INDEX($B$200:$B$287,MATCH(DATE(J220,10,1),$A$200:$A$287,0)),"")</f>
        <v/>
      </c>
      <c r="L220" s="18" t="str">
        <f aca="false">IFERROR(K220/K219-1,"")</f>
        <v/>
      </c>
      <c r="M220" s="19" t="str">
        <f aca="false">IFERROR(INDEX($F$200:$F$287,MATCH(DATE(J220,10,1),$A$200:$A$287,0)),"")</f>
        <v/>
      </c>
    </row>
    <row r="221" customFormat="false" ht="15" hidden="false" customHeight="false" outlineLevel="0" collapsed="false">
      <c r="A221" s="21" t="n">
        <v>41365</v>
      </c>
      <c r="B221" s="22" t="str">
        <f aca="false">IFERROR(haverdata(Codes!$D$13,$A221),"")</f>
        <v/>
      </c>
      <c r="C221" s="23" t="str">
        <f aca="false">IFERROR(B221/B220-1,"")</f>
        <v/>
      </c>
      <c r="D221" s="23" t="str">
        <f aca="false">IFERROR(B221/B217-1,"")</f>
        <v/>
      </c>
      <c r="E221" s="24" t="str">
        <f aca="false">IFERROR(IF(B221="",IFERROR(GROWTH($B$200:$B$287,$A$200:$A$287,$A221),TREND($B$200:$B$287,$A$200:$A$287,$A221)),""),"")</f>
        <v/>
      </c>
      <c r="F221" s="24" t="str">
        <f aca="false">IFERROR(forecast.ets($A221,$B$200:$B$287,$A$200:$A$287,4,1,1),"")</f>
        <v/>
      </c>
      <c r="G221" s="24" t="str">
        <f aca="false">IFERROR(F221-forecast.ets.confint($A221,$B$200:$B$287,$A$200:$A$287,0.95,4,1,1),"")</f>
        <v/>
      </c>
      <c r="H221" s="24" t="str">
        <f aca="false">IFERROR(F221+forecast.ets.confint($A221,$B$200:$B$287,$A$200:$A$287,0.95,4,1,1),"")</f>
        <v/>
      </c>
      <c r="J221" s="25" t="n">
        <v>2029</v>
      </c>
      <c r="K221" s="24" t="str">
        <f aca="false">IFERROR(INDEX($B$200:$B$287,MATCH(DATE(J221,10,1),$A$200:$A$287,0)),"")</f>
        <v/>
      </c>
      <c r="L221" s="23" t="str">
        <f aca="false">IFERROR(K221/K220-1,"")</f>
        <v/>
      </c>
      <c r="M221" s="24" t="str">
        <f aca="false">IFERROR(INDEX($F$200:$F$287,MATCH(DATE(J221,10,1),$A$200:$A$287,0)),"")</f>
        <v/>
      </c>
    </row>
    <row r="222" customFormat="false" ht="15" hidden="false" customHeight="false" outlineLevel="0" collapsed="false">
      <c r="A222" s="16" t="n">
        <v>41456</v>
      </c>
      <c r="B222" s="17" t="str">
        <f aca="false">IFERROR(haverdata(Codes!$D$13,$A222),"")</f>
        <v/>
      </c>
      <c r="C222" s="18" t="str">
        <f aca="false">IFERROR(B222/B221-1,"")</f>
        <v/>
      </c>
      <c r="D222" s="18" t="str">
        <f aca="false">IFERROR(B222/B218-1,"")</f>
        <v/>
      </c>
      <c r="E222" s="19" t="str">
        <f aca="false">IFERROR(IF(B222="",IFERROR(GROWTH($B$200:$B$287,$A$200:$A$287,$A222),TREND($B$200:$B$287,$A$200:$A$287,$A222)),""),"")</f>
        <v/>
      </c>
      <c r="F222" s="19" t="str">
        <f aca="false">IFERROR(forecast.ets($A222,$B$200:$B$287,$A$200:$A$287,4,1,1),"")</f>
        <v/>
      </c>
      <c r="G222" s="19" t="str">
        <f aca="false">IFERROR(F222-forecast.ets.confint($A222,$B$200:$B$287,$A$200:$A$287,0.95,4,1,1),"")</f>
        <v/>
      </c>
      <c r="H222" s="19" t="str">
        <f aca="false">IFERROR(F222+forecast.ets.confint($A222,$B$200:$B$287,$A$200:$A$287,0.95,4,1,1),"")</f>
        <v/>
      </c>
    </row>
    <row r="223" customFormat="false" ht="15" hidden="false" customHeight="false" outlineLevel="0" collapsed="false">
      <c r="A223" s="21" t="n">
        <v>41548</v>
      </c>
      <c r="B223" s="22" t="str">
        <f aca="false">IFERROR(haverdata(Codes!$D$13,$A223),"")</f>
        <v/>
      </c>
      <c r="C223" s="23" t="str">
        <f aca="false">IFERROR(B223/B222-1,"")</f>
        <v/>
      </c>
      <c r="D223" s="23" t="str">
        <f aca="false">IFERROR(B223/B219-1,"")</f>
        <v/>
      </c>
      <c r="E223" s="24" t="str">
        <f aca="false">IFERROR(IF(B223="",IFERROR(GROWTH($B$200:$B$287,$A$200:$A$287,$A223),TREND($B$200:$B$287,$A$200:$A$287,$A223)),""),"")</f>
        <v/>
      </c>
      <c r="F223" s="24" t="str">
        <f aca="false">IFERROR(forecast.ets($A223,$B$200:$B$287,$A$200:$A$287,4,1,1),"")</f>
        <v/>
      </c>
      <c r="G223" s="24" t="str">
        <f aca="false">IFERROR(F223-forecast.ets.confint($A223,$B$200:$B$287,$A$200:$A$287,0.95,4,1,1),"")</f>
        <v/>
      </c>
      <c r="H223" s="24" t="str">
        <f aca="false">IFERROR(F223+forecast.ets.confint($A223,$B$200:$B$287,$A$200:$A$287,0.95,4,1,1),"")</f>
        <v/>
      </c>
    </row>
    <row r="224" customFormat="false" ht="15" hidden="false" customHeight="false" outlineLevel="0" collapsed="false">
      <c r="A224" s="16" t="n">
        <v>41640</v>
      </c>
      <c r="B224" s="17" t="str">
        <f aca="false">IFERROR(haverdata(Codes!$D$13,$A224),"")</f>
        <v/>
      </c>
      <c r="C224" s="18" t="str">
        <f aca="false">IFERROR(B224/B223-1,"")</f>
        <v/>
      </c>
      <c r="D224" s="18" t="str">
        <f aca="false">IFERROR(B224/B220-1,"")</f>
        <v/>
      </c>
      <c r="E224" s="19" t="str">
        <f aca="false">IFERROR(IF(B224="",IFERROR(GROWTH($B$200:$B$287,$A$200:$A$287,$A224),TREND($B$200:$B$287,$A$200:$A$287,$A224)),""),"")</f>
        <v/>
      </c>
      <c r="F224" s="19" t="str">
        <f aca="false">IFERROR(forecast.ets($A224,$B$200:$B$287,$A$200:$A$287,4,1,1),"")</f>
        <v/>
      </c>
      <c r="G224" s="19" t="str">
        <f aca="false">IFERROR(F224-forecast.ets.confint($A224,$B$200:$B$287,$A$200:$A$287,0.95,4,1,1),"")</f>
        <v/>
      </c>
      <c r="H224" s="19" t="str">
        <f aca="false">IFERROR(F224+forecast.ets.confint($A224,$B$200:$B$287,$A$200:$A$287,0.95,4,1,1),"")</f>
        <v/>
      </c>
    </row>
    <row r="225" customFormat="false" ht="15" hidden="false" customHeight="false" outlineLevel="0" collapsed="false">
      <c r="A225" s="21" t="n">
        <v>41730</v>
      </c>
      <c r="B225" s="22" t="str">
        <f aca="false">IFERROR(haverdata(Codes!$D$13,$A225),"")</f>
        <v/>
      </c>
      <c r="C225" s="23" t="str">
        <f aca="false">IFERROR(B225/B224-1,"")</f>
        <v/>
      </c>
      <c r="D225" s="23" t="str">
        <f aca="false">IFERROR(B225/B221-1,"")</f>
        <v/>
      </c>
      <c r="E225" s="24" t="str">
        <f aca="false">IFERROR(IF(B225="",IFERROR(GROWTH($B$200:$B$287,$A$200:$A$287,$A225),TREND($B$200:$B$287,$A$200:$A$287,$A225)),""),"")</f>
        <v/>
      </c>
      <c r="F225" s="24" t="str">
        <f aca="false">IFERROR(forecast.ets($A225,$B$200:$B$287,$A$200:$A$287,4,1,1),"")</f>
        <v/>
      </c>
      <c r="G225" s="24" t="str">
        <f aca="false">IFERROR(F225-forecast.ets.confint($A225,$B$200:$B$287,$A$200:$A$287,0.95,4,1,1),"")</f>
        <v/>
      </c>
      <c r="H225" s="24" t="str">
        <f aca="false">IFERROR(F225+forecast.ets.confint($A225,$B$200:$B$287,$A$200:$A$287,0.95,4,1,1),"")</f>
        <v/>
      </c>
    </row>
    <row r="226" customFormat="false" ht="15" hidden="false" customHeight="false" outlineLevel="0" collapsed="false">
      <c r="A226" s="16" t="n">
        <v>41821</v>
      </c>
      <c r="B226" s="17" t="str">
        <f aca="false">IFERROR(haverdata(Codes!$D$13,$A226),"")</f>
        <v/>
      </c>
      <c r="C226" s="18" t="str">
        <f aca="false">IFERROR(B226/B225-1,"")</f>
        <v/>
      </c>
      <c r="D226" s="18" t="str">
        <f aca="false">IFERROR(B226/B222-1,"")</f>
        <v/>
      </c>
      <c r="E226" s="19" t="str">
        <f aca="false">IFERROR(IF(B226="",IFERROR(GROWTH($B$200:$B$287,$A$200:$A$287,$A226),TREND($B$200:$B$287,$A$200:$A$287,$A226)),""),"")</f>
        <v/>
      </c>
      <c r="F226" s="19" t="str">
        <f aca="false">IFERROR(forecast.ets($A226,$B$200:$B$287,$A$200:$A$287,4,1,1),"")</f>
        <v/>
      </c>
      <c r="G226" s="19" t="str">
        <f aca="false">IFERROR(F226-forecast.ets.confint($A226,$B$200:$B$287,$A$200:$A$287,0.95,4,1,1),"")</f>
        <v/>
      </c>
      <c r="H226" s="19" t="str">
        <f aca="false">IFERROR(F226+forecast.ets.confint($A226,$B$200:$B$287,$A$200:$A$287,0.95,4,1,1),"")</f>
        <v/>
      </c>
    </row>
    <row r="227" customFormat="false" ht="15" hidden="false" customHeight="false" outlineLevel="0" collapsed="false">
      <c r="A227" s="21" t="n">
        <v>41913</v>
      </c>
      <c r="B227" s="22" t="str">
        <f aca="false">IFERROR(haverdata(Codes!$D$13,$A227),"")</f>
        <v/>
      </c>
      <c r="C227" s="23" t="str">
        <f aca="false">IFERROR(B227/B226-1,"")</f>
        <v/>
      </c>
      <c r="D227" s="23" t="str">
        <f aca="false">IFERROR(B227/B223-1,"")</f>
        <v/>
      </c>
      <c r="E227" s="24" t="str">
        <f aca="false">IFERROR(IF(B227="",IFERROR(GROWTH($B$200:$B$287,$A$200:$A$287,$A227),TREND($B$200:$B$287,$A$200:$A$287,$A227)),""),"")</f>
        <v/>
      </c>
      <c r="F227" s="24" t="str">
        <f aca="false">IFERROR(forecast.ets($A227,$B$200:$B$287,$A$200:$A$287,4,1,1),"")</f>
        <v/>
      </c>
      <c r="G227" s="24" t="str">
        <f aca="false">IFERROR(F227-forecast.ets.confint($A227,$B$200:$B$287,$A$200:$A$287,0.95,4,1,1),"")</f>
        <v/>
      </c>
      <c r="H227" s="24" t="str">
        <f aca="false">IFERROR(F227+forecast.ets.confint($A227,$B$200:$B$287,$A$200:$A$287,0.95,4,1,1),"")</f>
        <v/>
      </c>
    </row>
    <row r="228" customFormat="false" ht="15" hidden="false" customHeight="false" outlineLevel="0" collapsed="false">
      <c r="A228" s="16" t="n">
        <v>42005</v>
      </c>
      <c r="B228" s="17" t="str">
        <f aca="false">IFERROR(haverdata(Codes!$D$13,$A228),"")</f>
        <v/>
      </c>
      <c r="C228" s="18" t="str">
        <f aca="false">IFERROR(B228/B227-1,"")</f>
        <v/>
      </c>
      <c r="D228" s="18" t="str">
        <f aca="false">IFERROR(B228/B224-1,"")</f>
        <v/>
      </c>
      <c r="E228" s="19" t="str">
        <f aca="false">IFERROR(IF(B228="",IFERROR(GROWTH($B$200:$B$287,$A$200:$A$287,$A228),TREND($B$200:$B$287,$A$200:$A$287,$A228)),""),"")</f>
        <v/>
      </c>
      <c r="F228" s="19" t="str">
        <f aca="false">IFERROR(forecast.ets($A228,$B$200:$B$287,$A$200:$A$287,4,1,1),"")</f>
        <v/>
      </c>
      <c r="G228" s="19" t="str">
        <f aca="false">IFERROR(F228-forecast.ets.confint($A228,$B$200:$B$287,$A$200:$A$287,0.95,4,1,1),"")</f>
        <v/>
      </c>
      <c r="H228" s="19" t="str">
        <f aca="false">IFERROR(F228+forecast.ets.confint($A228,$B$200:$B$287,$A$200:$A$287,0.95,4,1,1),"")</f>
        <v/>
      </c>
    </row>
    <row r="229" customFormat="false" ht="15" hidden="false" customHeight="false" outlineLevel="0" collapsed="false">
      <c r="A229" s="21" t="n">
        <v>42095</v>
      </c>
      <c r="B229" s="22" t="str">
        <f aca="false">IFERROR(haverdata(Codes!$D$13,$A229),"")</f>
        <v/>
      </c>
      <c r="C229" s="23" t="str">
        <f aca="false">IFERROR(B229/B228-1,"")</f>
        <v/>
      </c>
      <c r="D229" s="23" t="str">
        <f aca="false">IFERROR(B229/B225-1,"")</f>
        <v/>
      </c>
      <c r="E229" s="24" t="str">
        <f aca="false">IFERROR(IF(B229="",IFERROR(GROWTH($B$200:$B$287,$A$200:$A$287,$A229),TREND($B$200:$B$287,$A$200:$A$287,$A229)),""),"")</f>
        <v/>
      </c>
      <c r="F229" s="24" t="str">
        <f aca="false">IFERROR(forecast.ets($A229,$B$200:$B$287,$A$200:$A$287,4,1,1),"")</f>
        <v/>
      </c>
      <c r="G229" s="24" t="str">
        <f aca="false">IFERROR(F229-forecast.ets.confint($A229,$B$200:$B$287,$A$200:$A$287,0.95,4,1,1),"")</f>
        <v/>
      </c>
      <c r="H229" s="24" t="str">
        <f aca="false">IFERROR(F229+forecast.ets.confint($A229,$B$200:$B$287,$A$200:$A$287,0.95,4,1,1),"")</f>
        <v/>
      </c>
    </row>
    <row r="230" customFormat="false" ht="15" hidden="false" customHeight="false" outlineLevel="0" collapsed="false">
      <c r="A230" s="16" t="n">
        <v>42186</v>
      </c>
      <c r="B230" s="17" t="str">
        <f aca="false">IFERROR(haverdata(Codes!$D$13,$A230),"")</f>
        <v/>
      </c>
      <c r="C230" s="18" t="str">
        <f aca="false">IFERROR(B230/B229-1,"")</f>
        <v/>
      </c>
      <c r="D230" s="18" t="str">
        <f aca="false">IFERROR(B230/B226-1,"")</f>
        <v/>
      </c>
      <c r="E230" s="19" t="str">
        <f aca="false">IFERROR(IF(B230="",IFERROR(GROWTH($B$200:$B$287,$A$200:$A$287,$A230),TREND($B$200:$B$287,$A$200:$A$287,$A230)),""),"")</f>
        <v/>
      </c>
      <c r="F230" s="19" t="str">
        <f aca="false">IFERROR(forecast.ets($A230,$B$200:$B$287,$A$200:$A$287,4,1,1),"")</f>
        <v/>
      </c>
      <c r="G230" s="19" t="str">
        <f aca="false">IFERROR(F230-forecast.ets.confint($A230,$B$200:$B$287,$A$200:$A$287,0.95,4,1,1),"")</f>
        <v/>
      </c>
      <c r="H230" s="19" t="str">
        <f aca="false">IFERROR(F230+forecast.ets.confint($A230,$B$200:$B$287,$A$200:$A$287,0.95,4,1,1),"")</f>
        <v/>
      </c>
    </row>
    <row r="231" customFormat="false" ht="15" hidden="false" customHeight="false" outlineLevel="0" collapsed="false">
      <c r="A231" s="21" t="n">
        <v>42278</v>
      </c>
      <c r="B231" s="22" t="str">
        <f aca="false">IFERROR(haverdata(Codes!$D$13,$A231),"")</f>
        <v/>
      </c>
      <c r="C231" s="23" t="str">
        <f aca="false">IFERROR(B231/B230-1,"")</f>
        <v/>
      </c>
      <c r="D231" s="23" t="str">
        <f aca="false">IFERROR(B231/B227-1,"")</f>
        <v/>
      </c>
      <c r="E231" s="24" t="str">
        <f aca="false">IFERROR(IF(B231="",IFERROR(GROWTH($B$200:$B$287,$A$200:$A$287,$A231),TREND($B$200:$B$287,$A$200:$A$287,$A231)),""),"")</f>
        <v/>
      </c>
      <c r="F231" s="24" t="str">
        <f aca="false">IFERROR(forecast.ets($A231,$B$200:$B$287,$A$200:$A$287,4,1,1),"")</f>
        <v/>
      </c>
      <c r="G231" s="24" t="str">
        <f aca="false">IFERROR(F231-forecast.ets.confint($A231,$B$200:$B$287,$A$200:$A$287,0.95,4,1,1),"")</f>
        <v/>
      </c>
      <c r="H231" s="24" t="str">
        <f aca="false">IFERROR(F231+forecast.ets.confint($A231,$B$200:$B$287,$A$200:$A$287,0.95,4,1,1),"")</f>
        <v/>
      </c>
    </row>
    <row r="232" customFormat="false" ht="15" hidden="false" customHeight="false" outlineLevel="0" collapsed="false">
      <c r="A232" s="16" t="n">
        <v>42370</v>
      </c>
      <c r="B232" s="17" t="str">
        <f aca="false">IFERROR(haverdata(Codes!$D$13,$A232),"")</f>
        <v/>
      </c>
      <c r="C232" s="18" t="str">
        <f aca="false">IFERROR(B232/B231-1,"")</f>
        <v/>
      </c>
      <c r="D232" s="18" t="str">
        <f aca="false">IFERROR(B232/B228-1,"")</f>
        <v/>
      </c>
      <c r="E232" s="19" t="str">
        <f aca="false">IFERROR(IF(B232="",IFERROR(GROWTH($B$200:$B$287,$A$200:$A$287,$A232),TREND($B$200:$B$287,$A$200:$A$287,$A232)),""),"")</f>
        <v/>
      </c>
      <c r="F232" s="19" t="str">
        <f aca="false">IFERROR(forecast.ets($A232,$B$200:$B$287,$A$200:$A$287,4,1,1),"")</f>
        <v/>
      </c>
      <c r="G232" s="19" t="str">
        <f aca="false">IFERROR(F232-forecast.ets.confint($A232,$B$200:$B$287,$A$200:$A$287,0.95,4,1,1),"")</f>
        <v/>
      </c>
      <c r="H232" s="19" t="str">
        <f aca="false">IFERROR(F232+forecast.ets.confint($A232,$B$200:$B$287,$A$200:$A$287,0.95,4,1,1),"")</f>
        <v/>
      </c>
    </row>
    <row r="233" customFormat="false" ht="15" hidden="false" customHeight="false" outlineLevel="0" collapsed="false">
      <c r="A233" s="21" t="n">
        <v>42461</v>
      </c>
      <c r="B233" s="22" t="str">
        <f aca="false">IFERROR(haverdata(Codes!$D$13,$A233),"")</f>
        <v/>
      </c>
      <c r="C233" s="23" t="str">
        <f aca="false">IFERROR(B233/B232-1,"")</f>
        <v/>
      </c>
      <c r="D233" s="23" t="str">
        <f aca="false">IFERROR(B233/B229-1,"")</f>
        <v/>
      </c>
      <c r="E233" s="24" t="str">
        <f aca="false">IFERROR(IF(B233="",IFERROR(GROWTH($B$200:$B$287,$A$200:$A$287,$A233),TREND($B$200:$B$287,$A$200:$A$287,$A233)),""),"")</f>
        <v/>
      </c>
      <c r="F233" s="24" t="str">
        <f aca="false">IFERROR(forecast.ets($A233,$B$200:$B$287,$A$200:$A$287,4,1,1),"")</f>
        <v/>
      </c>
      <c r="G233" s="24" t="str">
        <f aca="false">IFERROR(F233-forecast.ets.confint($A233,$B$200:$B$287,$A$200:$A$287,0.95,4,1,1),"")</f>
        <v/>
      </c>
      <c r="H233" s="24" t="str">
        <f aca="false">IFERROR(F233+forecast.ets.confint($A233,$B$200:$B$287,$A$200:$A$287,0.95,4,1,1),"")</f>
        <v/>
      </c>
    </row>
    <row r="234" customFormat="false" ht="15" hidden="false" customHeight="false" outlineLevel="0" collapsed="false">
      <c r="A234" s="16" t="n">
        <v>42552</v>
      </c>
      <c r="B234" s="17" t="str">
        <f aca="false">IFERROR(haverdata(Codes!$D$13,$A234),"")</f>
        <v/>
      </c>
      <c r="C234" s="18" t="str">
        <f aca="false">IFERROR(B234/B233-1,"")</f>
        <v/>
      </c>
      <c r="D234" s="18" t="str">
        <f aca="false">IFERROR(B234/B230-1,"")</f>
        <v/>
      </c>
      <c r="E234" s="19" t="str">
        <f aca="false">IFERROR(IF(B234="",IFERROR(GROWTH($B$200:$B$287,$A$200:$A$287,$A234),TREND($B$200:$B$287,$A$200:$A$287,$A234)),""),"")</f>
        <v/>
      </c>
      <c r="F234" s="19" t="str">
        <f aca="false">IFERROR(forecast.ets($A234,$B$200:$B$287,$A$200:$A$287,4,1,1),"")</f>
        <v/>
      </c>
      <c r="G234" s="19" t="str">
        <f aca="false">IFERROR(F234-forecast.ets.confint($A234,$B$200:$B$287,$A$200:$A$287,0.95,4,1,1),"")</f>
        <v/>
      </c>
      <c r="H234" s="19" t="str">
        <f aca="false">IFERROR(F234+forecast.ets.confint($A234,$B$200:$B$287,$A$200:$A$287,0.95,4,1,1),"")</f>
        <v/>
      </c>
    </row>
    <row r="235" customFormat="false" ht="15" hidden="false" customHeight="false" outlineLevel="0" collapsed="false">
      <c r="A235" s="21" t="n">
        <v>42644</v>
      </c>
      <c r="B235" s="22" t="str">
        <f aca="false">IFERROR(haverdata(Codes!$D$13,$A235),"")</f>
        <v/>
      </c>
      <c r="C235" s="23" t="str">
        <f aca="false">IFERROR(B235/B234-1,"")</f>
        <v/>
      </c>
      <c r="D235" s="23" t="str">
        <f aca="false">IFERROR(B235/B231-1,"")</f>
        <v/>
      </c>
      <c r="E235" s="24" t="str">
        <f aca="false">IFERROR(IF(B235="",IFERROR(GROWTH($B$200:$B$287,$A$200:$A$287,$A235),TREND($B$200:$B$287,$A$200:$A$287,$A235)),""),"")</f>
        <v/>
      </c>
      <c r="F235" s="24" t="str">
        <f aca="false">IFERROR(forecast.ets($A235,$B$200:$B$287,$A$200:$A$287,4,1,1),"")</f>
        <v/>
      </c>
      <c r="G235" s="24" t="str">
        <f aca="false">IFERROR(F235-forecast.ets.confint($A235,$B$200:$B$287,$A$200:$A$287,0.95,4,1,1),"")</f>
        <v/>
      </c>
      <c r="H235" s="24" t="str">
        <f aca="false">IFERROR(F235+forecast.ets.confint($A235,$B$200:$B$287,$A$200:$A$287,0.95,4,1,1),"")</f>
        <v/>
      </c>
    </row>
    <row r="236" customFormat="false" ht="15" hidden="false" customHeight="false" outlineLevel="0" collapsed="false">
      <c r="A236" s="16" t="n">
        <v>42736</v>
      </c>
      <c r="B236" s="17" t="str">
        <f aca="false">IFERROR(haverdata(Codes!$D$13,$A236),"")</f>
        <v/>
      </c>
      <c r="C236" s="18" t="str">
        <f aca="false">IFERROR(B236/B235-1,"")</f>
        <v/>
      </c>
      <c r="D236" s="18" t="str">
        <f aca="false">IFERROR(B236/B232-1,"")</f>
        <v/>
      </c>
      <c r="E236" s="19" t="str">
        <f aca="false">IFERROR(IF(B236="",IFERROR(GROWTH($B$200:$B$287,$A$200:$A$287,$A236),TREND($B$200:$B$287,$A$200:$A$287,$A236)),""),"")</f>
        <v/>
      </c>
      <c r="F236" s="19" t="str">
        <f aca="false">IFERROR(forecast.ets($A236,$B$200:$B$287,$A$200:$A$287,4,1,1),"")</f>
        <v/>
      </c>
      <c r="G236" s="19" t="str">
        <f aca="false">IFERROR(F236-forecast.ets.confint($A236,$B$200:$B$287,$A$200:$A$287,0.95,4,1,1),"")</f>
        <v/>
      </c>
      <c r="H236" s="19" t="str">
        <f aca="false">IFERROR(F236+forecast.ets.confint($A236,$B$200:$B$287,$A$200:$A$287,0.95,4,1,1),"")</f>
        <v/>
      </c>
    </row>
    <row r="237" customFormat="false" ht="15" hidden="false" customHeight="false" outlineLevel="0" collapsed="false">
      <c r="A237" s="21" t="n">
        <v>42826</v>
      </c>
      <c r="B237" s="22" t="str">
        <f aca="false">IFERROR(haverdata(Codes!$D$13,$A237),"")</f>
        <v/>
      </c>
      <c r="C237" s="23" t="str">
        <f aca="false">IFERROR(B237/B236-1,"")</f>
        <v/>
      </c>
      <c r="D237" s="23" t="str">
        <f aca="false">IFERROR(B237/B233-1,"")</f>
        <v/>
      </c>
      <c r="E237" s="24" t="str">
        <f aca="false">IFERROR(IF(B237="",IFERROR(GROWTH($B$200:$B$287,$A$200:$A$287,$A237),TREND($B$200:$B$287,$A$200:$A$287,$A237)),""),"")</f>
        <v/>
      </c>
      <c r="F237" s="24" t="str">
        <f aca="false">IFERROR(forecast.ets($A237,$B$200:$B$287,$A$200:$A$287,4,1,1),"")</f>
        <v/>
      </c>
      <c r="G237" s="24" t="str">
        <f aca="false">IFERROR(F237-forecast.ets.confint($A237,$B$200:$B$287,$A$200:$A$287,0.95,4,1,1),"")</f>
        <v/>
      </c>
      <c r="H237" s="24" t="str">
        <f aca="false">IFERROR(F237+forecast.ets.confint($A237,$B$200:$B$287,$A$200:$A$287,0.95,4,1,1),"")</f>
        <v/>
      </c>
    </row>
    <row r="238" customFormat="false" ht="15" hidden="false" customHeight="false" outlineLevel="0" collapsed="false">
      <c r="A238" s="16" t="n">
        <v>42917</v>
      </c>
      <c r="B238" s="17" t="str">
        <f aca="false">IFERROR(haverdata(Codes!$D$13,$A238),"")</f>
        <v/>
      </c>
      <c r="C238" s="18" t="str">
        <f aca="false">IFERROR(B238/B237-1,"")</f>
        <v/>
      </c>
      <c r="D238" s="18" t="str">
        <f aca="false">IFERROR(B238/B234-1,"")</f>
        <v/>
      </c>
      <c r="E238" s="19" t="str">
        <f aca="false">IFERROR(IF(B238="",IFERROR(GROWTH($B$200:$B$287,$A$200:$A$287,$A238),TREND($B$200:$B$287,$A$200:$A$287,$A238)),""),"")</f>
        <v/>
      </c>
      <c r="F238" s="19" t="str">
        <f aca="false">IFERROR(forecast.ets($A238,$B$200:$B$287,$A$200:$A$287,4,1,1),"")</f>
        <v/>
      </c>
      <c r="G238" s="19" t="str">
        <f aca="false">IFERROR(F238-forecast.ets.confint($A238,$B$200:$B$287,$A$200:$A$287,0.95,4,1,1),"")</f>
        <v/>
      </c>
      <c r="H238" s="19" t="str">
        <f aca="false">IFERROR(F238+forecast.ets.confint($A238,$B$200:$B$287,$A$200:$A$287,0.95,4,1,1),"")</f>
        <v/>
      </c>
    </row>
    <row r="239" customFormat="false" ht="15" hidden="false" customHeight="false" outlineLevel="0" collapsed="false">
      <c r="A239" s="21" t="n">
        <v>43009</v>
      </c>
      <c r="B239" s="22" t="str">
        <f aca="false">IFERROR(haverdata(Codes!$D$13,$A239),"")</f>
        <v/>
      </c>
      <c r="C239" s="23" t="str">
        <f aca="false">IFERROR(B239/B238-1,"")</f>
        <v/>
      </c>
      <c r="D239" s="23" t="str">
        <f aca="false">IFERROR(B239/B235-1,"")</f>
        <v/>
      </c>
      <c r="E239" s="24" t="str">
        <f aca="false">IFERROR(IF(B239="",IFERROR(GROWTH($B$200:$B$287,$A$200:$A$287,$A239),TREND($B$200:$B$287,$A$200:$A$287,$A239)),""),"")</f>
        <v/>
      </c>
      <c r="F239" s="24" t="str">
        <f aca="false">IFERROR(forecast.ets($A239,$B$200:$B$287,$A$200:$A$287,4,1,1),"")</f>
        <v/>
      </c>
      <c r="G239" s="24" t="str">
        <f aca="false">IFERROR(F239-forecast.ets.confint($A239,$B$200:$B$287,$A$200:$A$287,0.95,4,1,1),"")</f>
        <v/>
      </c>
      <c r="H239" s="24" t="str">
        <f aca="false">IFERROR(F239+forecast.ets.confint($A239,$B$200:$B$287,$A$200:$A$287,0.95,4,1,1),"")</f>
        <v/>
      </c>
    </row>
    <row r="240" customFormat="false" ht="15" hidden="false" customHeight="false" outlineLevel="0" collapsed="false">
      <c r="A240" s="16" t="n">
        <v>43101</v>
      </c>
      <c r="B240" s="17" t="str">
        <f aca="false">IFERROR(haverdata(Codes!$D$13,$A240),"")</f>
        <v/>
      </c>
      <c r="C240" s="18" t="str">
        <f aca="false">IFERROR(B240/B239-1,"")</f>
        <v/>
      </c>
      <c r="D240" s="18" t="str">
        <f aca="false">IFERROR(B240/B236-1,"")</f>
        <v/>
      </c>
      <c r="E240" s="19" t="str">
        <f aca="false">IFERROR(IF(B240="",IFERROR(GROWTH($B$200:$B$287,$A$200:$A$287,$A240),TREND($B$200:$B$287,$A$200:$A$287,$A240)),""),"")</f>
        <v/>
      </c>
      <c r="F240" s="19" t="str">
        <f aca="false">IFERROR(forecast.ets($A240,$B$200:$B$287,$A$200:$A$287,4,1,1),"")</f>
        <v/>
      </c>
      <c r="G240" s="19" t="str">
        <f aca="false">IFERROR(F240-forecast.ets.confint($A240,$B$200:$B$287,$A$200:$A$287,0.95,4,1,1),"")</f>
        <v/>
      </c>
      <c r="H240" s="19" t="str">
        <f aca="false">IFERROR(F240+forecast.ets.confint($A240,$B$200:$B$287,$A$200:$A$287,0.95,4,1,1),"")</f>
        <v/>
      </c>
    </row>
    <row r="241" customFormat="false" ht="15" hidden="false" customHeight="false" outlineLevel="0" collapsed="false">
      <c r="A241" s="21" t="n">
        <v>43191</v>
      </c>
      <c r="B241" s="22" t="str">
        <f aca="false">IFERROR(haverdata(Codes!$D$13,$A241),"")</f>
        <v/>
      </c>
      <c r="C241" s="23" t="str">
        <f aca="false">IFERROR(B241/B240-1,"")</f>
        <v/>
      </c>
      <c r="D241" s="23" t="str">
        <f aca="false">IFERROR(B241/B237-1,"")</f>
        <v/>
      </c>
      <c r="E241" s="24" t="str">
        <f aca="false">IFERROR(IF(B241="",IFERROR(GROWTH($B$200:$B$287,$A$200:$A$287,$A241),TREND($B$200:$B$287,$A$200:$A$287,$A241)),""),"")</f>
        <v/>
      </c>
      <c r="F241" s="24" t="str">
        <f aca="false">IFERROR(forecast.ets($A241,$B$200:$B$287,$A$200:$A$287,4,1,1),"")</f>
        <v/>
      </c>
      <c r="G241" s="24" t="str">
        <f aca="false">IFERROR(F241-forecast.ets.confint($A241,$B$200:$B$287,$A$200:$A$287,0.95,4,1,1),"")</f>
        <v/>
      </c>
      <c r="H241" s="24" t="str">
        <f aca="false">IFERROR(F241+forecast.ets.confint($A241,$B$200:$B$287,$A$200:$A$287,0.95,4,1,1),"")</f>
        <v/>
      </c>
    </row>
    <row r="242" customFormat="false" ht="15" hidden="false" customHeight="false" outlineLevel="0" collapsed="false">
      <c r="A242" s="16" t="n">
        <v>43282</v>
      </c>
      <c r="B242" s="17" t="str">
        <f aca="false">IFERROR(haverdata(Codes!$D$13,$A242),"")</f>
        <v/>
      </c>
      <c r="C242" s="18" t="str">
        <f aca="false">IFERROR(B242/B241-1,"")</f>
        <v/>
      </c>
      <c r="D242" s="18" t="str">
        <f aca="false">IFERROR(B242/B238-1,"")</f>
        <v/>
      </c>
      <c r="E242" s="19" t="str">
        <f aca="false">IFERROR(IF(B242="",IFERROR(GROWTH($B$200:$B$287,$A$200:$A$287,$A242),TREND($B$200:$B$287,$A$200:$A$287,$A242)),""),"")</f>
        <v/>
      </c>
      <c r="F242" s="19" t="str">
        <f aca="false">IFERROR(forecast.ets($A242,$B$200:$B$287,$A$200:$A$287,4,1,1),"")</f>
        <v/>
      </c>
      <c r="G242" s="19" t="str">
        <f aca="false">IFERROR(F242-forecast.ets.confint($A242,$B$200:$B$287,$A$200:$A$287,0.95,4,1,1),"")</f>
        <v/>
      </c>
      <c r="H242" s="19" t="str">
        <f aca="false">IFERROR(F242+forecast.ets.confint($A242,$B$200:$B$287,$A$200:$A$287,0.95,4,1,1),"")</f>
        <v/>
      </c>
    </row>
    <row r="243" customFormat="false" ht="15" hidden="false" customHeight="false" outlineLevel="0" collapsed="false">
      <c r="A243" s="21" t="n">
        <v>43374</v>
      </c>
      <c r="B243" s="22" t="str">
        <f aca="false">IFERROR(haverdata(Codes!$D$13,$A243),"")</f>
        <v/>
      </c>
      <c r="C243" s="23" t="str">
        <f aca="false">IFERROR(B243/B242-1,"")</f>
        <v/>
      </c>
      <c r="D243" s="23" t="str">
        <f aca="false">IFERROR(B243/B239-1,"")</f>
        <v/>
      </c>
      <c r="E243" s="24" t="str">
        <f aca="false">IFERROR(IF(B243="",IFERROR(GROWTH($B$200:$B$287,$A$200:$A$287,$A243),TREND($B$200:$B$287,$A$200:$A$287,$A243)),""),"")</f>
        <v/>
      </c>
      <c r="F243" s="24" t="str">
        <f aca="false">IFERROR(forecast.ets($A243,$B$200:$B$287,$A$200:$A$287,4,1,1),"")</f>
        <v/>
      </c>
      <c r="G243" s="24" t="str">
        <f aca="false">IFERROR(F243-forecast.ets.confint($A243,$B$200:$B$287,$A$200:$A$287,0.95,4,1,1),"")</f>
        <v/>
      </c>
      <c r="H243" s="24" t="str">
        <f aca="false">IFERROR(F243+forecast.ets.confint($A243,$B$200:$B$287,$A$200:$A$287,0.95,4,1,1),"")</f>
        <v/>
      </c>
    </row>
    <row r="244" customFormat="false" ht="15" hidden="false" customHeight="false" outlineLevel="0" collapsed="false">
      <c r="A244" s="16" t="n">
        <v>43466</v>
      </c>
      <c r="B244" s="17" t="str">
        <f aca="false">IFERROR(haverdata(Codes!$D$13,$A244),"")</f>
        <v/>
      </c>
      <c r="C244" s="18" t="str">
        <f aca="false">IFERROR(B244/B243-1,"")</f>
        <v/>
      </c>
      <c r="D244" s="18" t="str">
        <f aca="false">IFERROR(B244/B240-1,"")</f>
        <v/>
      </c>
      <c r="E244" s="19" t="str">
        <f aca="false">IFERROR(IF(B244="",IFERROR(GROWTH($B$200:$B$287,$A$200:$A$287,$A244),TREND($B$200:$B$287,$A$200:$A$287,$A244)),""),"")</f>
        <v/>
      </c>
      <c r="F244" s="19" t="str">
        <f aca="false">IFERROR(forecast.ets($A244,$B$200:$B$287,$A$200:$A$287,4,1,1),"")</f>
        <v/>
      </c>
      <c r="G244" s="19" t="str">
        <f aca="false">IFERROR(F244-forecast.ets.confint($A244,$B$200:$B$287,$A$200:$A$287,0.95,4,1,1),"")</f>
        <v/>
      </c>
      <c r="H244" s="19" t="str">
        <f aca="false">IFERROR(F244+forecast.ets.confint($A244,$B$200:$B$287,$A$200:$A$287,0.95,4,1,1),"")</f>
        <v/>
      </c>
    </row>
    <row r="245" customFormat="false" ht="15" hidden="false" customHeight="false" outlineLevel="0" collapsed="false">
      <c r="A245" s="21" t="n">
        <v>43556</v>
      </c>
      <c r="B245" s="22" t="str">
        <f aca="false">IFERROR(haverdata(Codes!$D$13,$A245),"")</f>
        <v/>
      </c>
      <c r="C245" s="23" t="str">
        <f aca="false">IFERROR(B245/B244-1,"")</f>
        <v/>
      </c>
      <c r="D245" s="23" t="str">
        <f aca="false">IFERROR(B245/B241-1,"")</f>
        <v/>
      </c>
      <c r="E245" s="24" t="str">
        <f aca="false">IFERROR(IF(B245="",IFERROR(GROWTH($B$200:$B$287,$A$200:$A$287,$A245),TREND($B$200:$B$287,$A$200:$A$287,$A245)),""),"")</f>
        <v/>
      </c>
      <c r="F245" s="24" t="str">
        <f aca="false">IFERROR(forecast.ets($A245,$B$200:$B$287,$A$200:$A$287,4,1,1),"")</f>
        <v/>
      </c>
      <c r="G245" s="24" t="str">
        <f aca="false">IFERROR(F245-forecast.ets.confint($A245,$B$200:$B$287,$A$200:$A$287,0.95,4,1,1),"")</f>
        <v/>
      </c>
      <c r="H245" s="24" t="str">
        <f aca="false">IFERROR(F245+forecast.ets.confint($A245,$B$200:$B$287,$A$200:$A$287,0.95,4,1,1),"")</f>
        <v/>
      </c>
    </row>
    <row r="246" customFormat="false" ht="15" hidden="false" customHeight="false" outlineLevel="0" collapsed="false">
      <c r="A246" s="16" t="n">
        <v>43647</v>
      </c>
      <c r="B246" s="17" t="str">
        <f aca="false">IFERROR(haverdata(Codes!$D$13,$A246),"")</f>
        <v/>
      </c>
      <c r="C246" s="18" t="str">
        <f aca="false">IFERROR(B246/B245-1,"")</f>
        <v/>
      </c>
      <c r="D246" s="18" t="str">
        <f aca="false">IFERROR(B246/B242-1,"")</f>
        <v/>
      </c>
      <c r="E246" s="19" t="str">
        <f aca="false">IFERROR(IF(B246="",IFERROR(GROWTH($B$200:$B$287,$A$200:$A$287,$A246),TREND($B$200:$B$287,$A$200:$A$287,$A246)),""),"")</f>
        <v/>
      </c>
      <c r="F246" s="19" t="str">
        <f aca="false">IFERROR(forecast.ets($A246,$B$200:$B$287,$A$200:$A$287,4,1,1),"")</f>
        <v/>
      </c>
      <c r="G246" s="19" t="str">
        <f aca="false">IFERROR(F246-forecast.ets.confint($A246,$B$200:$B$287,$A$200:$A$287,0.95,4,1,1),"")</f>
        <v/>
      </c>
      <c r="H246" s="19" t="str">
        <f aca="false">IFERROR(F246+forecast.ets.confint($A246,$B$200:$B$287,$A$200:$A$287,0.95,4,1,1),"")</f>
        <v/>
      </c>
    </row>
    <row r="247" customFormat="false" ht="15" hidden="false" customHeight="false" outlineLevel="0" collapsed="false">
      <c r="A247" s="21" t="n">
        <v>43739</v>
      </c>
      <c r="B247" s="22" t="str">
        <f aca="false">IFERROR(haverdata(Codes!$D$13,$A247),"")</f>
        <v/>
      </c>
      <c r="C247" s="23" t="str">
        <f aca="false">IFERROR(B247/B246-1,"")</f>
        <v/>
      </c>
      <c r="D247" s="23" t="str">
        <f aca="false">IFERROR(B247/B243-1,"")</f>
        <v/>
      </c>
      <c r="E247" s="24" t="str">
        <f aca="false">IFERROR(IF(B247="",IFERROR(GROWTH($B$200:$B$287,$A$200:$A$287,$A247),TREND($B$200:$B$287,$A$200:$A$287,$A247)),""),"")</f>
        <v/>
      </c>
      <c r="F247" s="24" t="str">
        <f aca="false">IFERROR(forecast.ets($A247,$B$200:$B$287,$A$200:$A$287,4,1,1),"")</f>
        <v/>
      </c>
      <c r="G247" s="24" t="str">
        <f aca="false">IFERROR(F247-forecast.ets.confint($A247,$B$200:$B$287,$A$200:$A$287,0.95,4,1,1),"")</f>
        <v/>
      </c>
      <c r="H247" s="24" t="str">
        <f aca="false">IFERROR(F247+forecast.ets.confint($A247,$B$200:$B$287,$A$200:$A$287,0.95,4,1,1),"")</f>
        <v/>
      </c>
    </row>
    <row r="248" customFormat="false" ht="15" hidden="false" customHeight="false" outlineLevel="0" collapsed="false">
      <c r="A248" s="16" t="n">
        <v>43831</v>
      </c>
      <c r="B248" s="17" t="str">
        <f aca="false">IFERROR(haverdata(Codes!$D$13,$A248),"")</f>
        <v/>
      </c>
      <c r="C248" s="18" t="str">
        <f aca="false">IFERROR(B248/B247-1,"")</f>
        <v/>
      </c>
      <c r="D248" s="18" t="str">
        <f aca="false">IFERROR(B248/B244-1,"")</f>
        <v/>
      </c>
      <c r="E248" s="19" t="str">
        <f aca="false">IFERROR(IF(B248="",IFERROR(GROWTH($B$200:$B$287,$A$200:$A$287,$A248),TREND($B$200:$B$287,$A$200:$A$287,$A248)),""),"")</f>
        <v/>
      </c>
      <c r="F248" s="19" t="str">
        <f aca="false">IFERROR(forecast.ets($A248,$B$200:$B$287,$A$200:$A$287,4,1,1),"")</f>
        <v/>
      </c>
      <c r="G248" s="19" t="str">
        <f aca="false">IFERROR(F248-forecast.ets.confint($A248,$B$200:$B$287,$A$200:$A$287,0.95,4,1,1),"")</f>
        <v/>
      </c>
      <c r="H248" s="19" t="str">
        <f aca="false">IFERROR(F248+forecast.ets.confint($A248,$B$200:$B$287,$A$200:$A$287,0.95,4,1,1),"")</f>
        <v/>
      </c>
    </row>
    <row r="249" customFormat="false" ht="15" hidden="false" customHeight="false" outlineLevel="0" collapsed="false">
      <c r="A249" s="21" t="n">
        <v>43922</v>
      </c>
      <c r="B249" s="22" t="str">
        <f aca="false">IFERROR(haverdata(Codes!$D$13,$A249),"")</f>
        <v/>
      </c>
      <c r="C249" s="23" t="str">
        <f aca="false">IFERROR(B249/B248-1,"")</f>
        <v/>
      </c>
      <c r="D249" s="23" t="str">
        <f aca="false">IFERROR(B249/B245-1,"")</f>
        <v/>
      </c>
      <c r="E249" s="24" t="str">
        <f aca="false">IFERROR(IF(B249="",IFERROR(GROWTH($B$200:$B$287,$A$200:$A$287,$A249),TREND($B$200:$B$287,$A$200:$A$287,$A249)),""),"")</f>
        <v/>
      </c>
      <c r="F249" s="24" t="str">
        <f aca="false">IFERROR(forecast.ets($A249,$B$200:$B$287,$A$200:$A$287,4,1,1),"")</f>
        <v/>
      </c>
      <c r="G249" s="24" t="str">
        <f aca="false">IFERROR(F249-forecast.ets.confint($A249,$B$200:$B$287,$A$200:$A$287,0.95,4,1,1),"")</f>
        <v/>
      </c>
      <c r="H249" s="24" t="str">
        <f aca="false">IFERROR(F249+forecast.ets.confint($A249,$B$200:$B$287,$A$200:$A$287,0.95,4,1,1),"")</f>
        <v/>
      </c>
    </row>
    <row r="250" customFormat="false" ht="15" hidden="false" customHeight="false" outlineLevel="0" collapsed="false">
      <c r="A250" s="16" t="n">
        <v>44013</v>
      </c>
      <c r="B250" s="17" t="str">
        <f aca="false">IFERROR(haverdata(Codes!$D$13,$A250),"")</f>
        <v/>
      </c>
      <c r="C250" s="18" t="str">
        <f aca="false">IFERROR(B250/B249-1,"")</f>
        <v/>
      </c>
      <c r="D250" s="18" t="str">
        <f aca="false">IFERROR(B250/B246-1,"")</f>
        <v/>
      </c>
      <c r="E250" s="19" t="str">
        <f aca="false">IFERROR(IF(B250="",IFERROR(GROWTH($B$200:$B$287,$A$200:$A$287,$A250),TREND($B$200:$B$287,$A$200:$A$287,$A250)),""),"")</f>
        <v/>
      </c>
      <c r="F250" s="19" t="str">
        <f aca="false">IFERROR(forecast.ets($A250,$B$200:$B$287,$A$200:$A$287,4,1,1),"")</f>
        <v/>
      </c>
      <c r="G250" s="19" t="str">
        <f aca="false">IFERROR(F250-forecast.ets.confint($A250,$B$200:$B$287,$A$200:$A$287,0.95,4,1,1),"")</f>
        <v/>
      </c>
      <c r="H250" s="19" t="str">
        <f aca="false">IFERROR(F250+forecast.ets.confint($A250,$B$200:$B$287,$A$200:$A$287,0.95,4,1,1),"")</f>
        <v/>
      </c>
    </row>
    <row r="251" customFormat="false" ht="15" hidden="false" customHeight="false" outlineLevel="0" collapsed="false">
      <c r="A251" s="21" t="n">
        <v>44105</v>
      </c>
      <c r="B251" s="22" t="str">
        <f aca="false">IFERROR(haverdata(Codes!$D$13,$A251),"")</f>
        <v/>
      </c>
      <c r="C251" s="23" t="str">
        <f aca="false">IFERROR(B251/B250-1,"")</f>
        <v/>
      </c>
      <c r="D251" s="23" t="str">
        <f aca="false">IFERROR(B251/B247-1,"")</f>
        <v/>
      </c>
      <c r="E251" s="24" t="str">
        <f aca="false">IFERROR(IF(B251="",IFERROR(GROWTH($B$200:$B$287,$A$200:$A$287,$A251),TREND($B$200:$B$287,$A$200:$A$287,$A251)),""),"")</f>
        <v/>
      </c>
      <c r="F251" s="24" t="str">
        <f aca="false">IFERROR(forecast.ets($A251,$B$200:$B$287,$A$200:$A$287,4,1,1),"")</f>
        <v/>
      </c>
      <c r="G251" s="24" t="str">
        <f aca="false">IFERROR(F251-forecast.ets.confint($A251,$B$200:$B$287,$A$200:$A$287,0.95,4,1,1),"")</f>
        <v/>
      </c>
      <c r="H251" s="24" t="str">
        <f aca="false">IFERROR(F251+forecast.ets.confint($A251,$B$200:$B$287,$A$200:$A$287,0.95,4,1,1),"")</f>
        <v/>
      </c>
    </row>
    <row r="252" customFormat="false" ht="15" hidden="false" customHeight="false" outlineLevel="0" collapsed="false">
      <c r="A252" s="16" t="n">
        <v>44197</v>
      </c>
      <c r="B252" s="17" t="str">
        <f aca="false">IFERROR(haverdata(Codes!$D$13,$A252),"")</f>
        <v/>
      </c>
      <c r="C252" s="18" t="str">
        <f aca="false">IFERROR(B252/B251-1,"")</f>
        <v/>
      </c>
      <c r="D252" s="18" t="str">
        <f aca="false">IFERROR(B252/B248-1,"")</f>
        <v/>
      </c>
      <c r="E252" s="19" t="str">
        <f aca="false">IFERROR(IF(B252="",IFERROR(GROWTH($B$200:$B$287,$A$200:$A$287,$A252),TREND($B$200:$B$287,$A$200:$A$287,$A252)),""),"")</f>
        <v/>
      </c>
      <c r="F252" s="19" t="str">
        <f aca="false">IFERROR(forecast.ets($A252,$B$200:$B$287,$A$200:$A$287,4,1,1),"")</f>
        <v/>
      </c>
      <c r="G252" s="19" t="str">
        <f aca="false">IFERROR(F252-forecast.ets.confint($A252,$B$200:$B$287,$A$200:$A$287,0.95,4,1,1),"")</f>
        <v/>
      </c>
      <c r="H252" s="19" t="str">
        <f aca="false">IFERROR(F252+forecast.ets.confint($A252,$B$200:$B$287,$A$200:$A$287,0.95,4,1,1),"")</f>
        <v/>
      </c>
    </row>
    <row r="253" customFormat="false" ht="15" hidden="false" customHeight="false" outlineLevel="0" collapsed="false">
      <c r="A253" s="21" t="n">
        <v>44287</v>
      </c>
      <c r="B253" s="22" t="str">
        <f aca="false">IFERROR(haverdata(Codes!$D$13,$A253),"")</f>
        <v/>
      </c>
      <c r="C253" s="23" t="str">
        <f aca="false">IFERROR(B253/B252-1,"")</f>
        <v/>
      </c>
      <c r="D253" s="23" t="str">
        <f aca="false">IFERROR(B253/B249-1,"")</f>
        <v/>
      </c>
      <c r="E253" s="24" t="str">
        <f aca="false">IFERROR(IF(B253="",IFERROR(GROWTH($B$200:$B$287,$A$200:$A$287,$A253),TREND($B$200:$B$287,$A$200:$A$287,$A253)),""),"")</f>
        <v/>
      </c>
      <c r="F253" s="24" t="str">
        <f aca="false">IFERROR(forecast.ets($A253,$B$200:$B$287,$A$200:$A$287,4,1,1),"")</f>
        <v/>
      </c>
      <c r="G253" s="24" t="str">
        <f aca="false">IFERROR(F253-forecast.ets.confint($A253,$B$200:$B$287,$A$200:$A$287,0.95,4,1,1),"")</f>
        <v/>
      </c>
      <c r="H253" s="24" t="str">
        <f aca="false">IFERROR(F253+forecast.ets.confint($A253,$B$200:$B$287,$A$200:$A$287,0.95,4,1,1),"")</f>
        <v/>
      </c>
    </row>
    <row r="254" customFormat="false" ht="15" hidden="false" customHeight="false" outlineLevel="0" collapsed="false">
      <c r="A254" s="16" t="n">
        <v>44378</v>
      </c>
      <c r="B254" s="17" t="str">
        <f aca="false">IFERROR(haverdata(Codes!$D$13,$A254),"")</f>
        <v/>
      </c>
      <c r="C254" s="18" t="str">
        <f aca="false">IFERROR(B254/B253-1,"")</f>
        <v/>
      </c>
      <c r="D254" s="18" t="str">
        <f aca="false">IFERROR(B254/B250-1,"")</f>
        <v/>
      </c>
      <c r="E254" s="19" t="str">
        <f aca="false">IFERROR(IF(B254="",IFERROR(GROWTH($B$200:$B$287,$A$200:$A$287,$A254),TREND($B$200:$B$287,$A$200:$A$287,$A254)),""),"")</f>
        <v/>
      </c>
      <c r="F254" s="19" t="str">
        <f aca="false">IFERROR(forecast.ets($A254,$B$200:$B$287,$A$200:$A$287,4,1,1),"")</f>
        <v/>
      </c>
      <c r="G254" s="19" t="str">
        <f aca="false">IFERROR(F254-forecast.ets.confint($A254,$B$200:$B$287,$A$200:$A$287,0.95,4,1,1),"")</f>
        <v/>
      </c>
      <c r="H254" s="19" t="str">
        <f aca="false">IFERROR(F254+forecast.ets.confint($A254,$B$200:$B$287,$A$200:$A$287,0.95,4,1,1),"")</f>
        <v/>
      </c>
    </row>
    <row r="255" customFormat="false" ht="15" hidden="false" customHeight="false" outlineLevel="0" collapsed="false">
      <c r="A255" s="21" t="n">
        <v>44470</v>
      </c>
      <c r="B255" s="22" t="str">
        <f aca="false">IFERROR(haverdata(Codes!$D$13,$A255),"")</f>
        <v/>
      </c>
      <c r="C255" s="23" t="str">
        <f aca="false">IFERROR(B255/B254-1,"")</f>
        <v/>
      </c>
      <c r="D255" s="23" t="str">
        <f aca="false">IFERROR(B255/B251-1,"")</f>
        <v/>
      </c>
      <c r="E255" s="24" t="str">
        <f aca="false">IFERROR(IF(B255="",IFERROR(GROWTH($B$200:$B$287,$A$200:$A$287,$A255),TREND($B$200:$B$287,$A$200:$A$287,$A255)),""),"")</f>
        <v/>
      </c>
      <c r="F255" s="24" t="str">
        <f aca="false">IFERROR(forecast.ets($A255,$B$200:$B$287,$A$200:$A$287,4,1,1),"")</f>
        <v/>
      </c>
      <c r="G255" s="24" t="str">
        <f aca="false">IFERROR(F255-forecast.ets.confint($A255,$B$200:$B$287,$A$200:$A$287,0.95,4,1,1),"")</f>
        <v/>
      </c>
      <c r="H255" s="24" t="str">
        <f aca="false">IFERROR(F255+forecast.ets.confint($A255,$B$200:$B$287,$A$200:$A$287,0.95,4,1,1),"")</f>
        <v/>
      </c>
    </row>
    <row r="256" customFormat="false" ht="15" hidden="false" customHeight="false" outlineLevel="0" collapsed="false">
      <c r="A256" s="16" t="n">
        <v>44562</v>
      </c>
      <c r="B256" s="17" t="str">
        <f aca="false">IFERROR(haverdata(Codes!$D$13,$A256),"")</f>
        <v/>
      </c>
      <c r="C256" s="18" t="str">
        <f aca="false">IFERROR(B256/B255-1,"")</f>
        <v/>
      </c>
      <c r="D256" s="18" t="str">
        <f aca="false">IFERROR(B256/B252-1,"")</f>
        <v/>
      </c>
      <c r="E256" s="19" t="str">
        <f aca="false">IFERROR(IF(B256="",IFERROR(GROWTH($B$200:$B$287,$A$200:$A$287,$A256),TREND($B$200:$B$287,$A$200:$A$287,$A256)),""),"")</f>
        <v/>
      </c>
      <c r="F256" s="19" t="str">
        <f aca="false">IFERROR(forecast.ets($A256,$B$200:$B$287,$A$200:$A$287,4,1,1),"")</f>
        <v/>
      </c>
      <c r="G256" s="19" t="str">
        <f aca="false">IFERROR(F256-forecast.ets.confint($A256,$B$200:$B$287,$A$200:$A$287,0.95,4,1,1),"")</f>
        <v/>
      </c>
      <c r="H256" s="19" t="str">
        <f aca="false">IFERROR(F256+forecast.ets.confint($A256,$B$200:$B$287,$A$200:$A$287,0.95,4,1,1),"")</f>
        <v/>
      </c>
    </row>
    <row r="257" customFormat="false" ht="15" hidden="false" customHeight="false" outlineLevel="0" collapsed="false">
      <c r="A257" s="21" t="n">
        <v>44652</v>
      </c>
      <c r="B257" s="22" t="str">
        <f aca="false">IFERROR(haverdata(Codes!$D$13,$A257),"")</f>
        <v/>
      </c>
      <c r="C257" s="23" t="str">
        <f aca="false">IFERROR(B257/B256-1,"")</f>
        <v/>
      </c>
      <c r="D257" s="23" t="str">
        <f aca="false">IFERROR(B257/B253-1,"")</f>
        <v/>
      </c>
      <c r="E257" s="24" t="str">
        <f aca="false">IFERROR(IF(B257="",IFERROR(GROWTH($B$200:$B$287,$A$200:$A$287,$A257),TREND($B$200:$B$287,$A$200:$A$287,$A257)),""),"")</f>
        <v/>
      </c>
      <c r="F257" s="24" t="str">
        <f aca="false">IFERROR(forecast.ets($A257,$B$200:$B$287,$A$200:$A$287,4,1,1),"")</f>
        <v/>
      </c>
      <c r="G257" s="24" t="str">
        <f aca="false">IFERROR(F257-forecast.ets.confint($A257,$B$200:$B$287,$A$200:$A$287,0.95,4,1,1),"")</f>
        <v/>
      </c>
      <c r="H257" s="24" t="str">
        <f aca="false">IFERROR(F257+forecast.ets.confint($A257,$B$200:$B$287,$A$200:$A$287,0.95,4,1,1),"")</f>
        <v/>
      </c>
    </row>
    <row r="258" customFormat="false" ht="15" hidden="false" customHeight="false" outlineLevel="0" collapsed="false">
      <c r="A258" s="16" t="n">
        <v>44743</v>
      </c>
      <c r="B258" s="17" t="str">
        <f aca="false">IFERROR(haverdata(Codes!$D$13,$A258),"")</f>
        <v/>
      </c>
      <c r="C258" s="18" t="str">
        <f aca="false">IFERROR(B258/B257-1,"")</f>
        <v/>
      </c>
      <c r="D258" s="18" t="str">
        <f aca="false">IFERROR(B258/B254-1,"")</f>
        <v/>
      </c>
      <c r="E258" s="19" t="str">
        <f aca="false">IFERROR(IF(B258="",IFERROR(GROWTH($B$200:$B$287,$A$200:$A$287,$A258),TREND($B$200:$B$287,$A$200:$A$287,$A258)),""),"")</f>
        <v/>
      </c>
      <c r="F258" s="19" t="str">
        <f aca="false">IFERROR(forecast.ets($A258,$B$200:$B$287,$A$200:$A$287,4,1,1),"")</f>
        <v/>
      </c>
      <c r="G258" s="19" t="str">
        <f aca="false">IFERROR(F258-forecast.ets.confint($A258,$B$200:$B$287,$A$200:$A$287,0.95,4,1,1),"")</f>
        <v/>
      </c>
      <c r="H258" s="19" t="str">
        <f aca="false">IFERROR(F258+forecast.ets.confint($A258,$B$200:$B$287,$A$200:$A$287,0.95,4,1,1),"")</f>
        <v/>
      </c>
    </row>
    <row r="259" customFormat="false" ht="15" hidden="false" customHeight="false" outlineLevel="0" collapsed="false">
      <c r="A259" s="21" t="n">
        <v>44835</v>
      </c>
      <c r="B259" s="22" t="str">
        <f aca="false">IFERROR(haverdata(Codes!$D$13,$A259),"")</f>
        <v/>
      </c>
      <c r="C259" s="23" t="str">
        <f aca="false">IFERROR(B259/B258-1,"")</f>
        <v/>
      </c>
      <c r="D259" s="23" t="str">
        <f aca="false">IFERROR(B259/B255-1,"")</f>
        <v/>
      </c>
      <c r="E259" s="24" t="str">
        <f aca="false">IFERROR(IF(B259="",IFERROR(GROWTH($B$200:$B$287,$A$200:$A$287,$A259),TREND($B$200:$B$287,$A$200:$A$287,$A259)),""),"")</f>
        <v/>
      </c>
      <c r="F259" s="24" t="str">
        <f aca="false">IFERROR(forecast.ets($A259,$B$200:$B$287,$A$200:$A$287,4,1,1),"")</f>
        <v/>
      </c>
      <c r="G259" s="24" t="str">
        <f aca="false">IFERROR(F259-forecast.ets.confint($A259,$B$200:$B$287,$A$200:$A$287,0.95,4,1,1),"")</f>
        <v/>
      </c>
      <c r="H259" s="24" t="str">
        <f aca="false">IFERROR(F259+forecast.ets.confint($A259,$B$200:$B$287,$A$200:$A$287,0.95,4,1,1),"")</f>
        <v/>
      </c>
    </row>
    <row r="260" customFormat="false" ht="15" hidden="false" customHeight="false" outlineLevel="0" collapsed="false">
      <c r="A260" s="16" t="n">
        <v>44927</v>
      </c>
      <c r="B260" s="17" t="str">
        <f aca="false">IFERROR(haverdata(Codes!$D$13,$A260),"")</f>
        <v/>
      </c>
      <c r="C260" s="18" t="str">
        <f aca="false">IFERROR(B260/B259-1,"")</f>
        <v/>
      </c>
      <c r="D260" s="18" t="str">
        <f aca="false">IFERROR(B260/B256-1,"")</f>
        <v/>
      </c>
      <c r="E260" s="19" t="str">
        <f aca="false">IFERROR(IF(B260="",IFERROR(GROWTH($B$200:$B$287,$A$200:$A$287,$A260),TREND($B$200:$B$287,$A$200:$A$287,$A260)),""),"")</f>
        <v/>
      </c>
      <c r="F260" s="19" t="str">
        <f aca="false">IFERROR(forecast.ets($A260,$B$200:$B$287,$A$200:$A$287,4,1,1),"")</f>
        <v/>
      </c>
      <c r="G260" s="19" t="str">
        <f aca="false">IFERROR(F260-forecast.ets.confint($A260,$B$200:$B$287,$A$200:$A$287,0.95,4,1,1),"")</f>
        <v/>
      </c>
      <c r="H260" s="19" t="str">
        <f aca="false">IFERROR(F260+forecast.ets.confint($A260,$B$200:$B$287,$A$200:$A$287,0.95,4,1,1),"")</f>
        <v/>
      </c>
    </row>
    <row r="261" customFormat="false" ht="15" hidden="false" customHeight="false" outlineLevel="0" collapsed="false">
      <c r="A261" s="21" t="n">
        <v>45017</v>
      </c>
      <c r="B261" s="22" t="str">
        <f aca="false">IFERROR(haverdata(Codes!$D$13,$A261),"")</f>
        <v/>
      </c>
      <c r="C261" s="23" t="str">
        <f aca="false">IFERROR(B261/B260-1,"")</f>
        <v/>
      </c>
      <c r="D261" s="23" t="str">
        <f aca="false">IFERROR(B261/B257-1,"")</f>
        <v/>
      </c>
      <c r="E261" s="24" t="str">
        <f aca="false">IFERROR(IF(B261="",IFERROR(GROWTH($B$200:$B$287,$A$200:$A$287,$A261),TREND($B$200:$B$287,$A$200:$A$287,$A261)),""),"")</f>
        <v/>
      </c>
      <c r="F261" s="24" t="str">
        <f aca="false">IFERROR(forecast.ets($A261,$B$200:$B$287,$A$200:$A$287,4,1,1),"")</f>
        <v/>
      </c>
      <c r="G261" s="24" t="str">
        <f aca="false">IFERROR(F261-forecast.ets.confint($A261,$B$200:$B$287,$A$200:$A$287,0.95,4,1,1),"")</f>
        <v/>
      </c>
      <c r="H261" s="24" t="str">
        <f aca="false">IFERROR(F261+forecast.ets.confint($A261,$B$200:$B$287,$A$200:$A$287,0.95,4,1,1),"")</f>
        <v/>
      </c>
    </row>
    <row r="262" customFormat="false" ht="15" hidden="false" customHeight="false" outlineLevel="0" collapsed="false">
      <c r="A262" s="16" t="n">
        <v>45108</v>
      </c>
      <c r="B262" s="17" t="str">
        <f aca="false">IFERROR(haverdata(Codes!$D$13,$A262),"")</f>
        <v/>
      </c>
      <c r="C262" s="18" t="str">
        <f aca="false">IFERROR(B262/B261-1,"")</f>
        <v/>
      </c>
      <c r="D262" s="18" t="str">
        <f aca="false">IFERROR(B262/B258-1,"")</f>
        <v/>
      </c>
      <c r="E262" s="19" t="str">
        <f aca="false">IFERROR(IF(B262="",IFERROR(GROWTH($B$200:$B$287,$A$200:$A$287,$A262),TREND($B$200:$B$287,$A$200:$A$287,$A262)),""),"")</f>
        <v/>
      </c>
      <c r="F262" s="19" t="str">
        <f aca="false">IFERROR(forecast.ets($A262,$B$200:$B$287,$A$200:$A$287,4,1,1),"")</f>
        <v/>
      </c>
      <c r="G262" s="19" t="str">
        <f aca="false">IFERROR(F262-forecast.ets.confint($A262,$B$200:$B$287,$A$200:$A$287,0.95,4,1,1),"")</f>
        <v/>
      </c>
      <c r="H262" s="19" t="str">
        <f aca="false">IFERROR(F262+forecast.ets.confint($A262,$B$200:$B$287,$A$200:$A$287,0.95,4,1,1),"")</f>
        <v/>
      </c>
    </row>
    <row r="263" customFormat="false" ht="15" hidden="false" customHeight="false" outlineLevel="0" collapsed="false">
      <c r="A263" s="21" t="n">
        <v>45200</v>
      </c>
      <c r="B263" s="22" t="str">
        <f aca="false">IFERROR(haverdata(Codes!$D$13,$A263),"")</f>
        <v/>
      </c>
      <c r="C263" s="23" t="str">
        <f aca="false">IFERROR(B263/B262-1,"")</f>
        <v/>
      </c>
      <c r="D263" s="23" t="str">
        <f aca="false">IFERROR(B263/B259-1,"")</f>
        <v/>
      </c>
      <c r="E263" s="24" t="str">
        <f aca="false">IFERROR(IF(B263="",IFERROR(GROWTH($B$200:$B$287,$A$200:$A$287,$A263),TREND($B$200:$B$287,$A$200:$A$287,$A263)),""),"")</f>
        <v/>
      </c>
      <c r="F263" s="24" t="str">
        <f aca="false">IFERROR(forecast.ets($A263,$B$200:$B$287,$A$200:$A$287,4,1,1),"")</f>
        <v/>
      </c>
      <c r="G263" s="24" t="str">
        <f aca="false">IFERROR(F263-forecast.ets.confint($A263,$B$200:$B$287,$A$200:$A$287,0.95,4,1,1),"")</f>
        <v/>
      </c>
      <c r="H263" s="24" t="str">
        <f aca="false">IFERROR(F263+forecast.ets.confint($A263,$B$200:$B$287,$A$200:$A$287,0.95,4,1,1),"")</f>
        <v/>
      </c>
    </row>
    <row r="264" customFormat="false" ht="15" hidden="false" customHeight="false" outlineLevel="0" collapsed="false">
      <c r="A264" s="16" t="n">
        <v>45292</v>
      </c>
      <c r="B264" s="17" t="str">
        <f aca="false">IFERROR(haverdata(Codes!$D$13,$A264),"")</f>
        <v/>
      </c>
      <c r="C264" s="18" t="str">
        <f aca="false">IFERROR(B264/B263-1,"")</f>
        <v/>
      </c>
      <c r="D264" s="18" t="str">
        <f aca="false">IFERROR(B264/B260-1,"")</f>
        <v/>
      </c>
      <c r="E264" s="19" t="str">
        <f aca="false">IFERROR(IF(B264="",IFERROR(GROWTH($B$200:$B$287,$A$200:$A$287,$A264),TREND($B$200:$B$287,$A$200:$A$287,$A264)),""),"")</f>
        <v/>
      </c>
      <c r="F264" s="19" t="str">
        <f aca="false">IFERROR(forecast.ets($A264,$B$200:$B$287,$A$200:$A$287,4,1,1),"")</f>
        <v/>
      </c>
      <c r="G264" s="19" t="str">
        <f aca="false">IFERROR(F264-forecast.ets.confint($A264,$B$200:$B$287,$A$200:$A$287,0.95,4,1,1),"")</f>
        <v/>
      </c>
      <c r="H264" s="19" t="str">
        <f aca="false">IFERROR(F264+forecast.ets.confint($A264,$B$200:$B$287,$A$200:$A$287,0.95,4,1,1),"")</f>
        <v/>
      </c>
    </row>
    <row r="265" customFormat="false" ht="15" hidden="false" customHeight="false" outlineLevel="0" collapsed="false">
      <c r="A265" s="21" t="n">
        <v>45383</v>
      </c>
      <c r="B265" s="22" t="str">
        <f aca="false">IFERROR(haverdata(Codes!$D$13,$A265),"")</f>
        <v/>
      </c>
      <c r="C265" s="23" t="str">
        <f aca="false">IFERROR(B265/B264-1,"")</f>
        <v/>
      </c>
      <c r="D265" s="23" t="str">
        <f aca="false">IFERROR(B265/B261-1,"")</f>
        <v/>
      </c>
      <c r="E265" s="24" t="str">
        <f aca="false">IFERROR(IF(B265="",IFERROR(GROWTH($B$200:$B$287,$A$200:$A$287,$A265),TREND($B$200:$B$287,$A$200:$A$287,$A265)),""),"")</f>
        <v/>
      </c>
      <c r="F265" s="24" t="str">
        <f aca="false">IFERROR(forecast.ets($A265,$B$200:$B$287,$A$200:$A$287,4,1,1),"")</f>
        <v/>
      </c>
      <c r="G265" s="24" t="str">
        <f aca="false">IFERROR(F265-forecast.ets.confint($A265,$B$200:$B$287,$A$200:$A$287,0.95,4,1,1),"")</f>
        <v/>
      </c>
      <c r="H265" s="24" t="str">
        <f aca="false">IFERROR(F265+forecast.ets.confint($A265,$B$200:$B$287,$A$200:$A$287,0.95,4,1,1),"")</f>
        <v/>
      </c>
    </row>
    <row r="266" customFormat="false" ht="15" hidden="false" customHeight="false" outlineLevel="0" collapsed="false">
      <c r="A266" s="16" t="n">
        <v>45474</v>
      </c>
      <c r="B266" s="17" t="str">
        <f aca="false">IFERROR(haverdata(Codes!$D$13,$A266),"")</f>
        <v/>
      </c>
      <c r="C266" s="18" t="str">
        <f aca="false">IFERROR(B266/B265-1,"")</f>
        <v/>
      </c>
      <c r="D266" s="18" t="str">
        <f aca="false">IFERROR(B266/B262-1,"")</f>
        <v/>
      </c>
      <c r="E266" s="19" t="str">
        <f aca="false">IFERROR(IF(B266="",IFERROR(GROWTH($B$200:$B$287,$A$200:$A$287,$A266),TREND($B$200:$B$287,$A$200:$A$287,$A266)),""),"")</f>
        <v/>
      </c>
      <c r="F266" s="19" t="str">
        <f aca="false">IFERROR(forecast.ets($A266,$B$200:$B$287,$A$200:$A$287,4,1,1),"")</f>
        <v/>
      </c>
      <c r="G266" s="19" t="str">
        <f aca="false">IFERROR(F266-forecast.ets.confint($A266,$B$200:$B$287,$A$200:$A$287,0.95,4,1,1),"")</f>
        <v/>
      </c>
      <c r="H266" s="19" t="str">
        <f aca="false">IFERROR(F266+forecast.ets.confint($A266,$B$200:$B$287,$A$200:$A$287,0.95,4,1,1),"")</f>
        <v/>
      </c>
    </row>
    <row r="267" customFormat="false" ht="15" hidden="false" customHeight="false" outlineLevel="0" collapsed="false">
      <c r="A267" s="21" t="n">
        <v>45566</v>
      </c>
      <c r="B267" s="22" t="str">
        <f aca="false">IFERROR(haverdata(Codes!$D$13,$A267),"")</f>
        <v/>
      </c>
      <c r="C267" s="23" t="str">
        <f aca="false">IFERROR(B267/B266-1,"")</f>
        <v/>
      </c>
      <c r="D267" s="23" t="str">
        <f aca="false">IFERROR(B267/B263-1,"")</f>
        <v/>
      </c>
      <c r="E267" s="24" t="str">
        <f aca="false">IFERROR(IF(B267="",IFERROR(GROWTH($B$200:$B$287,$A$200:$A$287,$A267),TREND($B$200:$B$287,$A$200:$A$287,$A267)),""),"")</f>
        <v/>
      </c>
      <c r="F267" s="24" t="str">
        <f aca="false">IFERROR(forecast.ets($A267,$B$200:$B$287,$A$200:$A$287,4,1,1),"")</f>
        <v/>
      </c>
      <c r="G267" s="24" t="str">
        <f aca="false">IFERROR(F267-forecast.ets.confint($A267,$B$200:$B$287,$A$200:$A$287,0.95,4,1,1),"")</f>
        <v/>
      </c>
      <c r="H267" s="24" t="str">
        <f aca="false">IFERROR(F267+forecast.ets.confint($A267,$B$200:$B$287,$A$200:$A$287,0.95,4,1,1),"")</f>
        <v/>
      </c>
    </row>
    <row r="268" customFormat="false" ht="15" hidden="false" customHeight="false" outlineLevel="0" collapsed="false">
      <c r="A268" s="16" t="n">
        <v>45658</v>
      </c>
      <c r="B268" s="17" t="str">
        <f aca="false">IFERROR(haverdata(Codes!$D$13,$A268),"")</f>
        <v/>
      </c>
      <c r="C268" s="18" t="str">
        <f aca="false">IFERROR(B268/B267-1,"")</f>
        <v/>
      </c>
      <c r="D268" s="18" t="str">
        <f aca="false">IFERROR(B268/B264-1,"")</f>
        <v/>
      </c>
      <c r="E268" s="19" t="str">
        <f aca="false">IFERROR(IF(B268="",IFERROR(GROWTH($B$200:$B$287,$A$200:$A$287,$A268),TREND($B$200:$B$287,$A$200:$A$287,$A268)),""),"")</f>
        <v/>
      </c>
      <c r="F268" s="19" t="str">
        <f aca="false">IFERROR(forecast.ets($A268,$B$200:$B$287,$A$200:$A$287,4,1,1),"")</f>
        <v/>
      </c>
      <c r="G268" s="19" t="str">
        <f aca="false">IFERROR(F268-forecast.ets.confint($A268,$B$200:$B$287,$A$200:$A$287,0.95,4,1,1),"")</f>
        <v/>
      </c>
      <c r="H268" s="19" t="str">
        <f aca="false">IFERROR(F268+forecast.ets.confint($A268,$B$200:$B$287,$A$200:$A$287,0.95,4,1,1),"")</f>
        <v/>
      </c>
    </row>
    <row r="269" customFormat="false" ht="15" hidden="false" customHeight="false" outlineLevel="0" collapsed="false">
      <c r="A269" s="21" t="n">
        <v>45748</v>
      </c>
      <c r="B269" s="22" t="str">
        <f aca="false">IFERROR(haverdata(Codes!$D$13,$A269),"")</f>
        <v/>
      </c>
      <c r="C269" s="23" t="str">
        <f aca="false">IFERROR(B269/B268-1,"")</f>
        <v/>
      </c>
      <c r="D269" s="23" t="str">
        <f aca="false">IFERROR(B269/B265-1,"")</f>
        <v/>
      </c>
      <c r="E269" s="24" t="str">
        <f aca="false">IFERROR(IF(B269="",IFERROR(GROWTH($B$200:$B$287,$A$200:$A$287,$A269),TREND($B$200:$B$287,$A$200:$A$287,$A269)),""),"")</f>
        <v/>
      </c>
      <c r="F269" s="24" t="str">
        <f aca="false">IFERROR(forecast.ets($A269,$B$200:$B$287,$A$200:$A$287,4,1,1),"")</f>
        <v/>
      </c>
      <c r="G269" s="24" t="str">
        <f aca="false">IFERROR(F269-forecast.ets.confint($A269,$B$200:$B$287,$A$200:$A$287,0.95,4,1,1),"")</f>
        <v/>
      </c>
      <c r="H269" s="24" t="str">
        <f aca="false">IFERROR(F269+forecast.ets.confint($A269,$B$200:$B$287,$A$200:$A$287,0.95,4,1,1),"")</f>
        <v/>
      </c>
    </row>
    <row r="270" customFormat="false" ht="15" hidden="false" customHeight="false" outlineLevel="0" collapsed="false">
      <c r="A270" s="16" t="n">
        <v>45839</v>
      </c>
      <c r="B270" s="17" t="str">
        <f aca="false">IFERROR(haverdata(Codes!$D$13,$A270),"")</f>
        <v/>
      </c>
      <c r="C270" s="18" t="str">
        <f aca="false">IFERROR(B270/B269-1,"")</f>
        <v/>
      </c>
      <c r="D270" s="18" t="str">
        <f aca="false">IFERROR(B270/B266-1,"")</f>
        <v/>
      </c>
      <c r="E270" s="19" t="str">
        <f aca="false">IFERROR(IF(B270="",IFERROR(GROWTH($B$200:$B$287,$A$200:$A$287,$A270),TREND($B$200:$B$287,$A$200:$A$287,$A270)),""),"")</f>
        <v/>
      </c>
      <c r="F270" s="19" t="str">
        <f aca="false">IFERROR(forecast.ets($A270,$B$200:$B$287,$A$200:$A$287,4,1,1),"")</f>
        <v/>
      </c>
      <c r="G270" s="19" t="str">
        <f aca="false">IFERROR(F270-forecast.ets.confint($A270,$B$200:$B$287,$A$200:$A$287,0.95,4,1,1),"")</f>
        <v/>
      </c>
      <c r="H270" s="19" t="str">
        <f aca="false">IFERROR(F270+forecast.ets.confint($A270,$B$200:$B$287,$A$200:$A$287,0.95,4,1,1),"")</f>
        <v/>
      </c>
    </row>
    <row r="271" customFormat="false" ht="15" hidden="false" customHeight="false" outlineLevel="0" collapsed="false">
      <c r="A271" s="21" t="n">
        <v>45931</v>
      </c>
      <c r="B271" s="22" t="str">
        <f aca="false">IFERROR(haverdata(Codes!$D$13,$A271),"")</f>
        <v/>
      </c>
      <c r="C271" s="23" t="str">
        <f aca="false">IFERROR(B271/B270-1,"")</f>
        <v/>
      </c>
      <c r="D271" s="23" t="str">
        <f aca="false">IFERROR(B271/B267-1,"")</f>
        <v/>
      </c>
      <c r="E271" s="24" t="str">
        <f aca="false">IFERROR(IF(B271="",IFERROR(GROWTH($B$200:$B$287,$A$200:$A$287,$A271),TREND($B$200:$B$287,$A$200:$A$287,$A271)),""),"")</f>
        <v/>
      </c>
      <c r="F271" s="24" t="str">
        <f aca="false">IFERROR(forecast.ets($A271,$B$200:$B$287,$A$200:$A$287,4,1,1),"")</f>
        <v/>
      </c>
      <c r="G271" s="24" t="str">
        <f aca="false">IFERROR(F271-forecast.ets.confint($A271,$B$200:$B$287,$A$200:$A$287,0.95,4,1,1),"")</f>
        <v/>
      </c>
      <c r="H271" s="24" t="str">
        <f aca="false">IFERROR(F271+forecast.ets.confint($A271,$B$200:$B$287,$A$200:$A$287,0.95,4,1,1),"")</f>
        <v/>
      </c>
    </row>
    <row r="272" customFormat="false" ht="15" hidden="false" customHeight="false" outlineLevel="0" collapsed="false">
      <c r="A272" s="16" t="n">
        <v>46023</v>
      </c>
      <c r="B272" s="17" t="str">
        <f aca="false">IFERROR(haverdata(Codes!$D$13,$A272),"")</f>
        <v/>
      </c>
      <c r="C272" s="18" t="str">
        <f aca="false">IFERROR(B272/B271-1,"")</f>
        <v/>
      </c>
      <c r="D272" s="18" t="str">
        <f aca="false">IFERROR(B272/B268-1,"")</f>
        <v/>
      </c>
      <c r="E272" s="19" t="str">
        <f aca="false">IFERROR(IF(B272="",IFERROR(GROWTH($B$200:$B$287,$A$200:$A$287,$A272),TREND($B$200:$B$287,$A$200:$A$287,$A272)),""),"")</f>
        <v/>
      </c>
      <c r="F272" s="19" t="str">
        <f aca="false">IFERROR(forecast.ets($A272,$B$200:$B$287,$A$200:$A$287,4,1,1),"")</f>
        <v/>
      </c>
      <c r="G272" s="19" t="str">
        <f aca="false">IFERROR(F272-forecast.ets.confint($A272,$B$200:$B$287,$A$200:$A$287,0.95,4,1,1),"")</f>
        <v/>
      </c>
      <c r="H272" s="19" t="str">
        <f aca="false">IFERROR(F272+forecast.ets.confint($A272,$B$200:$B$287,$A$200:$A$287,0.95,4,1,1),"")</f>
        <v/>
      </c>
    </row>
    <row r="273" customFormat="false" ht="15" hidden="false" customHeight="false" outlineLevel="0" collapsed="false">
      <c r="A273" s="21" t="n">
        <v>46113</v>
      </c>
      <c r="B273" s="22" t="str">
        <f aca="false">IFERROR(haverdata(Codes!$D$13,$A273),"")</f>
        <v/>
      </c>
      <c r="C273" s="23" t="str">
        <f aca="false">IFERROR(B273/B272-1,"")</f>
        <v/>
      </c>
      <c r="D273" s="23" t="str">
        <f aca="false">IFERROR(B273/B269-1,"")</f>
        <v/>
      </c>
      <c r="E273" s="24" t="str">
        <f aca="false">IFERROR(IF(B273="",IFERROR(GROWTH($B$200:$B$287,$A$200:$A$287,$A273),TREND($B$200:$B$287,$A$200:$A$287,$A273)),""),"")</f>
        <v/>
      </c>
      <c r="F273" s="24" t="str">
        <f aca="false">IFERROR(forecast.ets($A273,$B$200:$B$287,$A$200:$A$287,4,1,1),"")</f>
        <v/>
      </c>
      <c r="G273" s="24" t="str">
        <f aca="false">IFERROR(F273-forecast.ets.confint($A273,$B$200:$B$287,$A$200:$A$287,0.95,4,1,1),"")</f>
        <v/>
      </c>
      <c r="H273" s="24" t="str">
        <f aca="false">IFERROR(F273+forecast.ets.confint($A273,$B$200:$B$287,$A$200:$A$287,0.95,4,1,1),"")</f>
        <v/>
      </c>
    </row>
    <row r="274" customFormat="false" ht="15" hidden="false" customHeight="false" outlineLevel="0" collapsed="false">
      <c r="A274" s="16" t="n">
        <v>46204</v>
      </c>
      <c r="B274" s="17" t="str">
        <f aca="false">IFERROR(haverdata(Codes!$D$13,$A274),"")</f>
        <v/>
      </c>
      <c r="C274" s="18" t="str">
        <f aca="false">IFERROR(B274/B273-1,"")</f>
        <v/>
      </c>
      <c r="D274" s="18" t="str">
        <f aca="false">IFERROR(B274/B270-1,"")</f>
        <v/>
      </c>
      <c r="E274" s="19" t="str">
        <f aca="false">IFERROR(IF(B274="",IFERROR(GROWTH($B$200:$B$287,$A$200:$A$287,$A274),TREND($B$200:$B$287,$A$200:$A$287,$A274)),""),"")</f>
        <v/>
      </c>
      <c r="F274" s="19" t="str">
        <f aca="false">IFERROR(forecast.ets($A274,$B$200:$B$287,$A$200:$A$287,4,1,1),"")</f>
        <v/>
      </c>
      <c r="G274" s="19" t="str">
        <f aca="false">IFERROR(F274-forecast.ets.confint($A274,$B$200:$B$287,$A$200:$A$287,0.95,4,1,1),"")</f>
        <v/>
      </c>
      <c r="H274" s="19" t="str">
        <f aca="false">IFERROR(F274+forecast.ets.confint($A274,$B$200:$B$287,$A$200:$A$287,0.95,4,1,1),"")</f>
        <v/>
      </c>
    </row>
    <row r="275" customFormat="false" ht="15" hidden="false" customHeight="false" outlineLevel="0" collapsed="false">
      <c r="A275" s="21" t="n">
        <v>46296</v>
      </c>
      <c r="B275" s="22" t="str">
        <f aca="false">IFERROR(haverdata(Codes!$D$13,$A275),"")</f>
        <v/>
      </c>
      <c r="C275" s="23" t="str">
        <f aca="false">IFERROR(B275/B274-1,"")</f>
        <v/>
      </c>
      <c r="D275" s="23" t="str">
        <f aca="false">IFERROR(B275/B271-1,"")</f>
        <v/>
      </c>
      <c r="E275" s="24" t="str">
        <f aca="false">IFERROR(IF(B275="",IFERROR(GROWTH($B$200:$B$287,$A$200:$A$287,$A275),TREND($B$200:$B$287,$A$200:$A$287,$A275)),""),"")</f>
        <v/>
      </c>
      <c r="F275" s="24" t="str">
        <f aca="false">IFERROR(forecast.ets($A275,$B$200:$B$287,$A$200:$A$287,4,1,1),"")</f>
        <v/>
      </c>
      <c r="G275" s="24" t="str">
        <f aca="false">IFERROR(F275-forecast.ets.confint($A275,$B$200:$B$287,$A$200:$A$287,0.95,4,1,1),"")</f>
        <v/>
      </c>
      <c r="H275" s="24" t="str">
        <f aca="false">IFERROR(F275+forecast.ets.confint($A275,$B$200:$B$287,$A$200:$A$287,0.95,4,1,1),"")</f>
        <v/>
      </c>
    </row>
    <row r="276" customFormat="false" ht="15" hidden="false" customHeight="false" outlineLevel="0" collapsed="false">
      <c r="A276" s="16" t="n">
        <v>46388</v>
      </c>
      <c r="B276" s="17" t="str">
        <f aca="false">IFERROR(haverdata(Codes!$D$13,$A276),"")</f>
        <v/>
      </c>
      <c r="C276" s="18" t="str">
        <f aca="false">IFERROR(B276/B275-1,"")</f>
        <v/>
      </c>
      <c r="D276" s="18" t="str">
        <f aca="false">IFERROR(B276/B272-1,"")</f>
        <v/>
      </c>
      <c r="E276" s="19" t="str">
        <f aca="false">IFERROR(IF(B276="",IFERROR(GROWTH($B$200:$B$287,$A$200:$A$287,$A276),TREND($B$200:$B$287,$A$200:$A$287,$A276)),""),"")</f>
        <v/>
      </c>
      <c r="F276" s="19" t="str">
        <f aca="false">IFERROR(forecast.ets($A276,$B$200:$B$287,$A$200:$A$287,4,1,1),"")</f>
        <v/>
      </c>
      <c r="G276" s="19" t="str">
        <f aca="false">IFERROR(F276-forecast.ets.confint($A276,$B$200:$B$287,$A$200:$A$287,0.95,4,1,1),"")</f>
        <v/>
      </c>
      <c r="H276" s="19" t="str">
        <f aca="false">IFERROR(F276+forecast.ets.confint($A276,$B$200:$B$287,$A$200:$A$287,0.95,4,1,1),"")</f>
        <v/>
      </c>
    </row>
    <row r="277" customFormat="false" ht="15" hidden="false" customHeight="false" outlineLevel="0" collapsed="false">
      <c r="A277" s="21" t="n">
        <v>46478</v>
      </c>
      <c r="B277" s="22" t="str">
        <f aca="false">IFERROR(haverdata(Codes!$D$13,$A277),"")</f>
        <v/>
      </c>
      <c r="C277" s="23" t="str">
        <f aca="false">IFERROR(B277/B276-1,"")</f>
        <v/>
      </c>
      <c r="D277" s="23" t="str">
        <f aca="false">IFERROR(B277/B273-1,"")</f>
        <v/>
      </c>
      <c r="E277" s="24" t="str">
        <f aca="false">IFERROR(IF(B277="",IFERROR(GROWTH($B$200:$B$287,$A$200:$A$287,$A277),TREND($B$200:$B$287,$A$200:$A$287,$A277)),""),"")</f>
        <v/>
      </c>
      <c r="F277" s="24" t="str">
        <f aca="false">IFERROR(forecast.ets($A277,$B$200:$B$287,$A$200:$A$287,4,1,1),"")</f>
        <v/>
      </c>
      <c r="G277" s="24" t="str">
        <f aca="false">IFERROR(F277-forecast.ets.confint($A277,$B$200:$B$287,$A$200:$A$287,0.95,4,1,1),"")</f>
        <v/>
      </c>
      <c r="H277" s="24" t="str">
        <f aca="false">IFERROR(F277+forecast.ets.confint($A277,$B$200:$B$287,$A$200:$A$287,0.95,4,1,1),"")</f>
        <v/>
      </c>
    </row>
    <row r="278" customFormat="false" ht="15" hidden="false" customHeight="false" outlineLevel="0" collapsed="false">
      <c r="A278" s="16" t="n">
        <v>46569</v>
      </c>
      <c r="B278" s="17" t="str">
        <f aca="false">IFERROR(haverdata(Codes!$D$13,$A278),"")</f>
        <v/>
      </c>
      <c r="C278" s="18" t="str">
        <f aca="false">IFERROR(B278/B277-1,"")</f>
        <v/>
      </c>
      <c r="D278" s="18" t="str">
        <f aca="false">IFERROR(B278/B274-1,"")</f>
        <v/>
      </c>
      <c r="E278" s="19" t="str">
        <f aca="false">IFERROR(IF(B278="",IFERROR(GROWTH($B$200:$B$287,$A$200:$A$287,$A278),TREND($B$200:$B$287,$A$200:$A$287,$A278)),""),"")</f>
        <v/>
      </c>
      <c r="F278" s="19" t="str">
        <f aca="false">IFERROR(forecast.ets($A278,$B$200:$B$287,$A$200:$A$287,4,1,1),"")</f>
        <v/>
      </c>
      <c r="G278" s="19" t="str">
        <f aca="false">IFERROR(F278-forecast.ets.confint($A278,$B$200:$B$287,$A$200:$A$287,0.95,4,1,1),"")</f>
        <v/>
      </c>
      <c r="H278" s="19" t="str">
        <f aca="false">IFERROR(F278+forecast.ets.confint($A278,$B$200:$B$287,$A$200:$A$287,0.95,4,1,1),"")</f>
        <v/>
      </c>
    </row>
    <row r="279" customFormat="false" ht="15" hidden="false" customHeight="false" outlineLevel="0" collapsed="false">
      <c r="A279" s="21" t="n">
        <v>46661</v>
      </c>
      <c r="B279" s="22" t="str">
        <f aca="false">IFERROR(haverdata(Codes!$D$13,$A279),"")</f>
        <v/>
      </c>
      <c r="C279" s="23" t="str">
        <f aca="false">IFERROR(B279/B278-1,"")</f>
        <v/>
      </c>
      <c r="D279" s="23" t="str">
        <f aca="false">IFERROR(B279/B275-1,"")</f>
        <v/>
      </c>
      <c r="E279" s="24" t="str">
        <f aca="false">IFERROR(IF(B279="",IFERROR(GROWTH($B$200:$B$287,$A$200:$A$287,$A279),TREND($B$200:$B$287,$A$200:$A$287,$A279)),""),"")</f>
        <v/>
      </c>
      <c r="F279" s="24" t="str">
        <f aca="false">IFERROR(forecast.ets($A279,$B$200:$B$287,$A$200:$A$287,4,1,1),"")</f>
        <v/>
      </c>
      <c r="G279" s="24" t="str">
        <f aca="false">IFERROR(F279-forecast.ets.confint($A279,$B$200:$B$287,$A$200:$A$287,0.95,4,1,1),"")</f>
        <v/>
      </c>
      <c r="H279" s="24" t="str">
        <f aca="false">IFERROR(F279+forecast.ets.confint($A279,$B$200:$B$287,$A$200:$A$287,0.95,4,1,1),"")</f>
        <v/>
      </c>
    </row>
    <row r="280" customFormat="false" ht="15" hidden="false" customHeight="false" outlineLevel="0" collapsed="false">
      <c r="A280" s="16" t="n">
        <v>46753</v>
      </c>
      <c r="B280" s="17" t="str">
        <f aca="false">IFERROR(haverdata(Codes!$D$13,$A280),"")</f>
        <v/>
      </c>
      <c r="C280" s="18" t="str">
        <f aca="false">IFERROR(B280/B279-1,"")</f>
        <v/>
      </c>
      <c r="D280" s="18" t="str">
        <f aca="false">IFERROR(B280/B276-1,"")</f>
        <v/>
      </c>
      <c r="E280" s="19" t="str">
        <f aca="false">IFERROR(IF(B280="",IFERROR(GROWTH($B$200:$B$287,$A$200:$A$287,$A280),TREND($B$200:$B$287,$A$200:$A$287,$A280)),""),"")</f>
        <v/>
      </c>
      <c r="F280" s="19" t="str">
        <f aca="false">IFERROR(forecast.ets($A280,$B$200:$B$287,$A$200:$A$287,4,1,1),"")</f>
        <v/>
      </c>
      <c r="G280" s="19" t="str">
        <f aca="false">IFERROR(F280-forecast.ets.confint($A280,$B$200:$B$287,$A$200:$A$287,0.95,4,1,1),"")</f>
        <v/>
      </c>
      <c r="H280" s="19" t="str">
        <f aca="false">IFERROR(F280+forecast.ets.confint($A280,$B$200:$B$287,$A$200:$A$287,0.95,4,1,1),"")</f>
        <v/>
      </c>
    </row>
    <row r="281" customFormat="false" ht="15" hidden="false" customHeight="false" outlineLevel="0" collapsed="false">
      <c r="A281" s="21" t="n">
        <v>46844</v>
      </c>
      <c r="B281" s="22" t="str">
        <f aca="false">IFERROR(haverdata(Codes!$D$13,$A281),"")</f>
        <v/>
      </c>
      <c r="C281" s="23" t="str">
        <f aca="false">IFERROR(B281/B280-1,"")</f>
        <v/>
      </c>
      <c r="D281" s="23" t="str">
        <f aca="false">IFERROR(B281/B277-1,"")</f>
        <v/>
      </c>
      <c r="E281" s="24" t="str">
        <f aca="false">IFERROR(IF(B281="",IFERROR(GROWTH($B$200:$B$287,$A$200:$A$287,$A281),TREND($B$200:$B$287,$A$200:$A$287,$A281)),""),"")</f>
        <v/>
      </c>
      <c r="F281" s="24" t="str">
        <f aca="false">IFERROR(forecast.ets($A281,$B$200:$B$287,$A$200:$A$287,4,1,1),"")</f>
        <v/>
      </c>
      <c r="G281" s="24" t="str">
        <f aca="false">IFERROR(F281-forecast.ets.confint($A281,$B$200:$B$287,$A$200:$A$287,0.95,4,1,1),"")</f>
        <v/>
      </c>
      <c r="H281" s="24" t="str">
        <f aca="false">IFERROR(F281+forecast.ets.confint($A281,$B$200:$B$287,$A$200:$A$287,0.95,4,1,1),"")</f>
        <v/>
      </c>
    </row>
    <row r="282" customFormat="false" ht="15" hidden="false" customHeight="false" outlineLevel="0" collapsed="false">
      <c r="A282" s="16" t="n">
        <v>46935</v>
      </c>
      <c r="B282" s="17" t="str">
        <f aca="false">IFERROR(haverdata(Codes!$D$13,$A282),"")</f>
        <v/>
      </c>
      <c r="C282" s="18" t="str">
        <f aca="false">IFERROR(B282/B281-1,"")</f>
        <v/>
      </c>
      <c r="D282" s="18" t="str">
        <f aca="false">IFERROR(B282/B278-1,"")</f>
        <v/>
      </c>
      <c r="E282" s="19" t="str">
        <f aca="false">IFERROR(IF(B282="",IFERROR(GROWTH($B$200:$B$287,$A$200:$A$287,$A282),TREND($B$200:$B$287,$A$200:$A$287,$A282)),""),"")</f>
        <v/>
      </c>
      <c r="F282" s="19" t="str">
        <f aca="false">IFERROR(forecast.ets($A282,$B$200:$B$287,$A$200:$A$287,4,1,1),"")</f>
        <v/>
      </c>
      <c r="G282" s="19" t="str">
        <f aca="false">IFERROR(F282-forecast.ets.confint($A282,$B$200:$B$287,$A$200:$A$287,0.95,4,1,1),"")</f>
        <v/>
      </c>
      <c r="H282" s="19" t="str">
        <f aca="false">IFERROR(F282+forecast.ets.confint($A282,$B$200:$B$287,$A$200:$A$287,0.95,4,1,1),"")</f>
        <v/>
      </c>
    </row>
    <row r="283" customFormat="false" ht="15" hidden="false" customHeight="false" outlineLevel="0" collapsed="false">
      <c r="A283" s="21" t="n">
        <v>47027</v>
      </c>
      <c r="B283" s="22" t="str">
        <f aca="false">IFERROR(haverdata(Codes!$D$13,$A283),"")</f>
        <v/>
      </c>
      <c r="C283" s="23" t="str">
        <f aca="false">IFERROR(B283/B282-1,"")</f>
        <v/>
      </c>
      <c r="D283" s="23" t="str">
        <f aca="false">IFERROR(B283/B279-1,"")</f>
        <v/>
      </c>
      <c r="E283" s="24" t="str">
        <f aca="false">IFERROR(IF(B283="",IFERROR(GROWTH($B$200:$B$287,$A$200:$A$287,$A283),TREND($B$200:$B$287,$A$200:$A$287,$A283)),""),"")</f>
        <v/>
      </c>
      <c r="F283" s="24" t="str">
        <f aca="false">IFERROR(forecast.ets($A283,$B$200:$B$287,$A$200:$A$287,4,1,1),"")</f>
        <v/>
      </c>
      <c r="G283" s="24" t="str">
        <f aca="false">IFERROR(F283-forecast.ets.confint($A283,$B$200:$B$287,$A$200:$A$287,0.95,4,1,1),"")</f>
        <v/>
      </c>
      <c r="H283" s="24" t="str">
        <f aca="false">IFERROR(F283+forecast.ets.confint($A283,$B$200:$B$287,$A$200:$A$287,0.95,4,1,1),"")</f>
        <v/>
      </c>
    </row>
    <row r="284" customFormat="false" ht="15" hidden="false" customHeight="false" outlineLevel="0" collapsed="false">
      <c r="A284" s="16" t="n">
        <v>47119</v>
      </c>
      <c r="B284" s="17" t="str">
        <f aca="false">IFERROR(haverdata(Codes!$D$13,$A284),"")</f>
        <v/>
      </c>
      <c r="C284" s="18" t="str">
        <f aca="false">IFERROR(B284/B283-1,"")</f>
        <v/>
      </c>
      <c r="D284" s="18" t="str">
        <f aca="false">IFERROR(B284/B280-1,"")</f>
        <v/>
      </c>
      <c r="E284" s="19" t="str">
        <f aca="false">IFERROR(IF(B284="",IFERROR(GROWTH($B$200:$B$287,$A$200:$A$287,$A284),TREND($B$200:$B$287,$A$200:$A$287,$A284)),""),"")</f>
        <v/>
      </c>
      <c r="F284" s="19" t="str">
        <f aca="false">IFERROR(forecast.ets($A284,$B$200:$B$287,$A$200:$A$287,4,1,1),"")</f>
        <v/>
      </c>
      <c r="G284" s="19" t="str">
        <f aca="false">IFERROR(F284-forecast.ets.confint($A284,$B$200:$B$287,$A$200:$A$287,0.95,4,1,1),"")</f>
        <v/>
      </c>
      <c r="H284" s="19" t="str">
        <f aca="false">IFERROR(F284+forecast.ets.confint($A284,$B$200:$B$287,$A$200:$A$287,0.95,4,1,1),"")</f>
        <v/>
      </c>
    </row>
    <row r="285" customFormat="false" ht="15" hidden="false" customHeight="false" outlineLevel="0" collapsed="false">
      <c r="A285" s="21" t="n">
        <v>47209</v>
      </c>
      <c r="B285" s="22" t="str">
        <f aca="false">IFERROR(haverdata(Codes!$D$13,$A285),"")</f>
        <v/>
      </c>
      <c r="C285" s="23" t="str">
        <f aca="false">IFERROR(B285/B284-1,"")</f>
        <v/>
      </c>
      <c r="D285" s="23" t="str">
        <f aca="false">IFERROR(B285/B281-1,"")</f>
        <v/>
      </c>
      <c r="E285" s="24" t="str">
        <f aca="false">IFERROR(IF(B285="",IFERROR(GROWTH($B$200:$B$287,$A$200:$A$287,$A285),TREND($B$200:$B$287,$A$200:$A$287,$A285)),""),"")</f>
        <v/>
      </c>
      <c r="F285" s="24" t="str">
        <f aca="false">IFERROR(forecast.ets($A285,$B$200:$B$287,$A$200:$A$287,4,1,1),"")</f>
        <v/>
      </c>
      <c r="G285" s="24" t="str">
        <f aca="false">IFERROR(F285-forecast.ets.confint($A285,$B$200:$B$287,$A$200:$A$287,0.95,4,1,1),"")</f>
        <v/>
      </c>
      <c r="H285" s="24" t="str">
        <f aca="false">IFERROR(F285+forecast.ets.confint($A285,$B$200:$B$287,$A$200:$A$287,0.95,4,1,1),"")</f>
        <v/>
      </c>
    </row>
    <row r="286" customFormat="false" ht="15" hidden="false" customHeight="false" outlineLevel="0" collapsed="false">
      <c r="A286" s="16" t="n">
        <v>47300</v>
      </c>
      <c r="B286" s="17" t="str">
        <f aca="false">IFERROR(haverdata(Codes!$D$13,$A286),"")</f>
        <v/>
      </c>
      <c r="C286" s="18" t="str">
        <f aca="false">IFERROR(B286/B285-1,"")</f>
        <v/>
      </c>
      <c r="D286" s="18" t="str">
        <f aca="false">IFERROR(B286/B282-1,"")</f>
        <v/>
      </c>
      <c r="E286" s="19" t="str">
        <f aca="false">IFERROR(IF(B286="",IFERROR(GROWTH($B$200:$B$287,$A$200:$A$287,$A286),TREND($B$200:$B$287,$A$200:$A$287,$A286)),""),"")</f>
        <v/>
      </c>
      <c r="F286" s="19" t="str">
        <f aca="false">IFERROR(forecast.ets($A286,$B$200:$B$287,$A$200:$A$287,4,1,1),"")</f>
        <v/>
      </c>
      <c r="G286" s="19" t="str">
        <f aca="false">IFERROR(F286-forecast.ets.confint($A286,$B$200:$B$287,$A$200:$A$287,0.95,4,1,1),"")</f>
        <v/>
      </c>
      <c r="H286" s="19" t="str">
        <f aca="false">IFERROR(F286+forecast.ets.confint($A286,$B$200:$B$287,$A$200:$A$287,0.95,4,1,1),"")</f>
        <v/>
      </c>
    </row>
    <row r="287" customFormat="false" ht="15" hidden="false" customHeight="false" outlineLevel="0" collapsed="false">
      <c r="A287" s="21" t="n">
        <v>47392</v>
      </c>
      <c r="B287" s="22" t="str">
        <f aca="false">IFERROR(haverdata(Codes!$D$13,$A287),"")</f>
        <v/>
      </c>
      <c r="C287" s="23" t="str">
        <f aca="false">IFERROR(B287/B286-1,"")</f>
        <v/>
      </c>
      <c r="D287" s="23" t="str">
        <f aca="false">IFERROR(B287/B283-1,"")</f>
        <v/>
      </c>
      <c r="E287" s="24" t="str">
        <f aca="false">IFERROR(IF(B287="",IFERROR(GROWTH($B$200:$B$287,$A$200:$A$287,$A287),TREND($B$200:$B$287,$A$200:$A$287,$A287)),""),"")</f>
        <v/>
      </c>
      <c r="F287" s="24" t="str">
        <f aca="false">IFERROR(forecast.ets($A287,$B$200:$B$287,$A$200:$A$287,4,1,1),"")</f>
        <v/>
      </c>
      <c r="G287" s="24" t="str">
        <f aca="false">IFERROR(F287-forecast.ets.confint($A287,$B$200:$B$287,$A$200:$A$287,0.95,4,1,1),"")</f>
        <v/>
      </c>
      <c r="H287" s="24" t="str">
        <f aca="false">IFERROR(F287+forecast.ets.confint($A287,$B$200:$B$287,$A$200:$A$287,0.95,4,1,1),"")</f>
        <v/>
      </c>
    </row>
  </sheetData>
  <mergeCells count="13">
    <mergeCell ref="A2:O2"/>
    <mergeCell ref="A4:M4"/>
    <mergeCell ref="E5:M5"/>
    <mergeCell ref="A6:H6"/>
    <mergeCell ref="J6:M6"/>
    <mergeCell ref="A100:M100"/>
    <mergeCell ref="E101:M101"/>
    <mergeCell ref="A102:H102"/>
    <mergeCell ref="J102:M102"/>
    <mergeCell ref="A196:M196"/>
    <mergeCell ref="E197:M197"/>
    <mergeCell ref="A198:H198"/>
    <mergeCell ref="J198:M1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8" min="5" style="0" width="12"/>
    <col collapsed="false" customWidth="true" hidden="false" outlineLevel="0" max="9" min="9" style="0" width="2"/>
    <col collapsed="false" customWidth="true" hidden="false" outlineLevel="0" max="10" min="10" style="0" width="7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"/>
  </cols>
  <sheetData>
    <row r="1" customFormat="false" ht="22.0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6" t="s">
        <v>106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customFormat="false" ht="21.75" hidden="false" customHeight="true" outlineLevel="0" collapsed="false">
      <c r="A4" s="13" t="str">
        <f aca="false">Codes!$B$14&amp;"   ["&amp;Codes!$D$14&amp;"]   "&amp;Codes!$F$14</f>
        <v>Current Account Balance   [S213NCABA@LATAM]   USD Mn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customFormat="false" ht="15" hidden="false" customHeight="false" outlineLevel="0" collapsed="false">
      <c r="A5" s="4" t="s">
        <v>107</v>
      </c>
      <c r="B5" s="14" t="str">
        <f aca="false">Codes!$G$14</f>
        <v>sum</v>
      </c>
      <c r="D5" s="4" t="s">
        <v>108</v>
      </c>
      <c r="E5" s="6" t="str">
        <f aca="false">Codes!$H$14</f>
        <v>INDEC / BCRA. [VERIFY]</v>
      </c>
      <c r="F5" s="6"/>
      <c r="G5" s="6"/>
      <c r="H5" s="6"/>
      <c r="I5" s="6"/>
      <c r="J5" s="6"/>
      <c r="K5" s="6"/>
      <c r="L5" s="6"/>
      <c r="M5" s="6"/>
    </row>
    <row r="6" customFormat="false" ht="18" hidden="false" customHeight="true" outlineLevel="0" collapsed="false">
      <c r="A6" s="15" t="s">
        <v>109</v>
      </c>
      <c r="B6" s="15"/>
      <c r="C6" s="15"/>
      <c r="D6" s="15"/>
      <c r="E6" s="15"/>
      <c r="F6" s="15"/>
      <c r="G6" s="15"/>
      <c r="H6" s="15"/>
      <c r="J6" s="15" t="s">
        <v>110</v>
      </c>
      <c r="K6" s="15"/>
      <c r="L6" s="15"/>
      <c r="M6" s="15"/>
    </row>
    <row r="7" customFormat="false" ht="15" hidden="false" customHeight="false" outlineLevel="0" collapsed="false">
      <c r="A7" s="7" t="s">
        <v>111</v>
      </c>
      <c r="B7" s="7" t="s">
        <v>112</v>
      </c>
      <c r="C7" s="7" t="s">
        <v>113</v>
      </c>
      <c r="D7" s="7" t="s">
        <v>114</v>
      </c>
      <c r="E7" s="7" t="s">
        <v>115</v>
      </c>
      <c r="F7" s="7" t="s">
        <v>116</v>
      </c>
      <c r="G7" s="7" t="s">
        <v>117</v>
      </c>
      <c r="H7" s="7" t="s">
        <v>118</v>
      </c>
      <c r="J7" s="7" t="s">
        <v>119</v>
      </c>
      <c r="K7" s="7" t="s">
        <v>112</v>
      </c>
      <c r="L7" s="7" t="s">
        <v>114</v>
      </c>
      <c r="M7" s="7" t="s">
        <v>120</v>
      </c>
    </row>
    <row r="8" customFormat="false" ht="15" hidden="false" customHeight="false" outlineLevel="0" collapsed="false">
      <c r="A8" s="16" t="n">
        <v>39448</v>
      </c>
      <c r="B8" s="17" t="str">
        <f aca="false">IFERROR(haverdata(Codes!$D$14,$A8),"")</f>
        <v/>
      </c>
      <c r="C8" s="18"/>
      <c r="D8" s="18"/>
      <c r="E8" s="19" t="str">
        <f aca="false">IFERROR(IF(B8="",IFERROR(GROWTH($B$8:$B$95,$A$8:$A$95,$A8),TREND($B$8:$B$95,$A$8:$A$95,$A8)),""),"")</f>
        <v/>
      </c>
      <c r="F8" s="19" t="str">
        <f aca="false">IFERROR(forecast.ets($A8,$B$8:$B$95,$A$8:$A$95,4,1,1),"")</f>
        <v/>
      </c>
      <c r="G8" s="19" t="str">
        <f aca="false">IFERROR(F8-forecast.ets.confint($A8,$B$8:$B$95,$A$8:$A$95,0.95,4,1,1),"")</f>
        <v/>
      </c>
      <c r="H8" s="19" t="str">
        <f aca="false">IFERROR(F8+forecast.ets.confint($A8,$B$8:$B$95,$A$8:$A$95,0.95,4,1,1),"")</f>
        <v/>
      </c>
      <c r="J8" s="20" t="n">
        <v>2008</v>
      </c>
      <c r="K8" s="19" t="n">
        <f aca="false">IFERROR(SUMIFS($B$8:$B$95,$A$8:$A$95,"&gt;="&amp;DATE(J8,1,1),$A$8:$A$95,"&lt;="&amp;DATE(J8,12,31)),"")</f>
        <v>0</v>
      </c>
      <c r="L8" s="18"/>
      <c r="M8" s="19" t="n">
        <f aca="false">IFERROR(SUMIFS($F$8:$F$95,$A$8:$A$95,"&gt;="&amp;DATE(J8,1,1),$A$8:$A$95,"&lt;="&amp;DATE(J8,12,31)),"")</f>
        <v>0</v>
      </c>
    </row>
    <row r="9" customFormat="false" ht="15" hidden="false" customHeight="false" outlineLevel="0" collapsed="false">
      <c r="A9" s="21" t="n">
        <v>39539</v>
      </c>
      <c r="B9" s="22" t="str">
        <f aca="false">IFERROR(haverdata(Codes!$D$14,$A9),"")</f>
        <v/>
      </c>
      <c r="C9" s="23" t="str">
        <f aca="false">IFERROR(B9/B8-1,"")</f>
        <v/>
      </c>
      <c r="D9" s="23"/>
      <c r="E9" s="24" t="str">
        <f aca="false">IFERROR(IF(B9="",IFERROR(GROWTH($B$8:$B$95,$A$8:$A$95,$A9),TREND($B$8:$B$95,$A$8:$A$95,$A9)),""),"")</f>
        <v/>
      </c>
      <c r="F9" s="24" t="str">
        <f aca="false">IFERROR(forecast.ets($A9,$B$8:$B$95,$A$8:$A$95,4,1,1),"")</f>
        <v/>
      </c>
      <c r="G9" s="24" t="str">
        <f aca="false">IFERROR(F9-forecast.ets.confint($A9,$B$8:$B$95,$A$8:$A$95,0.95,4,1,1),"")</f>
        <v/>
      </c>
      <c r="H9" s="24" t="str">
        <f aca="false">IFERROR(F9+forecast.ets.confint($A9,$B$8:$B$95,$A$8:$A$95,0.95,4,1,1),"")</f>
        <v/>
      </c>
      <c r="J9" s="25" t="n">
        <v>2009</v>
      </c>
      <c r="K9" s="24" t="n">
        <f aca="false">IFERROR(SUMIFS($B$8:$B$95,$A$8:$A$95,"&gt;="&amp;DATE(J9,1,1),$A$8:$A$95,"&lt;="&amp;DATE(J9,12,31)),"")</f>
        <v>0</v>
      </c>
      <c r="L9" s="23" t="str">
        <f aca="false">IFERROR(K9/K8-1,"")</f>
        <v/>
      </c>
      <c r="M9" s="24" t="n">
        <f aca="false">IFERROR(SUMIFS($F$8:$F$95,$A$8:$A$95,"&gt;="&amp;DATE(J9,1,1),$A$8:$A$95,"&lt;="&amp;DATE(J9,12,31)),"")</f>
        <v>0</v>
      </c>
    </row>
    <row r="10" customFormat="false" ht="15" hidden="false" customHeight="false" outlineLevel="0" collapsed="false">
      <c r="A10" s="16" t="n">
        <v>39630</v>
      </c>
      <c r="B10" s="17" t="str">
        <f aca="false">IFERROR(haverdata(Codes!$D$14,$A10),"")</f>
        <v/>
      </c>
      <c r="C10" s="18" t="str">
        <f aca="false">IFERROR(B10/B9-1,"")</f>
        <v/>
      </c>
      <c r="D10" s="18"/>
      <c r="E10" s="19" t="str">
        <f aca="false">IFERROR(IF(B10="",IFERROR(GROWTH($B$8:$B$95,$A$8:$A$95,$A10),TREND($B$8:$B$95,$A$8:$A$95,$A10)),""),"")</f>
        <v/>
      </c>
      <c r="F10" s="19" t="str">
        <f aca="false">IFERROR(forecast.ets($A10,$B$8:$B$95,$A$8:$A$95,4,1,1),"")</f>
        <v/>
      </c>
      <c r="G10" s="19" t="str">
        <f aca="false">IFERROR(F10-forecast.ets.confint($A10,$B$8:$B$95,$A$8:$A$95,0.95,4,1,1),"")</f>
        <v/>
      </c>
      <c r="H10" s="19" t="str">
        <f aca="false">IFERROR(F10+forecast.ets.confint($A10,$B$8:$B$95,$A$8:$A$95,0.95,4,1,1),"")</f>
        <v/>
      </c>
      <c r="J10" s="20" t="n">
        <v>2010</v>
      </c>
      <c r="K10" s="19" t="n">
        <f aca="false">IFERROR(SUMIFS($B$8:$B$95,$A$8:$A$95,"&gt;="&amp;DATE(J10,1,1),$A$8:$A$95,"&lt;="&amp;DATE(J10,12,31)),"")</f>
        <v>0</v>
      </c>
      <c r="L10" s="18" t="str">
        <f aca="false">IFERROR(K10/K9-1,"")</f>
        <v/>
      </c>
      <c r="M10" s="19" t="n">
        <f aca="false">IFERROR(SUMIFS($F$8:$F$95,$A$8:$A$95,"&gt;="&amp;DATE(J10,1,1),$A$8:$A$95,"&lt;="&amp;DATE(J10,12,31)),"")</f>
        <v>0</v>
      </c>
    </row>
    <row r="11" customFormat="false" ht="15" hidden="false" customHeight="false" outlineLevel="0" collapsed="false">
      <c r="A11" s="21" t="n">
        <v>39722</v>
      </c>
      <c r="B11" s="22" t="str">
        <f aca="false">IFERROR(haverdata(Codes!$D$14,$A11),"")</f>
        <v/>
      </c>
      <c r="C11" s="23" t="str">
        <f aca="false">IFERROR(B11/B10-1,"")</f>
        <v/>
      </c>
      <c r="D11" s="23"/>
      <c r="E11" s="24" t="str">
        <f aca="false">IFERROR(IF(B11="",IFERROR(GROWTH($B$8:$B$95,$A$8:$A$95,$A11),TREND($B$8:$B$95,$A$8:$A$95,$A11)),""),"")</f>
        <v/>
      </c>
      <c r="F11" s="24" t="str">
        <f aca="false">IFERROR(forecast.ets($A11,$B$8:$B$95,$A$8:$A$95,4,1,1),"")</f>
        <v/>
      </c>
      <c r="G11" s="24" t="str">
        <f aca="false">IFERROR(F11-forecast.ets.confint($A11,$B$8:$B$95,$A$8:$A$95,0.95,4,1,1),"")</f>
        <v/>
      </c>
      <c r="H11" s="24" t="str">
        <f aca="false">IFERROR(F11+forecast.ets.confint($A11,$B$8:$B$95,$A$8:$A$95,0.95,4,1,1),"")</f>
        <v/>
      </c>
      <c r="J11" s="25" t="n">
        <v>2011</v>
      </c>
      <c r="K11" s="24" t="n">
        <f aca="false">IFERROR(SUMIFS($B$8:$B$95,$A$8:$A$95,"&gt;="&amp;DATE(J11,1,1),$A$8:$A$95,"&lt;="&amp;DATE(J11,12,31)),"")</f>
        <v>0</v>
      </c>
      <c r="L11" s="23" t="str">
        <f aca="false">IFERROR(K11/K10-1,"")</f>
        <v/>
      </c>
      <c r="M11" s="24" t="n">
        <f aca="false">IFERROR(SUMIFS($F$8:$F$95,$A$8:$A$95,"&gt;="&amp;DATE(J11,1,1),$A$8:$A$95,"&lt;="&amp;DATE(J11,12,31)),"")</f>
        <v>0</v>
      </c>
    </row>
    <row r="12" customFormat="false" ht="15" hidden="false" customHeight="false" outlineLevel="0" collapsed="false">
      <c r="A12" s="16" t="n">
        <v>39814</v>
      </c>
      <c r="B12" s="17" t="str">
        <f aca="false">IFERROR(haverdata(Codes!$D$14,$A12),"")</f>
        <v/>
      </c>
      <c r="C12" s="18" t="str">
        <f aca="false">IFERROR(B12/B11-1,"")</f>
        <v/>
      </c>
      <c r="D12" s="18" t="str">
        <f aca="false">IFERROR(B12/B8-1,"")</f>
        <v/>
      </c>
      <c r="E12" s="19" t="str">
        <f aca="false">IFERROR(IF(B12="",IFERROR(GROWTH($B$8:$B$95,$A$8:$A$95,$A12),TREND($B$8:$B$95,$A$8:$A$95,$A12)),""),"")</f>
        <v/>
      </c>
      <c r="F12" s="19" t="str">
        <f aca="false">IFERROR(forecast.ets($A12,$B$8:$B$95,$A$8:$A$95,4,1,1),"")</f>
        <v/>
      </c>
      <c r="G12" s="19" t="str">
        <f aca="false">IFERROR(F12-forecast.ets.confint($A12,$B$8:$B$95,$A$8:$A$95,0.95,4,1,1),"")</f>
        <v/>
      </c>
      <c r="H12" s="19" t="str">
        <f aca="false">IFERROR(F12+forecast.ets.confint($A12,$B$8:$B$95,$A$8:$A$95,0.95,4,1,1),"")</f>
        <v/>
      </c>
      <c r="J12" s="20" t="n">
        <v>2012</v>
      </c>
      <c r="K12" s="19" t="n">
        <f aca="false">IFERROR(SUMIFS($B$8:$B$95,$A$8:$A$95,"&gt;="&amp;DATE(J12,1,1),$A$8:$A$95,"&lt;="&amp;DATE(J12,12,31)),"")</f>
        <v>0</v>
      </c>
      <c r="L12" s="18" t="str">
        <f aca="false">IFERROR(K12/K11-1,"")</f>
        <v/>
      </c>
      <c r="M12" s="19" t="n">
        <f aca="false">IFERROR(SUMIFS($F$8:$F$95,$A$8:$A$95,"&gt;="&amp;DATE(J12,1,1),$A$8:$A$95,"&lt;="&amp;DATE(J12,12,31)),"")</f>
        <v>0</v>
      </c>
    </row>
    <row r="13" customFormat="false" ht="15" hidden="false" customHeight="false" outlineLevel="0" collapsed="false">
      <c r="A13" s="21" t="n">
        <v>39904</v>
      </c>
      <c r="B13" s="22" t="str">
        <f aca="false">IFERROR(haverdata(Codes!$D$14,$A13),"")</f>
        <v/>
      </c>
      <c r="C13" s="23" t="str">
        <f aca="false">IFERROR(B13/B12-1,"")</f>
        <v/>
      </c>
      <c r="D13" s="23" t="str">
        <f aca="false">IFERROR(B13/B9-1,"")</f>
        <v/>
      </c>
      <c r="E13" s="24" t="str">
        <f aca="false">IFERROR(IF(B13="",IFERROR(GROWTH($B$8:$B$95,$A$8:$A$95,$A13),TREND($B$8:$B$95,$A$8:$A$95,$A13)),""),"")</f>
        <v/>
      </c>
      <c r="F13" s="24" t="str">
        <f aca="false">IFERROR(forecast.ets($A13,$B$8:$B$95,$A$8:$A$95,4,1,1),"")</f>
        <v/>
      </c>
      <c r="G13" s="24" t="str">
        <f aca="false">IFERROR(F13-forecast.ets.confint($A13,$B$8:$B$95,$A$8:$A$95,0.95,4,1,1),"")</f>
        <v/>
      </c>
      <c r="H13" s="24" t="str">
        <f aca="false">IFERROR(F13+forecast.ets.confint($A13,$B$8:$B$95,$A$8:$A$95,0.95,4,1,1),"")</f>
        <v/>
      </c>
      <c r="J13" s="25" t="n">
        <v>2013</v>
      </c>
      <c r="K13" s="24" t="n">
        <f aca="false">IFERROR(SUMIFS($B$8:$B$95,$A$8:$A$95,"&gt;="&amp;DATE(J13,1,1),$A$8:$A$95,"&lt;="&amp;DATE(J13,12,31)),"")</f>
        <v>0</v>
      </c>
      <c r="L13" s="23" t="str">
        <f aca="false">IFERROR(K13/K12-1,"")</f>
        <v/>
      </c>
      <c r="M13" s="24" t="n">
        <f aca="false">IFERROR(SUMIFS($F$8:$F$95,$A$8:$A$95,"&gt;="&amp;DATE(J13,1,1),$A$8:$A$95,"&lt;="&amp;DATE(J13,12,31)),"")</f>
        <v>0</v>
      </c>
    </row>
    <row r="14" customFormat="false" ht="15" hidden="false" customHeight="false" outlineLevel="0" collapsed="false">
      <c r="A14" s="16" t="n">
        <v>39995</v>
      </c>
      <c r="B14" s="17" t="str">
        <f aca="false">IFERROR(haverdata(Codes!$D$14,$A14),"")</f>
        <v/>
      </c>
      <c r="C14" s="18" t="str">
        <f aca="false">IFERROR(B14/B13-1,"")</f>
        <v/>
      </c>
      <c r="D14" s="18" t="str">
        <f aca="false">IFERROR(B14/B10-1,"")</f>
        <v/>
      </c>
      <c r="E14" s="19" t="str">
        <f aca="false">IFERROR(IF(B14="",IFERROR(GROWTH($B$8:$B$95,$A$8:$A$95,$A14),TREND($B$8:$B$95,$A$8:$A$95,$A14)),""),"")</f>
        <v/>
      </c>
      <c r="F14" s="19" t="str">
        <f aca="false">IFERROR(forecast.ets($A14,$B$8:$B$95,$A$8:$A$95,4,1,1),"")</f>
        <v/>
      </c>
      <c r="G14" s="19" t="str">
        <f aca="false">IFERROR(F14-forecast.ets.confint($A14,$B$8:$B$95,$A$8:$A$95,0.95,4,1,1),"")</f>
        <v/>
      </c>
      <c r="H14" s="19" t="str">
        <f aca="false">IFERROR(F14+forecast.ets.confint($A14,$B$8:$B$95,$A$8:$A$95,0.95,4,1,1),"")</f>
        <v/>
      </c>
      <c r="J14" s="20" t="n">
        <v>2014</v>
      </c>
      <c r="K14" s="19" t="n">
        <f aca="false">IFERROR(SUMIFS($B$8:$B$95,$A$8:$A$95,"&gt;="&amp;DATE(J14,1,1),$A$8:$A$95,"&lt;="&amp;DATE(J14,12,31)),"")</f>
        <v>0</v>
      </c>
      <c r="L14" s="18" t="str">
        <f aca="false">IFERROR(K14/K13-1,"")</f>
        <v/>
      </c>
      <c r="M14" s="19" t="n">
        <f aca="false">IFERROR(SUMIFS($F$8:$F$95,$A$8:$A$95,"&gt;="&amp;DATE(J14,1,1),$A$8:$A$95,"&lt;="&amp;DATE(J14,12,31)),"")</f>
        <v>0</v>
      </c>
    </row>
    <row r="15" customFormat="false" ht="15" hidden="false" customHeight="false" outlineLevel="0" collapsed="false">
      <c r="A15" s="21" t="n">
        <v>40087</v>
      </c>
      <c r="B15" s="22" t="str">
        <f aca="false">IFERROR(haverdata(Codes!$D$14,$A15),"")</f>
        <v/>
      </c>
      <c r="C15" s="23" t="str">
        <f aca="false">IFERROR(B15/B14-1,"")</f>
        <v/>
      </c>
      <c r="D15" s="23" t="str">
        <f aca="false">IFERROR(B15/B11-1,"")</f>
        <v/>
      </c>
      <c r="E15" s="24" t="str">
        <f aca="false">IFERROR(IF(B15="",IFERROR(GROWTH($B$8:$B$95,$A$8:$A$95,$A15),TREND($B$8:$B$95,$A$8:$A$95,$A15)),""),"")</f>
        <v/>
      </c>
      <c r="F15" s="24" t="str">
        <f aca="false">IFERROR(forecast.ets($A15,$B$8:$B$95,$A$8:$A$95,4,1,1),"")</f>
        <v/>
      </c>
      <c r="G15" s="24" t="str">
        <f aca="false">IFERROR(F15-forecast.ets.confint($A15,$B$8:$B$95,$A$8:$A$95,0.95,4,1,1),"")</f>
        <v/>
      </c>
      <c r="H15" s="24" t="str">
        <f aca="false">IFERROR(F15+forecast.ets.confint($A15,$B$8:$B$95,$A$8:$A$95,0.95,4,1,1),"")</f>
        <v/>
      </c>
      <c r="J15" s="25" t="n">
        <v>2015</v>
      </c>
      <c r="K15" s="24" t="n">
        <f aca="false">IFERROR(SUMIFS($B$8:$B$95,$A$8:$A$95,"&gt;="&amp;DATE(J15,1,1),$A$8:$A$95,"&lt;="&amp;DATE(J15,12,31)),"")</f>
        <v>0</v>
      </c>
      <c r="L15" s="23" t="str">
        <f aca="false">IFERROR(K15/K14-1,"")</f>
        <v/>
      </c>
      <c r="M15" s="24" t="n">
        <f aca="false">IFERROR(SUMIFS($F$8:$F$95,$A$8:$A$95,"&gt;="&amp;DATE(J15,1,1),$A$8:$A$95,"&lt;="&amp;DATE(J15,12,31)),"")</f>
        <v>0</v>
      </c>
    </row>
    <row r="16" customFormat="false" ht="15" hidden="false" customHeight="false" outlineLevel="0" collapsed="false">
      <c r="A16" s="16" t="n">
        <v>40179</v>
      </c>
      <c r="B16" s="17" t="str">
        <f aca="false">IFERROR(haverdata(Codes!$D$14,$A16),"")</f>
        <v/>
      </c>
      <c r="C16" s="18" t="str">
        <f aca="false">IFERROR(B16/B15-1,"")</f>
        <v/>
      </c>
      <c r="D16" s="18" t="str">
        <f aca="false">IFERROR(B16/B12-1,"")</f>
        <v/>
      </c>
      <c r="E16" s="19" t="str">
        <f aca="false">IFERROR(IF(B16="",IFERROR(GROWTH($B$8:$B$95,$A$8:$A$95,$A16),TREND($B$8:$B$95,$A$8:$A$95,$A16)),""),"")</f>
        <v/>
      </c>
      <c r="F16" s="19" t="str">
        <f aca="false">IFERROR(forecast.ets($A16,$B$8:$B$95,$A$8:$A$95,4,1,1),"")</f>
        <v/>
      </c>
      <c r="G16" s="19" t="str">
        <f aca="false">IFERROR(F16-forecast.ets.confint($A16,$B$8:$B$95,$A$8:$A$95,0.95,4,1,1),"")</f>
        <v/>
      </c>
      <c r="H16" s="19" t="str">
        <f aca="false">IFERROR(F16+forecast.ets.confint($A16,$B$8:$B$95,$A$8:$A$95,0.95,4,1,1),"")</f>
        <v/>
      </c>
      <c r="J16" s="20" t="n">
        <v>2016</v>
      </c>
      <c r="K16" s="19" t="n">
        <f aca="false">IFERROR(SUMIFS($B$8:$B$95,$A$8:$A$95,"&gt;="&amp;DATE(J16,1,1),$A$8:$A$95,"&lt;="&amp;DATE(J16,12,31)),"")</f>
        <v>0</v>
      </c>
      <c r="L16" s="18" t="str">
        <f aca="false">IFERROR(K16/K15-1,"")</f>
        <v/>
      </c>
      <c r="M16" s="19" t="n">
        <f aca="false">IFERROR(SUMIFS($F$8:$F$95,$A$8:$A$95,"&gt;="&amp;DATE(J16,1,1),$A$8:$A$95,"&lt;="&amp;DATE(J16,12,31)),"")</f>
        <v>0</v>
      </c>
    </row>
    <row r="17" customFormat="false" ht="15" hidden="false" customHeight="false" outlineLevel="0" collapsed="false">
      <c r="A17" s="21" t="n">
        <v>40269</v>
      </c>
      <c r="B17" s="22" t="str">
        <f aca="false">IFERROR(haverdata(Codes!$D$14,$A17),"")</f>
        <v/>
      </c>
      <c r="C17" s="23" t="str">
        <f aca="false">IFERROR(B17/B16-1,"")</f>
        <v/>
      </c>
      <c r="D17" s="23" t="str">
        <f aca="false">IFERROR(B17/B13-1,"")</f>
        <v/>
      </c>
      <c r="E17" s="24" t="str">
        <f aca="false">IFERROR(IF(B17="",IFERROR(GROWTH($B$8:$B$95,$A$8:$A$95,$A17),TREND($B$8:$B$95,$A$8:$A$95,$A17)),""),"")</f>
        <v/>
      </c>
      <c r="F17" s="24" t="str">
        <f aca="false">IFERROR(forecast.ets($A17,$B$8:$B$95,$A$8:$A$95,4,1,1),"")</f>
        <v/>
      </c>
      <c r="G17" s="24" t="str">
        <f aca="false">IFERROR(F17-forecast.ets.confint($A17,$B$8:$B$95,$A$8:$A$95,0.95,4,1,1),"")</f>
        <v/>
      </c>
      <c r="H17" s="24" t="str">
        <f aca="false">IFERROR(F17+forecast.ets.confint($A17,$B$8:$B$95,$A$8:$A$95,0.95,4,1,1),"")</f>
        <v/>
      </c>
      <c r="J17" s="25" t="n">
        <v>2017</v>
      </c>
      <c r="K17" s="24" t="n">
        <f aca="false">IFERROR(SUMIFS($B$8:$B$95,$A$8:$A$95,"&gt;="&amp;DATE(J17,1,1),$A$8:$A$95,"&lt;="&amp;DATE(J17,12,31)),"")</f>
        <v>0</v>
      </c>
      <c r="L17" s="23" t="str">
        <f aca="false">IFERROR(K17/K16-1,"")</f>
        <v/>
      </c>
      <c r="M17" s="24" t="n">
        <f aca="false">IFERROR(SUMIFS($F$8:$F$95,$A$8:$A$95,"&gt;="&amp;DATE(J17,1,1),$A$8:$A$95,"&lt;="&amp;DATE(J17,12,31)),"")</f>
        <v>0</v>
      </c>
    </row>
    <row r="18" customFormat="false" ht="15" hidden="false" customHeight="false" outlineLevel="0" collapsed="false">
      <c r="A18" s="16" t="n">
        <v>40360</v>
      </c>
      <c r="B18" s="17" t="str">
        <f aca="false">IFERROR(haverdata(Codes!$D$14,$A18),"")</f>
        <v/>
      </c>
      <c r="C18" s="18" t="str">
        <f aca="false">IFERROR(B18/B17-1,"")</f>
        <v/>
      </c>
      <c r="D18" s="18" t="str">
        <f aca="false">IFERROR(B18/B14-1,"")</f>
        <v/>
      </c>
      <c r="E18" s="19" t="str">
        <f aca="false">IFERROR(IF(B18="",IFERROR(GROWTH($B$8:$B$95,$A$8:$A$95,$A18),TREND($B$8:$B$95,$A$8:$A$95,$A18)),""),"")</f>
        <v/>
      </c>
      <c r="F18" s="19" t="str">
        <f aca="false">IFERROR(forecast.ets($A18,$B$8:$B$95,$A$8:$A$95,4,1,1),"")</f>
        <v/>
      </c>
      <c r="G18" s="19" t="str">
        <f aca="false">IFERROR(F18-forecast.ets.confint($A18,$B$8:$B$95,$A$8:$A$95,0.95,4,1,1),"")</f>
        <v/>
      </c>
      <c r="H18" s="19" t="str">
        <f aca="false">IFERROR(F18+forecast.ets.confint($A18,$B$8:$B$95,$A$8:$A$95,0.95,4,1,1),"")</f>
        <v/>
      </c>
      <c r="J18" s="20" t="n">
        <v>2018</v>
      </c>
      <c r="K18" s="19" t="n">
        <f aca="false">IFERROR(SUMIFS($B$8:$B$95,$A$8:$A$95,"&gt;="&amp;DATE(J18,1,1),$A$8:$A$95,"&lt;="&amp;DATE(J18,12,31)),"")</f>
        <v>0</v>
      </c>
      <c r="L18" s="18" t="str">
        <f aca="false">IFERROR(K18/K17-1,"")</f>
        <v/>
      </c>
      <c r="M18" s="19" t="n">
        <f aca="false">IFERROR(SUMIFS($F$8:$F$95,$A$8:$A$95,"&gt;="&amp;DATE(J18,1,1),$A$8:$A$95,"&lt;="&amp;DATE(J18,12,31)),"")</f>
        <v>0</v>
      </c>
    </row>
    <row r="19" customFormat="false" ht="15" hidden="false" customHeight="false" outlineLevel="0" collapsed="false">
      <c r="A19" s="21" t="n">
        <v>40452</v>
      </c>
      <c r="B19" s="22" t="str">
        <f aca="false">IFERROR(haverdata(Codes!$D$14,$A19),"")</f>
        <v/>
      </c>
      <c r="C19" s="23" t="str">
        <f aca="false">IFERROR(B19/B18-1,"")</f>
        <v/>
      </c>
      <c r="D19" s="23" t="str">
        <f aca="false">IFERROR(B19/B15-1,"")</f>
        <v/>
      </c>
      <c r="E19" s="24" t="str">
        <f aca="false">IFERROR(IF(B19="",IFERROR(GROWTH($B$8:$B$95,$A$8:$A$95,$A19),TREND($B$8:$B$95,$A$8:$A$95,$A19)),""),"")</f>
        <v/>
      </c>
      <c r="F19" s="24" t="str">
        <f aca="false">IFERROR(forecast.ets($A19,$B$8:$B$95,$A$8:$A$95,4,1,1),"")</f>
        <v/>
      </c>
      <c r="G19" s="24" t="str">
        <f aca="false">IFERROR(F19-forecast.ets.confint($A19,$B$8:$B$95,$A$8:$A$95,0.95,4,1,1),"")</f>
        <v/>
      </c>
      <c r="H19" s="24" t="str">
        <f aca="false">IFERROR(F19+forecast.ets.confint($A19,$B$8:$B$95,$A$8:$A$95,0.95,4,1,1),"")</f>
        <v/>
      </c>
      <c r="J19" s="25" t="n">
        <v>2019</v>
      </c>
      <c r="K19" s="24" t="n">
        <f aca="false">IFERROR(SUMIFS($B$8:$B$95,$A$8:$A$95,"&gt;="&amp;DATE(J19,1,1),$A$8:$A$95,"&lt;="&amp;DATE(J19,12,31)),"")</f>
        <v>0</v>
      </c>
      <c r="L19" s="23" t="str">
        <f aca="false">IFERROR(K19/K18-1,"")</f>
        <v/>
      </c>
      <c r="M19" s="24" t="n">
        <f aca="false">IFERROR(SUMIFS($F$8:$F$95,$A$8:$A$95,"&gt;="&amp;DATE(J19,1,1),$A$8:$A$95,"&lt;="&amp;DATE(J19,12,31)),"")</f>
        <v>0</v>
      </c>
    </row>
    <row r="20" customFormat="false" ht="15" hidden="false" customHeight="false" outlineLevel="0" collapsed="false">
      <c r="A20" s="16" t="n">
        <v>40544</v>
      </c>
      <c r="B20" s="17" t="str">
        <f aca="false">IFERROR(haverdata(Codes!$D$14,$A20),"")</f>
        <v/>
      </c>
      <c r="C20" s="18" t="str">
        <f aca="false">IFERROR(B20/B19-1,"")</f>
        <v/>
      </c>
      <c r="D20" s="18" t="str">
        <f aca="false">IFERROR(B20/B16-1,"")</f>
        <v/>
      </c>
      <c r="E20" s="19" t="str">
        <f aca="false">IFERROR(IF(B20="",IFERROR(GROWTH($B$8:$B$95,$A$8:$A$95,$A20),TREND($B$8:$B$95,$A$8:$A$95,$A20)),""),"")</f>
        <v/>
      </c>
      <c r="F20" s="19" t="str">
        <f aca="false">IFERROR(forecast.ets($A20,$B$8:$B$95,$A$8:$A$95,4,1,1),"")</f>
        <v/>
      </c>
      <c r="G20" s="19" t="str">
        <f aca="false">IFERROR(F20-forecast.ets.confint($A20,$B$8:$B$95,$A$8:$A$95,0.95,4,1,1),"")</f>
        <v/>
      </c>
      <c r="H20" s="19" t="str">
        <f aca="false">IFERROR(F20+forecast.ets.confint($A20,$B$8:$B$95,$A$8:$A$95,0.95,4,1,1),"")</f>
        <v/>
      </c>
      <c r="J20" s="20" t="n">
        <v>2020</v>
      </c>
      <c r="K20" s="19" t="n">
        <f aca="false">IFERROR(SUMIFS($B$8:$B$95,$A$8:$A$95,"&gt;="&amp;DATE(J20,1,1),$A$8:$A$95,"&lt;="&amp;DATE(J20,12,31)),"")</f>
        <v>0</v>
      </c>
      <c r="L20" s="18" t="str">
        <f aca="false">IFERROR(K20/K19-1,"")</f>
        <v/>
      </c>
      <c r="M20" s="19" t="n">
        <f aca="false">IFERROR(SUMIFS($F$8:$F$95,$A$8:$A$95,"&gt;="&amp;DATE(J20,1,1),$A$8:$A$95,"&lt;="&amp;DATE(J20,12,31)),"")</f>
        <v>0</v>
      </c>
    </row>
    <row r="21" customFormat="false" ht="15" hidden="false" customHeight="false" outlineLevel="0" collapsed="false">
      <c r="A21" s="21" t="n">
        <v>40634</v>
      </c>
      <c r="B21" s="22" t="str">
        <f aca="false">IFERROR(haverdata(Codes!$D$14,$A21),"")</f>
        <v/>
      </c>
      <c r="C21" s="23" t="str">
        <f aca="false">IFERROR(B21/B20-1,"")</f>
        <v/>
      </c>
      <c r="D21" s="23" t="str">
        <f aca="false">IFERROR(B21/B17-1,"")</f>
        <v/>
      </c>
      <c r="E21" s="24" t="str">
        <f aca="false">IFERROR(IF(B21="",IFERROR(GROWTH($B$8:$B$95,$A$8:$A$95,$A21),TREND($B$8:$B$95,$A$8:$A$95,$A21)),""),"")</f>
        <v/>
      </c>
      <c r="F21" s="24" t="str">
        <f aca="false">IFERROR(forecast.ets($A21,$B$8:$B$95,$A$8:$A$95,4,1,1),"")</f>
        <v/>
      </c>
      <c r="G21" s="24" t="str">
        <f aca="false">IFERROR(F21-forecast.ets.confint($A21,$B$8:$B$95,$A$8:$A$95,0.95,4,1,1),"")</f>
        <v/>
      </c>
      <c r="H21" s="24" t="str">
        <f aca="false">IFERROR(F21+forecast.ets.confint($A21,$B$8:$B$95,$A$8:$A$95,0.95,4,1,1),"")</f>
        <v/>
      </c>
      <c r="J21" s="25" t="n">
        <v>2021</v>
      </c>
      <c r="K21" s="24" t="n">
        <f aca="false">IFERROR(SUMIFS($B$8:$B$95,$A$8:$A$95,"&gt;="&amp;DATE(J21,1,1),$A$8:$A$95,"&lt;="&amp;DATE(J21,12,31)),"")</f>
        <v>0</v>
      </c>
      <c r="L21" s="23" t="str">
        <f aca="false">IFERROR(K21/K20-1,"")</f>
        <v/>
      </c>
      <c r="M21" s="24" t="n">
        <f aca="false">IFERROR(SUMIFS($F$8:$F$95,$A$8:$A$95,"&gt;="&amp;DATE(J21,1,1),$A$8:$A$95,"&lt;="&amp;DATE(J21,12,31)),"")</f>
        <v>0</v>
      </c>
    </row>
    <row r="22" customFormat="false" ht="15" hidden="false" customHeight="false" outlineLevel="0" collapsed="false">
      <c r="A22" s="16" t="n">
        <v>40725</v>
      </c>
      <c r="B22" s="17" t="str">
        <f aca="false">IFERROR(haverdata(Codes!$D$14,$A22),"")</f>
        <v/>
      </c>
      <c r="C22" s="18" t="str">
        <f aca="false">IFERROR(B22/B21-1,"")</f>
        <v/>
      </c>
      <c r="D22" s="18" t="str">
        <f aca="false">IFERROR(B22/B18-1,"")</f>
        <v/>
      </c>
      <c r="E22" s="19" t="str">
        <f aca="false">IFERROR(IF(B22="",IFERROR(GROWTH($B$8:$B$95,$A$8:$A$95,$A22),TREND($B$8:$B$95,$A$8:$A$95,$A22)),""),"")</f>
        <v/>
      </c>
      <c r="F22" s="19" t="str">
        <f aca="false">IFERROR(forecast.ets($A22,$B$8:$B$95,$A$8:$A$95,4,1,1),"")</f>
        <v/>
      </c>
      <c r="G22" s="19" t="str">
        <f aca="false">IFERROR(F22-forecast.ets.confint($A22,$B$8:$B$95,$A$8:$A$95,0.95,4,1,1),"")</f>
        <v/>
      </c>
      <c r="H22" s="19" t="str">
        <f aca="false">IFERROR(F22+forecast.ets.confint($A22,$B$8:$B$95,$A$8:$A$95,0.95,4,1,1),"")</f>
        <v/>
      </c>
      <c r="J22" s="20" t="n">
        <v>2022</v>
      </c>
      <c r="K22" s="19" t="n">
        <f aca="false">IFERROR(SUMIFS($B$8:$B$95,$A$8:$A$95,"&gt;="&amp;DATE(J22,1,1),$A$8:$A$95,"&lt;="&amp;DATE(J22,12,31)),"")</f>
        <v>0</v>
      </c>
      <c r="L22" s="18" t="str">
        <f aca="false">IFERROR(K22/K21-1,"")</f>
        <v/>
      </c>
      <c r="M22" s="19" t="n">
        <f aca="false">IFERROR(SUMIFS($F$8:$F$95,$A$8:$A$95,"&gt;="&amp;DATE(J22,1,1),$A$8:$A$95,"&lt;="&amp;DATE(J22,12,31)),"")</f>
        <v>0</v>
      </c>
    </row>
    <row r="23" customFormat="false" ht="15" hidden="false" customHeight="false" outlineLevel="0" collapsed="false">
      <c r="A23" s="21" t="n">
        <v>40817</v>
      </c>
      <c r="B23" s="22" t="str">
        <f aca="false">IFERROR(haverdata(Codes!$D$14,$A23),"")</f>
        <v/>
      </c>
      <c r="C23" s="23" t="str">
        <f aca="false">IFERROR(B23/B22-1,"")</f>
        <v/>
      </c>
      <c r="D23" s="23" t="str">
        <f aca="false">IFERROR(B23/B19-1,"")</f>
        <v/>
      </c>
      <c r="E23" s="24" t="str">
        <f aca="false">IFERROR(IF(B23="",IFERROR(GROWTH($B$8:$B$95,$A$8:$A$95,$A23),TREND($B$8:$B$95,$A$8:$A$95,$A23)),""),"")</f>
        <v/>
      </c>
      <c r="F23" s="24" t="str">
        <f aca="false">IFERROR(forecast.ets($A23,$B$8:$B$95,$A$8:$A$95,4,1,1),"")</f>
        <v/>
      </c>
      <c r="G23" s="24" t="str">
        <f aca="false">IFERROR(F23-forecast.ets.confint($A23,$B$8:$B$95,$A$8:$A$95,0.95,4,1,1),"")</f>
        <v/>
      </c>
      <c r="H23" s="24" t="str">
        <f aca="false">IFERROR(F23+forecast.ets.confint($A23,$B$8:$B$95,$A$8:$A$95,0.95,4,1,1),"")</f>
        <v/>
      </c>
      <c r="J23" s="25" t="n">
        <v>2023</v>
      </c>
      <c r="K23" s="24" t="n">
        <f aca="false">IFERROR(SUMIFS($B$8:$B$95,$A$8:$A$95,"&gt;="&amp;DATE(J23,1,1),$A$8:$A$95,"&lt;="&amp;DATE(J23,12,31)),"")</f>
        <v>0</v>
      </c>
      <c r="L23" s="23" t="str">
        <f aca="false">IFERROR(K23/K22-1,"")</f>
        <v/>
      </c>
      <c r="M23" s="24" t="n">
        <f aca="false">IFERROR(SUMIFS($F$8:$F$95,$A$8:$A$95,"&gt;="&amp;DATE(J23,1,1),$A$8:$A$95,"&lt;="&amp;DATE(J23,12,31)),"")</f>
        <v>0</v>
      </c>
    </row>
    <row r="24" customFormat="false" ht="15" hidden="false" customHeight="false" outlineLevel="0" collapsed="false">
      <c r="A24" s="16" t="n">
        <v>40909</v>
      </c>
      <c r="B24" s="17" t="str">
        <f aca="false">IFERROR(haverdata(Codes!$D$14,$A24),"")</f>
        <v/>
      </c>
      <c r="C24" s="18" t="str">
        <f aca="false">IFERROR(B24/B23-1,"")</f>
        <v/>
      </c>
      <c r="D24" s="18" t="str">
        <f aca="false">IFERROR(B24/B20-1,"")</f>
        <v/>
      </c>
      <c r="E24" s="19" t="str">
        <f aca="false">IFERROR(IF(B24="",IFERROR(GROWTH($B$8:$B$95,$A$8:$A$95,$A24),TREND($B$8:$B$95,$A$8:$A$95,$A24)),""),"")</f>
        <v/>
      </c>
      <c r="F24" s="19" t="str">
        <f aca="false">IFERROR(forecast.ets($A24,$B$8:$B$95,$A$8:$A$95,4,1,1),"")</f>
        <v/>
      </c>
      <c r="G24" s="19" t="str">
        <f aca="false">IFERROR(F24-forecast.ets.confint($A24,$B$8:$B$95,$A$8:$A$95,0.95,4,1,1),"")</f>
        <v/>
      </c>
      <c r="H24" s="19" t="str">
        <f aca="false">IFERROR(F24+forecast.ets.confint($A24,$B$8:$B$95,$A$8:$A$95,0.95,4,1,1),"")</f>
        <v/>
      </c>
      <c r="J24" s="20" t="n">
        <v>2024</v>
      </c>
      <c r="K24" s="19" t="n">
        <f aca="false">IFERROR(SUMIFS($B$8:$B$95,$A$8:$A$95,"&gt;="&amp;DATE(J24,1,1),$A$8:$A$95,"&lt;="&amp;DATE(J24,12,31)),"")</f>
        <v>0</v>
      </c>
      <c r="L24" s="18" t="str">
        <f aca="false">IFERROR(K24/K23-1,"")</f>
        <v/>
      </c>
      <c r="M24" s="19" t="n">
        <f aca="false">IFERROR(SUMIFS($F$8:$F$95,$A$8:$A$95,"&gt;="&amp;DATE(J24,1,1),$A$8:$A$95,"&lt;="&amp;DATE(J24,12,31)),"")</f>
        <v>0</v>
      </c>
    </row>
    <row r="25" customFormat="false" ht="15" hidden="false" customHeight="false" outlineLevel="0" collapsed="false">
      <c r="A25" s="21" t="n">
        <v>41000</v>
      </c>
      <c r="B25" s="22" t="str">
        <f aca="false">IFERROR(haverdata(Codes!$D$14,$A25),"")</f>
        <v/>
      </c>
      <c r="C25" s="23" t="str">
        <f aca="false">IFERROR(B25/B24-1,"")</f>
        <v/>
      </c>
      <c r="D25" s="23" t="str">
        <f aca="false">IFERROR(B25/B21-1,"")</f>
        <v/>
      </c>
      <c r="E25" s="24" t="str">
        <f aca="false">IFERROR(IF(B25="",IFERROR(GROWTH($B$8:$B$95,$A$8:$A$95,$A25),TREND($B$8:$B$95,$A$8:$A$95,$A25)),""),"")</f>
        <v/>
      </c>
      <c r="F25" s="24" t="str">
        <f aca="false">IFERROR(forecast.ets($A25,$B$8:$B$95,$A$8:$A$95,4,1,1),"")</f>
        <v/>
      </c>
      <c r="G25" s="24" t="str">
        <f aca="false">IFERROR(F25-forecast.ets.confint($A25,$B$8:$B$95,$A$8:$A$95,0.95,4,1,1),"")</f>
        <v/>
      </c>
      <c r="H25" s="24" t="str">
        <f aca="false">IFERROR(F25+forecast.ets.confint($A25,$B$8:$B$95,$A$8:$A$95,0.95,4,1,1),"")</f>
        <v/>
      </c>
      <c r="J25" s="25" t="n">
        <v>2025</v>
      </c>
      <c r="K25" s="24" t="n">
        <f aca="false">IFERROR(SUMIFS($B$8:$B$95,$A$8:$A$95,"&gt;="&amp;DATE(J25,1,1),$A$8:$A$95,"&lt;="&amp;DATE(J25,12,31)),"")</f>
        <v>0</v>
      </c>
      <c r="L25" s="23" t="str">
        <f aca="false">IFERROR(K25/K24-1,"")</f>
        <v/>
      </c>
      <c r="M25" s="24" t="n">
        <f aca="false">IFERROR(SUMIFS($F$8:$F$95,$A$8:$A$95,"&gt;="&amp;DATE(J25,1,1),$A$8:$A$95,"&lt;="&amp;DATE(J25,12,31)),"")</f>
        <v>0</v>
      </c>
    </row>
    <row r="26" customFormat="false" ht="15" hidden="false" customHeight="false" outlineLevel="0" collapsed="false">
      <c r="A26" s="16" t="n">
        <v>41091</v>
      </c>
      <c r="B26" s="17" t="str">
        <f aca="false">IFERROR(haverdata(Codes!$D$14,$A26),"")</f>
        <v/>
      </c>
      <c r="C26" s="18" t="str">
        <f aca="false">IFERROR(B26/B25-1,"")</f>
        <v/>
      </c>
      <c r="D26" s="18" t="str">
        <f aca="false">IFERROR(B26/B22-1,"")</f>
        <v/>
      </c>
      <c r="E26" s="19" t="str">
        <f aca="false">IFERROR(IF(B26="",IFERROR(GROWTH($B$8:$B$95,$A$8:$A$95,$A26),TREND($B$8:$B$95,$A$8:$A$95,$A26)),""),"")</f>
        <v/>
      </c>
      <c r="F26" s="19" t="str">
        <f aca="false">IFERROR(forecast.ets($A26,$B$8:$B$95,$A$8:$A$95,4,1,1),"")</f>
        <v/>
      </c>
      <c r="G26" s="19" t="str">
        <f aca="false">IFERROR(F26-forecast.ets.confint($A26,$B$8:$B$95,$A$8:$A$95,0.95,4,1,1),"")</f>
        <v/>
      </c>
      <c r="H26" s="19" t="str">
        <f aca="false">IFERROR(F26+forecast.ets.confint($A26,$B$8:$B$95,$A$8:$A$95,0.95,4,1,1),"")</f>
        <v/>
      </c>
      <c r="J26" s="20" t="n">
        <v>2026</v>
      </c>
      <c r="K26" s="19" t="n">
        <f aca="false">IFERROR(SUMIFS($B$8:$B$95,$A$8:$A$95,"&gt;="&amp;DATE(J26,1,1),$A$8:$A$95,"&lt;="&amp;DATE(J26,12,31)),"")</f>
        <v>0</v>
      </c>
      <c r="L26" s="18" t="str">
        <f aca="false">IFERROR(K26/K25-1,"")</f>
        <v/>
      </c>
      <c r="M26" s="19" t="n">
        <f aca="false">IFERROR(SUMIFS($F$8:$F$95,$A$8:$A$95,"&gt;="&amp;DATE(J26,1,1),$A$8:$A$95,"&lt;="&amp;DATE(J26,12,31)),"")</f>
        <v>0</v>
      </c>
    </row>
    <row r="27" customFormat="false" ht="15" hidden="false" customHeight="false" outlineLevel="0" collapsed="false">
      <c r="A27" s="21" t="n">
        <v>41183</v>
      </c>
      <c r="B27" s="22" t="str">
        <f aca="false">IFERROR(haverdata(Codes!$D$14,$A27),"")</f>
        <v/>
      </c>
      <c r="C27" s="23" t="str">
        <f aca="false">IFERROR(B27/B26-1,"")</f>
        <v/>
      </c>
      <c r="D27" s="23" t="str">
        <f aca="false">IFERROR(B27/B23-1,"")</f>
        <v/>
      </c>
      <c r="E27" s="24" t="str">
        <f aca="false">IFERROR(IF(B27="",IFERROR(GROWTH($B$8:$B$95,$A$8:$A$95,$A27),TREND($B$8:$B$95,$A$8:$A$95,$A27)),""),"")</f>
        <v/>
      </c>
      <c r="F27" s="24" t="str">
        <f aca="false">IFERROR(forecast.ets($A27,$B$8:$B$95,$A$8:$A$95,4,1,1),"")</f>
        <v/>
      </c>
      <c r="G27" s="24" t="str">
        <f aca="false">IFERROR(F27-forecast.ets.confint($A27,$B$8:$B$95,$A$8:$A$95,0.95,4,1,1),"")</f>
        <v/>
      </c>
      <c r="H27" s="24" t="str">
        <f aca="false">IFERROR(F27+forecast.ets.confint($A27,$B$8:$B$95,$A$8:$A$95,0.95,4,1,1),"")</f>
        <v/>
      </c>
      <c r="J27" s="25" t="n">
        <v>2027</v>
      </c>
      <c r="K27" s="24" t="n">
        <f aca="false">IFERROR(SUMIFS($B$8:$B$95,$A$8:$A$95,"&gt;="&amp;DATE(J27,1,1),$A$8:$A$95,"&lt;="&amp;DATE(J27,12,31)),"")</f>
        <v>0</v>
      </c>
      <c r="L27" s="23" t="str">
        <f aca="false">IFERROR(K27/K26-1,"")</f>
        <v/>
      </c>
      <c r="M27" s="24" t="n">
        <f aca="false">IFERROR(SUMIFS($F$8:$F$95,$A$8:$A$95,"&gt;="&amp;DATE(J27,1,1),$A$8:$A$95,"&lt;="&amp;DATE(J27,12,31)),"")</f>
        <v>0</v>
      </c>
    </row>
    <row r="28" customFormat="false" ht="15" hidden="false" customHeight="false" outlineLevel="0" collapsed="false">
      <c r="A28" s="16" t="n">
        <v>41275</v>
      </c>
      <c r="B28" s="17" t="str">
        <f aca="false">IFERROR(haverdata(Codes!$D$14,$A28),"")</f>
        <v/>
      </c>
      <c r="C28" s="18" t="str">
        <f aca="false">IFERROR(B28/B27-1,"")</f>
        <v/>
      </c>
      <c r="D28" s="18" t="str">
        <f aca="false">IFERROR(B28/B24-1,"")</f>
        <v/>
      </c>
      <c r="E28" s="19" t="str">
        <f aca="false">IFERROR(IF(B28="",IFERROR(GROWTH($B$8:$B$95,$A$8:$A$95,$A28),TREND($B$8:$B$95,$A$8:$A$95,$A28)),""),"")</f>
        <v/>
      </c>
      <c r="F28" s="19" t="str">
        <f aca="false">IFERROR(forecast.ets($A28,$B$8:$B$95,$A$8:$A$95,4,1,1),"")</f>
        <v/>
      </c>
      <c r="G28" s="19" t="str">
        <f aca="false">IFERROR(F28-forecast.ets.confint($A28,$B$8:$B$95,$A$8:$A$95,0.95,4,1,1),"")</f>
        <v/>
      </c>
      <c r="H28" s="19" t="str">
        <f aca="false">IFERROR(F28+forecast.ets.confint($A28,$B$8:$B$95,$A$8:$A$95,0.95,4,1,1),"")</f>
        <v/>
      </c>
      <c r="J28" s="20" t="n">
        <v>2028</v>
      </c>
      <c r="K28" s="19" t="n">
        <f aca="false">IFERROR(SUMIFS($B$8:$B$95,$A$8:$A$95,"&gt;="&amp;DATE(J28,1,1),$A$8:$A$95,"&lt;="&amp;DATE(J28,12,31)),"")</f>
        <v>0</v>
      </c>
      <c r="L28" s="18" t="str">
        <f aca="false">IFERROR(K28/K27-1,"")</f>
        <v/>
      </c>
      <c r="M28" s="19" t="n">
        <f aca="false">IFERROR(SUMIFS($F$8:$F$95,$A$8:$A$95,"&gt;="&amp;DATE(J28,1,1),$A$8:$A$95,"&lt;="&amp;DATE(J28,12,31)),"")</f>
        <v>0</v>
      </c>
    </row>
    <row r="29" customFormat="false" ht="15" hidden="false" customHeight="false" outlineLevel="0" collapsed="false">
      <c r="A29" s="21" t="n">
        <v>41365</v>
      </c>
      <c r="B29" s="22" t="str">
        <f aca="false">IFERROR(haverdata(Codes!$D$14,$A29),"")</f>
        <v/>
      </c>
      <c r="C29" s="23" t="str">
        <f aca="false">IFERROR(B29/B28-1,"")</f>
        <v/>
      </c>
      <c r="D29" s="23" t="str">
        <f aca="false">IFERROR(B29/B25-1,"")</f>
        <v/>
      </c>
      <c r="E29" s="24" t="str">
        <f aca="false">IFERROR(IF(B29="",IFERROR(GROWTH($B$8:$B$95,$A$8:$A$95,$A29),TREND($B$8:$B$95,$A$8:$A$95,$A29)),""),"")</f>
        <v/>
      </c>
      <c r="F29" s="24" t="str">
        <f aca="false">IFERROR(forecast.ets($A29,$B$8:$B$95,$A$8:$A$95,4,1,1),"")</f>
        <v/>
      </c>
      <c r="G29" s="24" t="str">
        <f aca="false">IFERROR(F29-forecast.ets.confint($A29,$B$8:$B$95,$A$8:$A$95,0.95,4,1,1),"")</f>
        <v/>
      </c>
      <c r="H29" s="24" t="str">
        <f aca="false">IFERROR(F29+forecast.ets.confint($A29,$B$8:$B$95,$A$8:$A$95,0.95,4,1,1),"")</f>
        <v/>
      </c>
      <c r="J29" s="25" t="n">
        <v>2029</v>
      </c>
      <c r="K29" s="24" t="n">
        <f aca="false">IFERROR(SUMIFS($B$8:$B$95,$A$8:$A$95,"&gt;="&amp;DATE(J29,1,1),$A$8:$A$95,"&lt;="&amp;DATE(J29,12,31)),"")</f>
        <v>0</v>
      </c>
      <c r="L29" s="23" t="str">
        <f aca="false">IFERROR(K29/K28-1,"")</f>
        <v/>
      </c>
      <c r="M29" s="24" t="n">
        <f aca="false">IFERROR(SUMIFS($F$8:$F$95,$A$8:$A$95,"&gt;="&amp;DATE(J29,1,1),$A$8:$A$95,"&lt;="&amp;DATE(J29,12,31)),"")</f>
        <v>0</v>
      </c>
    </row>
    <row r="30" customFormat="false" ht="15" hidden="false" customHeight="false" outlineLevel="0" collapsed="false">
      <c r="A30" s="16" t="n">
        <v>41456</v>
      </c>
      <c r="B30" s="17" t="str">
        <f aca="false">IFERROR(haverdata(Codes!$D$14,$A30),"")</f>
        <v/>
      </c>
      <c r="C30" s="18" t="str">
        <f aca="false">IFERROR(B30/B29-1,"")</f>
        <v/>
      </c>
      <c r="D30" s="18" t="str">
        <f aca="false">IFERROR(B30/B26-1,"")</f>
        <v/>
      </c>
      <c r="E30" s="19" t="str">
        <f aca="false">IFERROR(IF(B30="",IFERROR(GROWTH($B$8:$B$95,$A$8:$A$95,$A30),TREND($B$8:$B$95,$A$8:$A$95,$A30)),""),"")</f>
        <v/>
      </c>
      <c r="F30" s="19" t="str">
        <f aca="false">IFERROR(forecast.ets($A30,$B$8:$B$95,$A$8:$A$95,4,1,1),"")</f>
        <v/>
      </c>
      <c r="G30" s="19" t="str">
        <f aca="false">IFERROR(F30-forecast.ets.confint($A30,$B$8:$B$95,$A$8:$A$95,0.95,4,1,1),"")</f>
        <v/>
      </c>
      <c r="H30" s="19" t="str">
        <f aca="false">IFERROR(F30+forecast.ets.confint($A30,$B$8:$B$95,$A$8:$A$95,0.95,4,1,1),"")</f>
        <v/>
      </c>
    </row>
    <row r="31" customFormat="false" ht="15" hidden="false" customHeight="false" outlineLevel="0" collapsed="false">
      <c r="A31" s="21" t="n">
        <v>41548</v>
      </c>
      <c r="B31" s="22" t="str">
        <f aca="false">IFERROR(haverdata(Codes!$D$14,$A31),"")</f>
        <v/>
      </c>
      <c r="C31" s="23" t="str">
        <f aca="false">IFERROR(B31/B30-1,"")</f>
        <v/>
      </c>
      <c r="D31" s="23" t="str">
        <f aca="false">IFERROR(B31/B27-1,"")</f>
        <v/>
      </c>
      <c r="E31" s="24" t="str">
        <f aca="false">IFERROR(IF(B31="",IFERROR(GROWTH($B$8:$B$95,$A$8:$A$95,$A31),TREND($B$8:$B$95,$A$8:$A$95,$A31)),""),"")</f>
        <v/>
      </c>
      <c r="F31" s="24" t="str">
        <f aca="false">IFERROR(forecast.ets($A31,$B$8:$B$95,$A$8:$A$95,4,1,1),"")</f>
        <v/>
      </c>
      <c r="G31" s="24" t="str">
        <f aca="false">IFERROR(F31-forecast.ets.confint($A31,$B$8:$B$95,$A$8:$A$95,0.95,4,1,1),"")</f>
        <v/>
      </c>
      <c r="H31" s="24" t="str">
        <f aca="false">IFERROR(F31+forecast.ets.confint($A31,$B$8:$B$95,$A$8:$A$95,0.95,4,1,1),"")</f>
        <v/>
      </c>
    </row>
    <row r="32" customFormat="false" ht="15" hidden="false" customHeight="false" outlineLevel="0" collapsed="false">
      <c r="A32" s="16" t="n">
        <v>41640</v>
      </c>
      <c r="B32" s="17" t="str">
        <f aca="false">IFERROR(haverdata(Codes!$D$14,$A32),"")</f>
        <v/>
      </c>
      <c r="C32" s="18" t="str">
        <f aca="false">IFERROR(B32/B31-1,"")</f>
        <v/>
      </c>
      <c r="D32" s="18" t="str">
        <f aca="false">IFERROR(B32/B28-1,"")</f>
        <v/>
      </c>
      <c r="E32" s="19" t="str">
        <f aca="false">IFERROR(IF(B32="",IFERROR(GROWTH($B$8:$B$95,$A$8:$A$95,$A32),TREND($B$8:$B$95,$A$8:$A$95,$A32)),""),"")</f>
        <v/>
      </c>
      <c r="F32" s="19" t="str">
        <f aca="false">IFERROR(forecast.ets($A32,$B$8:$B$95,$A$8:$A$95,4,1,1),"")</f>
        <v/>
      </c>
      <c r="G32" s="19" t="str">
        <f aca="false">IFERROR(F32-forecast.ets.confint($A32,$B$8:$B$95,$A$8:$A$95,0.95,4,1,1),"")</f>
        <v/>
      </c>
      <c r="H32" s="19" t="str">
        <f aca="false">IFERROR(F32+forecast.ets.confint($A32,$B$8:$B$95,$A$8:$A$95,0.95,4,1,1),"")</f>
        <v/>
      </c>
    </row>
    <row r="33" customFormat="false" ht="15" hidden="false" customHeight="false" outlineLevel="0" collapsed="false">
      <c r="A33" s="21" t="n">
        <v>41730</v>
      </c>
      <c r="B33" s="22" t="str">
        <f aca="false">IFERROR(haverdata(Codes!$D$14,$A33),"")</f>
        <v/>
      </c>
      <c r="C33" s="23" t="str">
        <f aca="false">IFERROR(B33/B32-1,"")</f>
        <v/>
      </c>
      <c r="D33" s="23" t="str">
        <f aca="false">IFERROR(B33/B29-1,"")</f>
        <v/>
      </c>
      <c r="E33" s="24" t="str">
        <f aca="false">IFERROR(IF(B33="",IFERROR(GROWTH($B$8:$B$95,$A$8:$A$95,$A33),TREND($B$8:$B$95,$A$8:$A$95,$A33)),""),"")</f>
        <v/>
      </c>
      <c r="F33" s="24" t="str">
        <f aca="false">IFERROR(forecast.ets($A33,$B$8:$B$95,$A$8:$A$95,4,1,1),"")</f>
        <v/>
      </c>
      <c r="G33" s="24" t="str">
        <f aca="false">IFERROR(F33-forecast.ets.confint($A33,$B$8:$B$95,$A$8:$A$95,0.95,4,1,1),"")</f>
        <v/>
      </c>
      <c r="H33" s="24" t="str">
        <f aca="false">IFERROR(F33+forecast.ets.confint($A33,$B$8:$B$95,$A$8:$A$95,0.95,4,1,1),"")</f>
        <v/>
      </c>
    </row>
    <row r="34" customFormat="false" ht="15" hidden="false" customHeight="false" outlineLevel="0" collapsed="false">
      <c r="A34" s="16" t="n">
        <v>41821</v>
      </c>
      <c r="B34" s="17" t="str">
        <f aca="false">IFERROR(haverdata(Codes!$D$14,$A34),"")</f>
        <v/>
      </c>
      <c r="C34" s="18" t="str">
        <f aca="false">IFERROR(B34/B33-1,"")</f>
        <v/>
      </c>
      <c r="D34" s="18" t="str">
        <f aca="false">IFERROR(B34/B30-1,"")</f>
        <v/>
      </c>
      <c r="E34" s="19" t="str">
        <f aca="false">IFERROR(IF(B34="",IFERROR(GROWTH($B$8:$B$95,$A$8:$A$95,$A34),TREND($B$8:$B$95,$A$8:$A$95,$A34)),""),"")</f>
        <v/>
      </c>
      <c r="F34" s="19" t="str">
        <f aca="false">IFERROR(forecast.ets($A34,$B$8:$B$95,$A$8:$A$95,4,1,1),"")</f>
        <v/>
      </c>
      <c r="G34" s="19" t="str">
        <f aca="false">IFERROR(F34-forecast.ets.confint($A34,$B$8:$B$95,$A$8:$A$95,0.95,4,1,1),"")</f>
        <v/>
      </c>
      <c r="H34" s="19" t="str">
        <f aca="false">IFERROR(F34+forecast.ets.confint($A34,$B$8:$B$95,$A$8:$A$95,0.95,4,1,1),"")</f>
        <v/>
      </c>
    </row>
    <row r="35" customFormat="false" ht="15" hidden="false" customHeight="false" outlineLevel="0" collapsed="false">
      <c r="A35" s="21" t="n">
        <v>41913</v>
      </c>
      <c r="B35" s="22" t="str">
        <f aca="false">IFERROR(haverdata(Codes!$D$14,$A35),"")</f>
        <v/>
      </c>
      <c r="C35" s="23" t="str">
        <f aca="false">IFERROR(B35/B34-1,"")</f>
        <v/>
      </c>
      <c r="D35" s="23" t="str">
        <f aca="false">IFERROR(B35/B31-1,"")</f>
        <v/>
      </c>
      <c r="E35" s="24" t="str">
        <f aca="false">IFERROR(IF(B35="",IFERROR(GROWTH($B$8:$B$95,$A$8:$A$95,$A35),TREND($B$8:$B$95,$A$8:$A$95,$A35)),""),"")</f>
        <v/>
      </c>
      <c r="F35" s="24" t="str">
        <f aca="false">IFERROR(forecast.ets($A35,$B$8:$B$95,$A$8:$A$95,4,1,1),"")</f>
        <v/>
      </c>
      <c r="G35" s="24" t="str">
        <f aca="false">IFERROR(F35-forecast.ets.confint($A35,$B$8:$B$95,$A$8:$A$95,0.95,4,1,1),"")</f>
        <v/>
      </c>
      <c r="H35" s="24" t="str">
        <f aca="false">IFERROR(F35+forecast.ets.confint($A35,$B$8:$B$95,$A$8:$A$95,0.95,4,1,1),"")</f>
        <v/>
      </c>
    </row>
    <row r="36" customFormat="false" ht="15" hidden="false" customHeight="false" outlineLevel="0" collapsed="false">
      <c r="A36" s="16" t="n">
        <v>42005</v>
      </c>
      <c r="B36" s="17" t="str">
        <f aca="false">IFERROR(haverdata(Codes!$D$14,$A36),"")</f>
        <v/>
      </c>
      <c r="C36" s="18" t="str">
        <f aca="false">IFERROR(B36/B35-1,"")</f>
        <v/>
      </c>
      <c r="D36" s="18" t="str">
        <f aca="false">IFERROR(B36/B32-1,"")</f>
        <v/>
      </c>
      <c r="E36" s="19" t="str">
        <f aca="false">IFERROR(IF(B36="",IFERROR(GROWTH($B$8:$B$95,$A$8:$A$95,$A36),TREND($B$8:$B$95,$A$8:$A$95,$A36)),""),"")</f>
        <v/>
      </c>
      <c r="F36" s="19" t="str">
        <f aca="false">IFERROR(forecast.ets($A36,$B$8:$B$95,$A$8:$A$95,4,1,1),"")</f>
        <v/>
      </c>
      <c r="G36" s="19" t="str">
        <f aca="false">IFERROR(F36-forecast.ets.confint($A36,$B$8:$B$95,$A$8:$A$95,0.95,4,1,1),"")</f>
        <v/>
      </c>
      <c r="H36" s="19" t="str">
        <f aca="false">IFERROR(F36+forecast.ets.confint($A36,$B$8:$B$95,$A$8:$A$95,0.95,4,1,1),"")</f>
        <v/>
      </c>
    </row>
    <row r="37" customFormat="false" ht="15" hidden="false" customHeight="false" outlineLevel="0" collapsed="false">
      <c r="A37" s="21" t="n">
        <v>42095</v>
      </c>
      <c r="B37" s="22" t="str">
        <f aca="false">IFERROR(haverdata(Codes!$D$14,$A37),"")</f>
        <v/>
      </c>
      <c r="C37" s="23" t="str">
        <f aca="false">IFERROR(B37/B36-1,"")</f>
        <v/>
      </c>
      <c r="D37" s="23" t="str">
        <f aca="false">IFERROR(B37/B33-1,"")</f>
        <v/>
      </c>
      <c r="E37" s="24" t="str">
        <f aca="false">IFERROR(IF(B37="",IFERROR(GROWTH($B$8:$B$95,$A$8:$A$95,$A37),TREND($B$8:$B$95,$A$8:$A$95,$A37)),""),"")</f>
        <v/>
      </c>
      <c r="F37" s="24" t="str">
        <f aca="false">IFERROR(forecast.ets($A37,$B$8:$B$95,$A$8:$A$95,4,1,1),"")</f>
        <v/>
      </c>
      <c r="G37" s="24" t="str">
        <f aca="false">IFERROR(F37-forecast.ets.confint($A37,$B$8:$B$95,$A$8:$A$95,0.95,4,1,1),"")</f>
        <v/>
      </c>
      <c r="H37" s="24" t="str">
        <f aca="false">IFERROR(F37+forecast.ets.confint($A37,$B$8:$B$95,$A$8:$A$95,0.95,4,1,1),"")</f>
        <v/>
      </c>
    </row>
    <row r="38" customFormat="false" ht="15" hidden="false" customHeight="false" outlineLevel="0" collapsed="false">
      <c r="A38" s="16" t="n">
        <v>42186</v>
      </c>
      <c r="B38" s="17" t="str">
        <f aca="false">IFERROR(haverdata(Codes!$D$14,$A38),"")</f>
        <v/>
      </c>
      <c r="C38" s="18" t="str">
        <f aca="false">IFERROR(B38/B37-1,"")</f>
        <v/>
      </c>
      <c r="D38" s="18" t="str">
        <f aca="false">IFERROR(B38/B34-1,"")</f>
        <v/>
      </c>
      <c r="E38" s="19" t="str">
        <f aca="false">IFERROR(IF(B38="",IFERROR(GROWTH($B$8:$B$95,$A$8:$A$95,$A38),TREND($B$8:$B$95,$A$8:$A$95,$A38)),""),"")</f>
        <v/>
      </c>
      <c r="F38" s="19" t="str">
        <f aca="false">IFERROR(forecast.ets($A38,$B$8:$B$95,$A$8:$A$95,4,1,1),"")</f>
        <v/>
      </c>
      <c r="G38" s="19" t="str">
        <f aca="false">IFERROR(F38-forecast.ets.confint($A38,$B$8:$B$95,$A$8:$A$95,0.95,4,1,1),"")</f>
        <v/>
      </c>
      <c r="H38" s="19" t="str">
        <f aca="false">IFERROR(F38+forecast.ets.confint($A38,$B$8:$B$95,$A$8:$A$95,0.95,4,1,1),"")</f>
        <v/>
      </c>
    </row>
    <row r="39" customFormat="false" ht="15" hidden="false" customHeight="false" outlineLevel="0" collapsed="false">
      <c r="A39" s="21" t="n">
        <v>42278</v>
      </c>
      <c r="B39" s="22" t="str">
        <f aca="false">IFERROR(haverdata(Codes!$D$14,$A39),"")</f>
        <v/>
      </c>
      <c r="C39" s="23" t="str">
        <f aca="false">IFERROR(B39/B38-1,"")</f>
        <v/>
      </c>
      <c r="D39" s="23" t="str">
        <f aca="false">IFERROR(B39/B35-1,"")</f>
        <v/>
      </c>
      <c r="E39" s="24" t="str">
        <f aca="false">IFERROR(IF(B39="",IFERROR(GROWTH($B$8:$B$95,$A$8:$A$95,$A39),TREND($B$8:$B$95,$A$8:$A$95,$A39)),""),"")</f>
        <v/>
      </c>
      <c r="F39" s="24" t="str">
        <f aca="false">IFERROR(forecast.ets($A39,$B$8:$B$95,$A$8:$A$95,4,1,1),"")</f>
        <v/>
      </c>
      <c r="G39" s="24" t="str">
        <f aca="false">IFERROR(F39-forecast.ets.confint($A39,$B$8:$B$95,$A$8:$A$95,0.95,4,1,1),"")</f>
        <v/>
      </c>
      <c r="H39" s="24" t="str">
        <f aca="false">IFERROR(F39+forecast.ets.confint($A39,$B$8:$B$95,$A$8:$A$95,0.95,4,1,1),"")</f>
        <v/>
      </c>
    </row>
    <row r="40" customFormat="false" ht="15" hidden="false" customHeight="false" outlineLevel="0" collapsed="false">
      <c r="A40" s="16" t="n">
        <v>42370</v>
      </c>
      <c r="B40" s="17" t="str">
        <f aca="false">IFERROR(haverdata(Codes!$D$14,$A40),"")</f>
        <v/>
      </c>
      <c r="C40" s="18" t="str">
        <f aca="false">IFERROR(B40/B39-1,"")</f>
        <v/>
      </c>
      <c r="D40" s="18" t="str">
        <f aca="false">IFERROR(B40/B36-1,"")</f>
        <v/>
      </c>
      <c r="E40" s="19" t="str">
        <f aca="false">IFERROR(IF(B40="",IFERROR(GROWTH($B$8:$B$95,$A$8:$A$95,$A40),TREND($B$8:$B$95,$A$8:$A$95,$A40)),""),"")</f>
        <v/>
      </c>
      <c r="F40" s="19" t="str">
        <f aca="false">IFERROR(forecast.ets($A40,$B$8:$B$95,$A$8:$A$95,4,1,1),"")</f>
        <v/>
      </c>
      <c r="G40" s="19" t="str">
        <f aca="false">IFERROR(F40-forecast.ets.confint($A40,$B$8:$B$95,$A$8:$A$95,0.95,4,1,1),"")</f>
        <v/>
      </c>
      <c r="H40" s="19" t="str">
        <f aca="false">IFERROR(F40+forecast.ets.confint($A40,$B$8:$B$95,$A$8:$A$95,0.95,4,1,1),"")</f>
        <v/>
      </c>
    </row>
    <row r="41" customFormat="false" ht="15" hidden="false" customHeight="false" outlineLevel="0" collapsed="false">
      <c r="A41" s="21" t="n">
        <v>42461</v>
      </c>
      <c r="B41" s="22" t="str">
        <f aca="false">IFERROR(haverdata(Codes!$D$14,$A41),"")</f>
        <v/>
      </c>
      <c r="C41" s="23" t="str">
        <f aca="false">IFERROR(B41/B40-1,"")</f>
        <v/>
      </c>
      <c r="D41" s="23" t="str">
        <f aca="false">IFERROR(B41/B37-1,"")</f>
        <v/>
      </c>
      <c r="E41" s="24" t="str">
        <f aca="false">IFERROR(IF(B41="",IFERROR(GROWTH($B$8:$B$95,$A$8:$A$95,$A41),TREND($B$8:$B$95,$A$8:$A$95,$A41)),""),"")</f>
        <v/>
      </c>
      <c r="F41" s="24" t="str">
        <f aca="false">IFERROR(forecast.ets($A41,$B$8:$B$95,$A$8:$A$95,4,1,1),"")</f>
        <v/>
      </c>
      <c r="G41" s="24" t="str">
        <f aca="false">IFERROR(F41-forecast.ets.confint($A41,$B$8:$B$95,$A$8:$A$95,0.95,4,1,1),"")</f>
        <v/>
      </c>
      <c r="H41" s="24" t="str">
        <f aca="false">IFERROR(F41+forecast.ets.confint($A41,$B$8:$B$95,$A$8:$A$95,0.95,4,1,1),"")</f>
        <v/>
      </c>
    </row>
    <row r="42" customFormat="false" ht="15" hidden="false" customHeight="false" outlineLevel="0" collapsed="false">
      <c r="A42" s="16" t="n">
        <v>42552</v>
      </c>
      <c r="B42" s="17" t="str">
        <f aca="false">IFERROR(haverdata(Codes!$D$14,$A42),"")</f>
        <v/>
      </c>
      <c r="C42" s="18" t="str">
        <f aca="false">IFERROR(B42/B41-1,"")</f>
        <v/>
      </c>
      <c r="D42" s="18" t="str">
        <f aca="false">IFERROR(B42/B38-1,"")</f>
        <v/>
      </c>
      <c r="E42" s="19" t="str">
        <f aca="false">IFERROR(IF(B42="",IFERROR(GROWTH($B$8:$B$95,$A$8:$A$95,$A42),TREND($B$8:$B$95,$A$8:$A$95,$A42)),""),"")</f>
        <v/>
      </c>
      <c r="F42" s="19" t="str">
        <f aca="false">IFERROR(forecast.ets($A42,$B$8:$B$95,$A$8:$A$95,4,1,1),"")</f>
        <v/>
      </c>
      <c r="G42" s="19" t="str">
        <f aca="false">IFERROR(F42-forecast.ets.confint($A42,$B$8:$B$95,$A$8:$A$95,0.95,4,1,1),"")</f>
        <v/>
      </c>
      <c r="H42" s="19" t="str">
        <f aca="false">IFERROR(F42+forecast.ets.confint($A42,$B$8:$B$95,$A$8:$A$95,0.95,4,1,1),"")</f>
        <v/>
      </c>
    </row>
    <row r="43" customFormat="false" ht="15" hidden="false" customHeight="false" outlineLevel="0" collapsed="false">
      <c r="A43" s="21" t="n">
        <v>42644</v>
      </c>
      <c r="B43" s="22" t="str">
        <f aca="false">IFERROR(haverdata(Codes!$D$14,$A43),"")</f>
        <v/>
      </c>
      <c r="C43" s="23" t="str">
        <f aca="false">IFERROR(B43/B42-1,"")</f>
        <v/>
      </c>
      <c r="D43" s="23" t="str">
        <f aca="false">IFERROR(B43/B39-1,"")</f>
        <v/>
      </c>
      <c r="E43" s="24" t="str">
        <f aca="false">IFERROR(IF(B43="",IFERROR(GROWTH($B$8:$B$95,$A$8:$A$95,$A43),TREND($B$8:$B$95,$A$8:$A$95,$A43)),""),"")</f>
        <v/>
      </c>
      <c r="F43" s="24" t="str">
        <f aca="false">IFERROR(forecast.ets($A43,$B$8:$B$95,$A$8:$A$95,4,1,1),"")</f>
        <v/>
      </c>
      <c r="G43" s="24" t="str">
        <f aca="false">IFERROR(F43-forecast.ets.confint($A43,$B$8:$B$95,$A$8:$A$95,0.95,4,1,1),"")</f>
        <v/>
      </c>
      <c r="H43" s="24" t="str">
        <f aca="false">IFERROR(F43+forecast.ets.confint($A43,$B$8:$B$95,$A$8:$A$95,0.95,4,1,1),"")</f>
        <v/>
      </c>
    </row>
    <row r="44" customFormat="false" ht="15" hidden="false" customHeight="false" outlineLevel="0" collapsed="false">
      <c r="A44" s="16" t="n">
        <v>42736</v>
      </c>
      <c r="B44" s="17" t="str">
        <f aca="false">IFERROR(haverdata(Codes!$D$14,$A44),"")</f>
        <v/>
      </c>
      <c r="C44" s="18" t="str">
        <f aca="false">IFERROR(B44/B43-1,"")</f>
        <v/>
      </c>
      <c r="D44" s="18" t="str">
        <f aca="false">IFERROR(B44/B40-1,"")</f>
        <v/>
      </c>
      <c r="E44" s="19" t="str">
        <f aca="false">IFERROR(IF(B44="",IFERROR(GROWTH($B$8:$B$95,$A$8:$A$95,$A44),TREND($B$8:$B$95,$A$8:$A$95,$A44)),""),"")</f>
        <v/>
      </c>
      <c r="F44" s="19" t="str">
        <f aca="false">IFERROR(forecast.ets($A44,$B$8:$B$95,$A$8:$A$95,4,1,1),"")</f>
        <v/>
      </c>
      <c r="G44" s="19" t="str">
        <f aca="false">IFERROR(F44-forecast.ets.confint($A44,$B$8:$B$95,$A$8:$A$95,0.95,4,1,1),"")</f>
        <v/>
      </c>
      <c r="H44" s="19" t="str">
        <f aca="false">IFERROR(F44+forecast.ets.confint($A44,$B$8:$B$95,$A$8:$A$95,0.95,4,1,1),"")</f>
        <v/>
      </c>
    </row>
    <row r="45" customFormat="false" ht="15" hidden="false" customHeight="false" outlineLevel="0" collapsed="false">
      <c r="A45" s="21" t="n">
        <v>42826</v>
      </c>
      <c r="B45" s="22" t="str">
        <f aca="false">IFERROR(haverdata(Codes!$D$14,$A45),"")</f>
        <v/>
      </c>
      <c r="C45" s="23" t="str">
        <f aca="false">IFERROR(B45/B44-1,"")</f>
        <v/>
      </c>
      <c r="D45" s="23" t="str">
        <f aca="false">IFERROR(B45/B41-1,"")</f>
        <v/>
      </c>
      <c r="E45" s="24" t="str">
        <f aca="false">IFERROR(IF(B45="",IFERROR(GROWTH($B$8:$B$95,$A$8:$A$95,$A45),TREND($B$8:$B$95,$A$8:$A$95,$A45)),""),"")</f>
        <v/>
      </c>
      <c r="F45" s="24" t="str">
        <f aca="false">IFERROR(forecast.ets($A45,$B$8:$B$95,$A$8:$A$95,4,1,1),"")</f>
        <v/>
      </c>
      <c r="G45" s="24" t="str">
        <f aca="false">IFERROR(F45-forecast.ets.confint($A45,$B$8:$B$95,$A$8:$A$95,0.95,4,1,1),"")</f>
        <v/>
      </c>
      <c r="H45" s="24" t="str">
        <f aca="false">IFERROR(F45+forecast.ets.confint($A45,$B$8:$B$95,$A$8:$A$95,0.95,4,1,1),"")</f>
        <v/>
      </c>
    </row>
    <row r="46" customFormat="false" ht="15" hidden="false" customHeight="false" outlineLevel="0" collapsed="false">
      <c r="A46" s="16" t="n">
        <v>42917</v>
      </c>
      <c r="B46" s="17" t="str">
        <f aca="false">IFERROR(haverdata(Codes!$D$14,$A46),"")</f>
        <v/>
      </c>
      <c r="C46" s="18" t="str">
        <f aca="false">IFERROR(B46/B45-1,"")</f>
        <v/>
      </c>
      <c r="D46" s="18" t="str">
        <f aca="false">IFERROR(B46/B42-1,"")</f>
        <v/>
      </c>
      <c r="E46" s="19" t="str">
        <f aca="false">IFERROR(IF(B46="",IFERROR(GROWTH($B$8:$B$95,$A$8:$A$95,$A46),TREND($B$8:$B$95,$A$8:$A$95,$A46)),""),"")</f>
        <v/>
      </c>
      <c r="F46" s="19" t="str">
        <f aca="false">IFERROR(forecast.ets($A46,$B$8:$B$95,$A$8:$A$95,4,1,1),"")</f>
        <v/>
      </c>
      <c r="G46" s="19" t="str">
        <f aca="false">IFERROR(F46-forecast.ets.confint($A46,$B$8:$B$95,$A$8:$A$95,0.95,4,1,1),"")</f>
        <v/>
      </c>
      <c r="H46" s="19" t="str">
        <f aca="false">IFERROR(F46+forecast.ets.confint($A46,$B$8:$B$95,$A$8:$A$95,0.95,4,1,1),"")</f>
        <v/>
      </c>
    </row>
    <row r="47" customFormat="false" ht="15" hidden="false" customHeight="false" outlineLevel="0" collapsed="false">
      <c r="A47" s="21" t="n">
        <v>43009</v>
      </c>
      <c r="B47" s="22" t="str">
        <f aca="false">IFERROR(haverdata(Codes!$D$14,$A47),"")</f>
        <v/>
      </c>
      <c r="C47" s="23" t="str">
        <f aca="false">IFERROR(B47/B46-1,"")</f>
        <v/>
      </c>
      <c r="D47" s="23" t="str">
        <f aca="false">IFERROR(B47/B43-1,"")</f>
        <v/>
      </c>
      <c r="E47" s="24" t="str">
        <f aca="false">IFERROR(IF(B47="",IFERROR(GROWTH($B$8:$B$95,$A$8:$A$95,$A47),TREND($B$8:$B$95,$A$8:$A$95,$A47)),""),"")</f>
        <v/>
      </c>
      <c r="F47" s="24" t="str">
        <f aca="false">IFERROR(forecast.ets($A47,$B$8:$B$95,$A$8:$A$95,4,1,1),"")</f>
        <v/>
      </c>
      <c r="G47" s="24" t="str">
        <f aca="false">IFERROR(F47-forecast.ets.confint($A47,$B$8:$B$95,$A$8:$A$95,0.95,4,1,1),"")</f>
        <v/>
      </c>
      <c r="H47" s="24" t="str">
        <f aca="false">IFERROR(F47+forecast.ets.confint($A47,$B$8:$B$95,$A$8:$A$95,0.95,4,1,1),"")</f>
        <v/>
      </c>
    </row>
    <row r="48" customFormat="false" ht="15" hidden="false" customHeight="false" outlineLevel="0" collapsed="false">
      <c r="A48" s="16" t="n">
        <v>43101</v>
      </c>
      <c r="B48" s="17" t="str">
        <f aca="false">IFERROR(haverdata(Codes!$D$14,$A48),"")</f>
        <v/>
      </c>
      <c r="C48" s="18" t="str">
        <f aca="false">IFERROR(B48/B47-1,"")</f>
        <v/>
      </c>
      <c r="D48" s="18" t="str">
        <f aca="false">IFERROR(B48/B44-1,"")</f>
        <v/>
      </c>
      <c r="E48" s="19" t="str">
        <f aca="false">IFERROR(IF(B48="",IFERROR(GROWTH($B$8:$B$95,$A$8:$A$95,$A48),TREND($B$8:$B$95,$A$8:$A$95,$A48)),""),"")</f>
        <v/>
      </c>
      <c r="F48" s="19" t="str">
        <f aca="false">IFERROR(forecast.ets($A48,$B$8:$B$95,$A$8:$A$95,4,1,1),"")</f>
        <v/>
      </c>
      <c r="G48" s="19" t="str">
        <f aca="false">IFERROR(F48-forecast.ets.confint($A48,$B$8:$B$95,$A$8:$A$95,0.95,4,1,1),"")</f>
        <v/>
      </c>
      <c r="H48" s="19" t="str">
        <f aca="false">IFERROR(F48+forecast.ets.confint($A48,$B$8:$B$95,$A$8:$A$95,0.95,4,1,1),"")</f>
        <v/>
      </c>
    </row>
    <row r="49" customFormat="false" ht="15" hidden="false" customHeight="false" outlineLevel="0" collapsed="false">
      <c r="A49" s="21" t="n">
        <v>43191</v>
      </c>
      <c r="B49" s="22" t="str">
        <f aca="false">IFERROR(haverdata(Codes!$D$14,$A49),"")</f>
        <v/>
      </c>
      <c r="C49" s="23" t="str">
        <f aca="false">IFERROR(B49/B48-1,"")</f>
        <v/>
      </c>
      <c r="D49" s="23" t="str">
        <f aca="false">IFERROR(B49/B45-1,"")</f>
        <v/>
      </c>
      <c r="E49" s="24" t="str">
        <f aca="false">IFERROR(IF(B49="",IFERROR(GROWTH($B$8:$B$95,$A$8:$A$95,$A49),TREND($B$8:$B$95,$A$8:$A$95,$A49)),""),"")</f>
        <v/>
      </c>
      <c r="F49" s="24" t="str">
        <f aca="false">IFERROR(forecast.ets($A49,$B$8:$B$95,$A$8:$A$95,4,1,1),"")</f>
        <v/>
      </c>
      <c r="G49" s="24" t="str">
        <f aca="false">IFERROR(F49-forecast.ets.confint($A49,$B$8:$B$95,$A$8:$A$95,0.95,4,1,1),"")</f>
        <v/>
      </c>
      <c r="H49" s="24" t="str">
        <f aca="false">IFERROR(F49+forecast.ets.confint($A49,$B$8:$B$95,$A$8:$A$95,0.95,4,1,1),"")</f>
        <v/>
      </c>
    </row>
    <row r="50" customFormat="false" ht="15" hidden="false" customHeight="false" outlineLevel="0" collapsed="false">
      <c r="A50" s="16" t="n">
        <v>43282</v>
      </c>
      <c r="B50" s="17" t="str">
        <f aca="false">IFERROR(haverdata(Codes!$D$14,$A50),"")</f>
        <v/>
      </c>
      <c r="C50" s="18" t="str">
        <f aca="false">IFERROR(B50/B49-1,"")</f>
        <v/>
      </c>
      <c r="D50" s="18" t="str">
        <f aca="false">IFERROR(B50/B46-1,"")</f>
        <v/>
      </c>
      <c r="E50" s="19" t="str">
        <f aca="false">IFERROR(IF(B50="",IFERROR(GROWTH($B$8:$B$95,$A$8:$A$95,$A50),TREND($B$8:$B$95,$A$8:$A$95,$A50)),""),"")</f>
        <v/>
      </c>
      <c r="F50" s="19" t="str">
        <f aca="false">IFERROR(forecast.ets($A50,$B$8:$B$95,$A$8:$A$95,4,1,1),"")</f>
        <v/>
      </c>
      <c r="G50" s="19" t="str">
        <f aca="false">IFERROR(F50-forecast.ets.confint($A50,$B$8:$B$95,$A$8:$A$95,0.95,4,1,1),"")</f>
        <v/>
      </c>
      <c r="H50" s="19" t="str">
        <f aca="false">IFERROR(F50+forecast.ets.confint($A50,$B$8:$B$95,$A$8:$A$95,0.95,4,1,1),"")</f>
        <v/>
      </c>
    </row>
    <row r="51" customFormat="false" ht="15" hidden="false" customHeight="false" outlineLevel="0" collapsed="false">
      <c r="A51" s="21" t="n">
        <v>43374</v>
      </c>
      <c r="B51" s="22" t="str">
        <f aca="false">IFERROR(haverdata(Codes!$D$14,$A51),"")</f>
        <v/>
      </c>
      <c r="C51" s="23" t="str">
        <f aca="false">IFERROR(B51/B50-1,"")</f>
        <v/>
      </c>
      <c r="D51" s="23" t="str">
        <f aca="false">IFERROR(B51/B47-1,"")</f>
        <v/>
      </c>
      <c r="E51" s="24" t="str">
        <f aca="false">IFERROR(IF(B51="",IFERROR(GROWTH($B$8:$B$95,$A$8:$A$95,$A51),TREND($B$8:$B$95,$A$8:$A$95,$A51)),""),"")</f>
        <v/>
      </c>
      <c r="F51" s="24" t="str">
        <f aca="false">IFERROR(forecast.ets($A51,$B$8:$B$95,$A$8:$A$95,4,1,1),"")</f>
        <v/>
      </c>
      <c r="G51" s="24" t="str">
        <f aca="false">IFERROR(F51-forecast.ets.confint($A51,$B$8:$B$95,$A$8:$A$95,0.95,4,1,1),"")</f>
        <v/>
      </c>
      <c r="H51" s="24" t="str">
        <f aca="false">IFERROR(F51+forecast.ets.confint($A51,$B$8:$B$95,$A$8:$A$95,0.95,4,1,1),"")</f>
        <v/>
      </c>
    </row>
    <row r="52" customFormat="false" ht="15" hidden="false" customHeight="false" outlineLevel="0" collapsed="false">
      <c r="A52" s="16" t="n">
        <v>43466</v>
      </c>
      <c r="B52" s="17" t="str">
        <f aca="false">IFERROR(haverdata(Codes!$D$14,$A52),"")</f>
        <v/>
      </c>
      <c r="C52" s="18" t="str">
        <f aca="false">IFERROR(B52/B51-1,"")</f>
        <v/>
      </c>
      <c r="D52" s="18" t="str">
        <f aca="false">IFERROR(B52/B48-1,"")</f>
        <v/>
      </c>
      <c r="E52" s="19" t="str">
        <f aca="false">IFERROR(IF(B52="",IFERROR(GROWTH($B$8:$B$95,$A$8:$A$95,$A52),TREND($B$8:$B$95,$A$8:$A$95,$A52)),""),"")</f>
        <v/>
      </c>
      <c r="F52" s="19" t="str">
        <f aca="false">IFERROR(forecast.ets($A52,$B$8:$B$95,$A$8:$A$95,4,1,1),"")</f>
        <v/>
      </c>
      <c r="G52" s="19" t="str">
        <f aca="false">IFERROR(F52-forecast.ets.confint($A52,$B$8:$B$95,$A$8:$A$95,0.95,4,1,1),"")</f>
        <v/>
      </c>
      <c r="H52" s="19" t="str">
        <f aca="false">IFERROR(F52+forecast.ets.confint($A52,$B$8:$B$95,$A$8:$A$95,0.95,4,1,1),"")</f>
        <v/>
      </c>
    </row>
    <row r="53" customFormat="false" ht="15" hidden="false" customHeight="false" outlineLevel="0" collapsed="false">
      <c r="A53" s="21" t="n">
        <v>43556</v>
      </c>
      <c r="B53" s="22" t="str">
        <f aca="false">IFERROR(haverdata(Codes!$D$14,$A53),"")</f>
        <v/>
      </c>
      <c r="C53" s="23" t="str">
        <f aca="false">IFERROR(B53/B52-1,"")</f>
        <v/>
      </c>
      <c r="D53" s="23" t="str">
        <f aca="false">IFERROR(B53/B49-1,"")</f>
        <v/>
      </c>
      <c r="E53" s="24" t="str">
        <f aca="false">IFERROR(IF(B53="",IFERROR(GROWTH($B$8:$B$95,$A$8:$A$95,$A53),TREND($B$8:$B$95,$A$8:$A$95,$A53)),""),"")</f>
        <v/>
      </c>
      <c r="F53" s="24" t="str">
        <f aca="false">IFERROR(forecast.ets($A53,$B$8:$B$95,$A$8:$A$95,4,1,1),"")</f>
        <v/>
      </c>
      <c r="G53" s="24" t="str">
        <f aca="false">IFERROR(F53-forecast.ets.confint($A53,$B$8:$B$95,$A$8:$A$95,0.95,4,1,1),"")</f>
        <v/>
      </c>
      <c r="H53" s="24" t="str">
        <f aca="false">IFERROR(F53+forecast.ets.confint($A53,$B$8:$B$95,$A$8:$A$95,0.95,4,1,1),"")</f>
        <v/>
      </c>
    </row>
    <row r="54" customFormat="false" ht="15" hidden="false" customHeight="false" outlineLevel="0" collapsed="false">
      <c r="A54" s="16" t="n">
        <v>43647</v>
      </c>
      <c r="B54" s="17" t="str">
        <f aca="false">IFERROR(haverdata(Codes!$D$14,$A54),"")</f>
        <v/>
      </c>
      <c r="C54" s="18" t="str">
        <f aca="false">IFERROR(B54/B53-1,"")</f>
        <v/>
      </c>
      <c r="D54" s="18" t="str">
        <f aca="false">IFERROR(B54/B50-1,"")</f>
        <v/>
      </c>
      <c r="E54" s="19" t="str">
        <f aca="false">IFERROR(IF(B54="",IFERROR(GROWTH($B$8:$B$95,$A$8:$A$95,$A54),TREND($B$8:$B$95,$A$8:$A$95,$A54)),""),"")</f>
        <v/>
      </c>
      <c r="F54" s="19" t="str">
        <f aca="false">IFERROR(forecast.ets($A54,$B$8:$B$95,$A$8:$A$95,4,1,1),"")</f>
        <v/>
      </c>
      <c r="G54" s="19" t="str">
        <f aca="false">IFERROR(F54-forecast.ets.confint($A54,$B$8:$B$95,$A$8:$A$95,0.95,4,1,1),"")</f>
        <v/>
      </c>
      <c r="H54" s="19" t="str">
        <f aca="false">IFERROR(F54+forecast.ets.confint($A54,$B$8:$B$95,$A$8:$A$95,0.95,4,1,1),"")</f>
        <v/>
      </c>
    </row>
    <row r="55" customFormat="false" ht="15" hidden="false" customHeight="false" outlineLevel="0" collapsed="false">
      <c r="A55" s="21" t="n">
        <v>43739</v>
      </c>
      <c r="B55" s="22" t="str">
        <f aca="false">IFERROR(haverdata(Codes!$D$14,$A55),"")</f>
        <v/>
      </c>
      <c r="C55" s="23" t="str">
        <f aca="false">IFERROR(B55/B54-1,"")</f>
        <v/>
      </c>
      <c r="D55" s="23" t="str">
        <f aca="false">IFERROR(B55/B51-1,"")</f>
        <v/>
      </c>
      <c r="E55" s="24" t="str">
        <f aca="false">IFERROR(IF(B55="",IFERROR(GROWTH($B$8:$B$95,$A$8:$A$95,$A55),TREND($B$8:$B$95,$A$8:$A$95,$A55)),""),"")</f>
        <v/>
      </c>
      <c r="F55" s="24" t="str">
        <f aca="false">IFERROR(forecast.ets($A55,$B$8:$B$95,$A$8:$A$95,4,1,1),"")</f>
        <v/>
      </c>
      <c r="G55" s="24" t="str">
        <f aca="false">IFERROR(F55-forecast.ets.confint($A55,$B$8:$B$95,$A$8:$A$95,0.95,4,1,1),"")</f>
        <v/>
      </c>
      <c r="H55" s="24" t="str">
        <f aca="false">IFERROR(F55+forecast.ets.confint($A55,$B$8:$B$95,$A$8:$A$95,0.95,4,1,1),"")</f>
        <v/>
      </c>
    </row>
    <row r="56" customFormat="false" ht="15" hidden="false" customHeight="false" outlineLevel="0" collapsed="false">
      <c r="A56" s="16" t="n">
        <v>43831</v>
      </c>
      <c r="B56" s="17" t="str">
        <f aca="false">IFERROR(haverdata(Codes!$D$14,$A56),"")</f>
        <v/>
      </c>
      <c r="C56" s="18" t="str">
        <f aca="false">IFERROR(B56/B55-1,"")</f>
        <v/>
      </c>
      <c r="D56" s="18" t="str">
        <f aca="false">IFERROR(B56/B52-1,"")</f>
        <v/>
      </c>
      <c r="E56" s="19" t="str">
        <f aca="false">IFERROR(IF(B56="",IFERROR(GROWTH($B$8:$B$95,$A$8:$A$95,$A56),TREND($B$8:$B$95,$A$8:$A$95,$A56)),""),"")</f>
        <v/>
      </c>
      <c r="F56" s="19" t="str">
        <f aca="false">IFERROR(forecast.ets($A56,$B$8:$B$95,$A$8:$A$95,4,1,1),"")</f>
        <v/>
      </c>
      <c r="G56" s="19" t="str">
        <f aca="false">IFERROR(F56-forecast.ets.confint($A56,$B$8:$B$95,$A$8:$A$95,0.95,4,1,1),"")</f>
        <v/>
      </c>
      <c r="H56" s="19" t="str">
        <f aca="false">IFERROR(F56+forecast.ets.confint($A56,$B$8:$B$95,$A$8:$A$95,0.95,4,1,1),"")</f>
        <v/>
      </c>
    </row>
    <row r="57" customFormat="false" ht="15" hidden="false" customHeight="false" outlineLevel="0" collapsed="false">
      <c r="A57" s="21" t="n">
        <v>43922</v>
      </c>
      <c r="B57" s="22" t="str">
        <f aca="false">IFERROR(haverdata(Codes!$D$14,$A57),"")</f>
        <v/>
      </c>
      <c r="C57" s="23" t="str">
        <f aca="false">IFERROR(B57/B56-1,"")</f>
        <v/>
      </c>
      <c r="D57" s="23" t="str">
        <f aca="false">IFERROR(B57/B53-1,"")</f>
        <v/>
      </c>
      <c r="E57" s="24" t="str">
        <f aca="false">IFERROR(IF(B57="",IFERROR(GROWTH($B$8:$B$95,$A$8:$A$95,$A57),TREND($B$8:$B$95,$A$8:$A$95,$A57)),""),"")</f>
        <v/>
      </c>
      <c r="F57" s="24" t="str">
        <f aca="false">IFERROR(forecast.ets($A57,$B$8:$B$95,$A$8:$A$95,4,1,1),"")</f>
        <v/>
      </c>
      <c r="G57" s="24" t="str">
        <f aca="false">IFERROR(F57-forecast.ets.confint($A57,$B$8:$B$95,$A$8:$A$95,0.95,4,1,1),"")</f>
        <v/>
      </c>
      <c r="H57" s="24" t="str">
        <f aca="false">IFERROR(F57+forecast.ets.confint($A57,$B$8:$B$95,$A$8:$A$95,0.95,4,1,1),"")</f>
        <v/>
      </c>
    </row>
    <row r="58" customFormat="false" ht="15" hidden="false" customHeight="false" outlineLevel="0" collapsed="false">
      <c r="A58" s="16" t="n">
        <v>44013</v>
      </c>
      <c r="B58" s="17" t="str">
        <f aca="false">IFERROR(haverdata(Codes!$D$14,$A58),"")</f>
        <v/>
      </c>
      <c r="C58" s="18" t="str">
        <f aca="false">IFERROR(B58/B57-1,"")</f>
        <v/>
      </c>
      <c r="D58" s="18" t="str">
        <f aca="false">IFERROR(B58/B54-1,"")</f>
        <v/>
      </c>
      <c r="E58" s="19" t="str">
        <f aca="false">IFERROR(IF(B58="",IFERROR(GROWTH($B$8:$B$95,$A$8:$A$95,$A58),TREND($B$8:$B$95,$A$8:$A$95,$A58)),""),"")</f>
        <v/>
      </c>
      <c r="F58" s="19" t="str">
        <f aca="false">IFERROR(forecast.ets($A58,$B$8:$B$95,$A$8:$A$95,4,1,1),"")</f>
        <v/>
      </c>
      <c r="G58" s="19" t="str">
        <f aca="false">IFERROR(F58-forecast.ets.confint($A58,$B$8:$B$95,$A$8:$A$95,0.95,4,1,1),"")</f>
        <v/>
      </c>
      <c r="H58" s="19" t="str">
        <f aca="false">IFERROR(F58+forecast.ets.confint($A58,$B$8:$B$95,$A$8:$A$95,0.95,4,1,1),"")</f>
        <v/>
      </c>
    </row>
    <row r="59" customFormat="false" ht="15" hidden="false" customHeight="false" outlineLevel="0" collapsed="false">
      <c r="A59" s="21" t="n">
        <v>44105</v>
      </c>
      <c r="B59" s="22" t="str">
        <f aca="false">IFERROR(haverdata(Codes!$D$14,$A59),"")</f>
        <v/>
      </c>
      <c r="C59" s="23" t="str">
        <f aca="false">IFERROR(B59/B58-1,"")</f>
        <v/>
      </c>
      <c r="D59" s="23" t="str">
        <f aca="false">IFERROR(B59/B55-1,"")</f>
        <v/>
      </c>
      <c r="E59" s="24" t="str">
        <f aca="false">IFERROR(IF(B59="",IFERROR(GROWTH($B$8:$B$95,$A$8:$A$95,$A59),TREND($B$8:$B$95,$A$8:$A$95,$A59)),""),"")</f>
        <v/>
      </c>
      <c r="F59" s="24" t="str">
        <f aca="false">IFERROR(forecast.ets($A59,$B$8:$B$95,$A$8:$A$95,4,1,1),"")</f>
        <v/>
      </c>
      <c r="G59" s="24" t="str">
        <f aca="false">IFERROR(F59-forecast.ets.confint($A59,$B$8:$B$95,$A$8:$A$95,0.95,4,1,1),"")</f>
        <v/>
      </c>
      <c r="H59" s="24" t="str">
        <f aca="false">IFERROR(F59+forecast.ets.confint($A59,$B$8:$B$95,$A$8:$A$95,0.95,4,1,1),"")</f>
        <v/>
      </c>
    </row>
    <row r="60" customFormat="false" ht="15" hidden="false" customHeight="false" outlineLevel="0" collapsed="false">
      <c r="A60" s="16" t="n">
        <v>44197</v>
      </c>
      <c r="B60" s="17" t="str">
        <f aca="false">IFERROR(haverdata(Codes!$D$14,$A60),"")</f>
        <v/>
      </c>
      <c r="C60" s="18" t="str">
        <f aca="false">IFERROR(B60/B59-1,"")</f>
        <v/>
      </c>
      <c r="D60" s="18" t="str">
        <f aca="false">IFERROR(B60/B56-1,"")</f>
        <v/>
      </c>
      <c r="E60" s="19" t="str">
        <f aca="false">IFERROR(IF(B60="",IFERROR(GROWTH($B$8:$B$95,$A$8:$A$95,$A60),TREND($B$8:$B$95,$A$8:$A$95,$A60)),""),"")</f>
        <v/>
      </c>
      <c r="F60" s="19" t="str">
        <f aca="false">IFERROR(forecast.ets($A60,$B$8:$B$95,$A$8:$A$95,4,1,1),"")</f>
        <v/>
      </c>
      <c r="G60" s="19" t="str">
        <f aca="false">IFERROR(F60-forecast.ets.confint($A60,$B$8:$B$95,$A$8:$A$95,0.95,4,1,1),"")</f>
        <v/>
      </c>
      <c r="H60" s="19" t="str">
        <f aca="false">IFERROR(F60+forecast.ets.confint($A60,$B$8:$B$95,$A$8:$A$95,0.95,4,1,1),"")</f>
        <v/>
      </c>
    </row>
    <row r="61" customFormat="false" ht="15" hidden="false" customHeight="false" outlineLevel="0" collapsed="false">
      <c r="A61" s="21" t="n">
        <v>44287</v>
      </c>
      <c r="B61" s="22" t="str">
        <f aca="false">IFERROR(haverdata(Codes!$D$14,$A61),"")</f>
        <v/>
      </c>
      <c r="C61" s="23" t="str">
        <f aca="false">IFERROR(B61/B60-1,"")</f>
        <v/>
      </c>
      <c r="D61" s="23" t="str">
        <f aca="false">IFERROR(B61/B57-1,"")</f>
        <v/>
      </c>
      <c r="E61" s="24" t="str">
        <f aca="false">IFERROR(IF(B61="",IFERROR(GROWTH($B$8:$B$95,$A$8:$A$95,$A61),TREND($B$8:$B$95,$A$8:$A$95,$A61)),""),"")</f>
        <v/>
      </c>
      <c r="F61" s="24" t="str">
        <f aca="false">IFERROR(forecast.ets($A61,$B$8:$B$95,$A$8:$A$95,4,1,1),"")</f>
        <v/>
      </c>
      <c r="G61" s="24" t="str">
        <f aca="false">IFERROR(F61-forecast.ets.confint($A61,$B$8:$B$95,$A$8:$A$95,0.95,4,1,1),"")</f>
        <v/>
      </c>
      <c r="H61" s="24" t="str">
        <f aca="false">IFERROR(F61+forecast.ets.confint($A61,$B$8:$B$95,$A$8:$A$95,0.95,4,1,1),"")</f>
        <v/>
      </c>
    </row>
    <row r="62" customFormat="false" ht="15" hidden="false" customHeight="false" outlineLevel="0" collapsed="false">
      <c r="A62" s="16" t="n">
        <v>44378</v>
      </c>
      <c r="B62" s="17" t="str">
        <f aca="false">IFERROR(haverdata(Codes!$D$14,$A62),"")</f>
        <v/>
      </c>
      <c r="C62" s="18" t="str">
        <f aca="false">IFERROR(B62/B61-1,"")</f>
        <v/>
      </c>
      <c r="D62" s="18" t="str">
        <f aca="false">IFERROR(B62/B58-1,"")</f>
        <v/>
      </c>
      <c r="E62" s="19" t="str">
        <f aca="false">IFERROR(IF(B62="",IFERROR(GROWTH($B$8:$B$95,$A$8:$A$95,$A62),TREND($B$8:$B$95,$A$8:$A$95,$A62)),""),"")</f>
        <v/>
      </c>
      <c r="F62" s="19" t="str">
        <f aca="false">IFERROR(forecast.ets($A62,$B$8:$B$95,$A$8:$A$95,4,1,1),"")</f>
        <v/>
      </c>
      <c r="G62" s="19" t="str">
        <f aca="false">IFERROR(F62-forecast.ets.confint($A62,$B$8:$B$95,$A$8:$A$95,0.95,4,1,1),"")</f>
        <v/>
      </c>
      <c r="H62" s="19" t="str">
        <f aca="false">IFERROR(F62+forecast.ets.confint($A62,$B$8:$B$95,$A$8:$A$95,0.95,4,1,1),"")</f>
        <v/>
      </c>
    </row>
    <row r="63" customFormat="false" ht="15" hidden="false" customHeight="false" outlineLevel="0" collapsed="false">
      <c r="A63" s="21" t="n">
        <v>44470</v>
      </c>
      <c r="B63" s="22" t="str">
        <f aca="false">IFERROR(haverdata(Codes!$D$14,$A63),"")</f>
        <v/>
      </c>
      <c r="C63" s="23" t="str">
        <f aca="false">IFERROR(B63/B62-1,"")</f>
        <v/>
      </c>
      <c r="D63" s="23" t="str">
        <f aca="false">IFERROR(B63/B59-1,"")</f>
        <v/>
      </c>
      <c r="E63" s="24" t="str">
        <f aca="false">IFERROR(IF(B63="",IFERROR(GROWTH($B$8:$B$95,$A$8:$A$95,$A63),TREND($B$8:$B$95,$A$8:$A$95,$A63)),""),"")</f>
        <v/>
      </c>
      <c r="F63" s="24" t="str">
        <f aca="false">IFERROR(forecast.ets($A63,$B$8:$B$95,$A$8:$A$95,4,1,1),"")</f>
        <v/>
      </c>
      <c r="G63" s="24" t="str">
        <f aca="false">IFERROR(F63-forecast.ets.confint($A63,$B$8:$B$95,$A$8:$A$95,0.95,4,1,1),"")</f>
        <v/>
      </c>
      <c r="H63" s="24" t="str">
        <f aca="false">IFERROR(F63+forecast.ets.confint($A63,$B$8:$B$95,$A$8:$A$95,0.95,4,1,1),"")</f>
        <v/>
      </c>
    </row>
    <row r="64" customFormat="false" ht="15" hidden="false" customHeight="false" outlineLevel="0" collapsed="false">
      <c r="A64" s="16" t="n">
        <v>44562</v>
      </c>
      <c r="B64" s="17" t="str">
        <f aca="false">IFERROR(haverdata(Codes!$D$14,$A64),"")</f>
        <v/>
      </c>
      <c r="C64" s="18" t="str">
        <f aca="false">IFERROR(B64/B63-1,"")</f>
        <v/>
      </c>
      <c r="D64" s="18" t="str">
        <f aca="false">IFERROR(B64/B60-1,"")</f>
        <v/>
      </c>
      <c r="E64" s="19" t="str">
        <f aca="false">IFERROR(IF(B64="",IFERROR(GROWTH($B$8:$B$95,$A$8:$A$95,$A64),TREND($B$8:$B$95,$A$8:$A$95,$A64)),""),"")</f>
        <v/>
      </c>
      <c r="F64" s="19" t="str">
        <f aca="false">IFERROR(forecast.ets($A64,$B$8:$B$95,$A$8:$A$95,4,1,1),"")</f>
        <v/>
      </c>
      <c r="G64" s="19" t="str">
        <f aca="false">IFERROR(F64-forecast.ets.confint($A64,$B$8:$B$95,$A$8:$A$95,0.95,4,1,1),"")</f>
        <v/>
      </c>
      <c r="H64" s="19" t="str">
        <f aca="false">IFERROR(F64+forecast.ets.confint($A64,$B$8:$B$95,$A$8:$A$95,0.95,4,1,1),"")</f>
        <v/>
      </c>
    </row>
    <row r="65" customFormat="false" ht="15" hidden="false" customHeight="false" outlineLevel="0" collapsed="false">
      <c r="A65" s="21" t="n">
        <v>44652</v>
      </c>
      <c r="B65" s="22" t="str">
        <f aca="false">IFERROR(haverdata(Codes!$D$14,$A65),"")</f>
        <v/>
      </c>
      <c r="C65" s="23" t="str">
        <f aca="false">IFERROR(B65/B64-1,"")</f>
        <v/>
      </c>
      <c r="D65" s="23" t="str">
        <f aca="false">IFERROR(B65/B61-1,"")</f>
        <v/>
      </c>
      <c r="E65" s="24" t="str">
        <f aca="false">IFERROR(IF(B65="",IFERROR(GROWTH($B$8:$B$95,$A$8:$A$95,$A65),TREND($B$8:$B$95,$A$8:$A$95,$A65)),""),"")</f>
        <v/>
      </c>
      <c r="F65" s="24" t="str">
        <f aca="false">IFERROR(forecast.ets($A65,$B$8:$B$95,$A$8:$A$95,4,1,1),"")</f>
        <v/>
      </c>
      <c r="G65" s="24" t="str">
        <f aca="false">IFERROR(F65-forecast.ets.confint($A65,$B$8:$B$95,$A$8:$A$95,0.95,4,1,1),"")</f>
        <v/>
      </c>
      <c r="H65" s="24" t="str">
        <f aca="false">IFERROR(F65+forecast.ets.confint($A65,$B$8:$B$95,$A$8:$A$95,0.95,4,1,1),"")</f>
        <v/>
      </c>
    </row>
    <row r="66" customFormat="false" ht="15" hidden="false" customHeight="false" outlineLevel="0" collapsed="false">
      <c r="A66" s="16" t="n">
        <v>44743</v>
      </c>
      <c r="B66" s="17" t="str">
        <f aca="false">IFERROR(haverdata(Codes!$D$14,$A66),"")</f>
        <v/>
      </c>
      <c r="C66" s="18" t="str">
        <f aca="false">IFERROR(B66/B65-1,"")</f>
        <v/>
      </c>
      <c r="D66" s="18" t="str">
        <f aca="false">IFERROR(B66/B62-1,"")</f>
        <v/>
      </c>
      <c r="E66" s="19" t="str">
        <f aca="false">IFERROR(IF(B66="",IFERROR(GROWTH($B$8:$B$95,$A$8:$A$95,$A66),TREND($B$8:$B$95,$A$8:$A$95,$A66)),""),"")</f>
        <v/>
      </c>
      <c r="F66" s="19" t="str">
        <f aca="false">IFERROR(forecast.ets($A66,$B$8:$B$95,$A$8:$A$95,4,1,1),"")</f>
        <v/>
      </c>
      <c r="G66" s="19" t="str">
        <f aca="false">IFERROR(F66-forecast.ets.confint($A66,$B$8:$B$95,$A$8:$A$95,0.95,4,1,1),"")</f>
        <v/>
      </c>
      <c r="H66" s="19" t="str">
        <f aca="false">IFERROR(F66+forecast.ets.confint($A66,$B$8:$B$95,$A$8:$A$95,0.95,4,1,1),"")</f>
        <v/>
      </c>
    </row>
    <row r="67" customFormat="false" ht="15" hidden="false" customHeight="false" outlineLevel="0" collapsed="false">
      <c r="A67" s="21" t="n">
        <v>44835</v>
      </c>
      <c r="B67" s="22" t="str">
        <f aca="false">IFERROR(haverdata(Codes!$D$14,$A67),"")</f>
        <v/>
      </c>
      <c r="C67" s="23" t="str">
        <f aca="false">IFERROR(B67/B66-1,"")</f>
        <v/>
      </c>
      <c r="D67" s="23" t="str">
        <f aca="false">IFERROR(B67/B63-1,"")</f>
        <v/>
      </c>
      <c r="E67" s="24" t="str">
        <f aca="false">IFERROR(IF(B67="",IFERROR(GROWTH($B$8:$B$95,$A$8:$A$95,$A67),TREND($B$8:$B$95,$A$8:$A$95,$A67)),""),"")</f>
        <v/>
      </c>
      <c r="F67" s="24" t="str">
        <f aca="false">IFERROR(forecast.ets($A67,$B$8:$B$95,$A$8:$A$95,4,1,1),"")</f>
        <v/>
      </c>
      <c r="G67" s="24" t="str">
        <f aca="false">IFERROR(F67-forecast.ets.confint($A67,$B$8:$B$95,$A$8:$A$95,0.95,4,1,1),"")</f>
        <v/>
      </c>
      <c r="H67" s="24" t="str">
        <f aca="false">IFERROR(F67+forecast.ets.confint($A67,$B$8:$B$95,$A$8:$A$95,0.95,4,1,1),"")</f>
        <v/>
      </c>
    </row>
    <row r="68" customFormat="false" ht="15" hidden="false" customHeight="false" outlineLevel="0" collapsed="false">
      <c r="A68" s="16" t="n">
        <v>44927</v>
      </c>
      <c r="B68" s="17" t="str">
        <f aca="false">IFERROR(haverdata(Codes!$D$14,$A68),"")</f>
        <v/>
      </c>
      <c r="C68" s="18" t="str">
        <f aca="false">IFERROR(B68/B67-1,"")</f>
        <v/>
      </c>
      <c r="D68" s="18" t="str">
        <f aca="false">IFERROR(B68/B64-1,"")</f>
        <v/>
      </c>
      <c r="E68" s="19" t="str">
        <f aca="false">IFERROR(IF(B68="",IFERROR(GROWTH($B$8:$B$95,$A$8:$A$95,$A68),TREND($B$8:$B$95,$A$8:$A$95,$A68)),""),"")</f>
        <v/>
      </c>
      <c r="F68" s="19" t="str">
        <f aca="false">IFERROR(forecast.ets($A68,$B$8:$B$95,$A$8:$A$95,4,1,1),"")</f>
        <v/>
      </c>
      <c r="G68" s="19" t="str">
        <f aca="false">IFERROR(F68-forecast.ets.confint($A68,$B$8:$B$95,$A$8:$A$95,0.95,4,1,1),"")</f>
        <v/>
      </c>
      <c r="H68" s="19" t="str">
        <f aca="false">IFERROR(F68+forecast.ets.confint($A68,$B$8:$B$95,$A$8:$A$95,0.95,4,1,1),"")</f>
        <v/>
      </c>
    </row>
    <row r="69" customFormat="false" ht="15" hidden="false" customHeight="false" outlineLevel="0" collapsed="false">
      <c r="A69" s="21" t="n">
        <v>45017</v>
      </c>
      <c r="B69" s="22" t="str">
        <f aca="false">IFERROR(haverdata(Codes!$D$14,$A69),"")</f>
        <v/>
      </c>
      <c r="C69" s="23" t="str">
        <f aca="false">IFERROR(B69/B68-1,"")</f>
        <v/>
      </c>
      <c r="D69" s="23" t="str">
        <f aca="false">IFERROR(B69/B65-1,"")</f>
        <v/>
      </c>
      <c r="E69" s="24" t="str">
        <f aca="false">IFERROR(IF(B69="",IFERROR(GROWTH($B$8:$B$95,$A$8:$A$95,$A69),TREND($B$8:$B$95,$A$8:$A$95,$A69)),""),"")</f>
        <v/>
      </c>
      <c r="F69" s="24" t="str">
        <f aca="false">IFERROR(forecast.ets($A69,$B$8:$B$95,$A$8:$A$95,4,1,1),"")</f>
        <v/>
      </c>
      <c r="G69" s="24" t="str">
        <f aca="false">IFERROR(F69-forecast.ets.confint($A69,$B$8:$B$95,$A$8:$A$95,0.95,4,1,1),"")</f>
        <v/>
      </c>
      <c r="H69" s="24" t="str">
        <f aca="false">IFERROR(F69+forecast.ets.confint($A69,$B$8:$B$95,$A$8:$A$95,0.95,4,1,1),"")</f>
        <v/>
      </c>
    </row>
    <row r="70" customFormat="false" ht="15" hidden="false" customHeight="false" outlineLevel="0" collapsed="false">
      <c r="A70" s="16" t="n">
        <v>45108</v>
      </c>
      <c r="B70" s="17" t="str">
        <f aca="false">IFERROR(haverdata(Codes!$D$14,$A70),"")</f>
        <v/>
      </c>
      <c r="C70" s="18" t="str">
        <f aca="false">IFERROR(B70/B69-1,"")</f>
        <v/>
      </c>
      <c r="D70" s="18" t="str">
        <f aca="false">IFERROR(B70/B66-1,"")</f>
        <v/>
      </c>
      <c r="E70" s="19" t="str">
        <f aca="false">IFERROR(IF(B70="",IFERROR(GROWTH($B$8:$B$95,$A$8:$A$95,$A70),TREND($B$8:$B$95,$A$8:$A$95,$A70)),""),"")</f>
        <v/>
      </c>
      <c r="F70" s="19" t="str">
        <f aca="false">IFERROR(forecast.ets($A70,$B$8:$B$95,$A$8:$A$95,4,1,1),"")</f>
        <v/>
      </c>
      <c r="G70" s="19" t="str">
        <f aca="false">IFERROR(F70-forecast.ets.confint($A70,$B$8:$B$95,$A$8:$A$95,0.95,4,1,1),"")</f>
        <v/>
      </c>
      <c r="H70" s="19" t="str">
        <f aca="false">IFERROR(F70+forecast.ets.confint($A70,$B$8:$B$95,$A$8:$A$95,0.95,4,1,1),"")</f>
        <v/>
      </c>
    </row>
    <row r="71" customFormat="false" ht="15" hidden="false" customHeight="false" outlineLevel="0" collapsed="false">
      <c r="A71" s="21" t="n">
        <v>45200</v>
      </c>
      <c r="B71" s="22" t="str">
        <f aca="false">IFERROR(haverdata(Codes!$D$14,$A71),"")</f>
        <v/>
      </c>
      <c r="C71" s="23" t="str">
        <f aca="false">IFERROR(B71/B70-1,"")</f>
        <v/>
      </c>
      <c r="D71" s="23" t="str">
        <f aca="false">IFERROR(B71/B67-1,"")</f>
        <v/>
      </c>
      <c r="E71" s="24" t="str">
        <f aca="false">IFERROR(IF(B71="",IFERROR(GROWTH($B$8:$B$95,$A$8:$A$95,$A71),TREND($B$8:$B$95,$A$8:$A$95,$A71)),""),"")</f>
        <v/>
      </c>
      <c r="F71" s="24" t="str">
        <f aca="false">IFERROR(forecast.ets($A71,$B$8:$B$95,$A$8:$A$95,4,1,1),"")</f>
        <v/>
      </c>
      <c r="G71" s="24" t="str">
        <f aca="false">IFERROR(F71-forecast.ets.confint($A71,$B$8:$B$95,$A$8:$A$95,0.95,4,1,1),"")</f>
        <v/>
      </c>
      <c r="H71" s="24" t="str">
        <f aca="false">IFERROR(F71+forecast.ets.confint($A71,$B$8:$B$95,$A$8:$A$95,0.95,4,1,1),"")</f>
        <v/>
      </c>
    </row>
    <row r="72" customFormat="false" ht="15" hidden="false" customHeight="false" outlineLevel="0" collapsed="false">
      <c r="A72" s="16" t="n">
        <v>45292</v>
      </c>
      <c r="B72" s="17" t="str">
        <f aca="false">IFERROR(haverdata(Codes!$D$14,$A72),"")</f>
        <v/>
      </c>
      <c r="C72" s="18" t="str">
        <f aca="false">IFERROR(B72/B71-1,"")</f>
        <v/>
      </c>
      <c r="D72" s="18" t="str">
        <f aca="false">IFERROR(B72/B68-1,"")</f>
        <v/>
      </c>
      <c r="E72" s="19" t="str">
        <f aca="false">IFERROR(IF(B72="",IFERROR(GROWTH($B$8:$B$95,$A$8:$A$95,$A72),TREND($B$8:$B$95,$A$8:$A$95,$A72)),""),"")</f>
        <v/>
      </c>
      <c r="F72" s="19" t="str">
        <f aca="false">IFERROR(forecast.ets($A72,$B$8:$B$95,$A$8:$A$95,4,1,1),"")</f>
        <v/>
      </c>
      <c r="G72" s="19" t="str">
        <f aca="false">IFERROR(F72-forecast.ets.confint($A72,$B$8:$B$95,$A$8:$A$95,0.95,4,1,1),"")</f>
        <v/>
      </c>
      <c r="H72" s="19" t="str">
        <f aca="false">IFERROR(F72+forecast.ets.confint($A72,$B$8:$B$95,$A$8:$A$95,0.95,4,1,1),"")</f>
        <v/>
      </c>
    </row>
    <row r="73" customFormat="false" ht="15" hidden="false" customHeight="false" outlineLevel="0" collapsed="false">
      <c r="A73" s="21" t="n">
        <v>45383</v>
      </c>
      <c r="B73" s="22" t="str">
        <f aca="false">IFERROR(haverdata(Codes!$D$14,$A73),"")</f>
        <v/>
      </c>
      <c r="C73" s="23" t="str">
        <f aca="false">IFERROR(B73/B72-1,"")</f>
        <v/>
      </c>
      <c r="D73" s="23" t="str">
        <f aca="false">IFERROR(B73/B69-1,"")</f>
        <v/>
      </c>
      <c r="E73" s="24" t="str">
        <f aca="false">IFERROR(IF(B73="",IFERROR(GROWTH($B$8:$B$95,$A$8:$A$95,$A73),TREND($B$8:$B$95,$A$8:$A$95,$A73)),""),"")</f>
        <v/>
      </c>
      <c r="F73" s="24" t="str">
        <f aca="false">IFERROR(forecast.ets($A73,$B$8:$B$95,$A$8:$A$95,4,1,1),"")</f>
        <v/>
      </c>
      <c r="G73" s="24" t="str">
        <f aca="false">IFERROR(F73-forecast.ets.confint($A73,$B$8:$B$95,$A$8:$A$95,0.95,4,1,1),"")</f>
        <v/>
      </c>
      <c r="H73" s="24" t="str">
        <f aca="false">IFERROR(F73+forecast.ets.confint($A73,$B$8:$B$95,$A$8:$A$95,0.95,4,1,1),"")</f>
        <v/>
      </c>
    </row>
    <row r="74" customFormat="false" ht="15" hidden="false" customHeight="false" outlineLevel="0" collapsed="false">
      <c r="A74" s="16" t="n">
        <v>45474</v>
      </c>
      <c r="B74" s="17" t="str">
        <f aca="false">IFERROR(haverdata(Codes!$D$14,$A74),"")</f>
        <v/>
      </c>
      <c r="C74" s="18" t="str">
        <f aca="false">IFERROR(B74/B73-1,"")</f>
        <v/>
      </c>
      <c r="D74" s="18" t="str">
        <f aca="false">IFERROR(B74/B70-1,"")</f>
        <v/>
      </c>
      <c r="E74" s="19" t="str">
        <f aca="false">IFERROR(IF(B74="",IFERROR(GROWTH($B$8:$B$95,$A$8:$A$95,$A74),TREND($B$8:$B$95,$A$8:$A$95,$A74)),""),"")</f>
        <v/>
      </c>
      <c r="F74" s="19" t="str">
        <f aca="false">IFERROR(forecast.ets($A74,$B$8:$B$95,$A$8:$A$95,4,1,1),"")</f>
        <v/>
      </c>
      <c r="G74" s="19" t="str">
        <f aca="false">IFERROR(F74-forecast.ets.confint($A74,$B$8:$B$95,$A$8:$A$95,0.95,4,1,1),"")</f>
        <v/>
      </c>
      <c r="H74" s="19" t="str">
        <f aca="false">IFERROR(F74+forecast.ets.confint($A74,$B$8:$B$95,$A$8:$A$95,0.95,4,1,1),"")</f>
        <v/>
      </c>
    </row>
    <row r="75" customFormat="false" ht="15" hidden="false" customHeight="false" outlineLevel="0" collapsed="false">
      <c r="A75" s="21" t="n">
        <v>45566</v>
      </c>
      <c r="B75" s="22" t="str">
        <f aca="false">IFERROR(haverdata(Codes!$D$14,$A75),"")</f>
        <v/>
      </c>
      <c r="C75" s="23" t="str">
        <f aca="false">IFERROR(B75/B74-1,"")</f>
        <v/>
      </c>
      <c r="D75" s="23" t="str">
        <f aca="false">IFERROR(B75/B71-1,"")</f>
        <v/>
      </c>
      <c r="E75" s="24" t="str">
        <f aca="false">IFERROR(IF(B75="",IFERROR(GROWTH($B$8:$B$95,$A$8:$A$95,$A75),TREND($B$8:$B$95,$A$8:$A$95,$A75)),""),"")</f>
        <v/>
      </c>
      <c r="F75" s="24" t="str">
        <f aca="false">IFERROR(forecast.ets($A75,$B$8:$B$95,$A$8:$A$95,4,1,1),"")</f>
        <v/>
      </c>
      <c r="G75" s="24" t="str">
        <f aca="false">IFERROR(F75-forecast.ets.confint($A75,$B$8:$B$95,$A$8:$A$95,0.95,4,1,1),"")</f>
        <v/>
      </c>
      <c r="H75" s="24" t="str">
        <f aca="false">IFERROR(F75+forecast.ets.confint($A75,$B$8:$B$95,$A$8:$A$95,0.95,4,1,1),"")</f>
        <v/>
      </c>
    </row>
    <row r="76" customFormat="false" ht="15" hidden="false" customHeight="false" outlineLevel="0" collapsed="false">
      <c r="A76" s="16" t="n">
        <v>45658</v>
      </c>
      <c r="B76" s="17" t="str">
        <f aca="false">IFERROR(haverdata(Codes!$D$14,$A76),"")</f>
        <v/>
      </c>
      <c r="C76" s="18" t="str">
        <f aca="false">IFERROR(B76/B75-1,"")</f>
        <v/>
      </c>
      <c r="D76" s="18" t="str">
        <f aca="false">IFERROR(B76/B72-1,"")</f>
        <v/>
      </c>
      <c r="E76" s="19" t="str">
        <f aca="false">IFERROR(IF(B76="",IFERROR(GROWTH($B$8:$B$95,$A$8:$A$95,$A76),TREND($B$8:$B$95,$A$8:$A$95,$A76)),""),"")</f>
        <v/>
      </c>
      <c r="F76" s="19" t="str">
        <f aca="false">IFERROR(forecast.ets($A76,$B$8:$B$95,$A$8:$A$95,4,1,1),"")</f>
        <v/>
      </c>
      <c r="G76" s="19" t="str">
        <f aca="false">IFERROR(F76-forecast.ets.confint($A76,$B$8:$B$95,$A$8:$A$95,0.95,4,1,1),"")</f>
        <v/>
      </c>
      <c r="H76" s="19" t="str">
        <f aca="false">IFERROR(F76+forecast.ets.confint($A76,$B$8:$B$95,$A$8:$A$95,0.95,4,1,1),"")</f>
        <v/>
      </c>
    </row>
    <row r="77" customFormat="false" ht="15" hidden="false" customHeight="false" outlineLevel="0" collapsed="false">
      <c r="A77" s="21" t="n">
        <v>45748</v>
      </c>
      <c r="B77" s="22" t="str">
        <f aca="false">IFERROR(haverdata(Codes!$D$14,$A77),"")</f>
        <v/>
      </c>
      <c r="C77" s="23" t="str">
        <f aca="false">IFERROR(B77/B76-1,"")</f>
        <v/>
      </c>
      <c r="D77" s="23" t="str">
        <f aca="false">IFERROR(B77/B73-1,"")</f>
        <v/>
      </c>
      <c r="E77" s="24" t="str">
        <f aca="false">IFERROR(IF(B77="",IFERROR(GROWTH($B$8:$B$95,$A$8:$A$95,$A77),TREND($B$8:$B$95,$A$8:$A$95,$A77)),""),"")</f>
        <v/>
      </c>
      <c r="F77" s="24" t="str">
        <f aca="false">IFERROR(forecast.ets($A77,$B$8:$B$95,$A$8:$A$95,4,1,1),"")</f>
        <v/>
      </c>
      <c r="G77" s="24" t="str">
        <f aca="false">IFERROR(F77-forecast.ets.confint($A77,$B$8:$B$95,$A$8:$A$95,0.95,4,1,1),"")</f>
        <v/>
      </c>
      <c r="H77" s="24" t="str">
        <f aca="false">IFERROR(F77+forecast.ets.confint($A77,$B$8:$B$95,$A$8:$A$95,0.95,4,1,1),"")</f>
        <v/>
      </c>
    </row>
    <row r="78" customFormat="false" ht="15" hidden="false" customHeight="false" outlineLevel="0" collapsed="false">
      <c r="A78" s="16" t="n">
        <v>45839</v>
      </c>
      <c r="B78" s="17" t="str">
        <f aca="false">IFERROR(haverdata(Codes!$D$14,$A78),"")</f>
        <v/>
      </c>
      <c r="C78" s="18" t="str">
        <f aca="false">IFERROR(B78/B77-1,"")</f>
        <v/>
      </c>
      <c r="D78" s="18" t="str">
        <f aca="false">IFERROR(B78/B74-1,"")</f>
        <v/>
      </c>
      <c r="E78" s="19" t="str">
        <f aca="false">IFERROR(IF(B78="",IFERROR(GROWTH($B$8:$B$95,$A$8:$A$95,$A78),TREND($B$8:$B$95,$A$8:$A$95,$A78)),""),"")</f>
        <v/>
      </c>
      <c r="F78" s="19" t="str">
        <f aca="false">IFERROR(forecast.ets($A78,$B$8:$B$95,$A$8:$A$95,4,1,1),"")</f>
        <v/>
      </c>
      <c r="G78" s="19" t="str">
        <f aca="false">IFERROR(F78-forecast.ets.confint($A78,$B$8:$B$95,$A$8:$A$95,0.95,4,1,1),"")</f>
        <v/>
      </c>
      <c r="H78" s="19" t="str">
        <f aca="false">IFERROR(F78+forecast.ets.confint($A78,$B$8:$B$95,$A$8:$A$95,0.95,4,1,1),"")</f>
        <v/>
      </c>
    </row>
    <row r="79" customFormat="false" ht="15" hidden="false" customHeight="false" outlineLevel="0" collapsed="false">
      <c r="A79" s="21" t="n">
        <v>45931</v>
      </c>
      <c r="B79" s="22" t="str">
        <f aca="false">IFERROR(haverdata(Codes!$D$14,$A79),"")</f>
        <v/>
      </c>
      <c r="C79" s="23" t="str">
        <f aca="false">IFERROR(B79/B78-1,"")</f>
        <v/>
      </c>
      <c r="D79" s="23" t="str">
        <f aca="false">IFERROR(B79/B75-1,"")</f>
        <v/>
      </c>
      <c r="E79" s="24" t="str">
        <f aca="false">IFERROR(IF(B79="",IFERROR(GROWTH($B$8:$B$95,$A$8:$A$95,$A79),TREND($B$8:$B$95,$A$8:$A$95,$A79)),""),"")</f>
        <v/>
      </c>
      <c r="F79" s="24" t="str">
        <f aca="false">IFERROR(forecast.ets($A79,$B$8:$B$95,$A$8:$A$95,4,1,1),"")</f>
        <v/>
      </c>
      <c r="G79" s="24" t="str">
        <f aca="false">IFERROR(F79-forecast.ets.confint($A79,$B$8:$B$95,$A$8:$A$95,0.95,4,1,1),"")</f>
        <v/>
      </c>
      <c r="H79" s="24" t="str">
        <f aca="false">IFERROR(F79+forecast.ets.confint($A79,$B$8:$B$95,$A$8:$A$95,0.95,4,1,1),"")</f>
        <v/>
      </c>
    </row>
    <row r="80" customFormat="false" ht="15" hidden="false" customHeight="false" outlineLevel="0" collapsed="false">
      <c r="A80" s="16" t="n">
        <v>46023</v>
      </c>
      <c r="B80" s="17" t="str">
        <f aca="false">IFERROR(haverdata(Codes!$D$14,$A80),"")</f>
        <v/>
      </c>
      <c r="C80" s="18" t="str">
        <f aca="false">IFERROR(B80/B79-1,"")</f>
        <v/>
      </c>
      <c r="D80" s="18" t="str">
        <f aca="false">IFERROR(B80/B76-1,"")</f>
        <v/>
      </c>
      <c r="E80" s="19" t="str">
        <f aca="false">IFERROR(IF(B80="",IFERROR(GROWTH($B$8:$B$95,$A$8:$A$95,$A80),TREND($B$8:$B$95,$A$8:$A$95,$A80)),""),"")</f>
        <v/>
      </c>
      <c r="F80" s="19" t="str">
        <f aca="false">IFERROR(forecast.ets($A80,$B$8:$B$95,$A$8:$A$95,4,1,1),"")</f>
        <v/>
      </c>
      <c r="G80" s="19" t="str">
        <f aca="false">IFERROR(F80-forecast.ets.confint($A80,$B$8:$B$95,$A$8:$A$95,0.95,4,1,1),"")</f>
        <v/>
      </c>
      <c r="H80" s="19" t="str">
        <f aca="false">IFERROR(F80+forecast.ets.confint($A80,$B$8:$B$95,$A$8:$A$95,0.95,4,1,1),"")</f>
        <v/>
      </c>
    </row>
    <row r="81" customFormat="false" ht="15" hidden="false" customHeight="false" outlineLevel="0" collapsed="false">
      <c r="A81" s="21" t="n">
        <v>46113</v>
      </c>
      <c r="B81" s="22" t="str">
        <f aca="false">IFERROR(haverdata(Codes!$D$14,$A81),"")</f>
        <v/>
      </c>
      <c r="C81" s="23" t="str">
        <f aca="false">IFERROR(B81/B80-1,"")</f>
        <v/>
      </c>
      <c r="D81" s="23" t="str">
        <f aca="false">IFERROR(B81/B77-1,"")</f>
        <v/>
      </c>
      <c r="E81" s="24" t="str">
        <f aca="false">IFERROR(IF(B81="",IFERROR(GROWTH($B$8:$B$95,$A$8:$A$95,$A81),TREND($B$8:$B$95,$A$8:$A$95,$A81)),""),"")</f>
        <v/>
      </c>
      <c r="F81" s="24" t="str">
        <f aca="false">IFERROR(forecast.ets($A81,$B$8:$B$95,$A$8:$A$95,4,1,1),"")</f>
        <v/>
      </c>
      <c r="G81" s="24" t="str">
        <f aca="false">IFERROR(F81-forecast.ets.confint($A81,$B$8:$B$95,$A$8:$A$95,0.95,4,1,1),"")</f>
        <v/>
      </c>
      <c r="H81" s="24" t="str">
        <f aca="false">IFERROR(F81+forecast.ets.confint($A81,$B$8:$B$95,$A$8:$A$95,0.95,4,1,1),"")</f>
        <v/>
      </c>
    </row>
    <row r="82" customFormat="false" ht="15" hidden="false" customHeight="false" outlineLevel="0" collapsed="false">
      <c r="A82" s="16" t="n">
        <v>46204</v>
      </c>
      <c r="B82" s="17" t="str">
        <f aca="false">IFERROR(haverdata(Codes!$D$14,$A82),"")</f>
        <v/>
      </c>
      <c r="C82" s="18" t="str">
        <f aca="false">IFERROR(B82/B81-1,"")</f>
        <v/>
      </c>
      <c r="D82" s="18" t="str">
        <f aca="false">IFERROR(B82/B78-1,"")</f>
        <v/>
      </c>
      <c r="E82" s="19" t="str">
        <f aca="false">IFERROR(IF(B82="",IFERROR(GROWTH($B$8:$B$95,$A$8:$A$95,$A82),TREND($B$8:$B$95,$A$8:$A$95,$A82)),""),"")</f>
        <v/>
      </c>
      <c r="F82" s="19" t="str">
        <f aca="false">IFERROR(forecast.ets($A82,$B$8:$B$95,$A$8:$A$95,4,1,1),"")</f>
        <v/>
      </c>
      <c r="G82" s="19" t="str">
        <f aca="false">IFERROR(F82-forecast.ets.confint($A82,$B$8:$B$95,$A$8:$A$95,0.95,4,1,1),"")</f>
        <v/>
      </c>
      <c r="H82" s="19" t="str">
        <f aca="false">IFERROR(F82+forecast.ets.confint($A82,$B$8:$B$95,$A$8:$A$95,0.95,4,1,1),"")</f>
        <v/>
      </c>
    </row>
    <row r="83" customFormat="false" ht="15" hidden="false" customHeight="false" outlineLevel="0" collapsed="false">
      <c r="A83" s="21" t="n">
        <v>46296</v>
      </c>
      <c r="B83" s="22" t="str">
        <f aca="false">IFERROR(haverdata(Codes!$D$14,$A83),"")</f>
        <v/>
      </c>
      <c r="C83" s="23" t="str">
        <f aca="false">IFERROR(B83/B82-1,"")</f>
        <v/>
      </c>
      <c r="D83" s="23" t="str">
        <f aca="false">IFERROR(B83/B79-1,"")</f>
        <v/>
      </c>
      <c r="E83" s="24" t="str">
        <f aca="false">IFERROR(IF(B83="",IFERROR(GROWTH($B$8:$B$95,$A$8:$A$95,$A83),TREND($B$8:$B$95,$A$8:$A$95,$A83)),""),"")</f>
        <v/>
      </c>
      <c r="F83" s="24" t="str">
        <f aca="false">IFERROR(forecast.ets($A83,$B$8:$B$95,$A$8:$A$95,4,1,1),"")</f>
        <v/>
      </c>
      <c r="G83" s="24" t="str">
        <f aca="false">IFERROR(F83-forecast.ets.confint($A83,$B$8:$B$95,$A$8:$A$95,0.95,4,1,1),"")</f>
        <v/>
      </c>
      <c r="H83" s="24" t="str">
        <f aca="false">IFERROR(F83+forecast.ets.confint($A83,$B$8:$B$95,$A$8:$A$95,0.95,4,1,1),"")</f>
        <v/>
      </c>
    </row>
    <row r="84" customFormat="false" ht="15" hidden="false" customHeight="false" outlineLevel="0" collapsed="false">
      <c r="A84" s="16" t="n">
        <v>46388</v>
      </c>
      <c r="B84" s="17" t="str">
        <f aca="false">IFERROR(haverdata(Codes!$D$14,$A84),"")</f>
        <v/>
      </c>
      <c r="C84" s="18" t="str">
        <f aca="false">IFERROR(B84/B83-1,"")</f>
        <v/>
      </c>
      <c r="D84" s="18" t="str">
        <f aca="false">IFERROR(B84/B80-1,"")</f>
        <v/>
      </c>
      <c r="E84" s="19" t="str">
        <f aca="false">IFERROR(IF(B84="",IFERROR(GROWTH($B$8:$B$95,$A$8:$A$95,$A84),TREND($B$8:$B$95,$A$8:$A$95,$A84)),""),"")</f>
        <v/>
      </c>
      <c r="F84" s="19" t="str">
        <f aca="false">IFERROR(forecast.ets($A84,$B$8:$B$95,$A$8:$A$95,4,1,1),"")</f>
        <v/>
      </c>
      <c r="G84" s="19" t="str">
        <f aca="false">IFERROR(F84-forecast.ets.confint($A84,$B$8:$B$95,$A$8:$A$95,0.95,4,1,1),"")</f>
        <v/>
      </c>
      <c r="H84" s="19" t="str">
        <f aca="false">IFERROR(F84+forecast.ets.confint($A84,$B$8:$B$95,$A$8:$A$95,0.95,4,1,1),"")</f>
        <v/>
      </c>
    </row>
    <row r="85" customFormat="false" ht="15" hidden="false" customHeight="false" outlineLevel="0" collapsed="false">
      <c r="A85" s="21" t="n">
        <v>46478</v>
      </c>
      <c r="B85" s="22" t="str">
        <f aca="false">IFERROR(haverdata(Codes!$D$14,$A85),"")</f>
        <v/>
      </c>
      <c r="C85" s="23" t="str">
        <f aca="false">IFERROR(B85/B84-1,"")</f>
        <v/>
      </c>
      <c r="D85" s="23" t="str">
        <f aca="false">IFERROR(B85/B81-1,"")</f>
        <v/>
      </c>
      <c r="E85" s="24" t="str">
        <f aca="false">IFERROR(IF(B85="",IFERROR(GROWTH($B$8:$B$95,$A$8:$A$95,$A85),TREND($B$8:$B$95,$A$8:$A$95,$A85)),""),"")</f>
        <v/>
      </c>
      <c r="F85" s="24" t="str">
        <f aca="false">IFERROR(forecast.ets($A85,$B$8:$B$95,$A$8:$A$95,4,1,1),"")</f>
        <v/>
      </c>
      <c r="G85" s="24" t="str">
        <f aca="false">IFERROR(F85-forecast.ets.confint($A85,$B$8:$B$95,$A$8:$A$95,0.95,4,1,1),"")</f>
        <v/>
      </c>
      <c r="H85" s="24" t="str">
        <f aca="false">IFERROR(F85+forecast.ets.confint($A85,$B$8:$B$95,$A$8:$A$95,0.95,4,1,1),"")</f>
        <v/>
      </c>
    </row>
    <row r="86" customFormat="false" ht="15" hidden="false" customHeight="false" outlineLevel="0" collapsed="false">
      <c r="A86" s="16" t="n">
        <v>46569</v>
      </c>
      <c r="B86" s="17" t="str">
        <f aca="false">IFERROR(haverdata(Codes!$D$14,$A86),"")</f>
        <v/>
      </c>
      <c r="C86" s="18" t="str">
        <f aca="false">IFERROR(B86/B85-1,"")</f>
        <v/>
      </c>
      <c r="D86" s="18" t="str">
        <f aca="false">IFERROR(B86/B82-1,"")</f>
        <v/>
      </c>
      <c r="E86" s="19" t="str">
        <f aca="false">IFERROR(IF(B86="",IFERROR(GROWTH($B$8:$B$95,$A$8:$A$95,$A86),TREND($B$8:$B$95,$A$8:$A$95,$A86)),""),"")</f>
        <v/>
      </c>
      <c r="F86" s="19" t="str">
        <f aca="false">IFERROR(forecast.ets($A86,$B$8:$B$95,$A$8:$A$95,4,1,1),"")</f>
        <v/>
      </c>
      <c r="G86" s="19" t="str">
        <f aca="false">IFERROR(F86-forecast.ets.confint($A86,$B$8:$B$95,$A$8:$A$95,0.95,4,1,1),"")</f>
        <v/>
      </c>
      <c r="H86" s="19" t="str">
        <f aca="false">IFERROR(F86+forecast.ets.confint($A86,$B$8:$B$95,$A$8:$A$95,0.95,4,1,1),"")</f>
        <v/>
      </c>
    </row>
    <row r="87" customFormat="false" ht="15" hidden="false" customHeight="false" outlineLevel="0" collapsed="false">
      <c r="A87" s="21" t="n">
        <v>46661</v>
      </c>
      <c r="B87" s="22" t="str">
        <f aca="false">IFERROR(haverdata(Codes!$D$14,$A87),"")</f>
        <v/>
      </c>
      <c r="C87" s="23" t="str">
        <f aca="false">IFERROR(B87/B86-1,"")</f>
        <v/>
      </c>
      <c r="D87" s="23" t="str">
        <f aca="false">IFERROR(B87/B83-1,"")</f>
        <v/>
      </c>
      <c r="E87" s="24" t="str">
        <f aca="false">IFERROR(IF(B87="",IFERROR(GROWTH($B$8:$B$95,$A$8:$A$95,$A87),TREND($B$8:$B$95,$A$8:$A$95,$A87)),""),"")</f>
        <v/>
      </c>
      <c r="F87" s="24" t="str">
        <f aca="false">IFERROR(forecast.ets($A87,$B$8:$B$95,$A$8:$A$95,4,1,1),"")</f>
        <v/>
      </c>
      <c r="G87" s="24" t="str">
        <f aca="false">IFERROR(F87-forecast.ets.confint($A87,$B$8:$B$95,$A$8:$A$95,0.95,4,1,1),"")</f>
        <v/>
      </c>
      <c r="H87" s="24" t="str">
        <f aca="false">IFERROR(F87+forecast.ets.confint($A87,$B$8:$B$95,$A$8:$A$95,0.95,4,1,1),"")</f>
        <v/>
      </c>
    </row>
    <row r="88" customFormat="false" ht="15" hidden="false" customHeight="false" outlineLevel="0" collapsed="false">
      <c r="A88" s="16" t="n">
        <v>46753</v>
      </c>
      <c r="B88" s="17" t="str">
        <f aca="false">IFERROR(haverdata(Codes!$D$14,$A88),"")</f>
        <v/>
      </c>
      <c r="C88" s="18" t="str">
        <f aca="false">IFERROR(B88/B87-1,"")</f>
        <v/>
      </c>
      <c r="D88" s="18" t="str">
        <f aca="false">IFERROR(B88/B84-1,"")</f>
        <v/>
      </c>
      <c r="E88" s="19" t="str">
        <f aca="false">IFERROR(IF(B88="",IFERROR(GROWTH($B$8:$B$95,$A$8:$A$95,$A88),TREND($B$8:$B$95,$A$8:$A$95,$A88)),""),"")</f>
        <v/>
      </c>
      <c r="F88" s="19" t="str">
        <f aca="false">IFERROR(forecast.ets($A88,$B$8:$B$95,$A$8:$A$95,4,1,1),"")</f>
        <v/>
      </c>
      <c r="G88" s="19" t="str">
        <f aca="false">IFERROR(F88-forecast.ets.confint($A88,$B$8:$B$95,$A$8:$A$95,0.95,4,1,1),"")</f>
        <v/>
      </c>
      <c r="H88" s="19" t="str">
        <f aca="false">IFERROR(F88+forecast.ets.confint($A88,$B$8:$B$95,$A$8:$A$95,0.95,4,1,1),"")</f>
        <v/>
      </c>
    </row>
    <row r="89" customFormat="false" ht="15" hidden="false" customHeight="false" outlineLevel="0" collapsed="false">
      <c r="A89" s="21" t="n">
        <v>46844</v>
      </c>
      <c r="B89" s="22" t="str">
        <f aca="false">IFERROR(haverdata(Codes!$D$14,$A89),"")</f>
        <v/>
      </c>
      <c r="C89" s="23" t="str">
        <f aca="false">IFERROR(B89/B88-1,"")</f>
        <v/>
      </c>
      <c r="D89" s="23" t="str">
        <f aca="false">IFERROR(B89/B85-1,"")</f>
        <v/>
      </c>
      <c r="E89" s="24" t="str">
        <f aca="false">IFERROR(IF(B89="",IFERROR(GROWTH($B$8:$B$95,$A$8:$A$95,$A89),TREND($B$8:$B$95,$A$8:$A$95,$A89)),""),"")</f>
        <v/>
      </c>
      <c r="F89" s="24" t="str">
        <f aca="false">IFERROR(forecast.ets($A89,$B$8:$B$95,$A$8:$A$95,4,1,1),"")</f>
        <v/>
      </c>
      <c r="G89" s="24" t="str">
        <f aca="false">IFERROR(F89-forecast.ets.confint($A89,$B$8:$B$95,$A$8:$A$95,0.95,4,1,1),"")</f>
        <v/>
      </c>
      <c r="H89" s="24" t="str">
        <f aca="false">IFERROR(F89+forecast.ets.confint($A89,$B$8:$B$95,$A$8:$A$95,0.95,4,1,1),"")</f>
        <v/>
      </c>
    </row>
    <row r="90" customFormat="false" ht="15" hidden="false" customHeight="false" outlineLevel="0" collapsed="false">
      <c r="A90" s="16" t="n">
        <v>46935</v>
      </c>
      <c r="B90" s="17" t="str">
        <f aca="false">IFERROR(haverdata(Codes!$D$14,$A90),"")</f>
        <v/>
      </c>
      <c r="C90" s="18" t="str">
        <f aca="false">IFERROR(B90/B89-1,"")</f>
        <v/>
      </c>
      <c r="D90" s="18" t="str">
        <f aca="false">IFERROR(B90/B86-1,"")</f>
        <v/>
      </c>
      <c r="E90" s="19" t="str">
        <f aca="false">IFERROR(IF(B90="",IFERROR(GROWTH($B$8:$B$95,$A$8:$A$95,$A90),TREND($B$8:$B$95,$A$8:$A$95,$A90)),""),"")</f>
        <v/>
      </c>
      <c r="F90" s="19" t="str">
        <f aca="false">IFERROR(forecast.ets($A90,$B$8:$B$95,$A$8:$A$95,4,1,1),"")</f>
        <v/>
      </c>
      <c r="G90" s="19" t="str">
        <f aca="false">IFERROR(F90-forecast.ets.confint($A90,$B$8:$B$95,$A$8:$A$95,0.95,4,1,1),"")</f>
        <v/>
      </c>
      <c r="H90" s="19" t="str">
        <f aca="false">IFERROR(F90+forecast.ets.confint($A90,$B$8:$B$95,$A$8:$A$95,0.95,4,1,1),"")</f>
        <v/>
      </c>
    </row>
    <row r="91" customFormat="false" ht="15" hidden="false" customHeight="false" outlineLevel="0" collapsed="false">
      <c r="A91" s="21" t="n">
        <v>47027</v>
      </c>
      <c r="B91" s="22" t="str">
        <f aca="false">IFERROR(haverdata(Codes!$D$14,$A91),"")</f>
        <v/>
      </c>
      <c r="C91" s="23" t="str">
        <f aca="false">IFERROR(B91/B90-1,"")</f>
        <v/>
      </c>
      <c r="D91" s="23" t="str">
        <f aca="false">IFERROR(B91/B87-1,"")</f>
        <v/>
      </c>
      <c r="E91" s="24" t="str">
        <f aca="false">IFERROR(IF(B91="",IFERROR(GROWTH($B$8:$B$95,$A$8:$A$95,$A91),TREND($B$8:$B$95,$A$8:$A$95,$A91)),""),"")</f>
        <v/>
      </c>
      <c r="F91" s="24" t="str">
        <f aca="false">IFERROR(forecast.ets($A91,$B$8:$B$95,$A$8:$A$95,4,1,1),"")</f>
        <v/>
      </c>
      <c r="G91" s="24" t="str">
        <f aca="false">IFERROR(F91-forecast.ets.confint($A91,$B$8:$B$95,$A$8:$A$95,0.95,4,1,1),"")</f>
        <v/>
      </c>
      <c r="H91" s="24" t="str">
        <f aca="false">IFERROR(F91+forecast.ets.confint($A91,$B$8:$B$95,$A$8:$A$95,0.95,4,1,1),"")</f>
        <v/>
      </c>
    </row>
    <row r="92" customFormat="false" ht="15" hidden="false" customHeight="false" outlineLevel="0" collapsed="false">
      <c r="A92" s="16" t="n">
        <v>47119</v>
      </c>
      <c r="B92" s="17" t="str">
        <f aca="false">IFERROR(haverdata(Codes!$D$14,$A92),"")</f>
        <v/>
      </c>
      <c r="C92" s="18" t="str">
        <f aca="false">IFERROR(B92/B91-1,"")</f>
        <v/>
      </c>
      <c r="D92" s="18" t="str">
        <f aca="false">IFERROR(B92/B88-1,"")</f>
        <v/>
      </c>
      <c r="E92" s="19" t="str">
        <f aca="false">IFERROR(IF(B92="",IFERROR(GROWTH($B$8:$B$95,$A$8:$A$95,$A92),TREND($B$8:$B$95,$A$8:$A$95,$A92)),""),"")</f>
        <v/>
      </c>
      <c r="F92" s="19" t="str">
        <f aca="false">IFERROR(forecast.ets($A92,$B$8:$B$95,$A$8:$A$95,4,1,1),"")</f>
        <v/>
      </c>
      <c r="G92" s="19" t="str">
        <f aca="false">IFERROR(F92-forecast.ets.confint($A92,$B$8:$B$95,$A$8:$A$95,0.95,4,1,1),"")</f>
        <v/>
      </c>
      <c r="H92" s="19" t="str">
        <f aca="false">IFERROR(F92+forecast.ets.confint($A92,$B$8:$B$95,$A$8:$A$95,0.95,4,1,1),"")</f>
        <v/>
      </c>
    </row>
    <row r="93" customFormat="false" ht="15" hidden="false" customHeight="false" outlineLevel="0" collapsed="false">
      <c r="A93" s="21" t="n">
        <v>47209</v>
      </c>
      <c r="B93" s="22" t="str">
        <f aca="false">IFERROR(haverdata(Codes!$D$14,$A93),"")</f>
        <v/>
      </c>
      <c r="C93" s="23" t="str">
        <f aca="false">IFERROR(B93/B92-1,"")</f>
        <v/>
      </c>
      <c r="D93" s="23" t="str">
        <f aca="false">IFERROR(B93/B89-1,"")</f>
        <v/>
      </c>
      <c r="E93" s="24" t="str">
        <f aca="false">IFERROR(IF(B93="",IFERROR(GROWTH($B$8:$B$95,$A$8:$A$95,$A93),TREND($B$8:$B$95,$A$8:$A$95,$A93)),""),"")</f>
        <v/>
      </c>
      <c r="F93" s="24" t="str">
        <f aca="false">IFERROR(forecast.ets($A93,$B$8:$B$95,$A$8:$A$95,4,1,1),"")</f>
        <v/>
      </c>
      <c r="G93" s="24" t="str">
        <f aca="false">IFERROR(F93-forecast.ets.confint($A93,$B$8:$B$95,$A$8:$A$95,0.95,4,1,1),"")</f>
        <v/>
      </c>
      <c r="H93" s="24" t="str">
        <f aca="false">IFERROR(F93+forecast.ets.confint($A93,$B$8:$B$95,$A$8:$A$95,0.95,4,1,1),"")</f>
        <v/>
      </c>
    </row>
    <row r="94" customFormat="false" ht="15" hidden="false" customHeight="false" outlineLevel="0" collapsed="false">
      <c r="A94" s="16" t="n">
        <v>47300</v>
      </c>
      <c r="B94" s="17" t="str">
        <f aca="false">IFERROR(haverdata(Codes!$D$14,$A94),"")</f>
        <v/>
      </c>
      <c r="C94" s="18" t="str">
        <f aca="false">IFERROR(B94/B93-1,"")</f>
        <v/>
      </c>
      <c r="D94" s="18" t="str">
        <f aca="false">IFERROR(B94/B90-1,"")</f>
        <v/>
      </c>
      <c r="E94" s="19" t="str">
        <f aca="false">IFERROR(IF(B94="",IFERROR(GROWTH($B$8:$B$95,$A$8:$A$95,$A94),TREND($B$8:$B$95,$A$8:$A$95,$A94)),""),"")</f>
        <v/>
      </c>
      <c r="F94" s="19" t="str">
        <f aca="false">IFERROR(forecast.ets($A94,$B$8:$B$95,$A$8:$A$95,4,1,1),"")</f>
        <v/>
      </c>
      <c r="G94" s="19" t="str">
        <f aca="false">IFERROR(F94-forecast.ets.confint($A94,$B$8:$B$95,$A$8:$A$95,0.95,4,1,1),"")</f>
        <v/>
      </c>
      <c r="H94" s="19" t="str">
        <f aca="false">IFERROR(F94+forecast.ets.confint($A94,$B$8:$B$95,$A$8:$A$95,0.95,4,1,1),"")</f>
        <v/>
      </c>
    </row>
    <row r="95" customFormat="false" ht="15" hidden="false" customHeight="false" outlineLevel="0" collapsed="false">
      <c r="A95" s="21" t="n">
        <v>47392</v>
      </c>
      <c r="B95" s="22" t="str">
        <f aca="false">IFERROR(haverdata(Codes!$D$14,$A95),"")</f>
        <v/>
      </c>
      <c r="C95" s="23" t="str">
        <f aca="false">IFERROR(B95/B94-1,"")</f>
        <v/>
      </c>
      <c r="D95" s="23" t="str">
        <f aca="false">IFERROR(B95/B91-1,"")</f>
        <v/>
      </c>
      <c r="E95" s="24" t="str">
        <f aca="false">IFERROR(IF(B95="",IFERROR(GROWTH($B$8:$B$95,$A$8:$A$95,$A95),TREND($B$8:$B$95,$A$8:$A$95,$A95)),""),"")</f>
        <v/>
      </c>
      <c r="F95" s="24" t="str">
        <f aca="false">IFERROR(forecast.ets($A95,$B$8:$B$95,$A$8:$A$95,4,1,1),"")</f>
        <v/>
      </c>
      <c r="G95" s="24" t="str">
        <f aca="false">IFERROR(F95-forecast.ets.confint($A95,$B$8:$B$95,$A$8:$A$95,0.95,4,1,1),"")</f>
        <v/>
      </c>
      <c r="H95" s="24" t="str">
        <f aca="false">IFERROR(F95+forecast.ets.confint($A95,$B$8:$B$95,$A$8:$A$95,0.95,4,1,1),"")</f>
        <v/>
      </c>
    </row>
    <row r="100" customFormat="false" ht="21.75" hidden="false" customHeight="true" outlineLevel="0" collapsed="false">
      <c r="A100" s="13" t="str">
        <f aca="false">Codes!$B$15&amp;"   ["&amp;Codes!$D$15&amp;"]   "&amp;Codes!$F$15</f>
        <v>Trade Balance   [EXPMP@ARGEN]   USD Mn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customFormat="false" ht="15" hidden="false" customHeight="false" outlineLevel="0" collapsed="false">
      <c r="A101" s="4" t="s">
        <v>107</v>
      </c>
      <c r="B101" s="14" t="str">
        <f aca="false">Codes!$G$15</f>
        <v>sum</v>
      </c>
      <c r="D101" s="4" t="s">
        <v>108</v>
      </c>
      <c r="E101" s="6" t="str">
        <f aca="false">Codes!$H$15</f>
        <v>Exports - imports. [VERIFY]</v>
      </c>
      <c r="F101" s="6"/>
      <c r="G101" s="6"/>
      <c r="H101" s="6"/>
      <c r="I101" s="6"/>
      <c r="J101" s="6"/>
      <c r="K101" s="6"/>
      <c r="L101" s="6"/>
      <c r="M101" s="6"/>
    </row>
    <row r="102" customFormat="false" ht="18" hidden="false" customHeight="true" outlineLevel="0" collapsed="false">
      <c r="A102" s="15" t="s">
        <v>109</v>
      </c>
      <c r="B102" s="15"/>
      <c r="C102" s="15"/>
      <c r="D102" s="15"/>
      <c r="E102" s="15"/>
      <c r="F102" s="15"/>
      <c r="G102" s="15"/>
      <c r="H102" s="15"/>
      <c r="J102" s="15" t="s">
        <v>110</v>
      </c>
      <c r="K102" s="15"/>
      <c r="L102" s="15"/>
      <c r="M102" s="15"/>
    </row>
    <row r="103" customFormat="false" ht="15" hidden="false" customHeight="false" outlineLevel="0" collapsed="false">
      <c r="A103" s="7" t="s">
        <v>111</v>
      </c>
      <c r="B103" s="7" t="s">
        <v>112</v>
      </c>
      <c r="C103" s="7" t="s">
        <v>113</v>
      </c>
      <c r="D103" s="7" t="s">
        <v>114</v>
      </c>
      <c r="E103" s="7" t="s">
        <v>115</v>
      </c>
      <c r="F103" s="7" t="s">
        <v>116</v>
      </c>
      <c r="G103" s="7" t="s">
        <v>117</v>
      </c>
      <c r="H103" s="7" t="s">
        <v>118</v>
      </c>
      <c r="J103" s="7" t="s">
        <v>119</v>
      </c>
      <c r="K103" s="7" t="s">
        <v>112</v>
      </c>
      <c r="L103" s="7" t="s">
        <v>114</v>
      </c>
      <c r="M103" s="7" t="s">
        <v>120</v>
      </c>
    </row>
    <row r="104" customFormat="false" ht="15" hidden="false" customHeight="false" outlineLevel="0" collapsed="false">
      <c r="A104" s="16" t="n">
        <v>39448</v>
      </c>
      <c r="B104" s="17" t="str">
        <f aca="false">IFERROR(haverdata(Codes!$D$15,$A104),"")</f>
        <v/>
      </c>
      <c r="C104" s="18"/>
      <c r="D104" s="18"/>
      <c r="E104" s="19" t="str">
        <f aca="false">IFERROR(IF(B104="",IFERROR(GROWTH($B$104:$B$191,$A$104:$A$191,$A104),TREND($B$104:$B$191,$A$104:$A$191,$A104)),""),"")</f>
        <v/>
      </c>
      <c r="F104" s="19" t="str">
        <f aca="false">IFERROR(forecast.ets($A104,$B$104:$B$191,$A$104:$A$191,4,1,1),"")</f>
        <v/>
      </c>
      <c r="G104" s="19" t="str">
        <f aca="false">IFERROR(F104-forecast.ets.confint($A104,$B$104:$B$191,$A$104:$A$191,0.95,4,1,1),"")</f>
        <v/>
      </c>
      <c r="H104" s="19" t="str">
        <f aca="false">IFERROR(F104+forecast.ets.confint($A104,$B$104:$B$191,$A$104:$A$191,0.95,4,1,1),"")</f>
        <v/>
      </c>
      <c r="J104" s="20" t="n">
        <v>2008</v>
      </c>
      <c r="K104" s="19" t="n">
        <f aca="false">IFERROR(SUMIFS($B$104:$B$191,$A$104:$A$191,"&gt;="&amp;DATE(J104,1,1),$A$104:$A$191,"&lt;="&amp;DATE(J104,12,31)),"")</f>
        <v>0</v>
      </c>
      <c r="L104" s="18"/>
      <c r="M104" s="19" t="n">
        <f aca="false">IFERROR(SUMIFS($F$104:$F$191,$A$104:$A$191,"&gt;="&amp;DATE(J104,1,1),$A$104:$A$191,"&lt;="&amp;DATE(J104,12,31)),"")</f>
        <v>0</v>
      </c>
    </row>
    <row r="105" customFormat="false" ht="15" hidden="false" customHeight="false" outlineLevel="0" collapsed="false">
      <c r="A105" s="21" t="n">
        <v>39539</v>
      </c>
      <c r="B105" s="22" t="str">
        <f aca="false">IFERROR(haverdata(Codes!$D$15,$A105),"")</f>
        <v/>
      </c>
      <c r="C105" s="23" t="str">
        <f aca="false">IFERROR(B105/B104-1,"")</f>
        <v/>
      </c>
      <c r="D105" s="23"/>
      <c r="E105" s="24" t="str">
        <f aca="false">IFERROR(IF(B105="",IFERROR(GROWTH($B$104:$B$191,$A$104:$A$191,$A105),TREND($B$104:$B$191,$A$104:$A$191,$A105)),""),"")</f>
        <v/>
      </c>
      <c r="F105" s="24" t="str">
        <f aca="false">IFERROR(forecast.ets($A105,$B$104:$B$191,$A$104:$A$191,4,1,1),"")</f>
        <v/>
      </c>
      <c r="G105" s="24" t="str">
        <f aca="false">IFERROR(F105-forecast.ets.confint($A105,$B$104:$B$191,$A$104:$A$191,0.95,4,1,1),"")</f>
        <v/>
      </c>
      <c r="H105" s="24" t="str">
        <f aca="false">IFERROR(F105+forecast.ets.confint($A105,$B$104:$B$191,$A$104:$A$191,0.95,4,1,1),"")</f>
        <v/>
      </c>
      <c r="J105" s="25" t="n">
        <v>2009</v>
      </c>
      <c r="K105" s="24" t="n">
        <f aca="false">IFERROR(SUMIFS($B$104:$B$191,$A$104:$A$191,"&gt;="&amp;DATE(J105,1,1),$A$104:$A$191,"&lt;="&amp;DATE(J105,12,31)),"")</f>
        <v>0</v>
      </c>
      <c r="L105" s="23" t="str">
        <f aca="false">IFERROR(K105/K104-1,"")</f>
        <v/>
      </c>
      <c r="M105" s="24" t="n">
        <f aca="false">IFERROR(SUMIFS($F$104:$F$191,$A$104:$A$191,"&gt;="&amp;DATE(J105,1,1),$A$104:$A$191,"&lt;="&amp;DATE(J105,12,31)),"")</f>
        <v>0</v>
      </c>
    </row>
    <row r="106" customFormat="false" ht="15" hidden="false" customHeight="false" outlineLevel="0" collapsed="false">
      <c r="A106" s="16" t="n">
        <v>39630</v>
      </c>
      <c r="B106" s="17" t="str">
        <f aca="false">IFERROR(haverdata(Codes!$D$15,$A106),"")</f>
        <v/>
      </c>
      <c r="C106" s="18" t="str">
        <f aca="false">IFERROR(B106/B105-1,"")</f>
        <v/>
      </c>
      <c r="D106" s="18"/>
      <c r="E106" s="19" t="str">
        <f aca="false">IFERROR(IF(B106="",IFERROR(GROWTH($B$104:$B$191,$A$104:$A$191,$A106),TREND($B$104:$B$191,$A$104:$A$191,$A106)),""),"")</f>
        <v/>
      </c>
      <c r="F106" s="19" t="str">
        <f aca="false">IFERROR(forecast.ets($A106,$B$104:$B$191,$A$104:$A$191,4,1,1),"")</f>
        <v/>
      </c>
      <c r="G106" s="19" t="str">
        <f aca="false">IFERROR(F106-forecast.ets.confint($A106,$B$104:$B$191,$A$104:$A$191,0.95,4,1,1),"")</f>
        <v/>
      </c>
      <c r="H106" s="19" t="str">
        <f aca="false">IFERROR(F106+forecast.ets.confint($A106,$B$104:$B$191,$A$104:$A$191,0.95,4,1,1),"")</f>
        <v/>
      </c>
      <c r="J106" s="20" t="n">
        <v>2010</v>
      </c>
      <c r="K106" s="19" t="n">
        <f aca="false">IFERROR(SUMIFS($B$104:$B$191,$A$104:$A$191,"&gt;="&amp;DATE(J106,1,1),$A$104:$A$191,"&lt;="&amp;DATE(J106,12,31)),"")</f>
        <v>0</v>
      </c>
      <c r="L106" s="18" t="str">
        <f aca="false">IFERROR(K106/K105-1,"")</f>
        <v/>
      </c>
      <c r="M106" s="19" t="n">
        <f aca="false">IFERROR(SUMIFS($F$104:$F$191,$A$104:$A$191,"&gt;="&amp;DATE(J106,1,1),$A$104:$A$191,"&lt;="&amp;DATE(J106,12,31)),"")</f>
        <v>0</v>
      </c>
    </row>
    <row r="107" customFormat="false" ht="15" hidden="false" customHeight="false" outlineLevel="0" collapsed="false">
      <c r="A107" s="21" t="n">
        <v>39722</v>
      </c>
      <c r="B107" s="22" t="str">
        <f aca="false">IFERROR(haverdata(Codes!$D$15,$A107),"")</f>
        <v/>
      </c>
      <c r="C107" s="23" t="str">
        <f aca="false">IFERROR(B107/B106-1,"")</f>
        <v/>
      </c>
      <c r="D107" s="23"/>
      <c r="E107" s="24" t="str">
        <f aca="false">IFERROR(IF(B107="",IFERROR(GROWTH($B$104:$B$191,$A$104:$A$191,$A107),TREND($B$104:$B$191,$A$104:$A$191,$A107)),""),"")</f>
        <v/>
      </c>
      <c r="F107" s="24" t="str">
        <f aca="false">IFERROR(forecast.ets($A107,$B$104:$B$191,$A$104:$A$191,4,1,1),"")</f>
        <v/>
      </c>
      <c r="G107" s="24" t="str">
        <f aca="false">IFERROR(F107-forecast.ets.confint($A107,$B$104:$B$191,$A$104:$A$191,0.95,4,1,1),"")</f>
        <v/>
      </c>
      <c r="H107" s="24" t="str">
        <f aca="false">IFERROR(F107+forecast.ets.confint($A107,$B$104:$B$191,$A$104:$A$191,0.95,4,1,1),"")</f>
        <v/>
      </c>
      <c r="J107" s="25" t="n">
        <v>2011</v>
      </c>
      <c r="K107" s="24" t="n">
        <f aca="false">IFERROR(SUMIFS($B$104:$B$191,$A$104:$A$191,"&gt;="&amp;DATE(J107,1,1),$A$104:$A$191,"&lt;="&amp;DATE(J107,12,31)),"")</f>
        <v>0</v>
      </c>
      <c r="L107" s="23" t="str">
        <f aca="false">IFERROR(K107/K106-1,"")</f>
        <v/>
      </c>
      <c r="M107" s="24" t="n">
        <f aca="false">IFERROR(SUMIFS($F$104:$F$191,$A$104:$A$191,"&gt;="&amp;DATE(J107,1,1),$A$104:$A$191,"&lt;="&amp;DATE(J107,12,31)),"")</f>
        <v>0</v>
      </c>
    </row>
    <row r="108" customFormat="false" ht="15" hidden="false" customHeight="false" outlineLevel="0" collapsed="false">
      <c r="A108" s="16" t="n">
        <v>39814</v>
      </c>
      <c r="B108" s="17" t="str">
        <f aca="false">IFERROR(haverdata(Codes!$D$15,$A108),"")</f>
        <v/>
      </c>
      <c r="C108" s="18" t="str">
        <f aca="false">IFERROR(B108/B107-1,"")</f>
        <v/>
      </c>
      <c r="D108" s="18" t="str">
        <f aca="false">IFERROR(B108/B104-1,"")</f>
        <v/>
      </c>
      <c r="E108" s="19" t="str">
        <f aca="false">IFERROR(IF(B108="",IFERROR(GROWTH($B$104:$B$191,$A$104:$A$191,$A108),TREND($B$104:$B$191,$A$104:$A$191,$A108)),""),"")</f>
        <v/>
      </c>
      <c r="F108" s="19" t="str">
        <f aca="false">IFERROR(forecast.ets($A108,$B$104:$B$191,$A$104:$A$191,4,1,1),"")</f>
        <v/>
      </c>
      <c r="G108" s="19" t="str">
        <f aca="false">IFERROR(F108-forecast.ets.confint($A108,$B$104:$B$191,$A$104:$A$191,0.95,4,1,1),"")</f>
        <v/>
      </c>
      <c r="H108" s="19" t="str">
        <f aca="false">IFERROR(F108+forecast.ets.confint($A108,$B$104:$B$191,$A$104:$A$191,0.95,4,1,1),"")</f>
        <v/>
      </c>
      <c r="J108" s="20" t="n">
        <v>2012</v>
      </c>
      <c r="K108" s="19" t="n">
        <f aca="false">IFERROR(SUMIFS($B$104:$B$191,$A$104:$A$191,"&gt;="&amp;DATE(J108,1,1),$A$104:$A$191,"&lt;="&amp;DATE(J108,12,31)),"")</f>
        <v>0</v>
      </c>
      <c r="L108" s="18" t="str">
        <f aca="false">IFERROR(K108/K107-1,"")</f>
        <v/>
      </c>
      <c r="M108" s="19" t="n">
        <f aca="false">IFERROR(SUMIFS($F$104:$F$191,$A$104:$A$191,"&gt;="&amp;DATE(J108,1,1),$A$104:$A$191,"&lt;="&amp;DATE(J108,12,31)),"")</f>
        <v>0</v>
      </c>
    </row>
    <row r="109" customFormat="false" ht="15" hidden="false" customHeight="false" outlineLevel="0" collapsed="false">
      <c r="A109" s="21" t="n">
        <v>39904</v>
      </c>
      <c r="B109" s="22" t="str">
        <f aca="false">IFERROR(haverdata(Codes!$D$15,$A109),"")</f>
        <v/>
      </c>
      <c r="C109" s="23" t="str">
        <f aca="false">IFERROR(B109/B108-1,"")</f>
        <v/>
      </c>
      <c r="D109" s="23" t="str">
        <f aca="false">IFERROR(B109/B105-1,"")</f>
        <v/>
      </c>
      <c r="E109" s="24" t="str">
        <f aca="false">IFERROR(IF(B109="",IFERROR(GROWTH($B$104:$B$191,$A$104:$A$191,$A109),TREND($B$104:$B$191,$A$104:$A$191,$A109)),""),"")</f>
        <v/>
      </c>
      <c r="F109" s="24" t="str">
        <f aca="false">IFERROR(forecast.ets($A109,$B$104:$B$191,$A$104:$A$191,4,1,1),"")</f>
        <v/>
      </c>
      <c r="G109" s="24" t="str">
        <f aca="false">IFERROR(F109-forecast.ets.confint($A109,$B$104:$B$191,$A$104:$A$191,0.95,4,1,1),"")</f>
        <v/>
      </c>
      <c r="H109" s="24" t="str">
        <f aca="false">IFERROR(F109+forecast.ets.confint($A109,$B$104:$B$191,$A$104:$A$191,0.95,4,1,1),"")</f>
        <v/>
      </c>
      <c r="J109" s="25" t="n">
        <v>2013</v>
      </c>
      <c r="K109" s="24" t="n">
        <f aca="false">IFERROR(SUMIFS($B$104:$B$191,$A$104:$A$191,"&gt;="&amp;DATE(J109,1,1),$A$104:$A$191,"&lt;="&amp;DATE(J109,12,31)),"")</f>
        <v>0</v>
      </c>
      <c r="L109" s="23" t="str">
        <f aca="false">IFERROR(K109/K108-1,"")</f>
        <v/>
      </c>
      <c r="M109" s="24" t="n">
        <f aca="false">IFERROR(SUMIFS($F$104:$F$191,$A$104:$A$191,"&gt;="&amp;DATE(J109,1,1),$A$104:$A$191,"&lt;="&amp;DATE(J109,12,31)),"")</f>
        <v>0</v>
      </c>
    </row>
    <row r="110" customFormat="false" ht="15" hidden="false" customHeight="false" outlineLevel="0" collapsed="false">
      <c r="A110" s="16" t="n">
        <v>39995</v>
      </c>
      <c r="B110" s="17" t="str">
        <f aca="false">IFERROR(haverdata(Codes!$D$15,$A110),"")</f>
        <v/>
      </c>
      <c r="C110" s="18" t="str">
        <f aca="false">IFERROR(B110/B109-1,"")</f>
        <v/>
      </c>
      <c r="D110" s="18" t="str">
        <f aca="false">IFERROR(B110/B106-1,"")</f>
        <v/>
      </c>
      <c r="E110" s="19" t="str">
        <f aca="false">IFERROR(IF(B110="",IFERROR(GROWTH($B$104:$B$191,$A$104:$A$191,$A110),TREND($B$104:$B$191,$A$104:$A$191,$A110)),""),"")</f>
        <v/>
      </c>
      <c r="F110" s="19" t="str">
        <f aca="false">IFERROR(forecast.ets($A110,$B$104:$B$191,$A$104:$A$191,4,1,1),"")</f>
        <v/>
      </c>
      <c r="G110" s="19" t="str">
        <f aca="false">IFERROR(F110-forecast.ets.confint($A110,$B$104:$B$191,$A$104:$A$191,0.95,4,1,1),"")</f>
        <v/>
      </c>
      <c r="H110" s="19" t="str">
        <f aca="false">IFERROR(F110+forecast.ets.confint($A110,$B$104:$B$191,$A$104:$A$191,0.95,4,1,1),"")</f>
        <v/>
      </c>
      <c r="J110" s="20" t="n">
        <v>2014</v>
      </c>
      <c r="K110" s="19" t="n">
        <f aca="false">IFERROR(SUMIFS($B$104:$B$191,$A$104:$A$191,"&gt;="&amp;DATE(J110,1,1),$A$104:$A$191,"&lt;="&amp;DATE(J110,12,31)),"")</f>
        <v>0</v>
      </c>
      <c r="L110" s="18" t="str">
        <f aca="false">IFERROR(K110/K109-1,"")</f>
        <v/>
      </c>
      <c r="M110" s="19" t="n">
        <f aca="false">IFERROR(SUMIFS($F$104:$F$191,$A$104:$A$191,"&gt;="&amp;DATE(J110,1,1),$A$104:$A$191,"&lt;="&amp;DATE(J110,12,31)),"")</f>
        <v>0</v>
      </c>
    </row>
    <row r="111" customFormat="false" ht="15" hidden="false" customHeight="false" outlineLevel="0" collapsed="false">
      <c r="A111" s="21" t="n">
        <v>40087</v>
      </c>
      <c r="B111" s="22" t="str">
        <f aca="false">IFERROR(haverdata(Codes!$D$15,$A111),"")</f>
        <v/>
      </c>
      <c r="C111" s="23" t="str">
        <f aca="false">IFERROR(B111/B110-1,"")</f>
        <v/>
      </c>
      <c r="D111" s="23" t="str">
        <f aca="false">IFERROR(B111/B107-1,"")</f>
        <v/>
      </c>
      <c r="E111" s="24" t="str">
        <f aca="false">IFERROR(IF(B111="",IFERROR(GROWTH($B$104:$B$191,$A$104:$A$191,$A111),TREND($B$104:$B$191,$A$104:$A$191,$A111)),""),"")</f>
        <v/>
      </c>
      <c r="F111" s="24" t="str">
        <f aca="false">IFERROR(forecast.ets($A111,$B$104:$B$191,$A$104:$A$191,4,1,1),"")</f>
        <v/>
      </c>
      <c r="G111" s="24" t="str">
        <f aca="false">IFERROR(F111-forecast.ets.confint($A111,$B$104:$B$191,$A$104:$A$191,0.95,4,1,1),"")</f>
        <v/>
      </c>
      <c r="H111" s="24" t="str">
        <f aca="false">IFERROR(F111+forecast.ets.confint($A111,$B$104:$B$191,$A$104:$A$191,0.95,4,1,1),"")</f>
        <v/>
      </c>
      <c r="J111" s="25" t="n">
        <v>2015</v>
      </c>
      <c r="K111" s="24" t="n">
        <f aca="false">IFERROR(SUMIFS($B$104:$B$191,$A$104:$A$191,"&gt;="&amp;DATE(J111,1,1),$A$104:$A$191,"&lt;="&amp;DATE(J111,12,31)),"")</f>
        <v>0</v>
      </c>
      <c r="L111" s="23" t="str">
        <f aca="false">IFERROR(K111/K110-1,"")</f>
        <v/>
      </c>
      <c r="M111" s="24" t="n">
        <f aca="false">IFERROR(SUMIFS($F$104:$F$191,$A$104:$A$191,"&gt;="&amp;DATE(J111,1,1),$A$104:$A$191,"&lt;="&amp;DATE(J111,12,31)),"")</f>
        <v>0</v>
      </c>
    </row>
    <row r="112" customFormat="false" ht="15" hidden="false" customHeight="false" outlineLevel="0" collapsed="false">
      <c r="A112" s="16" t="n">
        <v>40179</v>
      </c>
      <c r="B112" s="17" t="str">
        <f aca="false">IFERROR(haverdata(Codes!$D$15,$A112),"")</f>
        <v/>
      </c>
      <c r="C112" s="18" t="str">
        <f aca="false">IFERROR(B112/B111-1,"")</f>
        <v/>
      </c>
      <c r="D112" s="18" t="str">
        <f aca="false">IFERROR(B112/B108-1,"")</f>
        <v/>
      </c>
      <c r="E112" s="19" t="str">
        <f aca="false">IFERROR(IF(B112="",IFERROR(GROWTH($B$104:$B$191,$A$104:$A$191,$A112),TREND($B$104:$B$191,$A$104:$A$191,$A112)),""),"")</f>
        <v/>
      </c>
      <c r="F112" s="19" t="str">
        <f aca="false">IFERROR(forecast.ets($A112,$B$104:$B$191,$A$104:$A$191,4,1,1),"")</f>
        <v/>
      </c>
      <c r="G112" s="19" t="str">
        <f aca="false">IFERROR(F112-forecast.ets.confint($A112,$B$104:$B$191,$A$104:$A$191,0.95,4,1,1),"")</f>
        <v/>
      </c>
      <c r="H112" s="19" t="str">
        <f aca="false">IFERROR(F112+forecast.ets.confint($A112,$B$104:$B$191,$A$104:$A$191,0.95,4,1,1),"")</f>
        <v/>
      </c>
      <c r="J112" s="20" t="n">
        <v>2016</v>
      </c>
      <c r="K112" s="19" t="n">
        <f aca="false">IFERROR(SUMIFS($B$104:$B$191,$A$104:$A$191,"&gt;="&amp;DATE(J112,1,1),$A$104:$A$191,"&lt;="&amp;DATE(J112,12,31)),"")</f>
        <v>0</v>
      </c>
      <c r="L112" s="18" t="str">
        <f aca="false">IFERROR(K112/K111-1,"")</f>
        <v/>
      </c>
      <c r="M112" s="19" t="n">
        <f aca="false">IFERROR(SUMIFS($F$104:$F$191,$A$104:$A$191,"&gt;="&amp;DATE(J112,1,1),$A$104:$A$191,"&lt;="&amp;DATE(J112,12,31)),"")</f>
        <v>0</v>
      </c>
    </row>
    <row r="113" customFormat="false" ht="15" hidden="false" customHeight="false" outlineLevel="0" collapsed="false">
      <c r="A113" s="21" t="n">
        <v>40269</v>
      </c>
      <c r="B113" s="22" t="str">
        <f aca="false">IFERROR(haverdata(Codes!$D$15,$A113),"")</f>
        <v/>
      </c>
      <c r="C113" s="23" t="str">
        <f aca="false">IFERROR(B113/B112-1,"")</f>
        <v/>
      </c>
      <c r="D113" s="23" t="str">
        <f aca="false">IFERROR(B113/B109-1,"")</f>
        <v/>
      </c>
      <c r="E113" s="24" t="str">
        <f aca="false">IFERROR(IF(B113="",IFERROR(GROWTH($B$104:$B$191,$A$104:$A$191,$A113),TREND($B$104:$B$191,$A$104:$A$191,$A113)),""),"")</f>
        <v/>
      </c>
      <c r="F113" s="24" t="str">
        <f aca="false">IFERROR(forecast.ets($A113,$B$104:$B$191,$A$104:$A$191,4,1,1),"")</f>
        <v/>
      </c>
      <c r="G113" s="24" t="str">
        <f aca="false">IFERROR(F113-forecast.ets.confint($A113,$B$104:$B$191,$A$104:$A$191,0.95,4,1,1),"")</f>
        <v/>
      </c>
      <c r="H113" s="24" t="str">
        <f aca="false">IFERROR(F113+forecast.ets.confint($A113,$B$104:$B$191,$A$104:$A$191,0.95,4,1,1),"")</f>
        <v/>
      </c>
      <c r="J113" s="25" t="n">
        <v>2017</v>
      </c>
      <c r="K113" s="24" t="n">
        <f aca="false">IFERROR(SUMIFS($B$104:$B$191,$A$104:$A$191,"&gt;="&amp;DATE(J113,1,1),$A$104:$A$191,"&lt;="&amp;DATE(J113,12,31)),"")</f>
        <v>0</v>
      </c>
      <c r="L113" s="23" t="str">
        <f aca="false">IFERROR(K113/K112-1,"")</f>
        <v/>
      </c>
      <c r="M113" s="24" t="n">
        <f aca="false">IFERROR(SUMIFS($F$104:$F$191,$A$104:$A$191,"&gt;="&amp;DATE(J113,1,1),$A$104:$A$191,"&lt;="&amp;DATE(J113,12,31)),"")</f>
        <v>0</v>
      </c>
    </row>
    <row r="114" customFormat="false" ht="15" hidden="false" customHeight="false" outlineLevel="0" collapsed="false">
      <c r="A114" s="16" t="n">
        <v>40360</v>
      </c>
      <c r="B114" s="17" t="str">
        <f aca="false">IFERROR(haverdata(Codes!$D$15,$A114),"")</f>
        <v/>
      </c>
      <c r="C114" s="18" t="str">
        <f aca="false">IFERROR(B114/B113-1,"")</f>
        <v/>
      </c>
      <c r="D114" s="18" t="str">
        <f aca="false">IFERROR(B114/B110-1,"")</f>
        <v/>
      </c>
      <c r="E114" s="19" t="str">
        <f aca="false">IFERROR(IF(B114="",IFERROR(GROWTH($B$104:$B$191,$A$104:$A$191,$A114),TREND($B$104:$B$191,$A$104:$A$191,$A114)),""),"")</f>
        <v/>
      </c>
      <c r="F114" s="19" t="str">
        <f aca="false">IFERROR(forecast.ets($A114,$B$104:$B$191,$A$104:$A$191,4,1,1),"")</f>
        <v/>
      </c>
      <c r="G114" s="19" t="str">
        <f aca="false">IFERROR(F114-forecast.ets.confint($A114,$B$104:$B$191,$A$104:$A$191,0.95,4,1,1),"")</f>
        <v/>
      </c>
      <c r="H114" s="19" t="str">
        <f aca="false">IFERROR(F114+forecast.ets.confint($A114,$B$104:$B$191,$A$104:$A$191,0.95,4,1,1),"")</f>
        <v/>
      </c>
      <c r="J114" s="20" t="n">
        <v>2018</v>
      </c>
      <c r="K114" s="19" t="n">
        <f aca="false">IFERROR(SUMIFS($B$104:$B$191,$A$104:$A$191,"&gt;="&amp;DATE(J114,1,1),$A$104:$A$191,"&lt;="&amp;DATE(J114,12,31)),"")</f>
        <v>0</v>
      </c>
      <c r="L114" s="18" t="str">
        <f aca="false">IFERROR(K114/K113-1,"")</f>
        <v/>
      </c>
      <c r="M114" s="19" t="n">
        <f aca="false">IFERROR(SUMIFS($F$104:$F$191,$A$104:$A$191,"&gt;="&amp;DATE(J114,1,1),$A$104:$A$191,"&lt;="&amp;DATE(J114,12,31)),"")</f>
        <v>0</v>
      </c>
    </row>
    <row r="115" customFormat="false" ht="15" hidden="false" customHeight="false" outlineLevel="0" collapsed="false">
      <c r="A115" s="21" t="n">
        <v>40452</v>
      </c>
      <c r="B115" s="22" t="str">
        <f aca="false">IFERROR(haverdata(Codes!$D$15,$A115),"")</f>
        <v/>
      </c>
      <c r="C115" s="23" t="str">
        <f aca="false">IFERROR(B115/B114-1,"")</f>
        <v/>
      </c>
      <c r="D115" s="23" t="str">
        <f aca="false">IFERROR(B115/B111-1,"")</f>
        <v/>
      </c>
      <c r="E115" s="24" t="str">
        <f aca="false">IFERROR(IF(B115="",IFERROR(GROWTH($B$104:$B$191,$A$104:$A$191,$A115),TREND($B$104:$B$191,$A$104:$A$191,$A115)),""),"")</f>
        <v/>
      </c>
      <c r="F115" s="24" t="str">
        <f aca="false">IFERROR(forecast.ets($A115,$B$104:$B$191,$A$104:$A$191,4,1,1),"")</f>
        <v/>
      </c>
      <c r="G115" s="24" t="str">
        <f aca="false">IFERROR(F115-forecast.ets.confint($A115,$B$104:$B$191,$A$104:$A$191,0.95,4,1,1),"")</f>
        <v/>
      </c>
      <c r="H115" s="24" t="str">
        <f aca="false">IFERROR(F115+forecast.ets.confint($A115,$B$104:$B$191,$A$104:$A$191,0.95,4,1,1),"")</f>
        <v/>
      </c>
      <c r="J115" s="25" t="n">
        <v>2019</v>
      </c>
      <c r="K115" s="24" t="n">
        <f aca="false">IFERROR(SUMIFS($B$104:$B$191,$A$104:$A$191,"&gt;="&amp;DATE(J115,1,1),$A$104:$A$191,"&lt;="&amp;DATE(J115,12,31)),"")</f>
        <v>0</v>
      </c>
      <c r="L115" s="23" t="str">
        <f aca="false">IFERROR(K115/K114-1,"")</f>
        <v/>
      </c>
      <c r="M115" s="24" t="n">
        <f aca="false">IFERROR(SUMIFS($F$104:$F$191,$A$104:$A$191,"&gt;="&amp;DATE(J115,1,1),$A$104:$A$191,"&lt;="&amp;DATE(J115,12,31)),"")</f>
        <v>0</v>
      </c>
    </row>
    <row r="116" customFormat="false" ht="15" hidden="false" customHeight="false" outlineLevel="0" collapsed="false">
      <c r="A116" s="16" t="n">
        <v>40544</v>
      </c>
      <c r="B116" s="17" t="str">
        <f aca="false">IFERROR(haverdata(Codes!$D$15,$A116),"")</f>
        <v/>
      </c>
      <c r="C116" s="18" t="str">
        <f aca="false">IFERROR(B116/B115-1,"")</f>
        <v/>
      </c>
      <c r="D116" s="18" t="str">
        <f aca="false">IFERROR(B116/B112-1,"")</f>
        <v/>
      </c>
      <c r="E116" s="19" t="str">
        <f aca="false">IFERROR(IF(B116="",IFERROR(GROWTH($B$104:$B$191,$A$104:$A$191,$A116),TREND($B$104:$B$191,$A$104:$A$191,$A116)),""),"")</f>
        <v/>
      </c>
      <c r="F116" s="19" t="str">
        <f aca="false">IFERROR(forecast.ets($A116,$B$104:$B$191,$A$104:$A$191,4,1,1),"")</f>
        <v/>
      </c>
      <c r="G116" s="19" t="str">
        <f aca="false">IFERROR(F116-forecast.ets.confint($A116,$B$104:$B$191,$A$104:$A$191,0.95,4,1,1),"")</f>
        <v/>
      </c>
      <c r="H116" s="19" t="str">
        <f aca="false">IFERROR(F116+forecast.ets.confint($A116,$B$104:$B$191,$A$104:$A$191,0.95,4,1,1),"")</f>
        <v/>
      </c>
      <c r="J116" s="20" t="n">
        <v>2020</v>
      </c>
      <c r="K116" s="19" t="n">
        <f aca="false">IFERROR(SUMIFS($B$104:$B$191,$A$104:$A$191,"&gt;="&amp;DATE(J116,1,1),$A$104:$A$191,"&lt;="&amp;DATE(J116,12,31)),"")</f>
        <v>0</v>
      </c>
      <c r="L116" s="18" t="str">
        <f aca="false">IFERROR(K116/K115-1,"")</f>
        <v/>
      </c>
      <c r="M116" s="19" t="n">
        <f aca="false">IFERROR(SUMIFS($F$104:$F$191,$A$104:$A$191,"&gt;="&amp;DATE(J116,1,1),$A$104:$A$191,"&lt;="&amp;DATE(J116,12,31)),"")</f>
        <v>0</v>
      </c>
    </row>
    <row r="117" customFormat="false" ht="15" hidden="false" customHeight="false" outlineLevel="0" collapsed="false">
      <c r="A117" s="21" t="n">
        <v>40634</v>
      </c>
      <c r="B117" s="22" t="str">
        <f aca="false">IFERROR(haverdata(Codes!$D$15,$A117),"")</f>
        <v/>
      </c>
      <c r="C117" s="23" t="str">
        <f aca="false">IFERROR(B117/B116-1,"")</f>
        <v/>
      </c>
      <c r="D117" s="23" t="str">
        <f aca="false">IFERROR(B117/B113-1,"")</f>
        <v/>
      </c>
      <c r="E117" s="24" t="str">
        <f aca="false">IFERROR(IF(B117="",IFERROR(GROWTH($B$104:$B$191,$A$104:$A$191,$A117),TREND($B$104:$B$191,$A$104:$A$191,$A117)),""),"")</f>
        <v/>
      </c>
      <c r="F117" s="24" t="str">
        <f aca="false">IFERROR(forecast.ets($A117,$B$104:$B$191,$A$104:$A$191,4,1,1),"")</f>
        <v/>
      </c>
      <c r="G117" s="24" t="str">
        <f aca="false">IFERROR(F117-forecast.ets.confint($A117,$B$104:$B$191,$A$104:$A$191,0.95,4,1,1),"")</f>
        <v/>
      </c>
      <c r="H117" s="24" t="str">
        <f aca="false">IFERROR(F117+forecast.ets.confint($A117,$B$104:$B$191,$A$104:$A$191,0.95,4,1,1),"")</f>
        <v/>
      </c>
      <c r="J117" s="25" t="n">
        <v>2021</v>
      </c>
      <c r="K117" s="24" t="n">
        <f aca="false">IFERROR(SUMIFS($B$104:$B$191,$A$104:$A$191,"&gt;="&amp;DATE(J117,1,1),$A$104:$A$191,"&lt;="&amp;DATE(J117,12,31)),"")</f>
        <v>0</v>
      </c>
      <c r="L117" s="23" t="str">
        <f aca="false">IFERROR(K117/K116-1,"")</f>
        <v/>
      </c>
      <c r="M117" s="24" t="n">
        <f aca="false">IFERROR(SUMIFS($F$104:$F$191,$A$104:$A$191,"&gt;="&amp;DATE(J117,1,1),$A$104:$A$191,"&lt;="&amp;DATE(J117,12,31)),"")</f>
        <v>0</v>
      </c>
    </row>
    <row r="118" customFormat="false" ht="15" hidden="false" customHeight="false" outlineLevel="0" collapsed="false">
      <c r="A118" s="16" t="n">
        <v>40725</v>
      </c>
      <c r="B118" s="17" t="str">
        <f aca="false">IFERROR(haverdata(Codes!$D$15,$A118),"")</f>
        <v/>
      </c>
      <c r="C118" s="18" t="str">
        <f aca="false">IFERROR(B118/B117-1,"")</f>
        <v/>
      </c>
      <c r="D118" s="18" t="str">
        <f aca="false">IFERROR(B118/B114-1,"")</f>
        <v/>
      </c>
      <c r="E118" s="19" t="str">
        <f aca="false">IFERROR(IF(B118="",IFERROR(GROWTH($B$104:$B$191,$A$104:$A$191,$A118),TREND($B$104:$B$191,$A$104:$A$191,$A118)),""),"")</f>
        <v/>
      </c>
      <c r="F118" s="19" t="str">
        <f aca="false">IFERROR(forecast.ets($A118,$B$104:$B$191,$A$104:$A$191,4,1,1),"")</f>
        <v/>
      </c>
      <c r="G118" s="19" t="str">
        <f aca="false">IFERROR(F118-forecast.ets.confint($A118,$B$104:$B$191,$A$104:$A$191,0.95,4,1,1),"")</f>
        <v/>
      </c>
      <c r="H118" s="19" t="str">
        <f aca="false">IFERROR(F118+forecast.ets.confint($A118,$B$104:$B$191,$A$104:$A$191,0.95,4,1,1),"")</f>
        <v/>
      </c>
      <c r="J118" s="20" t="n">
        <v>2022</v>
      </c>
      <c r="K118" s="19" t="n">
        <f aca="false">IFERROR(SUMIFS($B$104:$B$191,$A$104:$A$191,"&gt;="&amp;DATE(J118,1,1),$A$104:$A$191,"&lt;="&amp;DATE(J118,12,31)),"")</f>
        <v>0</v>
      </c>
      <c r="L118" s="18" t="str">
        <f aca="false">IFERROR(K118/K117-1,"")</f>
        <v/>
      </c>
      <c r="M118" s="19" t="n">
        <f aca="false">IFERROR(SUMIFS($F$104:$F$191,$A$104:$A$191,"&gt;="&amp;DATE(J118,1,1),$A$104:$A$191,"&lt;="&amp;DATE(J118,12,31)),"")</f>
        <v>0</v>
      </c>
    </row>
    <row r="119" customFormat="false" ht="15" hidden="false" customHeight="false" outlineLevel="0" collapsed="false">
      <c r="A119" s="21" t="n">
        <v>40817</v>
      </c>
      <c r="B119" s="22" t="str">
        <f aca="false">IFERROR(haverdata(Codes!$D$15,$A119),"")</f>
        <v/>
      </c>
      <c r="C119" s="23" t="str">
        <f aca="false">IFERROR(B119/B118-1,"")</f>
        <v/>
      </c>
      <c r="D119" s="23" t="str">
        <f aca="false">IFERROR(B119/B115-1,"")</f>
        <v/>
      </c>
      <c r="E119" s="24" t="str">
        <f aca="false">IFERROR(IF(B119="",IFERROR(GROWTH($B$104:$B$191,$A$104:$A$191,$A119),TREND($B$104:$B$191,$A$104:$A$191,$A119)),""),"")</f>
        <v/>
      </c>
      <c r="F119" s="24" t="str">
        <f aca="false">IFERROR(forecast.ets($A119,$B$104:$B$191,$A$104:$A$191,4,1,1),"")</f>
        <v/>
      </c>
      <c r="G119" s="24" t="str">
        <f aca="false">IFERROR(F119-forecast.ets.confint($A119,$B$104:$B$191,$A$104:$A$191,0.95,4,1,1),"")</f>
        <v/>
      </c>
      <c r="H119" s="24" t="str">
        <f aca="false">IFERROR(F119+forecast.ets.confint($A119,$B$104:$B$191,$A$104:$A$191,0.95,4,1,1),"")</f>
        <v/>
      </c>
      <c r="J119" s="25" t="n">
        <v>2023</v>
      </c>
      <c r="K119" s="24" t="n">
        <f aca="false">IFERROR(SUMIFS($B$104:$B$191,$A$104:$A$191,"&gt;="&amp;DATE(J119,1,1),$A$104:$A$191,"&lt;="&amp;DATE(J119,12,31)),"")</f>
        <v>0</v>
      </c>
      <c r="L119" s="23" t="str">
        <f aca="false">IFERROR(K119/K118-1,"")</f>
        <v/>
      </c>
      <c r="M119" s="24" t="n">
        <f aca="false">IFERROR(SUMIFS($F$104:$F$191,$A$104:$A$191,"&gt;="&amp;DATE(J119,1,1),$A$104:$A$191,"&lt;="&amp;DATE(J119,12,31)),"")</f>
        <v>0</v>
      </c>
    </row>
    <row r="120" customFormat="false" ht="15" hidden="false" customHeight="false" outlineLevel="0" collapsed="false">
      <c r="A120" s="16" t="n">
        <v>40909</v>
      </c>
      <c r="B120" s="17" t="str">
        <f aca="false">IFERROR(haverdata(Codes!$D$15,$A120),"")</f>
        <v/>
      </c>
      <c r="C120" s="18" t="str">
        <f aca="false">IFERROR(B120/B119-1,"")</f>
        <v/>
      </c>
      <c r="D120" s="18" t="str">
        <f aca="false">IFERROR(B120/B116-1,"")</f>
        <v/>
      </c>
      <c r="E120" s="19" t="str">
        <f aca="false">IFERROR(IF(B120="",IFERROR(GROWTH($B$104:$B$191,$A$104:$A$191,$A120),TREND($B$104:$B$191,$A$104:$A$191,$A120)),""),"")</f>
        <v/>
      </c>
      <c r="F120" s="19" t="str">
        <f aca="false">IFERROR(forecast.ets($A120,$B$104:$B$191,$A$104:$A$191,4,1,1),"")</f>
        <v/>
      </c>
      <c r="G120" s="19" t="str">
        <f aca="false">IFERROR(F120-forecast.ets.confint($A120,$B$104:$B$191,$A$104:$A$191,0.95,4,1,1),"")</f>
        <v/>
      </c>
      <c r="H120" s="19" t="str">
        <f aca="false">IFERROR(F120+forecast.ets.confint($A120,$B$104:$B$191,$A$104:$A$191,0.95,4,1,1),"")</f>
        <v/>
      </c>
      <c r="J120" s="20" t="n">
        <v>2024</v>
      </c>
      <c r="K120" s="19" t="n">
        <f aca="false">IFERROR(SUMIFS($B$104:$B$191,$A$104:$A$191,"&gt;="&amp;DATE(J120,1,1),$A$104:$A$191,"&lt;="&amp;DATE(J120,12,31)),"")</f>
        <v>0</v>
      </c>
      <c r="L120" s="18" t="str">
        <f aca="false">IFERROR(K120/K119-1,"")</f>
        <v/>
      </c>
      <c r="M120" s="19" t="n">
        <f aca="false">IFERROR(SUMIFS($F$104:$F$191,$A$104:$A$191,"&gt;="&amp;DATE(J120,1,1),$A$104:$A$191,"&lt;="&amp;DATE(J120,12,31)),"")</f>
        <v>0</v>
      </c>
    </row>
    <row r="121" customFormat="false" ht="15" hidden="false" customHeight="false" outlineLevel="0" collapsed="false">
      <c r="A121" s="21" t="n">
        <v>41000</v>
      </c>
      <c r="B121" s="22" t="str">
        <f aca="false">IFERROR(haverdata(Codes!$D$15,$A121),"")</f>
        <v/>
      </c>
      <c r="C121" s="23" t="str">
        <f aca="false">IFERROR(B121/B120-1,"")</f>
        <v/>
      </c>
      <c r="D121" s="23" t="str">
        <f aca="false">IFERROR(B121/B117-1,"")</f>
        <v/>
      </c>
      <c r="E121" s="24" t="str">
        <f aca="false">IFERROR(IF(B121="",IFERROR(GROWTH($B$104:$B$191,$A$104:$A$191,$A121),TREND($B$104:$B$191,$A$104:$A$191,$A121)),""),"")</f>
        <v/>
      </c>
      <c r="F121" s="24" t="str">
        <f aca="false">IFERROR(forecast.ets($A121,$B$104:$B$191,$A$104:$A$191,4,1,1),"")</f>
        <v/>
      </c>
      <c r="G121" s="24" t="str">
        <f aca="false">IFERROR(F121-forecast.ets.confint($A121,$B$104:$B$191,$A$104:$A$191,0.95,4,1,1),"")</f>
        <v/>
      </c>
      <c r="H121" s="24" t="str">
        <f aca="false">IFERROR(F121+forecast.ets.confint($A121,$B$104:$B$191,$A$104:$A$191,0.95,4,1,1),"")</f>
        <v/>
      </c>
      <c r="J121" s="25" t="n">
        <v>2025</v>
      </c>
      <c r="K121" s="24" t="n">
        <f aca="false">IFERROR(SUMIFS($B$104:$B$191,$A$104:$A$191,"&gt;="&amp;DATE(J121,1,1),$A$104:$A$191,"&lt;="&amp;DATE(J121,12,31)),"")</f>
        <v>0</v>
      </c>
      <c r="L121" s="23" t="str">
        <f aca="false">IFERROR(K121/K120-1,"")</f>
        <v/>
      </c>
      <c r="M121" s="24" t="n">
        <f aca="false">IFERROR(SUMIFS($F$104:$F$191,$A$104:$A$191,"&gt;="&amp;DATE(J121,1,1),$A$104:$A$191,"&lt;="&amp;DATE(J121,12,31)),"")</f>
        <v>0</v>
      </c>
    </row>
    <row r="122" customFormat="false" ht="15" hidden="false" customHeight="false" outlineLevel="0" collapsed="false">
      <c r="A122" s="16" t="n">
        <v>41091</v>
      </c>
      <c r="B122" s="17" t="str">
        <f aca="false">IFERROR(haverdata(Codes!$D$15,$A122),"")</f>
        <v/>
      </c>
      <c r="C122" s="18" t="str">
        <f aca="false">IFERROR(B122/B121-1,"")</f>
        <v/>
      </c>
      <c r="D122" s="18" t="str">
        <f aca="false">IFERROR(B122/B118-1,"")</f>
        <v/>
      </c>
      <c r="E122" s="19" t="str">
        <f aca="false">IFERROR(IF(B122="",IFERROR(GROWTH($B$104:$B$191,$A$104:$A$191,$A122),TREND($B$104:$B$191,$A$104:$A$191,$A122)),""),"")</f>
        <v/>
      </c>
      <c r="F122" s="19" t="str">
        <f aca="false">IFERROR(forecast.ets($A122,$B$104:$B$191,$A$104:$A$191,4,1,1),"")</f>
        <v/>
      </c>
      <c r="G122" s="19" t="str">
        <f aca="false">IFERROR(F122-forecast.ets.confint($A122,$B$104:$B$191,$A$104:$A$191,0.95,4,1,1),"")</f>
        <v/>
      </c>
      <c r="H122" s="19" t="str">
        <f aca="false">IFERROR(F122+forecast.ets.confint($A122,$B$104:$B$191,$A$104:$A$191,0.95,4,1,1),"")</f>
        <v/>
      </c>
      <c r="J122" s="20" t="n">
        <v>2026</v>
      </c>
      <c r="K122" s="19" t="n">
        <f aca="false">IFERROR(SUMIFS($B$104:$B$191,$A$104:$A$191,"&gt;="&amp;DATE(J122,1,1),$A$104:$A$191,"&lt;="&amp;DATE(J122,12,31)),"")</f>
        <v>0</v>
      </c>
      <c r="L122" s="18" t="str">
        <f aca="false">IFERROR(K122/K121-1,"")</f>
        <v/>
      </c>
      <c r="M122" s="19" t="n">
        <f aca="false">IFERROR(SUMIFS($F$104:$F$191,$A$104:$A$191,"&gt;="&amp;DATE(J122,1,1),$A$104:$A$191,"&lt;="&amp;DATE(J122,12,31)),"")</f>
        <v>0</v>
      </c>
    </row>
    <row r="123" customFormat="false" ht="15" hidden="false" customHeight="false" outlineLevel="0" collapsed="false">
      <c r="A123" s="21" t="n">
        <v>41183</v>
      </c>
      <c r="B123" s="22" t="str">
        <f aca="false">IFERROR(haverdata(Codes!$D$15,$A123),"")</f>
        <v/>
      </c>
      <c r="C123" s="23" t="str">
        <f aca="false">IFERROR(B123/B122-1,"")</f>
        <v/>
      </c>
      <c r="D123" s="23" t="str">
        <f aca="false">IFERROR(B123/B119-1,"")</f>
        <v/>
      </c>
      <c r="E123" s="24" t="str">
        <f aca="false">IFERROR(IF(B123="",IFERROR(GROWTH($B$104:$B$191,$A$104:$A$191,$A123),TREND($B$104:$B$191,$A$104:$A$191,$A123)),""),"")</f>
        <v/>
      </c>
      <c r="F123" s="24" t="str">
        <f aca="false">IFERROR(forecast.ets($A123,$B$104:$B$191,$A$104:$A$191,4,1,1),"")</f>
        <v/>
      </c>
      <c r="G123" s="24" t="str">
        <f aca="false">IFERROR(F123-forecast.ets.confint($A123,$B$104:$B$191,$A$104:$A$191,0.95,4,1,1),"")</f>
        <v/>
      </c>
      <c r="H123" s="24" t="str">
        <f aca="false">IFERROR(F123+forecast.ets.confint($A123,$B$104:$B$191,$A$104:$A$191,0.95,4,1,1),"")</f>
        <v/>
      </c>
      <c r="J123" s="25" t="n">
        <v>2027</v>
      </c>
      <c r="K123" s="24" t="n">
        <f aca="false">IFERROR(SUMIFS($B$104:$B$191,$A$104:$A$191,"&gt;="&amp;DATE(J123,1,1),$A$104:$A$191,"&lt;="&amp;DATE(J123,12,31)),"")</f>
        <v>0</v>
      </c>
      <c r="L123" s="23" t="str">
        <f aca="false">IFERROR(K123/K122-1,"")</f>
        <v/>
      </c>
      <c r="M123" s="24" t="n">
        <f aca="false">IFERROR(SUMIFS($F$104:$F$191,$A$104:$A$191,"&gt;="&amp;DATE(J123,1,1),$A$104:$A$191,"&lt;="&amp;DATE(J123,12,31)),"")</f>
        <v>0</v>
      </c>
    </row>
    <row r="124" customFormat="false" ht="15" hidden="false" customHeight="false" outlineLevel="0" collapsed="false">
      <c r="A124" s="16" t="n">
        <v>41275</v>
      </c>
      <c r="B124" s="17" t="str">
        <f aca="false">IFERROR(haverdata(Codes!$D$15,$A124),"")</f>
        <v/>
      </c>
      <c r="C124" s="18" t="str">
        <f aca="false">IFERROR(B124/B123-1,"")</f>
        <v/>
      </c>
      <c r="D124" s="18" t="str">
        <f aca="false">IFERROR(B124/B120-1,"")</f>
        <v/>
      </c>
      <c r="E124" s="19" t="str">
        <f aca="false">IFERROR(IF(B124="",IFERROR(GROWTH($B$104:$B$191,$A$104:$A$191,$A124),TREND($B$104:$B$191,$A$104:$A$191,$A124)),""),"")</f>
        <v/>
      </c>
      <c r="F124" s="19" t="str">
        <f aca="false">IFERROR(forecast.ets($A124,$B$104:$B$191,$A$104:$A$191,4,1,1),"")</f>
        <v/>
      </c>
      <c r="G124" s="19" t="str">
        <f aca="false">IFERROR(F124-forecast.ets.confint($A124,$B$104:$B$191,$A$104:$A$191,0.95,4,1,1),"")</f>
        <v/>
      </c>
      <c r="H124" s="19" t="str">
        <f aca="false">IFERROR(F124+forecast.ets.confint($A124,$B$104:$B$191,$A$104:$A$191,0.95,4,1,1),"")</f>
        <v/>
      </c>
      <c r="J124" s="20" t="n">
        <v>2028</v>
      </c>
      <c r="K124" s="19" t="n">
        <f aca="false">IFERROR(SUMIFS($B$104:$B$191,$A$104:$A$191,"&gt;="&amp;DATE(J124,1,1),$A$104:$A$191,"&lt;="&amp;DATE(J124,12,31)),"")</f>
        <v>0</v>
      </c>
      <c r="L124" s="18" t="str">
        <f aca="false">IFERROR(K124/K123-1,"")</f>
        <v/>
      </c>
      <c r="M124" s="19" t="n">
        <f aca="false">IFERROR(SUMIFS($F$104:$F$191,$A$104:$A$191,"&gt;="&amp;DATE(J124,1,1),$A$104:$A$191,"&lt;="&amp;DATE(J124,12,31)),"")</f>
        <v>0</v>
      </c>
    </row>
    <row r="125" customFormat="false" ht="15" hidden="false" customHeight="false" outlineLevel="0" collapsed="false">
      <c r="A125" s="21" t="n">
        <v>41365</v>
      </c>
      <c r="B125" s="22" t="str">
        <f aca="false">IFERROR(haverdata(Codes!$D$15,$A125),"")</f>
        <v/>
      </c>
      <c r="C125" s="23" t="str">
        <f aca="false">IFERROR(B125/B124-1,"")</f>
        <v/>
      </c>
      <c r="D125" s="23" t="str">
        <f aca="false">IFERROR(B125/B121-1,"")</f>
        <v/>
      </c>
      <c r="E125" s="24" t="str">
        <f aca="false">IFERROR(IF(B125="",IFERROR(GROWTH($B$104:$B$191,$A$104:$A$191,$A125),TREND($B$104:$B$191,$A$104:$A$191,$A125)),""),"")</f>
        <v/>
      </c>
      <c r="F125" s="24" t="str">
        <f aca="false">IFERROR(forecast.ets($A125,$B$104:$B$191,$A$104:$A$191,4,1,1),"")</f>
        <v/>
      </c>
      <c r="G125" s="24" t="str">
        <f aca="false">IFERROR(F125-forecast.ets.confint($A125,$B$104:$B$191,$A$104:$A$191,0.95,4,1,1),"")</f>
        <v/>
      </c>
      <c r="H125" s="24" t="str">
        <f aca="false">IFERROR(F125+forecast.ets.confint($A125,$B$104:$B$191,$A$104:$A$191,0.95,4,1,1),"")</f>
        <v/>
      </c>
      <c r="J125" s="25" t="n">
        <v>2029</v>
      </c>
      <c r="K125" s="24" t="n">
        <f aca="false">IFERROR(SUMIFS($B$104:$B$191,$A$104:$A$191,"&gt;="&amp;DATE(J125,1,1),$A$104:$A$191,"&lt;="&amp;DATE(J125,12,31)),"")</f>
        <v>0</v>
      </c>
      <c r="L125" s="23" t="str">
        <f aca="false">IFERROR(K125/K124-1,"")</f>
        <v/>
      </c>
      <c r="M125" s="24" t="n">
        <f aca="false">IFERROR(SUMIFS($F$104:$F$191,$A$104:$A$191,"&gt;="&amp;DATE(J125,1,1),$A$104:$A$191,"&lt;="&amp;DATE(J125,12,31)),"")</f>
        <v>0</v>
      </c>
    </row>
    <row r="126" customFormat="false" ht="15" hidden="false" customHeight="false" outlineLevel="0" collapsed="false">
      <c r="A126" s="16" t="n">
        <v>41456</v>
      </c>
      <c r="B126" s="17" t="str">
        <f aca="false">IFERROR(haverdata(Codes!$D$15,$A126),"")</f>
        <v/>
      </c>
      <c r="C126" s="18" t="str">
        <f aca="false">IFERROR(B126/B125-1,"")</f>
        <v/>
      </c>
      <c r="D126" s="18" t="str">
        <f aca="false">IFERROR(B126/B122-1,"")</f>
        <v/>
      </c>
      <c r="E126" s="19" t="str">
        <f aca="false">IFERROR(IF(B126="",IFERROR(GROWTH($B$104:$B$191,$A$104:$A$191,$A126),TREND($B$104:$B$191,$A$104:$A$191,$A126)),""),"")</f>
        <v/>
      </c>
      <c r="F126" s="19" t="str">
        <f aca="false">IFERROR(forecast.ets($A126,$B$104:$B$191,$A$104:$A$191,4,1,1),"")</f>
        <v/>
      </c>
      <c r="G126" s="19" t="str">
        <f aca="false">IFERROR(F126-forecast.ets.confint($A126,$B$104:$B$191,$A$104:$A$191,0.95,4,1,1),"")</f>
        <v/>
      </c>
      <c r="H126" s="19" t="str">
        <f aca="false">IFERROR(F126+forecast.ets.confint($A126,$B$104:$B$191,$A$104:$A$191,0.95,4,1,1),"")</f>
        <v/>
      </c>
    </row>
    <row r="127" customFormat="false" ht="15" hidden="false" customHeight="false" outlineLevel="0" collapsed="false">
      <c r="A127" s="21" t="n">
        <v>41548</v>
      </c>
      <c r="B127" s="22" t="str">
        <f aca="false">IFERROR(haverdata(Codes!$D$15,$A127),"")</f>
        <v/>
      </c>
      <c r="C127" s="23" t="str">
        <f aca="false">IFERROR(B127/B126-1,"")</f>
        <v/>
      </c>
      <c r="D127" s="23" t="str">
        <f aca="false">IFERROR(B127/B123-1,"")</f>
        <v/>
      </c>
      <c r="E127" s="24" t="str">
        <f aca="false">IFERROR(IF(B127="",IFERROR(GROWTH($B$104:$B$191,$A$104:$A$191,$A127),TREND($B$104:$B$191,$A$104:$A$191,$A127)),""),"")</f>
        <v/>
      </c>
      <c r="F127" s="24" t="str">
        <f aca="false">IFERROR(forecast.ets($A127,$B$104:$B$191,$A$104:$A$191,4,1,1),"")</f>
        <v/>
      </c>
      <c r="G127" s="24" t="str">
        <f aca="false">IFERROR(F127-forecast.ets.confint($A127,$B$104:$B$191,$A$104:$A$191,0.95,4,1,1),"")</f>
        <v/>
      </c>
      <c r="H127" s="24" t="str">
        <f aca="false">IFERROR(F127+forecast.ets.confint($A127,$B$104:$B$191,$A$104:$A$191,0.95,4,1,1),"")</f>
        <v/>
      </c>
    </row>
    <row r="128" customFormat="false" ht="15" hidden="false" customHeight="false" outlineLevel="0" collapsed="false">
      <c r="A128" s="16" t="n">
        <v>41640</v>
      </c>
      <c r="B128" s="17" t="str">
        <f aca="false">IFERROR(haverdata(Codes!$D$15,$A128),"")</f>
        <v/>
      </c>
      <c r="C128" s="18" t="str">
        <f aca="false">IFERROR(B128/B127-1,"")</f>
        <v/>
      </c>
      <c r="D128" s="18" t="str">
        <f aca="false">IFERROR(B128/B124-1,"")</f>
        <v/>
      </c>
      <c r="E128" s="19" t="str">
        <f aca="false">IFERROR(IF(B128="",IFERROR(GROWTH($B$104:$B$191,$A$104:$A$191,$A128),TREND($B$104:$B$191,$A$104:$A$191,$A128)),""),"")</f>
        <v/>
      </c>
      <c r="F128" s="19" t="str">
        <f aca="false">IFERROR(forecast.ets($A128,$B$104:$B$191,$A$104:$A$191,4,1,1),"")</f>
        <v/>
      </c>
      <c r="G128" s="19" t="str">
        <f aca="false">IFERROR(F128-forecast.ets.confint($A128,$B$104:$B$191,$A$104:$A$191,0.95,4,1,1),"")</f>
        <v/>
      </c>
      <c r="H128" s="19" t="str">
        <f aca="false">IFERROR(F128+forecast.ets.confint($A128,$B$104:$B$191,$A$104:$A$191,0.95,4,1,1),"")</f>
        <v/>
      </c>
    </row>
    <row r="129" customFormat="false" ht="15" hidden="false" customHeight="false" outlineLevel="0" collapsed="false">
      <c r="A129" s="21" t="n">
        <v>41730</v>
      </c>
      <c r="B129" s="22" t="str">
        <f aca="false">IFERROR(haverdata(Codes!$D$15,$A129),"")</f>
        <v/>
      </c>
      <c r="C129" s="23" t="str">
        <f aca="false">IFERROR(B129/B128-1,"")</f>
        <v/>
      </c>
      <c r="D129" s="23" t="str">
        <f aca="false">IFERROR(B129/B125-1,"")</f>
        <v/>
      </c>
      <c r="E129" s="24" t="str">
        <f aca="false">IFERROR(IF(B129="",IFERROR(GROWTH($B$104:$B$191,$A$104:$A$191,$A129),TREND($B$104:$B$191,$A$104:$A$191,$A129)),""),"")</f>
        <v/>
      </c>
      <c r="F129" s="24" t="str">
        <f aca="false">IFERROR(forecast.ets($A129,$B$104:$B$191,$A$104:$A$191,4,1,1),"")</f>
        <v/>
      </c>
      <c r="G129" s="24" t="str">
        <f aca="false">IFERROR(F129-forecast.ets.confint($A129,$B$104:$B$191,$A$104:$A$191,0.95,4,1,1),"")</f>
        <v/>
      </c>
      <c r="H129" s="24" t="str">
        <f aca="false">IFERROR(F129+forecast.ets.confint($A129,$B$104:$B$191,$A$104:$A$191,0.95,4,1,1),"")</f>
        <v/>
      </c>
    </row>
    <row r="130" customFormat="false" ht="15" hidden="false" customHeight="false" outlineLevel="0" collapsed="false">
      <c r="A130" s="16" t="n">
        <v>41821</v>
      </c>
      <c r="B130" s="17" t="str">
        <f aca="false">IFERROR(haverdata(Codes!$D$15,$A130),"")</f>
        <v/>
      </c>
      <c r="C130" s="18" t="str">
        <f aca="false">IFERROR(B130/B129-1,"")</f>
        <v/>
      </c>
      <c r="D130" s="18" t="str">
        <f aca="false">IFERROR(B130/B126-1,"")</f>
        <v/>
      </c>
      <c r="E130" s="19" t="str">
        <f aca="false">IFERROR(IF(B130="",IFERROR(GROWTH($B$104:$B$191,$A$104:$A$191,$A130),TREND($B$104:$B$191,$A$104:$A$191,$A130)),""),"")</f>
        <v/>
      </c>
      <c r="F130" s="19" t="str">
        <f aca="false">IFERROR(forecast.ets($A130,$B$104:$B$191,$A$104:$A$191,4,1,1),"")</f>
        <v/>
      </c>
      <c r="G130" s="19" t="str">
        <f aca="false">IFERROR(F130-forecast.ets.confint($A130,$B$104:$B$191,$A$104:$A$191,0.95,4,1,1),"")</f>
        <v/>
      </c>
      <c r="H130" s="19" t="str">
        <f aca="false">IFERROR(F130+forecast.ets.confint($A130,$B$104:$B$191,$A$104:$A$191,0.95,4,1,1),"")</f>
        <v/>
      </c>
    </row>
    <row r="131" customFormat="false" ht="15" hidden="false" customHeight="false" outlineLevel="0" collapsed="false">
      <c r="A131" s="21" t="n">
        <v>41913</v>
      </c>
      <c r="B131" s="22" t="str">
        <f aca="false">IFERROR(haverdata(Codes!$D$15,$A131),"")</f>
        <v/>
      </c>
      <c r="C131" s="23" t="str">
        <f aca="false">IFERROR(B131/B130-1,"")</f>
        <v/>
      </c>
      <c r="D131" s="23" t="str">
        <f aca="false">IFERROR(B131/B127-1,"")</f>
        <v/>
      </c>
      <c r="E131" s="24" t="str">
        <f aca="false">IFERROR(IF(B131="",IFERROR(GROWTH($B$104:$B$191,$A$104:$A$191,$A131),TREND($B$104:$B$191,$A$104:$A$191,$A131)),""),"")</f>
        <v/>
      </c>
      <c r="F131" s="24" t="str">
        <f aca="false">IFERROR(forecast.ets($A131,$B$104:$B$191,$A$104:$A$191,4,1,1),"")</f>
        <v/>
      </c>
      <c r="G131" s="24" t="str">
        <f aca="false">IFERROR(F131-forecast.ets.confint($A131,$B$104:$B$191,$A$104:$A$191,0.95,4,1,1),"")</f>
        <v/>
      </c>
      <c r="H131" s="24" t="str">
        <f aca="false">IFERROR(F131+forecast.ets.confint($A131,$B$104:$B$191,$A$104:$A$191,0.95,4,1,1),"")</f>
        <v/>
      </c>
    </row>
    <row r="132" customFormat="false" ht="15" hidden="false" customHeight="false" outlineLevel="0" collapsed="false">
      <c r="A132" s="16" t="n">
        <v>42005</v>
      </c>
      <c r="B132" s="17" t="str">
        <f aca="false">IFERROR(haverdata(Codes!$D$15,$A132),"")</f>
        <v/>
      </c>
      <c r="C132" s="18" t="str">
        <f aca="false">IFERROR(B132/B131-1,"")</f>
        <v/>
      </c>
      <c r="D132" s="18" t="str">
        <f aca="false">IFERROR(B132/B128-1,"")</f>
        <v/>
      </c>
      <c r="E132" s="19" t="str">
        <f aca="false">IFERROR(IF(B132="",IFERROR(GROWTH($B$104:$B$191,$A$104:$A$191,$A132),TREND($B$104:$B$191,$A$104:$A$191,$A132)),""),"")</f>
        <v/>
      </c>
      <c r="F132" s="19" t="str">
        <f aca="false">IFERROR(forecast.ets($A132,$B$104:$B$191,$A$104:$A$191,4,1,1),"")</f>
        <v/>
      </c>
      <c r="G132" s="19" t="str">
        <f aca="false">IFERROR(F132-forecast.ets.confint($A132,$B$104:$B$191,$A$104:$A$191,0.95,4,1,1),"")</f>
        <v/>
      </c>
      <c r="H132" s="19" t="str">
        <f aca="false">IFERROR(F132+forecast.ets.confint($A132,$B$104:$B$191,$A$104:$A$191,0.95,4,1,1),"")</f>
        <v/>
      </c>
    </row>
    <row r="133" customFormat="false" ht="15" hidden="false" customHeight="false" outlineLevel="0" collapsed="false">
      <c r="A133" s="21" t="n">
        <v>42095</v>
      </c>
      <c r="B133" s="22" t="str">
        <f aca="false">IFERROR(haverdata(Codes!$D$15,$A133),"")</f>
        <v/>
      </c>
      <c r="C133" s="23" t="str">
        <f aca="false">IFERROR(B133/B132-1,"")</f>
        <v/>
      </c>
      <c r="D133" s="23" t="str">
        <f aca="false">IFERROR(B133/B129-1,"")</f>
        <v/>
      </c>
      <c r="E133" s="24" t="str">
        <f aca="false">IFERROR(IF(B133="",IFERROR(GROWTH($B$104:$B$191,$A$104:$A$191,$A133),TREND($B$104:$B$191,$A$104:$A$191,$A133)),""),"")</f>
        <v/>
      </c>
      <c r="F133" s="24" t="str">
        <f aca="false">IFERROR(forecast.ets($A133,$B$104:$B$191,$A$104:$A$191,4,1,1),"")</f>
        <v/>
      </c>
      <c r="G133" s="24" t="str">
        <f aca="false">IFERROR(F133-forecast.ets.confint($A133,$B$104:$B$191,$A$104:$A$191,0.95,4,1,1),"")</f>
        <v/>
      </c>
      <c r="H133" s="24" t="str">
        <f aca="false">IFERROR(F133+forecast.ets.confint($A133,$B$104:$B$191,$A$104:$A$191,0.95,4,1,1),"")</f>
        <v/>
      </c>
    </row>
    <row r="134" customFormat="false" ht="15" hidden="false" customHeight="false" outlineLevel="0" collapsed="false">
      <c r="A134" s="16" t="n">
        <v>42186</v>
      </c>
      <c r="B134" s="17" t="str">
        <f aca="false">IFERROR(haverdata(Codes!$D$15,$A134),"")</f>
        <v/>
      </c>
      <c r="C134" s="18" t="str">
        <f aca="false">IFERROR(B134/B133-1,"")</f>
        <v/>
      </c>
      <c r="D134" s="18" t="str">
        <f aca="false">IFERROR(B134/B130-1,"")</f>
        <v/>
      </c>
      <c r="E134" s="19" t="str">
        <f aca="false">IFERROR(IF(B134="",IFERROR(GROWTH($B$104:$B$191,$A$104:$A$191,$A134),TREND($B$104:$B$191,$A$104:$A$191,$A134)),""),"")</f>
        <v/>
      </c>
      <c r="F134" s="19" t="str">
        <f aca="false">IFERROR(forecast.ets($A134,$B$104:$B$191,$A$104:$A$191,4,1,1),"")</f>
        <v/>
      </c>
      <c r="G134" s="19" t="str">
        <f aca="false">IFERROR(F134-forecast.ets.confint($A134,$B$104:$B$191,$A$104:$A$191,0.95,4,1,1),"")</f>
        <v/>
      </c>
      <c r="H134" s="19" t="str">
        <f aca="false">IFERROR(F134+forecast.ets.confint($A134,$B$104:$B$191,$A$104:$A$191,0.95,4,1,1),"")</f>
        <v/>
      </c>
    </row>
    <row r="135" customFormat="false" ht="15" hidden="false" customHeight="false" outlineLevel="0" collapsed="false">
      <c r="A135" s="21" t="n">
        <v>42278</v>
      </c>
      <c r="B135" s="22" t="str">
        <f aca="false">IFERROR(haverdata(Codes!$D$15,$A135),"")</f>
        <v/>
      </c>
      <c r="C135" s="23" t="str">
        <f aca="false">IFERROR(B135/B134-1,"")</f>
        <v/>
      </c>
      <c r="D135" s="23" t="str">
        <f aca="false">IFERROR(B135/B131-1,"")</f>
        <v/>
      </c>
      <c r="E135" s="24" t="str">
        <f aca="false">IFERROR(IF(B135="",IFERROR(GROWTH($B$104:$B$191,$A$104:$A$191,$A135),TREND($B$104:$B$191,$A$104:$A$191,$A135)),""),"")</f>
        <v/>
      </c>
      <c r="F135" s="24" t="str">
        <f aca="false">IFERROR(forecast.ets($A135,$B$104:$B$191,$A$104:$A$191,4,1,1),"")</f>
        <v/>
      </c>
      <c r="G135" s="24" t="str">
        <f aca="false">IFERROR(F135-forecast.ets.confint($A135,$B$104:$B$191,$A$104:$A$191,0.95,4,1,1),"")</f>
        <v/>
      </c>
      <c r="H135" s="24" t="str">
        <f aca="false">IFERROR(F135+forecast.ets.confint($A135,$B$104:$B$191,$A$104:$A$191,0.95,4,1,1),"")</f>
        <v/>
      </c>
    </row>
    <row r="136" customFormat="false" ht="15" hidden="false" customHeight="false" outlineLevel="0" collapsed="false">
      <c r="A136" s="16" t="n">
        <v>42370</v>
      </c>
      <c r="B136" s="17" t="str">
        <f aca="false">IFERROR(haverdata(Codes!$D$15,$A136),"")</f>
        <v/>
      </c>
      <c r="C136" s="18" t="str">
        <f aca="false">IFERROR(B136/B135-1,"")</f>
        <v/>
      </c>
      <c r="D136" s="18" t="str">
        <f aca="false">IFERROR(B136/B132-1,"")</f>
        <v/>
      </c>
      <c r="E136" s="19" t="str">
        <f aca="false">IFERROR(IF(B136="",IFERROR(GROWTH($B$104:$B$191,$A$104:$A$191,$A136),TREND($B$104:$B$191,$A$104:$A$191,$A136)),""),"")</f>
        <v/>
      </c>
      <c r="F136" s="19" t="str">
        <f aca="false">IFERROR(forecast.ets($A136,$B$104:$B$191,$A$104:$A$191,4,1,1),"")</f>
        <v/>
      </c>
      <c r="G136" s="19" t="str">
        <f aca="false">IFERROR(F136-forecast.ets.confint($A136,$B$104:$B$191,$A$104:$A$191,0.95,4,1,1),"")</f>
        <v/>
      </c>
      <c r="H136" s="19" t="str">
        <f aca="false">IFERROR(F136+forecast.ets.confint($A136,$B$104:$B$191,$A$104:$A$191,0.95,4,1,1),"")</f>
        <v/>
      </c>
    </row>
    <row r="137" customFormat="false" ht="15" hidden="false" customHeight="false" outlineLevel="0" collapsed="false">
      <c r="A137" s="21" t="n">
        <v>42461</v>
      </c>
      <c r="B137" s="22" t="str">
        <f aca="false">IFERROR(haverdata(Codes!$D$15,$A137),"")</f>
        <v/>
      </c>
      <c r="C137" s="23" t="str">
        <f aca="false">IFERROR(B137/B136-1,"")</f>
        <v/>
      </c>
      <c r="D137" s="23" t="str">
        <f aca="false">IFERROR(B137/B133-1,"")</f>
        <v/>
      </c>
      <c r="E137" s="24" t="str">
        <f aca="false">IFERROR(IF(B137="",IFERROR(GROWTH($B$104:$B$191,$A$104:$A$191,$A137),TREND($B$104:$B$191,$A$104:$A$191,$A137)),""),"")</f>
        <v/>
      </c>
      <c r="F137" s="24" t="str">
        <f aca="false">IFERROR(forecast.ets($A137,$B$104:$B$191,$A$104:$A$191,4,1,1),"")</f>
        <v/>
      </c>
      <c r="G137" s="24" t="str">
        <f aca="false">IFERROR(F137-forecast.ets.confint($A137,$B$104:$B$191,$A$104:$A$191,0.95,4,1,1),"")</f>
        <v/>
      </c>
      <c r="H137" s="24" t="str">
        <f aca="false">IFERROR(F137+forecast.ets.confint($A137,$B$104:$B$191,$A$104:$A$191,0.95,4,1,1),"")</f>
        <v/>
      </c>
    </row>
    <row r="138" customFormat="false" ht="15" hidden="false" customHeight="false" outlineLevel="0" collapsed="false">
      <c r="A138" s="16" t="n">
        <v>42552</v>
      </c>
      <c r="B138" s="17" t="str">
        <f aca="false">IFERROR(haverdata(Codes!$D$15,$A138),"")</f>
        <v/>
      </c>
      <c r="C138" s="18" t="str">
        <f aca="false">IFERROR(B138/B137-1,"")</f>
        <v/>
      </c>
      <c r="D138" s="18" t="str">
        <f aca="false">IFERROR(B138/B134-1,"")</f>
        <v/>
      </c>
      <c r="E138" s="19" t="str">
        <f aca="false">IFERROR(IF(B138="",IFERROR(GROWTH($B$104:$B$191,$A$104:$A$191,$A138),TREND($B$104:$B$191,$A$104:$A$191,$A138)),""),"")</f>
        <v/>
      </c>
      <c r="F138" s="19" t="str">
        <f aca="false">IFERROR(forecast.ets($A138,$B$104:$B$191,$A$104:$A$191,4,1,1),"")</f>
        <v/>
      </c>
      <c r="G138" s="19" t="str">
        <f aca="false">IFERROR(F138-forecast.ets.confint($A138,$B$104:$B$191,$A$104:$A$191,0.95,4,1,1),"")</f>
        <v/>
      </c>
      <c r="H138" s="19" t="str">
        <f aca="false">IFERROR(F138+forecast.ets.confint($A138,$B$104:$B$191,$A$104:$A$191,0.95,4,1,1),"")</f>
        <v/>
      </c>
    </row>
    <row r="139" customFormat="false" ht="15" hidden="false" customHeight="false" outlineLevel="0" collapsed="false">
      <c r="A139" s="21" t="n">
        <v>42644</v>
      </c>
      <c r="B139" s="22" t="str">
        <f aca="false">IFERROR(haverdata(Codes!$D$15,$A139),"")</f>
        <v/>
      </c>
      <c r="C139" s="23" t="str">
        <f aca="false">IFERROR(B139/B138-1,"")</f>
        <v/>
      </c>
      <c r="D139" s="23" t="str">
        <f aca="false">IFERROR(B139/B135-1,"")</f>
        <v/>
      </c>
      <c r="E139" s="24" t="str">
        <f aca="false">IFERROR(IF(B139="",IFERROR(GROWTH($B$104:$B$191,$A$104:$A$191,$A139),TREND($B$104:$B$191,$A$104:$A$191,$A139)),""),"")</f>
        <v/>
      </c>
      <c r="F139" s="24" t="str">
        <f aca="false">IFERROR(forecast.ets($A139,$B$104:$B$191,$A$104:$A$191,4,1,1),"")</f>
        <v/>
      </c>
      <c r="G139" s="24" t="str">
        <f aca="false">IFERROR(F139-forecast.ets.confint($A139,$B$104:$B$191,$A$104:$A$191,0.95,4,1,1),"")</f>
        <v/>
      </c>
      <c r="H139" s="24" t="str">
        <f aca="false">IFERROR(F139+forecast.ets.confint($A139,$B$104:$B$191,$A$104:$A$191,0.95,4,1,1),"")</f>
        <v/>
      </c>
    </row>
    <row r="140" customFormat="false" ht="15" hidden="false" customHeight="false" outlineLevel="0" collapsed="false">
      <c r="A140" s="16" t="n">
        <v>42736</v>
      </c>
      <c r="B140" s="17" t="str">
        <f aca="false">IFERROR(haverdata(Codes!$D$15,$A140),"")</f>
        <v/>
      </c>
      <c r="C140" s="18" t="str">
        <f aca="false">IFERROR(B140/B139-1,"")</f>
        <v/>
      </c>
      <c r="D140" s="18" t="str">
        <f aca="false">IFERROR(B140/B136-1,"")</f>
        <v/>
      </c>
      <c r="E140" s="19" t="str">
        <f aca="false">IFERROR(IF(B140="",IFERROR(GROWTH($B$104:$B$191,$A$104:$A$191,$A140),TREND($B$104:$B$191,$A$104:$A$191,$A140)),""),"")</f>
        <v/>
      </c>
      <c r="F140" s="19" t="str">
        <f aca="false">IFERROR(forecast.ets($A140,$B$104:$B$191,$A$104:$A$191,4,1,1),"")</f>
        <v/>
      </c>
      <c r="G140" s="19" t="str">
        <f aca="false">IFERROR(F140-forecast.ets.confint($A140,$B$104:$B$191,$A$104:$A$191,0.95,4,1,1),"")</f>
        <v/>
      </c>
      <c r="H140" s="19" t="str">
        <f aca="false">IFERROR(F140+forecast.ets.confint($A140,$B$104:$B$191,$A$104:$A$191,0.95,4,1,1),"")</f>
        <v/>
      </c>
    </row>
    <row r="141" customFormat="false" ht="15" hidden="false" customHeight="false" outlineLevel="0" collapsed="false">
      <c r="A141" s="21" t="n">
        <v>42826</v>
      </c>
      <c r="B141" s="22" t="str">
        <f aca="false">IFERROR(haverdata(Codes!$D$15,$A141),"")</f>
        <v/>
      </c>
      <c r="C141" s="23" t="str">
        <f aca="false">IFERROR(B141/B140-1,"")</f>
        <v/>
      </c>
      <c r="D141" s="23" t="str">
        <f aca="false">IFERROR(B141/B137-1,"")</f>
        <v/>
      </c>
      <c r="E141" s="24" t="str">
        <f aca="false">IFERROR(IF(B141="",IFERROR(GROWTH($B$104:$B$191,$A$104:$A$191,$A141),TREND($B$104:$B$191,$A$104:$A$191,$A141)),""),"")</f>
        <v/>
      </c>
      <c r="F141" s="24" t="str">
        <f aca="false">IFERROR(forecast.ets($A141,$B$104:$B$191,$A$104:$A$191,4,1,1),"")</f>
        <v/>
      </c>
      <c r="G141" s="24" t="str">
        <f aca="false">IFERROR(F141-forecast.ets.confint($A141,$B$104:$B$191,$A$104:$A$191,0.95,4,1,1),"")</f>
        <v/>
      </c>
      <c r="H141" s="24" t="str">
        <f aca="false">IFERROR(F141+forecast.ets.confint($A141,$B$104:$B$191,$A$104:$A$191,0.95,4,1,1),"")</f>
        <v/>
      </c>
    </row>
    <row r="142" customFormat="false" ht="15" hidden="false" customHeight="false" outlineLevel="0" collapsed="false">
      <c r="A142" s="16" t="n">
        <v>42917</v>
      </c>
      <c r="B142" s="17" t="str">
        <f aca="false">IFERROR(haverdata(Codes!$D$15,$A142),"")</f>
        <v/>
      </c>
      <c r="C142" s="18" t="str">
        <f aca="false">IFERROR(B142/B141-1,"")</f>
        <v/>
      </c>
      <c r="D142" s="18" t="str">
        <f aca="false">IFERROR(B142/B138-1,"")</f>
        <v/>
      </c>
      <c r="E142" s="19" t="str">
        <f aca="false">IFERROR(IF(B142="",IFERROR(GROWTH($B$104:$B$191,$A$104:$A$191,$A142),TREND($B$104:$B$191,$A$104:$A$191,$A142)),""),"")</f>
        <v/>
      </c>
      <c r="F142" s="19" t="str">
        <f aca="false">IFERROR(forecast.ets($A142,$B$104:$B$191,$A$104:$A$191,4,1,1),"")</f>
        <v/>
      </c>
      <c r="G142" s="19" t="str">
        <f aca="false">IFERROR(F142-forecast.ets.confint($A142,$B$104:$B$191,$A$104:$A$191,0.95,4,1,1),"")</f>
        <v/>
      </c>
      <c r="H142" s="19" t="str">
        <f aca="false">IFERROR(F142+forecast.ets.confint($A142,$B$104:$B$191,$A$104:$A$191,0.95,4,1,1),"")</f>
        <v/>
      </c>
    </row>
    <row r="143" customFormat="false" ht="15" hidden="false" customHeight="false" outlineLevel="0" collapsed="false">
      <c r="A143" s="21" t="n">
        <v>43009</v>
      </c>
      <c r="B143" s="22" t="str">
        <f aca="false">IFERROR(haverdata(Codes!$D$15,$A143),"")</f>
        <v/>
      </c>
      <c r="C143" s="23" t="str">
        <f aca="false">IFERROR(B143/B142-1,"")</f>
        <v/>
      </c>
      <c r="D143" s="23" t="str">
        <f aca="false">IFERROR(B143/B139-1,"")</f>
        <v/>
      </c>
      <c r="E143" s="24" t="str">
        <f aca="false">IFERROR(IF(B143="",IFERROR(GROWTH($B$104:$B$191,$A$104:$A$191,$A143),TREND($B$104:$B$191,$A$104:$A$191,$A143)),""),"")</f>
        <v/>
      </c>
      <c r="F143" s="24" t="str">
        <f aca="false">IFERROR(forecast.ets($A143,$B$104:$B$191,$A$104:$A$191,4,1,1),"")</f>
        <v/>
      </c>
      <c r="G143" s="24" t="str">
        <f aca="false">IFERROR(F143-forecast.ets.confint($A143,$B$104:$B$191,$A$104:$A$191,0.95,4,1,1),"")</f>
        <v/>
      </c>
      <c r="H143" s="24" t="str">
        <f aca="false">IFERROR(F143+forecast.ets.confint($A143,$B$104:$B$191,$A$104:$A$191,0.95,4,1,1),"")</f>
        <v/>
      </c>
    </row>
    <row r="144" customFormat="false" ht="15" hidden="false" customHeight="false" outlineLevel="0" collapsed="false">
      <c r="A144" s="16" t="n">
        <v>43101</v>
      </c>
      <c r="B144" s="17" t="str">
        <f aca="false">IFERROR(haverdata(Codes!$D$15,$A144),"")</f>
        <v/>
      </c>
      <c r="C144" s="18" t="str">
        <f aca="false">IFERROR(B144/B143-1,"")</f>
        <v/>
      </c>
      <c r="D144" s="18" t="str">
        <f aca="false">IFERROR(B144/B140-1,"")</f>
        <v/>
      </c>
      <c r="E144" s="19" t="str">
        <f aca="false">IFERROR(IF(B144="",IFERROR(GROWTH($B$104:$B$191,$A$104:$A$191,$A144),TREND($B$104:$B$191,$A$104:$A$191,$A144)),""),"")</f>
        <v/>
      </c>
      <c r="F144" s="19" t="str">
        <f aca="false">IFERROR(forecast.ets($A144,$B$104:$B$191,$A$104:$A$191,4,1,1),"")</f>
        <v/>
      </c>
      <c r="G144" s="19" t="str">
        <f aca="false">IFERROR(F144-forecast.ets.confint($A144,$B$104:$B$191,$A$104:$A$191,0.95,4,1,1),"")</f>
        <v/>
      </c>
      <c r="H144" s="19" t="str">
        <f aca="false">IFERROR(F144+forecast.ets.confint($A144,$B$104:$B$191,$A$104:$A$191,0.95,4,1,1),"")</f>
        <v/>
      </c>
    </row>
    <row r="145" customFormat="false" ht="15" hidden="false" customHeight="false" outlineLevel="0" collapsed="false">
      <c r="A145" s="21" t="n">
        <v>43191</v>
      </c>
      <c r="B145" s="22" t="str">
        <f aca="false">IFERROR(haverdata(Codes!$D$15,$A145),"")</f>
        <v/>
      </c>
      <c r="C145" s="23" t="str">
        <f aca="false">IFERROR(B145/B144-1,"")</f>
        <v/>
      </c>
      <c r="D145" s="23" t="str">
        <f aca="false">IFERROR(B145/B141-1,"")</f>
        <v/>
      </c>
      <c r="E145" s="24" t="str">
        <f aca="false">IFERROR(IF(B145="",IFERROR(GROWTH($B$104:$B$191,$A$104:$A$191,$A145),TREND($B$104:$B$191,$A$104:$A$191,$A145)),""),"")</f>
        <v/>
      </c>
      <c r="F145" s="24" t="str">
        <f aca="false">IFERROR(forecast.ets($A145,$B$104:$B$191,$A$104:$A$191,4,1,1),"")</f>
        <v/>
      </c>
      <c r="G145" s="24" t="str">
        <f aca="false">IFERROR(F145-forecast.ets.confint($A145,$B$104:$B$191,$A$104:$A$191,0.95,4,1,1),"")</f>
        <v/>
      </c>
      <c r="H145" s="24" t="str">
        <f aca="false">IFERROR(F145+forecast.ets.confint($A145,$B$104:$B$191,$A$104:$A$191,0.95,4,1,1),"")</f>
        <v/>
      </c>
    </row>
    <row r="146" customFormat="false" ht="15" hidden="false" customHeight="false" outlineLevel="0" collapsed="false">
      <c r="A146" s="16" t="n">
        <v>43282</v>
      </c>
      <c r="B146" s="17" t="str">
        <f aca="false">IFERROR(haverdata(Codes!$D$15,$A146),"")</f>
        <v/>
      </c>
      <c r="C146" s="18" t="str">
        <f aca="false">IFERROR(B146/B145-1,"")</f>
        <v/>
      </c>
      <c r="D146" s="18" t="str">
        <f aca="false">IFERROR(B146/B142-1,"")</f>
        <v/>
      </c>
      <c r="E146" s="19" t="str">
        <f aca="false">IFERROR(IF(B146="",IFERROR(GROWTH($B$104:$B$191,$A$104:$A$191,$A146),TREND($B$104:$B$191,$A$104:$A$191,$A146)),""),"")</f>
        <v/>
      </c>
      <c r="F146" s="19" t="str">
        <f aca="false">IFERROR(forecast.ets($A146,$B$104:$B$191,$A$104:$A$191,4,1,1),"")</f>
        <v/>
      </c>
      <c r="G146" s="19" t="str">
        <f aca="false">IFERROR(F146-forecast.ets.confint($A146,$B$104:$B$191,$A$104:$A$191,0.95,4,1,1),"")</f>
        <v/>
      </c>
      <c r="H146" s="19" t="str">
        <f aca="false">IFERROR(F146+forecast.ets.confint($A146,$B$104:$B$191,$A$104:$A$191,0.95,4,1,1),"")</f>
        <v/>
      </c>
    </row>
    <row r="147" customFormat="false" ht="15" hidden="false" customHeight="false" outlineLevel="0" collapsed="false">
      <c r="A147" s="21" t="n">
        <v>43374</v>
      </c>
      <c r="B147" s="22" t="str">
        <f aca="false">IFERROR(haverdata(Codes!$D$15,$A147),"")</f>
        <v/>
      </c>
      <c r="C147" s="23" t="str">
        <f aca="false">IFERROR(B147/B146-1,"")</f>
        <v/>
      </c>
      <c r="D147" s="23" t="str">
        <f aca="false">IFERROR(B147/B143-1,"")</f>
        <v/>
      </c>
      <c r="E147" s="24" t="str">
        <f aca="false">IFERROR(IF(B147="",IFERROR(GROWTH($B$104:$B$191,$A$104:$A$191,$A147),TREND($B$104:$B$191,$A$104:$A$191,$A147)),""),"")</f>
        <v/>
      </c>
      <c r="F147" s="24" t="str">
        <f aca="false">IFERROR(forecast.ets($A147,$B$104:$B$191,$A$104:$A$191,4,1,1),"")</f>
        <v/>
      </c>
      <c r="G147" s="24" t="str">
        <f aca="false">IFERROR(F147-forecast.ets.confint($A147,$B$104:$B$191,$A$104:$A$191,0.95,4,1,1),"")</f>
        <v/>
      </c>
      <c r="H147" s="24" t="str">
        <f aca="false">IFERROR(F147+forecast.ets.confint($A147,$B$104:$B$191,$A$104:$A$191,0.95,4,1,1),"")</f>
        <v/>
      </c>
    </row>
    <row r="148" customFormat="false" ht="15" hidden="false" customHeight="false" outlineLevel="0" collapsed="false">
      <c r="A148" s="16" t="n">
        <v>43466</v>
      </c>
      <c r="B148" s="17" t="str">
        <f aca="false">IFERROR(haverdata(Codes!$D$15,$A148),"")</f>
        <v/>
      </c>
      <c r="C148" s="18" t="str">
        <f aca="false">IFERROR(B148/B147-1,"")</f>
        <v/>
      </c>
      <c r="D148" s="18" t="str">
        <f aca="false">IFERROR(B148/B144-1,"")</f>
        <v/>
      </c>
      <c r="E148" s="19" t="str">
        <f aca="false">IFERROR(IF(B148="",IFERROR(GROWTH($B$104:$B$191,$A$104:$A$191,$A148),TREND($B$104:$B$191,$A$104:$A$191,$A148)),""),"")</f>
        <v/>
      </c>
      <c r="F148" s="19" t="str">
        <f aca="false">IFERROR(forecast.ets($A148,$B$104:$B$191,$A$104:$A$191,4,1,1),"")</f>
        <v/>
      </c>
      <c r="G148" s="19" t="str">
        <f aca="false">IFERROR(F148-forecast.ets.confint($A148,$B$104:$B$191,$A$104:$A$191,0.95,4,1,1),"")</f>
        <v/>
      </c>
      <c r="H148" s="19" t="str">
        <f aca="false">IFERROR(F148+forecast.ets.confint($A148,$B$104:$B$191,$A$104:$A$191,0.95,4,1,1),"")</f>
        <v/>
      </c>
    </row>
    <row r="149" customFormat="false" ht="15" hidden="false" customHeight="false" outlineLevel="0" collapsed="false">
      <c r="A149" s="21" t="n">
        <v>43556</v>
      </c>
      <c r="B149" s="22" t="str">
        <f aca="false">IFERROR(haverdata(Codes!$D$15,$A149),"")</f>
        <v/>
      </c>
      <c r="C149" s="23" t="str">
        <f aca="false">IFERROR(B149/B148-1,"")</f>
        <v/>
      </c>
      <c r="D149" s="23" t="str">
        <f aca="false">IFERROR(B149/B145-1,"")</f>
        <v/>
      </c>
      <c r="E149" s="24" t="str">
        <f aca="false">IFERROR(IF(B149="",IFERROR(GROWTH($B$104:$B$191,$A$104:$A$191,$A149),TREND($B$104:$B$191,$A$104:$A$191,$A149)),""),"")</f>
        <v/>
      </c>
      <c r="F149" s="24" t="str">
        <f aca="false">IFERROR(forecast.ets($A149,$B$104:$B$191,$A$104:$A$191,4,1,1),"")</f>
        <v/>
      </c>
      <c r="G149" s="24" t="str">
        <f aca="false">IFERROR(F149-forecast.ets.confint($A149,$B$104:$B$191,$A$104:$A$191,0.95,4,1,1),"")</f>
        <v/>
      </c>
      <c r="H149" s="24" t="str">
        <f aca="false">IFERROR(F149+forecast.ets.confint($A149,$B$104:$B$191,$A$104:$A$191,0.95,4,1,1),"")</f>
        <v/>
      </c>
    </row>
    <row r="150" customFormat="false" ht="15" hidden="false" customHeight="false" outlineLevel="0" collapsed="false">
      <c r="A150" s="16" t="n">
        <v>43647</v>
      </c>
      <c r="B150" s="17" t="str">
        <f aca="false">IFERROR(haverdata(Codes!$D$15,$A150),"")</f>
        <v/>
      </c>
      <c r="C150" s="18" t="str">
        <f aca="false">IFERROR(B150/B149-1,"")</f>
        <v/>
      </c>
      <c r="D150" s="18" t="str">
        <f aca="false">IFERROR(B150/B146-1,"")</f>
        <v/>
      </c>
      <c r="E150" s="19" t="str">
        <f aca="false">IFERROR(IF(B150="",IFERROR(GROWTH($B$104:$B$191,$A$104:$A$191,$A150),TREND($B$104:$B$191,$A$104:$A$191,$A150)),""),"")</f>
        <v/>
      </c>
      <c r="F150" s="19" t="str">
        <f aca="false">IFERROR(forecast.ets($A150,$B$104:$B$191,$A$104:$A$191,4,1,1),"")</f>
        <v/>
      </c>
      <c r="G150" s="19" t="str">
        <f aca="false">IFERROR(F150-forecast.ets.confint($A150,$B$104:$B$191,$A$104:$A$191,0.95,4,1,1),"")</f>
        <v/>
      </c>
      <c r="H150" s="19" t="str">
        <f aca="false">IFERROR(F150+forecast.ets.confint($A150,$B$104:$B$191,$A$104:$A$191,0.95,4,1,1),"")</f>
        <v/>
      </c>
    </row>
    <row r="151" customFormat="false" ht="15" hidden="false" customHeight="false" outlineLevel="0" collapsed="false">
      <c r="A151" s="21" t="n">
        <v>43739</v>
      </c>
      <c r="B151" s="22" t="str">
        <f aca="false">IFERROR(haverdata(Codes!$D$15,$A151),"")</f>
        <v/>
      </c>
      <c r="C151" s="23" t="str">
        <f aca="false">IFERROR(B151/B150-1,"")</f>
        <v/>
      </c>
      <c r="D151" s="23" t="str">
        <f aca="false">IFERROR(B151/B147-1,"")</f>
        <v/>
      </c>
      <c r="E151" s="24" t="str">
        <f aca="false">IFERROR(IF(B151="",IFERROR(GROWTH($B$104:$B$191,$A$104:$A$191,$A151),TREND($B$104:$B$191,$A$104:$A$191,$A151)),""),"")</f>
        <v/>
      </c>
      <c r="F151" s="24" t="str">
        <f aca="false">IFERROR(forecast.ets($A151,$B$104:$B$191,$A$104:$A$191,4,1,1),"")</f>
        <v/>
      </c>
      <c r="G151" s="24" t="str">
        <f aca="false">IFERROR(F151-forecast.ets.confint($A151,$B$104:$B$191,$A$104:$A$191,0.95,4,1,1),"")</f>
        <v/>
      </c>
      <c r="H151" s="24" t="str">
        <f aca="false">IFERROR(F151+forecast.ets.confint($A151,$B$104:$B$191,$A$104:$A$191,0.95,4,1,1),"")</f>
        <v/>
      </c>
    </row>
    <row r="152" customFormat="false" ht="15" hidden="false" customHeight="false" outlineLevel="0" collapsed="false">
      <c r="A152" s="16" t="n">
        <v>43831</v>
      </c>
      <c r="B152" s="17" t="str">
        <f aca="false">IFERROR(haverdata(Codes!$D$15,$A152),"")</f>
        <v/>
      </c>
      <c r="C152" s="18" t="str">
        <f aca="false">IFERROR(B152/B151-1,"")</f>
        <v/>
      </c>
      <c r="D152" s="18" t="str">
        <f aca="false">IFERROR(B152/B148-1,"")</f>
        <v/>
      </c>
      <c r="E152" s="19" t="str">
        <f aca="false">IFERROR(IF(B152="",IFERROR(GROWTH($B$104:$B$191,$A$104:$A$191,$A152),TREND($B$104:$B$191,$A$104:$A$191,$A152)),""),"")</f>
        <v/>
      </c>
      <c r="F152" s="19" t="str">
        <f aca="false">IFERROR(forecast.ets($A152,$B$104:$B$191,$A$104:$A$191,4,1,1),"")</f>
        <v/>
      </c>
      <c r="G152" s="19" t="str">
        <f aca="false">IFERROR(F152-forecast.ets.confint($A152,$B$104:$B$191,$A$104:$A$191,0.95,4,1,1),"")</f>
        <v/>
      </c>
      <c r="H152" s="19" t="str">
        <f aca="false">IFERROR(F152+forecast.ets.confint($A152,$B$104:$B$191,$A$104:$A$191,0.95,4,1,1),"")</f>
        <v/>
      </c>
    </row>
    <row r="153" customFormat="false" ht="15" hidden="false" customHeight="false" outlineLevel="0" collapsed="false">
      <c r="A153" s="21" t="n">
        <v>43922</v>
      </c>
      <c r="B153" s="22" t="str">
        <f aca="false">IFERROR(haverdata(Codes!$D$15,$A153),"")</f>
        <v/>
      </c>
      <c r="C153" s="23" t="str">
        <f aca="false">IFERROR(B153/B152-1,"")</f>
        <v/>
      </c>
      <c r="D153" s="23" t="str">
        <f aca="false">IFERROR(B153/B149-1,"")</f>
        <v/>
      </c>
      <c r="E153" s="24" t="str">
        <f aca="false">IFERROR(IF(B153="",IFERROR(GROWTH($B$104:$B$191,$A$104:$A$191,$A153),TREND($B$104:$B$191,$A$104:$A$191,$A153)),""),"")</f>
        <v/>
      </c>
      <c r="F153" s="24" t="str">
        <f aca="false">IFERROR(forecast.ets($A153,$B$104:$B$191,$A$104:$A$191,4,1,1),"")</f>
        <v/>
      </c>
      <c r="G153" s="24" t="str">
        <f aca="false">IFERROR(F153-forecast.ets.confint($A153,$B$104:$B$191,$A$104:$A$191,0.95,4,1,1),"")</f>
        <v/>
      </c>
      <c r="H153" s="24" t="str">
        <f aca="false">IFERROR(F153+forecast.ets.confint($A153,$B$104:$B$191,$A$104:$A$191,0.95,4,1,1),"")</f>
        <v/>
      </c>
    </row>
    <row r="154" customFormat="false" ht="15" hidden="false" customHeight="false" outlineLevel="0" collapsed="false">
      <c r="A154" s="16" t="n">
        <v>44013</v>
      </c>
      <c r="B154" s="17" t="str">
        <f aca="false">IFERROR(haverdata(Codes!$D$15,$A154),"")</f>
        <v/>
      </c>
      <c r="C154" s="18" t="str">
        <f aca="false">IFERROR(B154/B153-1,"")</f>
        <v/>
      </c>
      <c r="D154" s="18" t="str">
        <f aca="false">IFERROR(B154/B150-1,"")</f>
        <v/>
      </c>
      <c r="E154" s="19" t="str">
        <f aca="false">IFERROR(IF(B154="",IFERROR(GROWTH($B$104:$B$191,$A$104:$A$191,$A154),TREND($B$104:$B$191,$A$104:$A$191,$A154)),""),"")</f>
        <v/>
      </c>
      <c r="F154" s="19" t="str">
        <f aca="false">IFERROR(forecast.ets($A154,$B$104:$B$191,$A$104:$A$191,4,1,1),"")</f>
        <v/>
      </c>
      <c r="G154" s="19" t="str">
        <f aca="false">IFERROR(F154-forecast.ets.confint($A154,$B$104:$B$191,$A$104:$A$191,0.95,4,1,1),"")</f>
        <v/>
      </c>
      <c r="H154" s="19" t="str">
        <f aca="false">IFERROR(F154+forecast.ets.confint($A154,$B$104:$B$191,$A$104:$A$191,0.95,4,1,1),"")</f>
        <v/>
      </c>
    </row>
    <row r="155" customFormat="false" ht="15" hidden="false" customHeight="false" outlineLevel="0" collapsed="false">
      <c r="A155" s="21" t="n">
        <v>44105</v>
      </c>
      <c r="B155" s="22" t="str">
        <f aca="false">IFERROR(haverdata(Codes!$D$15,$A155),"")</f>
        <v/>
      </c>
      <c r="C155" s="23" t="str">
        <f aca="false">IFERROR(B155/B154-1,"")</f>
        <v/>
      </c>
      <c r="D155" s="23" t="str">
        <f aca="false">IFERROR(B155/B151-1,"")</f>
        <v/>
      </c>
      <c r="E155" s="24" t="str">
        <f aca="false">IFERROR(IF(B155="",IFERROR(GROWTH($B$104:$B$191,$A$104:$A$191,$A155),TREND($B$104:$B$191,$A$104:$A$191,$A155)),""),"")</f>
        <v/>
      </c>
      <c r="F155" s="24" t="str">
        <f aca="false">IFERROR(forecast.ets($A155,$B$104:$B$191,$A$104:$A$191,4,1,1),"")</f>
        <v/>
      </c>
      <c r="G155" s="24" t="str">
        <f aca="false">IFERROR(F155-forecast.ets.confint($A155,$B$104:$B$191,$A$104:$A$191,0.95,4,1,1),"")</f>
        <v/>
      </c>
      <c r="H155" s="24" t="str">
        <f aca="false">IFERROR(F155+forecast.ets.confint($A155,$B$104:$B$191,$A$104:$A$191,0.95,4,1,1),"")</f>
        <v/>
      </c>
    </row>
    <row r="156" customFormat="false" ht="15" hidden="false" customHeight="false" outlineLevel="0" collapsed="false">
      <c r="A156" s="16" t="n">
        <v>44197</v>
      </c>
      <c r="B156" s="17" t="str">
        <f aca="false">IFERROR(haverdata(Codes!$D$15,$A156),"")</f>
        <v/>
      </c>
      <c r="C156" s="18" t="str">
        <f aca="false">IFERROR(B156/B155-1,"")</f>
        <v/>
      </c>
      <c r="D156" s="18" t="str">
        <f aca="false">IFERROR(B156/B152-1,"")</f>
        <v/>
      </c>
      <c r="E156" s="19" t="str">
        <f aca="false">IFERROR(IF(B156="",IFERROR(GROWTH($B$104:$B$191,$A$104:$A$191,$A156),TREND($B$104:$B$191,$A$104:$A$191,$A156)),""),"")</f>
        <v/>
      </c>
      <c r="F156" s="19" t="str">
        <f aca="false">IFERROR(forecast.ets($A156,$B$104:$B$191,$A$104:$A$191,4,1,1),"")</f>
        <v/>
      </c>
      <c r="G156" s="19" t="str">
        <f aca="false">IFERROR(F156-forecast.ets.confint($A156,$B$104:$B$191,$A$104:$A$191,0.95,4,1,1),"")</f>
        <v/>
      </c>
      <c r="H156" s="19" t="str">
        <f aca="false">IFERROR(F156+forecast.ets.confint($A156,$B$104:$B$191,$A$104:$A$191,0.95,4,1,1),"")</f>
        <v/>
      </c>
    </row>
    <row r="157" customFormat="false" ht="15" hidden="false" customHeight="false" outlineLevel="0" collapsed="false">
      <c r="A157" s="21" t="n">
        <v>44287</v>
      </c>
      <c r="B157" s="22" t="str">
        <f aca="false">IFERROR(haverdata(Codes!$D$15,$A157),"")</f>
        <v/>
      </c>
      <c r="C157" s="23" t="str">
        <f aca="false">IFERROR(B157/B156-1,"")</f>
        <v/>
      </c>
      <c r="D157" s="23" t="str">
        <f aca="false">IFERROR(B157/B153-1,"")</f>
        <v/>
      </c>
      <c r="E157" s="24" t="str">
        <f aca="false">IFERROR(IF(B157="",IFERROR(GROWTH($B$104:$B$191,$A$104:$A$191,$A157),TREND($B$104:$B$191,$A$104:$A$191,$A157)),""),"")</f>
        <v/>
      </c>
      <c r="F157" s="24" t="str">
        <f aca="false">IFERROR(forecast.ets($A157,$B$104:$B$191,$A$104:$A$191,4,1,1),"")</f>
        <v/>
      </c>
      <c r="G157" s="24" t="str">
        <f aca="false">IFERROR(F157-forecast.ets.confint($A157,$B$104:$B$191,$A$104:$A$191,0.95,4,1,1),"")</f>
        <v/>
      </c>
      <c r="H157" s="24" t="str">
        <f aca="false">IFERROR(F157+forecast.ets.confint($A157,$B$104:$B$191,$A$104:$A$191,0.95,4,1,1),"")</f>
        <v/>
      </c>
    </row>
    <row r="158" customFormat="false" ht="15" hidden="false" customHeight="false" outlineLevel="0" collapsed="false">
      <c r="A158" s="16" t="n">
        <v>44378</v>
      </c>
      <c r="B158" s="17" t="str">
        <f aca="false">IFERROR(haverdata(Codes!$D$15,$A158),"")</f>
        <v/>
      </c>
      <c r="C158" s="18" t="str">
        <f aca="false">IFERROR(B158/B157-1,"")</f>
        <v/>
      </c>
      <c r="D158" s="18" t="str">
        <f aca="false">IFERROR(B158/B154-1,"")</f>
        <v/>
      </c>
      <c r="E158" s="19" t="str">
        <f aca="false">IFERROR(IF(B158="",IFERROR(GROWTH($B$104:$B$191,$A$104:$A$191,$A158),TREND($B$104:$B$191,$A$104:$A$191,$A158)),""),"")</f>
        <v/>
      </c>
      <c r="F158" s="19" t="str">
        <f aca="false">IFERROR(forecast.ets($A158,$B$104:$B$191,$A$104:$A$191,4,1,1),"")</f>
        <v/>
      </c>
      <c r="G158" s="19" t="str">
        <f aca="false">IFERROR(F158-forecast.ets.confint($A158,$B$104:$B$191,$A$104:$A$191,0.95,4,1,1),"")</f>
        <v/>
      </c>
      <c r="H158" s="19" t="str">
        <f aca="false">IFERROR(F158+forecast.ets.confint($A158,$B$104:$B$191,$A$104:$A$191,0.95,4,1,1),"")</f>
        <v/>
      </c>
    </row>
    <row r="159" customFormat="false" ht="15" hidden="false" customHeight="false" outlineLevel="0" collapsed="false">
      <c r="A159" s="21" t="n">
        <v>44470</v>
      </c>
      <c r="B159" s="22" t="str">
        <f aca="false">IFERROR(haverdata(Codes!$D$15,$A159),"")</f>
        <v/>
      </c>
      <c r="C159" s="23" t="str">
        <f aca="false">IFERROR(B159/B158-1,"")</f>
        <v/>
      </c>
      <c r="D159" s="23" t="str">
        <f aca="false">IFERROR(B159/B155-1,"")</f>
        <v/>
      </c>
      <c r="E159" s="24" t="str">
        <f aca="false">IFERROR(IF(B159="",IFERROR(GROWTH($B$104:$B$191,$A$104:$A$191,$A159),TREND($B$104:$B$191,$A$104:$A$191,$A159)),""),"")</f>
        <v/>
      </c>
      <c r="F159" s="24" t="str">
        <f aca="false">IFERROR(forecast.ets($A159,$B$104:$B$191,$A$104:$A$191,4,1,1),"")</f>
        <v/>
      </c>
      <c r="G159" s="24" t="str">
        <f aca="false">IFERROR(F159-forecast.ets.confint($A159,$B$104:$B$191,$A$104:$A$191,0.95,4,1,1),"")</f>
        <v/>
      </c>
      <c r="H159" s="24" t="str">
        <f aca="false">IFERROR(F159+forecast.ets.confint($A159,$B$104:$B$191,$A$104:$A$191,0.95,4,1,1),"")</f>
        <v/>
      </c>
    </row>
    <row r="160" customFormat="false" ht="15" hidden="false" customHeight="false" outlineLevel="0" collapsed="false">
      <c r="A160" s="16" t="n">
        <v>44562</v>
      </c>
      <c r="B160" s="17" t="str">
        <f aca="false">IFERROR(haverdata(Codes!$D$15,$A160),"")</f>
        <v/>
      </c>
      <c r="C160" s="18" t="str">
        <f aca="false">IFERROR(B160/B159-1,"")</f>
        <v/>
      </c>
      <c r="D160" s="18" t="str">
        <f aca="false">IFERROR(B160/B156-1,"")</f>
        <v/>
      </c>
      <c r="E160" s="19" t="str">
        <f aca="false">IFERROR(IF(B160="",IFERROR(GROWTH($B$104:$B$191,$A$104:$A$191,$A160),TREND($B$104:$B$191,$A$104:$A$191,$A160)),""),"")</f>
        <v/>
      </c>
      <c r="F160" s="19" t="str">
        <f aca="false">IFERROR(forecast.ets($A160,$B$104:$B$191,$A$104:$A$191,4,1,1),"")</f>
        <v/>
      </c>
      <c r="G160" s="19" t="str">
        <f aca="false">IFERROR(F160-forecast.ets.confint($A160,$B$104:$B$191,$A$104:$A$191,0.95,4,1,1),"")</f>
        <v/>
      </c>
      <c r="H160" s="19" t="str">
        <f aca="false">IFERROR(F160+forecast.ets.confint($A160,$B$104:$B$191,$A$104:$A$191,0.95,4,1,1),"")</f>
        <v/>
      </c>
    </row>
    <row r="161" customFormat="false" ht="15" hidden="false" customHeight="false" outlineLevel="0" collapsed="false">
      <c r="A161" s="21" t="n">
        <v>44652</v>
      </c>
      <c r="B161" s="22" t="str">
        <f aca="false">IFERROR(haverdata(Codes!$D$15,$A161),"")</f>
        <v/>
      </c>
      <c r="C161" s="23" t="str">
        <f aca="false">IFERROR(B161/B160-1,"")</f>
        <v/>
      </c>
      <c r="D161" s="23" t="str">
        <f aca="false">IFERROR(B161/B157-1,"")</f>
        <v/>
      </c>
      <c r="E161" s="24" t="str">
        <f aca="false">IFERROR(IF(B161="",IFERROR(GROWTH($B$104:$B$191,$A$104:$A$191,$A161),TREND($B$104:$B$191,$A$104:$A$191,$A161)),""),"")</f>
        <v/>
      </c>
      <c r="F161" s="24" t="str">
        <f aca="false">IFERROR(forecast.ets($A161,$B$104:$B$191,$A$104:$A$191,4,1,1),"")</f>
        <v/>
      </c>
      <c r="G161" s="24" t="str">
        <f aca="false">IFERROR(F161-forecast.ets.confint($A161,$B$104:$B$191,$A$104:$A$191,0.95,4,1,1),"")</f>
        <v/>
      </c>
      <c r="H161" s="24" t="str">
        <f aca="false">IFERROR(F161+forecast.ets.confint($A161,$B$104:$B$191,$A$104:$A$191,0.95,4,1,1),"")</f>
        <v/>
      </c>
    </row>
    <row r="162" customFormat="false" ht="15" hidden="false" customHeight="false" outlineLevel="0" collapsed="false">
      <c r="A162" s="16" t="n">
        <v>44743</v>
      </c>
      <c r="B162" s="17" t="str">
        <f aca="false">IFERROR(haverdata(Codes!$D$15,$A162),"")</f>
        <v/>
      </c>
      <c r="C162" s="18" t="str">
        <f aca="false">IFERROR(B162/B161-1,"")</f>
        <v/>
      </c>
      <c r="D162" s="18" t="str">
        <f aca="false">IFERROR(B162/B158-1,"")</f>
        <v/>
      </c>
      <c r="E162" s="19" t="str">
        <f aca="false">IFERROR(IF(B162="",IFERROR(GROWTH($B$104:$B$191,$A$104:$A$191,$A162),TREND($B$104:$B$191,$A$104:$A$191,$A162)),""),"")</f>
        <v/>
      </c>
      <c r="F162" s="19" t="str">
        <f aca="false">IFERROR(forecast.ets($A162,$B$104:$B$191,$A$104:$A$191,4,1,1),"")</f>
        <v/>
      </c>
      <c r="G162" s="19" t="str">
        <f aca="false">IFERROR(F162-forecast.ets.confint($A162,$B$104:$B$191,$A$104:$A$191,0.95,4,1,1),"")</f>
        <v/>
      </c>
      <c r="H162" s="19" t="str">
        <f aca="false">IFERROR(F162+forecast.ets.confint($A162,$B$104:$B$191,$A$104:$A$191,0.95,4,1,1),"")</f>
        <v/>
      </c>
    </row>
    <row r="163" customFormat="false" ht="15" hidden="false" customHeight="false" outlineLevel="0" collapsed="false">
      <c r="A163" s="21" t="n">
        <v>44835</v>
      </c>
      <c r="B163" s="22" t="str">
        <f aca="false">IFERROR(haverdata(Codes!$D$15,$A163),"")</f>
        <v/>
      </c>
      <c r="C163" s="23" t="str">
        <f aca="false">IFERROR(B163/B162-1,"")</f>
        <v/>
      </c>
      <c r="D163" s="23" t="str">
        <f aca="false">IFERROR(B163/B159-1,"")</f>
        <v/>
      </c>
      <c r="E163" s="24" t="str">
        <f aca="false">IFERROR(IF(B163="",IFERROR(GROWTH($B$104:$B$191,$A$104:$A$191,$A163),TREND($B$104:$B$191,$A$104:$A$191,$A163)),""),"")</f>
        <v/>
      </c>
      <c r="F163" s="24" t="str">
        <f aca="false">IFERROR(forecast.ets($A163,$B$104:$B$191,$A$104:$A$191,4,1,1),"")</f>
        <v/>
      </c>
      <c r="G163" s="24" t="str">
        <f aca="false">IFERROR(F163-forecast.ets.confint($A163,$B$104:$B$191,$A$104:$A$191,0.95,4,1,1),"")</f>
        <v/>
      </c>
      <c r="H163" s="24" t="str">
        <f aca="false">IFERROR(F163+forecast.ets.confint($A163,$B$104:$B$191,$A$104:$A$191,0.95,4,1,1),"")</f>
        <v/>
      </c>
    </row>
    <row r="164" customFormat="false" ht="15" hidden="false" customHeight="false" outlineLevel="0" collapsed="false">
      <c r="A164" s="16" t="n">
        <v>44927</v>
      </c>
      <c r="B164" s="17" t="str">
        <f aca="false">IFERROR(haverdata(Codes!$D$15,$A164),"")</f>
        <v/>
      </c>
      <c r="C164" s="18" t="str">
        <f aca="false">IFERROR(B164/B163-1,"")</f>
        <v/>
      </c>
      <c r="D164" s="18" t="str">
        <f aca="false">IFERROR(B164/B160-1,"")</f>
        <v/>
      </c>
      <c r="E164" s="19" t="str">
        <f aca="false">IFERROR(IF(B164="",IFERROR(GROWTH($B$104:$B$191,$A$104:$A$191,$A164),TREND($B$104:$B$191,$A$104:$A$191,$A164)),""),"")</f>
        <v/>
      </c>
      <c r="F164" s="19" t="str">
        <f aca="false">IFERROR(forecast.ets($A164,$B$104:$B$191,$A$104:$A$191,4,1,1),"")</f>
        <v/>
      </c>
      <c r="G164" s="19" t="str">
        <f aca="false">IFERROR(F164-forecast.ets.confint($A164,$B$104:$B$191,$A$104:$A$191,0.95,4,1,1),"")</f>
        <v/>
      </c>
      <c r="H164" s="19" t="str">
        <f aca="false">IFERROR(F164+forecast.ets.confint($A164,$B$104:$B$191,$A$104:$A$191,0.95,4,1,1),"")</f>
        <v/>
      </c>
    </row>
    <row r="165" customFormat="false" ht="15" hidden="false" customHeight="false" outlineLevel="0" collapsed="false">
      <c r="A165" s="21" t="n">
        <v>45017</v>
      </c>
      <c r="B165" s="22" t="str">
        <f aca="false">IFERROR(haverdata(Codes!$D$15,$A165),"")</f>
        <v/>
      </c>
      <c r="C165" s="23" t="str">
        <f aca="false">IFERROR(B165/B164-1,"")</f>
        <v/>
      </c>
      <c r="D165" s="23" t="str">
        <f aca="false">IFERROR(B165/B161-1,"")</f>
        <v/>
      </c>
      <c r="E165" s="24" t="str">
        <f aca="false">IFERROR(IF(B165="",IFERROR(GROWTH($B$104:$B$191,$A$104:$A$191,$A165),TREND($B$104:$B$191,$A$104:$A$191,$A165)),""),"")</f>
        <v/>
      </c>
      <c r="F165" s="24" t="str">
        <f aca="false">IFERROR(forecast.ets($A165,$B$104:$B$191,$A$104:$A$191,4,1,1),"")</f>
        <v/>
      </c>
      <c r="G165" s="24" t="str">
        <f aca="false">IFERROR(F165-forecast.ets.confint($A165,$B$104:$B$191,$A$104:$A$191,0.95,4,1,1),"")</f>
        <v/>
      </c>
      <c r="H165" s="24" t="str">
        <f aca="false">IFERROR(F165+forecast.ets.confint($A165,$B$104:$B$191,$A$104:$A$191,0.95,4,1,1),"")</f>
        <v/>
      </c>
    </row>
    <row r="166" customFormat="false" ht="15" hidden="false" customHeight="false" outlineLevel="0" collapsed="false">
      <c r="A166" s="16" t="n">
        <v>45108</v>
      </c>
      <c r="B166" s="17" t="str">
        <f aca="false">IFERROR(haverdata(Codes!$D$15,$A166),"")</f>
        <v/>
      </c>
      <c r="C166" s="18" t="str">
        <f aca="false">IFERROR(B166/B165-1,"")</f>
        <v/>
      </c>
      <c r="D166" s="18" t="str">
        <f aca="false">IFERROR(B166/B162-1,"")</f>
        <v/>
      </c>
      <c r="E166" s="19" t="str">
        <f aca="false">IFERROR(IF(B166="",IFERROR(GROWTH($B$104:$B$191,$A$104:$A$191,$A166),TREND($B$104:$B$191,$A$104:$A$191,$A166)),""),"")</f>
        <v/>
      </c>
      <c r="F166" s="19" t="str">
        <f aca="false">IFERROR(forecast.ets($A166,$B$104:$B$191,$A$104:$A$191,4,1,1),"")</f>
        <v/>
      </c>
      <c r="G166" s="19" t="str">
        <f aca="false">IFERROR(F166-forecast.ets.confint($A166,$B$104:$B$191,$A$104:$A$191,0.95,4,1,1),"")</f>
        <v/>
      </c>
      <c r="H166" s="19" t="str">
        <f aca="false">IFERROR(F166+forecast.ets.confint($A166,$B$104:$B$191,$A$104:$A$191,0.95,4,1,1),"")</f>
        <v/>
      </c>
    </row>
    <row r="167" customFormat="false" ht="15" hidden="false" customHeight="false" outlineLevel="0" collapsed="false">
      <c r="A167" s="21" t="n">
        <v>45200</v>
      </c>
      <c r="B167" s="22" t="str">
        <f aca="false">IFERROR(haverdata(Codes!$D$15,$A167),"")</f>
        <v/>
      </c>
      <c r="C167" s="23" t="str">
        <f aca="false">IFERROR(B167/B166-1,"")</f>
        <v/>
      </c>
      <c r="D167" s="23" t="str">
        <f aca="false">IFERROR(B167/B163-1,"")</f>
        <v/>
      </c>
      <c r="E167" s="24" t="str">
        <f aca="false">IFERROR(IF(B167="",IFERROR(GROWTH($B$104:$B$191,$A$104:$A$191,$A167),TREND($B$104:$B$191,$A$104:$A$191,$A167)),""),"")</f>
        <v/>
      </c>
      <c r="F167" s="24" t="str">
        <f aca="false">IFERROR(forecast.ets($A167,$B$104:$B$191,$A$104:$A$191,4,1,1),"")</f>
        <v/>
      </c>
      <c r="G167" s="24" t="str">
        <f aca="false">IFERROR(F167-forecast.ets.confint($A167,$B$104:$B$191,$A$104:$A$191,0.95,4,1,1),"")</f>
        <v/>
      </c>
      <c r="H167" s="24" t="str">
        <f aca="false">IFERROR(F167+forecast.ets.confint($A167,$B$104:$B$191,$A$104:$A$191,0.95,4,1,1),"")</f>
        <v/>
      </c>
    </row>
    <row r="168" customFormat="false" ht="15" hidden="false" customHeight="false" outlineLevel="0" collapsed="false">
      <c r="A168" s="16" t="n">
        <v>45292</v>
      </c>
      <c r="B168" s="17" t="str">
        <f aca="false">IFERROR(haverdata(Codes!$D$15,$A168),"")</f>
        <v/>
      </c>
      <c r="C168" s="18" t="str">
        <f aca="false">IFERROR(B168/B167-1,"")</f>
        <v/>
      </c>
      <c r="D168" s="18" t="str">
        <f aca="false">IFERROR(B168/B164-1,"")</f>
        <v/>
      </c>
      <c r="E168" s="19" t="str">
        <f aca="false">IFERROR(IF(B168="",IFERROR(GROWTH($B$104:$B$191,$A$104:$A$191,$A168),TREND($B$104:$B$191,$A$104:$A$191,$A168)),""),"")</f>
        <v/>
      </c>
      <c r="F168" s="19" t="str">
        <f aca="false">IFERROR(forecast.ets($A168,$B$104:$B$191,$A$104:$A$191,4,1,1),"")</f>
        <v/>
      </c>
      <c r="G168" s="19" t="str">
        <f aca="false">IFERROR(F168-forecast.ets.confint($A168,$B$104:$B$191,$A$104:$A$191,0.95,4,1,1),"")</f>
        <v/>
      </c>
      <c r="H168" s="19" t="str">
        <f aca="false">IFERROR(F168+forecast.ets.confint($A168,$B$104:$B$191,$A$104:$A$191,0.95,4,1,1),"")</f>
        <v/>
      </c>
    </row>
    <row r="169" customFormat="false" ht="15" hidden="false" customHeight="false" outlineLevel="0" collapsed="false">
      <c r="A169" s="21" t="n">
        <v>45383</v>
      </c>
      <c r="B169" s="22" t="str">
        <f aca="false">IFERROR(haverdata(Codes!$D$15,$A169),"")</f>
        <v/>
      </c>
      <c r="C169" s="23" t="str">
        <f aca="false">IFERROR(B169/B168-1,"")</f>
        <v/>
      </c>
      <c r="D169" s="23" t="str">
        <f aca="false">IFERROR(B169/B165-1,"")</f>
        <v/>
      </c>
      <c r="E169" s="24" t="str">
        <f aca="false">IFERROR(IF(B169="",IFERROR(GROWTH($B$104:$B$191,$A$104:$A$191,$A169),TREND($B$104:$B$191,$A$104:$A$191,$A169)),""),"")</f>
        <v/>
      </c>
      <c r="F169" s="24" t="str">
        <f aca="false">IFERROR(forecast.ets($A169,$B$104:$B$191,$A$104:$A$191,4,1,1),"")</f>
        <v/>
      </c>
      <c r="G169" s="24" t="str">
        <f aca="false">IFERROR(F169-forecast.ets.confint($A169,$B$104:$B$191,$A$104:$A$191,0.95,4,1,1),"")</f>
        <v/>
      </c>
      <c r="H169" s="24" t="str">
        <f aca="false">IFERROR(F169+forecast.ets.confint($A169,$B$104:$B$191,$A$104:$A$191,0.95,4,1,1),"")</f>
        <v/>
      </c>
    </row>
    <row r="170" customFormat="false" ht="15" hidden="false" customHeight="false" outlineLevel="0" collapsed="false">
      <c r="A170" s="16" t="n">
        <v>45474</v>
      </c>
      <c r="B170" s="17" t="str">
        <f aca="false">IFERROR(haverdata(Codes!$D$15,$A170),"")</f>
        <v/>
      </c>
      <c r="C170" s="18" t="str">
        <f aca="false">IFERROR(B170/B169-1,"")</f>
        <v/>
      </c>
      <c r="D170" s="18" t="str">
        <f aca="false">IFERROR(B170/B166-1,"")</f>
        <v/>
      </c>
      <c r="E170" s="19" t="str">
        <f aca="false">IFERROR(IF(B170="",IFERROR(GROWTH($B$104:$B$191,$A$104:$A$191,$A170),TREND($B$104:$B$191,$A$104:$A$191,$A170)),""),"")</f>
        <v/>
      </c>
      <c r="F170" s="19" t="str">
        <f aca="false">IFERROR(forecast.ets($A170,$B$104:$B$191,$A$104:$A$191,4,1,1),"")</f>
        <v/>
      </c>
      <c r="G170" s="19" t="str">
        <f aca="false">IFERROR(F170-forecast.ets.confint($A170,$B$104:$B$191,$A$104:$A$191,0.95,4,1,1),"")</f>
        <v/>
      </c>
      <c r="H170" s="19" t="str">
        <f aca="false">IFERROR(F170+forecast.ets.confint($A170,$B$104:$B$191,$A$104:$A$191,0.95,4,1,1),"")</f>
        <v/>
      </c>
    </row>
    <row r="171" customFormat="false" ht="15" hidden="false" customHeight="false" outlineLevel="0" collapsed="false">
      <c r="A171" s="21" t="n">
        <v>45566</v>
      </c>
      <c r="B171" s="22" t="str">
        <f aca="false">IFERROR(haverdata(Codes!$D$15,$A171),"")</f>
        <v/>
      </c>
      <c r="C171" s="23" t="str">
        <f aca="false">IFERROR(B171/B170-1,"")</f>
        <v/>
      </c>
      <c r="D171" s="23" t="str">
        <f aca="false">IFERROR(B171/B167-1,"")</f>
        <v/>
      </c>
      <c r="E171" s="24" t="str">
        <f aca="false">IFERROR(IF(B171="",IFERROR(GROWTH($B$104:$B$191,$A$104:$A$191,$A171),TREND($B$104:$B$191,$A$104:$A$191,$A171)),""),"")</f>
        <v/>
      </c>
      <c r="F171" s="24" t="str">
        <f aca="false">IFERROR(forecast.ets($A171,$B$104:$B$191,$A$104:$A$191,4,1,1),"")</f>
        <v/>
      </c>
      <c r="G171" s="24" t="str">
        <f aca="false">IFERROR(F171-forecast.ets.confint($A171,$B$104:$B$191,$A$104:$A$191,0.95,4,1,1),"")</f>
        <v/>
      </c>
      <c r="H171" s="24" t="str">
        <f aca="false">IFERROR(F171+forecast.ets.confint($A171,$B$104:$B$191,$A$104:$A$191,0.95,4,1,1),"")</f>
        <v/>
      </c>
    </row>
    <row r="172" customFormat="false" ht="15" hidden="false" customHeight="false" outlineLevel="0" collapsed="false">
      <c r="A172" s="16" t="n">
        <v>45658</v>
      </c>
      <c r="B172" s="17" t="str">
        <f aca="false">IFERROR(haverdata(Codes!$D$15,$A172),"")</f>
        <v/>
      </c>
      <c r="C172" s="18" t="str">
        <f aca="false">IFERROR(B172/B171-1,"")</f>
        <v/>
      </c>
      <c r="D172" s="18" t="str">
        <f aca="false">IFERROR(B172/B168-1,"")</f>
        <v/>
      </c>
      <c r="E172" s="19" t="str">
        <f aca="false">IFERROR(IF(B172="",IFERROR(GROWTH($B$104:$B$191,$A$104:$A$191,$A172),TREND($B$104:$B$191,$A$104:$A$191,$A172)),""),"")</f>
        <v/>
      </c>
      <c r="F172" s="19" t="str">
        <f aca="false">IFERROR(forecast.ets($A172,$B$104:$B$191,$A$104:$A$191,4,1,1),"")</f>
        <v/>
      </c>
      <c r="G172" s="19" t="str">
        <f aca="false">IFERROR(F172-forecast.ets.confint($A172,$B$104:$B$191,$A$104:$A$191,0.95,4,1,1),"")</f>
        <v/>
      </c>
      <c r="H172" s="19" t="str">
        <f aca="false">IFERROR(F172+forecast.ets.confint($A172,$B$104:$B$191,$A$104:$A$191,0.95,4,1,1),"")</f>
        <v/>
      </c>
    </row>
    <row r="173" customFormat="false" ht="15" hidden="false" customHeight="false" outlineLevel="0" collapsed="false">
      <c r="A173" s="21" t="n">
        <v>45748</v>
      </c>
      <c r="B173" s="22" t="str">
        <f aca="false">IFERROR(haverdata(Codes!$D$15,$A173),"")</f>
        <v/>
      </c>
      <c r="C173" s="23" t="str">
        <f aca="false">IFERROR(B173/B172-1,"")</f>
        <v/>
      </c>
      <c r="D173" s="23" t="str">
        <f aca="false">IFERROR(B173/B169-1,"")</f>
        <v/>
      </c>
      <c r="E173" s="24" t="str">
        <f aca="false">IFERROR(IF(B173="",IFERROR(GROWTH($B$104:$B$191,$A$104:$A$191,$A173),TREND($B$104:$B$191,$A$104:$A$191,$A173)),""),"")</f>
        <v/>
      </c>
      <c r="F173" s="24" t="str">
        <f aca="false">IFERROR(forecast.ets($A173,$B$104:$B$191,$A$104:$A$191,4,1,1),"")</f>
        <v/>
      </c>
      <c r="G173" s="24" t="str">
        <f aca="false">IFERROR(F173-forecast.ets.confint($A173,$B$104:$B$191,$A$104:$A$191,0.95,4,1,1),"")</f>
        <v/>
      </c>
      <c r="H173" s="24" t="str">
        <f aca="false">IFERROR(F173+forecast.ets.confint($A173,$B$104:$B$191,$A$104:$A$191,0.95,4,1,1),"")</f>
        <v/>
      </c>
    </row>
    <row r="174" customFormat="false" ht="15" hidden="false" customHeight="false" outlineLevel="0" collapsed="false">
      <c r="A174" s="16" t="n">
        <v>45839</v>
      </c>
      <c r="B174" s="17" t="str">
        <f aca="false">IFERROR(haverdata(Codes!$D$15,$A174),"")</f>
        <v/>
      </c>
      <c r="C174" s="18" t="str">
        <f aca="false">IFERROR(B174/B173-1,"")</f>
        <v/>
      </c>
      <c r="D174" s="18" t="str">
        <f aca="false">IFERROR(B174/B170-1,"")</f>
        <v/>
      </c>
      <c r="E174" s="19" t="str">
        <f aca="false">IFERROR(IF(B174="",IFERROR(GROWTH($B$104:$B$191,$A$104:$A$191,$A174),TREND($B$104:$B$191,$A$104:$A$191,$A174)),""),"")</f>
        <v/>
      </c>
      <c r="F174" s="19" t="str">
        <f aca="false">IFERROR(forecast.ets($A174,$B$104:$B$191,$A$104:$A$191,4,1,1),"")</f>
        <v/>
      </c>
      <c r="G174" s="19" t="str">
        <f aca="false">IFERROR(F174-forecast.ets.confint($A174,$B$104:$B$191,$A$104:$A$191,0.95,4,1,1),"")</f>
        <v/>
      </c>
      <c r="H174" s="19" t="str">
        <f aca="false">IFERROR(F174+forecast.ets.confint($A174,$B$104:$B$191,$A$104:$A$191,0.95,4,1,1),"")</f>
        <v/>
      </c>
    </row>
    <row r="175" customFormat="false" ht="15" hidden="false" customHeight="false" outlineLevel="0" collapsed="false">
      <c r="A175" s="21" t="n">
        <v>45931</v>
      </c>
      <c r="B175" s="22" t="str">
        <f aca="false">IFERROR(haverdata(Codes!$D$15,$A175),"")</f>
        <v/>
      </c>
      <c r="C175" s="23" t="str">
        <f aca="false">IFERROR(B175/B174-1,"")</f>
        <v/>
      </c>
      <c r="D175" s="23" t="str">
        <f aca="false">IFERROR(B175/B171-1,"")</f>
        <v/>
      </c>
      <c r="E175" s="24" t="str">
        <f aca="false">IFERROR(IF(B175="",IFERROR(GROWTH($B$104:$B$191,$A$104:$A$191,$A175),TREND($B$104:$B$191,$A$104:$A$191,$A175)),""),"")</f>
        <v/>
      </c>
      <c r="F175" s="24" t="str">
        <f aca="false">IFERROR(forecast.ets($A175,$B$104:$B$191,$A$104:$A$191,4,1,1),"")</f>
        <v/>
      </c>
      <c r="G175" s="24" t="str">
        <f aca="false">IFERROR(F175-forecast.ets.confint($A175,$B$104:$B$191,$A$104:$A$191,0.95,4,1,1),"")</f>
        <v/>
      </c>
      <c r="H175" s="24" t="str">
        <f aca="false">IFERROR(F175+forecast.ets.confint($A175,$B$104:$B$191,$A$104:$A$191,0.95,4,1,1),"")</f>
        <v/>
      </c>
    </row>
    <row r="176" customFormat="false" ht="15" hidden="false" customHeight="false" outlineLevel="0" collapsed="false">
      <c r="A176" s="16" t="n">
        <v>46023</v>
      </c>
      <c r="B176" s="17" t="str">
        <f aca="false">IFERROR(haverdata(Codes!$D$15,$A176),"")</f>
        <v/>
      </c>
      <c r="C176" s="18" t="str">
        <f aca="false">IFERROR(B176/B175-1,"")</f>
        <v/>
      </c>
      <c r="D176" s="18" t="str">
        <f aca="false">IFERROR(B176/B172-1,"")</f>
        <v/>
      </c>
      <c r="E176" s="19" t="str">
        <f aca="false">IFERROR(IF(B176="",IFERROR(GROWTH($B$104:$B$191,$A$104:$A$191,$A176),TREND($B$104:$B$191,$A$104:$A$191,$A176)),""),"")</f>
        <v/>
      </c>
      <c r="F176" s="19" t="str">
        <f aca="false">IFERROR(forecast.ets($A176,$B$104:$B$191,$A$104:$A$191,4,1,1),"")</f>
        <v/>
      </c>
      <c r="G176" s="19" t="str">
        <f aca="false">IFERROR(F176-forecast.ets.confint($A176,$B$104:$B$191,$A$104:$A$191,0.95,4,1,1),"")</f>
        <v/>
      </c>
      <c r="H176" s="19" t="str">
        <f aca="false">IFERROR(F176+forecast.ets.confint($A176,$B$104:$B$191,$A$104:$A$191,0.95,4,1,1),"")</f>
        <v/>
      </c>
    </row>
    <row r="177" customFormat="false" ht="15" hidden="false" customHeight="false" outlineLevel="0" collapsed="false">
      <c r="A177" s="21" t="n">
        <v>46113</v>
      </c>
      <c r="B177" s="22" t="str">
        <f aca="false">IFERROR(haverdata(Codes!$D$15,$A177),"")</f>
        <v/>
      </c>
      <c r="C177" s="23" t="str">
        <f aca="false">IFERROR(B177/B176-1,"")</f>
        <v/>
      </c>
      <c r="D177" s="23" t="str">
        <f aca="false">IFERROR(B177/B173-1,"")</f>
        <v/>
      </c>
      <c r="E177" s="24" t="str">
        <f aca="false">IFERROR(IF(B177="",IFERROR(GROWTH($B$104:$B$191,$A$104:$A$191,$A177),TREND($B$104:$B$191,$A$104:$A$191,$A177)),""),"")</f>
        <v/>
      </c>
      <c r="F177" s="24" t="str">
        <f aca="false">IFERROR(forecast.ets($A177,$B$104:$B$191,$A$104:$A$191,4,1,1),"")</f>
        <v/>
      </c>
      <c r="G177" s="24" t="str">
        <f aca="false">IFERROR(F177-forecast.ets.confint($A177,$B$104:$B$191,$A$104:$A$191,0.95,4,1,1),"")</f>
        <v/>
      </c>
      <c r="H177" s="24" t="str">
        <f aca="false">IFERROR(F177+forecast.ets.confint($A177,$B$104:$B$191,$A$104:$A$191,0.95,4,1,1),"")</f>
        <v/>
      </c>
    </row>
    <row r="178" customFormat="false" ht="15" hidden="false" customHeight="false" outlineLevel="0" collapsed="false">
      <c r="A178" s="16" t="n">
        <v>46204</v>
      </c>
      <c r="B178" s="17" t="str">
        <f aca="false">IFERROR(haverdata(Codes!$D$15,$A178),"")</f>
        <v/>
      </c>
      <c r="C178" s="18" t="str">
        <f aca="false">IFERROR(B178/B177-1,"")</f>
        <v/>
      </c>
      <c r="D178" s="18" t="str">
        <f aca="false">IFERROR(B178/B174-1,"")</f>
        <v/>
      </c>
      <c r="E178" s="19" t="str">
        <f aca="false">IFERROR(IF(B178="",IFERROR(GROWTH($B$104:$B$191,$A$104:$A$191,$A178),TREND($B$104:$B$191,$A$104:$A$191,$A178)),""),"")</f>
        <v/>
      </c>
      <c r="F178" s="19" t="str">
        <f aca="false">IFERROR(forecast.ets($A178,$B$104:$B$191,$A$104:$A$191,4,1,1),"")</f>
        <v/>
      </c>
      <c r="G178" s="19" t="str">
        <f aca="false">IFERROR(F178-forecast.ets.confint($A178,$B$104:$B$191,$A$104:$A$191,0.95,4,1,1),"")</f>
        <v/>
      </c>
      <c r="H178" s="19" t="str">
        <f aca="false">IFERROR(F178+forecast.ets.confint($A178,$B$104:$B$191,$A$104:$A$191,0.95,4,1,1),"")</f>
        <v/>
      </c>
    </row>
    <row r="179" customFormat="false" ht="15" hidden="false" customHeight="false" outlineLevel="0" collapsed="false">
      <c r="A179" s="21" t="n">
        <v>46296</v>
      </c>
      <c r="B179" s="22" t="str">
        <f aca="false">IFERROR(haverdata(Codes!$D$15,$A179),"")</f>
        <v/>
      </c>
      <c r="C179" s="23" t="str">
        <f aca="false">IFERROR(B179/B178-1,"")</f>
        <v/>
      </c>
      <c r="D179" s="23" t="str">
        <f aca="false">IFERROR(B179/B175-1,"")</f>
        <v/>
      </c>
      <c r="E179" s="24" t="str">
        <f aca="false">IFERROR(IF(B179="",IFERROR(GROWTH($B$104:$B$191,$A$104:$A$191,$A179),TREND($B$104:$B$191,$A$104:$A$191,$A179)),""),"")</f>
        <v/>
      </c>
      <c r="F179" s="24" t="str">
        <f aca="false">IFERROR(forecast.ets($A179,$B$104:$B$191,$A$104:$A$191,4,1,1),"")</f>
        <v/>
      </c>
      <c r="G179" s="24" t="str">
        <f aca="false">IFERROR(F179-forecast.ets.confint($A179,$B$104:$B$191,$A$104:$A$191,0.95,4,1,1),"")</f>
        <v/>
      </c>
      <c r="H179" s="24" t="str">
        <f aca="false">IFERROR(F179+forecast.ets.confint($A179,$B$104:$B$191,$A$104:$A$191,0.95,4,1,1),"")</f>
        <v/>
      </c>
    </row>
    <row r="180" customFormat="false" ht="15" hidden="false" customHeight="false" outlineLevel="0" collapsed="false">
      <c r="A180" s="16" t="n">
        <v>46388</v>
      </c>
      <c r="B180" s="17" t="str">
        <f aca="false">IFERROR(haverdata(Codes!$D$15,$A180),"")</f>
        <v/>
      </c>
      <c r="C180" s="18" t="str">
        <f aca="false">IFERROR(B180/B179-1,"")</f>
        <v/>
      </c>
      <c r="D180" s="18" t="str">
        <f aca="false">IFERROR(B180/B176-1,"")</f>
        <v/>
      </c>
      <c r="E180" s="19" t="str">
        <f aca="false">IFERROR(IF(B180="",IFERROR(GROWTH($B$104:$B$191,$A$104:$A$191,$A180),TREND($B$104:$B$191,$A$104:$A$191,$A180)),""),"")</f>
        <v/>
      </c>
      <c r="F180" s="19" t="str">
        <f aca="false">IFERROR(forecast.ets($A180,$B$104:$B$191,$A$104:$A$191,4,1,1),"")</f>
        <v/>
      </c>
      <c r="G180" s="19" t="str">
        <f aca="false">IFERROR(F180-forecast.ets.confint($A180,$B$104:$B$191,$A$104:$A$191,0.95,4,1,1),"")</f>
        <v/>
      </c>
      <c r="H180" s="19" t="str">
        <f aca="false">IFERROR(F180+forecast.ets.confint($A180,$B$104:$B$191,$A$104:$A$191,0.95,4,1,1),"")</f>
        <v/>
      </c>
    </row>
    <row r="181" customFormat="false" ht="15" hidden="false" customHeight="false" outlineLevel="0" collapsed="false">
      <c r="A181" s="21" t="n">
        <v>46478</v>
      </c>
      <c r="B181" s="22" t="str">
        <f aca="false">IFERROR(haverdata(Codes!$D$15,$A181),"")</f>
        <v/>
      </c>
      <c r="C181" s="23" t="str">
        <f aca="false">IFERROR(B181/B180-1,"")</f>
        <v/>
      </c>
      <c r="D181" s="23" t="str">
        <f aca="false">IFERROR(B181/B177-1,"")</f>
        <v/>
      </c>
      <c r="E181" s="24" t="str">
        <f aca="false">IFERROR(IF(B181="",IFERROR(GROWTH($B$104:$B$191,$A$104:$A$191,$A181),TREND($B$104:$B$191,$A$104:$A$191,$A181)),""),"")</f>
        <v/>
      </c>
      <c r="F181" s="24" t="str">
        <f aca="false">IFERROR(forecast.ets($A181,$B$104:$B$191,$A$104:$A$191,4,1,1),"")</f>
        <v/>
      </c>
      <c r="G181" s="24" t="str">
        <f aca="false">IFERROR(F181-forecast.ets.confint($A181,$B$104:$B$191,$A$104:$A$191,0.95,4,1,1),"")</f>
        <v/>
      </c>
      <c r="H181" s="24" t="str">
        <f aca="false">IFERROR(F181+forecast.ets.confint($A181,$B$104:$B$191,$A$104:$A$191,0.95,4,1,1),"")</f>
        <v/>
      </c>
    </row>
    <row r="182" customFormat="false" ht="15" hidden="false" customHeight="false" outlineLevel="0" collapsed="false">
      <c r="A182" s="16" t="n">
        <v>46569</v>
      </c>
      <c r="B182" s="17" t="str">
        <f aca="false">IFERROR(haverdata(Codes!$D$15,$A182),"")</f>
        <v/>
      </c>
      <c r="C182" s="18" t="str">
        <f aca="false">IFERROR(B182/B181-1,"")</f>
        <v/>
      </c>
      <c r="D182" s="18" t="str">
        <f aca="false">IFERROR(B182/B178-1,"")</f>
        <v/>
      </c>
      <c r="E182" s="19" t="str">
        <f aca="false">IFERROR(IF(B182="",IFERROR(GROWTH($B$104:$B$191,$A$104:$A$191,$A182),TREND($B$104:$B$191,$A$104:$A$191,$A182)),""),"")</f>
        <v/>
      </c>
      <c r="F182" s="19" t="str">
        <f aca="false">IFERROR(forecast.ets($A182,$B$104:$B$191,$A$104:$A$191,4,1,1),"")</f>
        <v/>
      </c>
      <c r="G182" s="19" t="str">
        <f aca="false">IFERROR(F182-forecast.ets.confint($A182,$B$104:$B$191,$A$104:$A$191,0.95,4,1,1),"")</f>
        <v/>
      </c>
      <c r="H182" s="19" t="str">
        <f aca="false">IFERROR(F182+forecast.ets.confint($A182,$B$104:$B$191,$A$104:$A$191,0.95,4,1,1),"")</f>
        <v/>
      </c>
    </row>
    <row r="183" customFormat="false" ht="15" hidden="false" customHeight="false" outlineLevel="0" collapsed="false">
      <c r="A183" s="21" t="n">
        <v>46661</v>
      </c>
      <c r="B183" s="22" t="str">
        <f aca="false">IFERROR(haverdata(Codes!$D$15,$A183),"")</f>
        <v/>
      </c>
      <c r="C183" s="23" t="str">
        <f aca="false">IFERROR(B183/B182-1,"")</f>
        <v/>
      </c>
      <c r="D183" s="23" t="str">
        <f aca="false">IFERROR(B183/B179-1,"")</f>
        <v/>
      </c>
      <c r="E183" s="24" t="str">
        <f aca="false">IFERROR(IF(B183="",IFERROR(GROWTH($B$104:$B$191,$A$104:$A$191,$A183),TREND($B$104:$B$191,$A$104:$A$191,$A183)),""),"")</f>
        <v/>
      </c>
      <c r="F183" s="24" t="str">
        <f aca="false">IFERROR(forecast.ets($A183,$B$104:$B$191,$A$104:$A$191,4,1,1),"")</f>
        <v/>
      </c>
      <c r="G183" s="24" t="str">
        <f aca="false">IFERROR(F183-forecast.ets.confint($A183,$B$104:$B$191,$A$104:$A$191,0.95,4,1,1),"")</f>
        <v/>
      </c>
      <c r="H183" s="24" t="str">
        <f aca="false">IFERROR(F183+forecast.ets.confint($A183,$B$104:$B$191,$A$104:$A$191,0.95,4,1,1),"")</f>
        <v/>
      </c>
    </row>
    <row r="184" customFormat="false" ht="15" hidden="false" customHeight="false" outlineLevel="0" collapsed="false">
      <c r="A184" s="16" t="n">
        <v>46753</v>
      </c>
      <c r="B184" s="17" t="str">
        <f aca="false">IFERROR(haverdata(Codes!$D$15,$A184),"")</f>
        <v/>
      </c>
      <c r="C184" s="18" t="str">
        <f aca="false">IFERROR(B184/B183-1,"")</f>
        <v/>
      </c>
      <c r="D184" s="18" t="str">
        <f aca="false">IFERROR(B184/B180-1,"")</f>
        <v/>
      </c>
      <c r="E184" s="19" t="str">
        <f aca="false">IFERROR(IF(B184="",IFERROR(GROWTH($B$104:$B$191,$A$104:$A$191,$A184),TREND($B$104:$B$191,$A$104:$A$191,$A184)),""),"")</f>
        <v/>
      </c>
      <c r="F184" s="19" t="str">
        <f aca="false">IFERROR(forecast.ets($A184,$B$104:$B$191,$A$104:$A$191,4,1,1),"")</f>
        <v/>
      </c>
      <c r="G184" s="19" t="str">
        <f aca="false">IFERROR(F184-forecast.ets.confint($A184,$B$104:$B$191,$A$104:$A$191,0.95,4,1,1),"")</f>
        <v/>
      </c>
      <c r="H184" s="19" t="str">
        <f aca="false">IFERROR(F184+forecast.ets.confint($A184,$B$104:$B$191,$A$104:$A$191,0.95,4,1,1),"")</f>
        <v/>
      </c>
    </row>
    <row r="185" customFormat="false" ht="15" hidden="false" customHeight="false" outlineLevel="0" collapsed="false">
      <c r="A185" s="21" t="n">
        <v>46844</v>
      </c>
      <c r="B185" s="22" t="str">
        <f aca="false">IFERROR(haverdata(Codes!$D$15,$A185),"")</f>
        <v/>
      </c>
      <c r="C185" s="23" t="str">
        <f aca="false">IFERROR(B185/B184-1,"")</f>
        <v/>
      </c>
      <c r="D185" s="23" t="str">
        <f aca="false">IFERROR(B185/B181-1,"")</f>
        <v/>
      </c>
      <c r="E185" s="24" t="str">
        <f aca="false">IFERROR(IF(B185="",IFERROR(GROWTH($B$104:$B$191,$A$104:$A$191,$A185),TREND($B$104:$B$191,$A$104:$A$191,$A185)),""),"")</f>
        <v/>
      </c>
      <c r="F185" s="24" t="str">
        <f aca="false">IFERROR(forecast.ets($A185,$B$104:$B$191,$A$104:$A$191,4,1,1),"")</f>
        <v/>
      </c>
      <c r="G185" s="24" t="str">
        <f aca="false">IFERROR(F185-forecast.ets.confint($A185,$B$104:$B$191,$A$104:$A$191,0.95,4,1,1),"")</f>
        <v/>
      </c>
      <c r="H185" s="24" t="str">
        <f aca="false">IFERROR(F185+forecast.ets.confint($A185,$B$104:$B$191,$A$104:$A$191,0.95,4,1,1),"")</f>
        <v/>
      </c>
    </row>
    <row r="186" customFormat="false" ht="15" hidden="false" customHeight="false" outlineLevel="0" collapsed="false">
      <c r="A186" s="16" t="n">
        <v>46935</v>
      </c>
      <c r="B186" s="17" t="str">
        <f aca="false">IFERROR(haverdata(Codes!$D$15,$A186),"")</f>
        <v/>
      </c>
      <c r="C186" s="18" t="str">
        <f aca="false">IFERROR(B186/B185-1,"")</f>
        <v/>
      </c>
      <c r="D186" s="18" t="str">
        <f aca="false">IFERROR(B186/B182-1,"")</f>
        <v/>
      </c>
      <c r="E186" s="19" t="str">
        <f aca="false">IFERROR(IF(B186="",IFERROR(GROWTH($B$104:$B$191,$A$104:$A$191,$A186),TREND($B$104:$B$191,$A$104:$A$191,$A186)),""),"")</f>
        <v/>
      </c>
      <c r="F186" s="19" t="str">
        <f aca="false">IFERROR(forecast.ets($A186,$B$104:$B$191,$A$104:$A$191,4,1,1),"")</f>
        <v/>
      </c>
      <c r="G186" s="19" t="str">
        <f aca="false">IFERROR(F186-forecast.ets.confint($A186,$B$104:$B$191,$A$104:$A$191,0.95,4,1,1),"")</f>
        <v/>
      </c>
      <c r="H186" s="19" t="str">
        <f aca="false">IFERROR(F186+forecast.ets.confint($A186,$B$104:$B$191,$A$104:$A$191,0.95,4,1,1),"")</f>
        <v/>
      </c>
    </row>
    <row r="187" customFormat="false" ht="15" hidden="false" customHeight="false" outlineLevel="0" collapsed="false">
      <c r="A187" s="21" t="n">
        <v>47027</v>
      </c>
      <c r="B187" s="22" t="str">
        <f aca="false">IFERROR(haverdata(Codes!$D$15,$A187),"")</f>
        <v/>
      </c>
      <c r="C187" s="23" t="str">
        <f aca="false">IFERROR(B187/B186-1,"")</f>
        <v/>
      </c>
      <c r="D187" s="23" t="str">
        <f aca="false">IFERROR(B187/B183-1,"")</f>
        <v/>
      </c>
      <c r="E187" s="24" t="str">
        <f aca="false">IFERROR(IF(B187="",IFERROR(GROWTH($B$104:$B$191,$A$104:$A$191,$A187),TREND($B$104:$B$191,$A$104:$A$191,$A187)),""),"")</f>
        <v/>
      </c>
      <c r="F187" s="24" t="str">
        <f aca="false">IFERROR(forecast.ets($A187,$B$104:$B$191,$A$104:$A$191,4,1,1),"")</f>
        <v/>
      </c>
      <c r="G187" s="24" t="str">
        <f aca="false">IFERROR(F187-forecast.ets.confint($A187,$B$104:$B$191,$A$104:$A$191,0.95,4,1,1),"")</f>
        <v/>
      </c>
      <c r="H187" s="24" t="str">
        <f aca="false">IFERROR(F187+forecast.ets.confint($A187,$B$104:$B$191,$A$104:$A$191,0.95,4,1,1),"")</f>
        <v/>
      </c>
    </row>
    <row r="188" customFormat="false" ht="15" hidden="false" customHeight="false" outlineLevel="0" collapsed="false">
      <c r="A188" s="16" t="n">
        <v>47119</v>
      </c>
      <c r="B188" s="17" t="str">
        <f aca="false">IFERROR(haverdata(Codes!$D$15,$A188),"")</f>
        <v/>
      </c>
      <c r="C188" s="18" t="str">
        <f aca="false">IFERROR(B188/B187-1,"")</f>
        <v/>
      </c>
      <c r="D188" s="18" t="str">
        <f aca="false">IFERROR(B188/B184-1,"")</f>
        <v/>
      </c>
      <c r="E188" s="19" t="str">
        <f aca="false">IFERROR(IF(B188="",IFERROR(GROWTH($B$104:$B$191,$A$104:$A$191,$A188),TREND($B$104:$B$191,$A$104:$A$191,$A188)),""),"")</f>
        <v/>
      </c>
      <c r="F188" s="19" t="str">
        <f aca="false">IFERROR(forecast.ets($A188,$B$104:$B$191,$A$104:$A$191,4,1,1),"")</f>
        <v/>
      </c>
      <c r="G188" s="19" t="str">
        <f aca="false">IFERROR(F188-forecast.ets.confint($A188,$B$104:$B$191,$A$104:$A$191,0.95,4,1,1),"")</f>
        <v/>
      </c>
      <c r="H188" s="19" t="str">
        <f aca="false">IFERROR(F188+forecast.ets.confint($A188,$B$104:$B$191,$A$104:$A$191,0.95,4,1,1),"")</f>
        <v/>
      </c>
    </row>
    <row r="189" customFormat="false" ht="15" hidden="false" customHeight="false" outlineLevel="0" collapsed="false">
      <c r="A189" s="21" t="n">
        <v>47209</v>
      </c>
      <c r="B189" s="22" t="str">
        <f aca="false">IFERROR(haverdata(Codes!$D$15,$A189),"")</f>
        <v/>
      </c>
      <c r="C189" s="23" t="str">
        <f aca="false">IFERROR(B189/B188-1,"")</f>
        <v/>
      </c>
      <c r="D189" s="23" t="str">
        <f aca="false">IFERROR(B189/B185-1,"")</f>
        <v/>
      </c>
      <c r="E189" s="24" t="str">
        <f aca="false">IFERROR(IF(B189="",IFERROR(GROWTH($B$104:$B$191,$A$104:$A$191,$A189),TREND($B$104:$B$191,$A$104:$A$191,$A189)),""),"")</f>
        <v/>
      </c>
      <c r="F189" s="24" t="str">
        <f aca="false">IFERROR(forecast.ets($A189,$B$104:$B$191,$A$104:$A$191,4,1,1),"")</f>
        <v/>
      </c>
      <c r="G189" s="24" t="str">
        <f aca="false">IFERROR(F189-forecast.ets.confint($A189,$B$104:$B$191,$A$104:$A$191,0.95,4,1,1),"")</f>
        <v/>
      </c>
      <c r="H189" s="24" t="str">
        <f aca="false">IFERROR(F189+forecast.ets.confint($A189,$B$104:$B$191,$A$104:$A$191,0.95,4,1,1),"")</f>
        <v/>
      </c>
    </row>
    <row r="190" customFormat="false" ht="15" hidden="false" customHeight="false" outlineLevel="0" collapsed="false">
      <c r="A190" s="16" t="n">
        <v>47300</v>
      </c>
      <c r="B190" s="17" t="str">
        <f aca="false">IFERROR(haverdata(Codes!$D$15,$A190),"")</f>
        <v/>
      </c>
      <c r="C190" s="18" t="str">
        <f aca="false">IFERROR(B190/B189-1,"")</f>
        <v/>
      </c>
      <c r="D190" s="18" t="str">
        <f aca="false">IFERROR(B190/B186-1,"")</f>
        <v/>
      </c>
      <c r="E190" s="19" t="str">
        <f aca="false">IFERROR(IF(B190="",IFERROR(GROWTH($B$104:$B$191,$A$104:$A$191,$A190),TREND($B$104:$B$191,$A$104:$A$191,$A190)),""),"")</f>
        <v/>
      </c>
      <c r="F190" s="19" t="str">
        <f aca="false">IFERROR(forecast.ets($A190,$B$104:$B$191,$A$104:$A$191,4,1,1),"")</f>
        <v/>
      </c>
      <c r="G190" s="19" t="str">
        <f aca="false">IFERROR(F190-forecast.ets.confint($A190,$B$104:$B$191,$A$104:$A$191,0.95,4,1,1),"")</f>
        <v/>
      </c>
      <c r="H190" s="19" t="str">
        <f aca="false">IFERROR(F190+forecast.ets.confint($A190,$B$104:$B$191,$A$104:$A$191,0.95,4,1,1),"")</f>
        <v/>
      </c>
    </row>
    <row r="191" customFormat="false" ht="15" hidden="false" customHeight="false" outlineLevel="0" collapsed="false">
      <c r="A191" s="21" t="n">
        <v>47392</v>
      </c>
      <c r="B191" s="22" t="str">
        <f aca="false">IFERROR(haverdata(Codes!$D$15,$A191),"")</f>
        <v/>
      </c>
      <c r="C191" s="23" t="str">
        <f aca="false">IFERROR(B191/B190-1,"")</f>
        <v/>
      </c>
      <c r="D191" s="23" t="str">
        <f aca="false">IFERROR(B191/B187-1,"")</f>
        <v/>
      </c>
      <c r="E191" s="24" t="str">
        <f aca="false">IFERROR(IF(B191="",IFERROR(GROWTH($B$104:$B$191,$A$104:$A$191,$A191),TREND($B$104:$B$191,$A$104:$A$191,$A191)),""),"")</f>
        <v/>
      </c>
      <c r="F191" s="24" t="str">
        <f aca="false">IFERROR(forecast.ets($A191,$B$104:$B$191,$A$104:$A$191,4,1,1),"")</f>
        <v/>
      </c>
      <c r="G191" s="24" t="str">
        <f aca="false">IFERROR(F191-forecast.ets.confint($A191,$B$104:$B$191,$A$104:$A$191,0.95,4,1,1),"")</f>
        <v/>
      </c>
      <c r="H191" s="24" t="str">
        <f aca="false">IFERROR(F191+forecast.ets.confint($A191,$B$104:$B$191,$A$104:$A$191,0.95,4,1,1),"")</f>
        <v/>
      </c>
    </row>
    <row r="196" customFormat="false" ht="21.75" hidden="false" customHeight="true" outlineLevel="0" collapsed="false">
      <c r="A196" s="13" t="str">
        <f aca="false">Codes!$B$16&amp;"   ["&amp;Codes!$D$16&amp;"]   "&amp;Codes!$F$16</f>
        <v>Foreign Direct Investment   [FDIANN@ARGEN]   USD Mn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customFormat="false" ht="15" hidden="false" customHeight="false" outlineLevel="0" collapsed="false">
      <c r="A197" s="4" t="s">
        <v>107</v>
      </c>
      <c r="B197" s="14" t="str">
        <f aca="false">Codes!$G$16</f>
        <v>sum</v>
      </c>
      <c r="D197" s="4" t="s">
        <v>108</v>
      </c>
      <c r="E197" s="6" t="str">
        <f aca="false">Codes!$H$16</f>
        <v>[VERIFY]</v>
      </c>
      <c r="F197" s="6"/>
      <c r="G197" s="6"/>
      <c r="H197" s="6"/>
      <c r="I197" s="6"/>
      <c r="J197" s="6"/>
      <c r="K197" s="6"/>
      <c r="L197" s="6"/>
      <c r="M197" s="6"/>
    </row>
    <row r="198" customFormat="false" ht="18" hidden="false" customHeight="true" outlineLevel="0" collapsed="false">
      <c r="A198" s="15" t="s">
        <v>109</v>
      </c>
      <c r="B198" s="15"/>
      <c r="C198" s="15"/>
      <c r="D198" s="15"/>
      <c r="E198" s="15"/>
      <c r="F198" s="15"/>
      <c r="G198" s="15"/>
      <c r="H198" s="15"/>
      <c r="J198" s="15" t="s">
        <v>110</v>
      </c>
      <c r="K198" s="15"/>
      <c r="L198" s="15"/>
      <c r="M198" s="15"/>
    </row>
    <row r="199" customFormat="false" ht="15" hidden="false" customHeight="false" outlineLevel="0" collapsed="false">
      <c r="A199" s="7" t="s">
        <v>111</v>
      </c>
      <c r="B199" s="7" t="s">
        <v>112</v>
      </c>
      <c r="C199" s="7" t="s">
        <v>113</v>
      </c>
      <c r="D199" s="7" t="s">
        <v>114</v>
      </c>
      <c r="E199" s="7" t="s">
        <v>115</v>
      </c>
      <c r="F199" s="7" t="s">
        <v>116</v>
      </c>
      <c r="G199" s="7" t="s">
        <v>117</v>
      </c>
      <c r="H199" s="7" t="s">
        <v>118</v>
      </c>
      <c r="J199" s="7" t="s">
        <v>119</v>
      </c>
      <c r="K199" s="7" t="s">
        <v>112</v>
      </c>
      <c r="L199" s="7" t="s">
        <v>114</v>
      </c>
      <c r="M199" s="7" t="s">
        <v>120</v>
      </c>
    </row>
    <row r="200" customFormat="false" ht="15" hidden="false" customHeight="false" outlineLevel="0" collapsed="false">
      <c r="A200" s="16" t="n">
        <v>39448</v>
      </c>
      <c r="B200" s="17" t="str">
        <f aca="false">IFERROR(haverdata(Codes!$D$16,$A200),"")</f>
        <v/>
      </c>
      <c r="C200" s="18"/>
      <c r="D200" s="18"/>
      <c r="E200" s="19" t="str">
        <f aca="false">IFERROR(IF(B200="",IFERROR(GROWTH($B$200:$B$287,$A$200:$A$287,$A200),TREND($B$200:$B$287,$A$200:$A$287,$A200)),""),"")</f>
        <v/>
      </c>
      <c r="F200" s="19" t="str">
        <f aca="false">IFERROR(forecast.ets($A200,$B$200:$B$287,$A$200:$A$287,4,1,1),"")</f>
        <v/>
      </c>
      <c r="G200" s="19" t="str">
        <f aca="false">IFERROR(F200-forecast.ets.confint($A200,$B$200:$B$287,$A$200:$A$287,0.95,4,1,1),"")</f>
        <v/>
      </c>
      <c r="H200" s="19" t="str">
        <f aca="false">IFERROR(F200+forecast.ets.confint($A200,$B$200:$B$287,$A$200:$A$287,0.95,4,1,1),"")</f>
        <v/>
      </c>
      <c r="J200" s="20" t="n">
        <v>2008</v>
      </c>
      <c r="K200" s="19" t="n">
        <f aca="false">IFERROR(SUMIFS($B$200:$B$287,$A$200:$A$287,"&gt;="&amp;DATE(J200,1,1),$A$200:$A$287,"&lt;="&amp;DATE(J200,12,31)),"")</f>
        <v>0</v>
      </c>
      <c r="L200" s="18"/>
      <c r="M200" s="19" t="n">
        <f aca="false">IFERROR(SUMIFS($F$200:$F$287,$A$200:$A$287,"&gt;="&amp;DATE(J200,1,1),$A$200:$A$287,"&lt;="&amp;DATE(J200,12,31)),"")</f>
        <v>0</v>
      </c>
    </row>
    <row r="201" customFormat="false" ht="15" hidden="false" customHeight="false" outlineLevel="0" collapsed="false">
      <c r="A201" s="21" t="n">
        <v>39539</v>
      </c>
      <c r="B201" s="22" t="str">
        <f aca="false">IFERROR(haverdata(Codes!$D$16,$A201),"")</f>
        <v/>
      </c>
      <c r="C201" s="23" t="str">
        <f aca="false">IFERROR(B201/B200-1,"")</f>
        <v/>
      </c>
      <c r="D201" s="23"/>
      <c r="E201" s="24" t="str">
        <f aca="false">IFERROR(IF(B201="",IFERROR(GROWTH($B$200:$B$287,$A$200:$A$287,$A201),TREND($B$200:$B$287,$A$200:$A$287,$A201)),""),"")</f>
        <v/>
      </c>
      <c r="F201" s="24" t="str">
        <f aca="false">IFERROR(forecast.ets($A201,$B$200:$B$287,$A$200:$A$287,4,1,1),"")</f>
        <v/>
      </c>
      <c r="G201" s="24" t="str">
        <f aca="false">IFERROR(F201-forecast.ets.confint($A201,$B$200:$B$287,$A$200:$A$287,0.95,4,1,1),"")</f>
        <v/>
      </c>
      <c r="H201" s="24" t="str">
        <f aca="false">IFERROR(F201+forecast.ets.confint($A201,$B$200:$B$287,$A$200:$A$287,0.95,4,1,1),"")</f>
        <v/>
      </c>
      <c r="J201" s="25" t="n">
        <v>2009</v>
      </c>
      <c r="K201" s="24" t="n">
        <f aca="false">IFERROR(SUMIFS($B$200:$B$287,$A$200:$A$287,"&gt;="&amp;DATE(J201,1,1),$A$200:$A$287,"&lt;="&amp;DATE(J201,12,31)),"")</f>
        <v>0</v>
      </c>
      <c r="L201" s="23" t="str">
        <f aca="false">IFERROR(K201/K200-1,"")</f>
        <v/>
      </c>
      <c r="M201" s="24" t="n">
        <f aca="false">IFERROR(SUMIFS($F$200:$F$287,$A$200:$A$287,"&gt;="&amp;DATE(J201,1,1),$A$200:$A$287,"&lt;="&amp;DATE(J201,12,31)),"")</f>
        <v>0</v>
      </c>
    </row>
    <row r="202" customFormat="false" ht="15" hidden="false" customHeight="false" outlineLevel="0" collapsed="false">
      <c r="A202" s="16" t="n">
        <v>39630</v>
      </c>
      <c r="B202" s="17" t="str">
        <f aca="false">IFERROR(haverdata(Codes!$D$16,$A202),"")</f>
        <v/>
      </c>
      <c r="C202" s="18" t="str">
        <f aca="false">IFERROR(B202/B201-1,"")</f>
        <v/>
      </c>
      <c r="D202" s="18"/>
      <c r="E202" s="19" t="str">
        <f aca="false">IFERROR(IF(B202="",IFERROR(GROWTH($B$200:$B$287,$A$200:$A$287,$A202),TREND($B$200:$B$287,$A$200:$A$287,$A202)),""),"")</f>
        <v/>
      </c>
      <c r="F202" s="19" t="str">
        <f aca="false">IFERROR(forecast.ets($A202,$B$200:$B$287,$A$200:$A$287,4,1,1),"")</f>
        <v/>
      </c>
      <c r="G202" s="19" t="str">
        <f aca="false">IFERROR(F202-forecast.ets.confint($A202,$B$200:$B$287,$A$200:$A$287,0.95,4,1,1),"")</f>
        <v/>
      </c>
      <c r="H202" s="19" t="str">
        <f aca="false">IFERROR(F202+forecast.ets.confint($A202,$B$200:$B$287,$A$200:$A$287,0.95,4,1,1),"")</f>
        <v/>
      </c>
      <c r="J202" s="20" t="n">
        <v>2010</v>
      </c>
      <c r="K202" s="19" t="n">
        <f aca="false">IFERROR(SUMIFS($B$200:$B$287,$A$200:$A$287,"&gt;="&amp;DATE(J202,1,1),$A$200:$A$287,"&lt;="&amp;DATE(J202,12,31)),"")</f>
        <v>0</v>
      </c>
      <c r="L202" s="18" t="str">
        <f aca="false">IFERROR(K202/K201-1,"")</f>
        <v/>
      </c>
      <c r="M202" s="19" t="n">
        <f aca="false">IFERROR(SUMIFS($F$200:$F$287,$A$200:$A$287,"&gt;="&amp;DATE(J202,1,1),$A$200:$A$287,"&lt;="&amp;DATE(J202,12,31)),"")</f>
        <v>0</v>
      </c>
    </row>
    <row r="203" customFormat="false" ht="15" hidden="false" customHeight="false" outlineLevel="0" collapsed="false">
      <c r="A203" s="21" t="n">
        <v>39722</v>
      </c>
      <c r="B203" s="22" t="str">
        <f aca="false">IFERROR(haverdata(Codes!$D$16,$A203),"")</f>
        <v/>
      </c>
      <c r="C203" s="23" t="str">
        <f aca="false">IFERROR(B203/B202-1,"")</f>
        <v/>
      </c>
      <c r="D203" s="23"/>
      <c r="E203" s="24" t="str">
        <f aca="false">IFERROR(IF(B203="",IFERROR(GROWTH($B$200:$B$287,$A$200:$A$287,$A203),TREND($B$200:$B$287,$A$200:$A$287,$A203)),""),"")</f>
        <v/>
      </c>
      <c r="F203" s="24" t="str">
        <f aca="false">IFERROR(forecast.ets($A203,$B$200:$B$287,$A$200:$A$287,4,1,1),"")</f>
        <v/>
      </c>
      <c r="G203" s="24" t="str">
        <f aca="false">IFERROR(F203-forecast.ets.confint($A203,$B$200:$B$287,$A$200:$A$287,0.95,4,1,1),"")</f>
        <v/>
      </c>
      <c r="H203" s="24" t="str">
        <f aca="false">IFERROR(F203+forecast.ets.confint($A203,$B$200:$B$287,$A$200:$A$287,0.95,4,1,1),"")</f>
        <v/>
      </c>
      <c r="J203" s="25" t="n">
        <v>2011</v>
      </c>
      <c r="K203" s="24" t="n">
        <f aca="false">IFERROR(SUMIFS($B$200:$B$287,$A$200:$A$287,"&gt;="&amp;DATE(J203,1,1),$A$200:$A$287,"&lt;="&amp;DATE(J203,12,31)),"")</f>
        <v>0</v>
      </c>
      <c r="L203" s="23" t="str">
        <f aca="false">IFERROR(K203/K202-1,"")</f>
        <v/>
      </c>
      <c r="M203" s="24" t="n">
        <f aca="false">IFERROR(SUMIFS($F$200:$F$287,$A$200:$A$287,"&gt;="&amp;DATE(J203,1,1),$A$200:$A$287,"&lt;="&amp;DATE(J203,12,31)),"")</f>
        <v>0</v>
      </c>
    </row>
    <row r="204" customFormat="false" ht="15" hidden="false" customHeight="false" outlineLevel="0" collapsed="false">
      <c r="A204" s="16" t="n">
        <v>39814</v>
      </c>
      <c r="B204" s="17" t="str">
        <f aca="false">IFERROR(haverdata(Codes!$D$16,$A204),"")</f>
        <v/>
      </c>
      <c r="C204" s="18" t="str">
        <f aca="false">IFERROR(B204/B203-1,"")</f>
        <v/>
      </c>
      <c r="D204" s="18" t="str">
        <f aca="false">IFERROR(B204/B200-1,"")</f>
        <v/>
      </c>
      <c r="E204" s="19" t="str">
        <f aca="false">IFERROR(IF(B204="",IFERROR(GROWTH($B$200:$B$287,$A$200:$A$287,$A204),TREND($B$200:$B$287,$A$200:$A$287,$A204)),""),"")</f>
        <v/>
      </c>
      <c r="F204" s="19" t="str">
        <f aca="false">IFERROR(forecast.ets($A204,$B$200:$B$287,$A$200:$A$287,4,1,1),"")</f>
        <v/>
      </c>
      <c r="G204" s="19" t="str">
        <f aca="false">IFERROR(F204-forecast.ets.confint($A204,$B$200:$B$287,$A$200:$A$287,0.95,4,1,1),"")</f>
        <v/>
      </c>
      <c r="H204" s="19" t="str">
        <f aca="false">IFERROR(F204+forecast.ets.confint($A204,$B$200:$B$287,$A$200:$A$287,0.95,4,1,1),"")</f>
        <v/>
      </c>
      <c r="J204" s="20" t="n">
        <v>2012</v>
      </c>
      <c r="K204" s="19" t="n">
        <f aca="false">IFERROR(SUMIFS($B$200:$B$287,$A$200:$A$287,"&gt;="&amp;DATE(J204,1,1),$A$200:$A$287,"&lt;="&amp;DATE(J204,12,31)),"")</f>
        <v>0</v>
      </c>
      <c r="L204" s="18" t="str">
        <f aca="false">IFERROR(K204/K203-1,"")</f>
        <v/>
      </c>
      <c r="M204" s="19" t="n">
        <f aca="false">IFERROR(SUMIFS($F$200:$F$287,$A$200:$A$287,"&gt;="&amp;DATE(J204,1,1),$A$200:$A$287,"&lt;="&amp;DATE(J204,12,31)),"")</f>
        <v>0</v>
      </c>
    </row>
    <row r="205" customFormat="false" ht="15" hidden="false" customHeight="false" outlineLevel="0" collapsed="false">
      <c r="A205" s="21" t="n">
        <v>39904</v>
      </c>
      <c r="B205" s="22" t="str">
        <f aca="false">IFERROR(haverdata(Codes!$D$16,$A205),"")</f>
        <v/>
      </c>
      <c r="C205" s="23" t="str">
        <f aca="false">IFERROR(B205/B204-1,"")</f>
        <v/>
      </c>
      <c r="D205" s="23" t="str">
        <f aca="false">IFERROR(B205/B201-1,"")</f>
        <v/>
      </c>
      <c r="E205" s="24" t="str">
        <f aca="false">IFERROR(IF(B205="",IFERROR(GROWTH($B$200:$B$287,$A$200:$A$287,$A205),TREND($B$200:$B$287,$A$200:$A$287,$A205)),""),"")</f>
        <v/>
      </c>
      <c r="F205" s="24" t="str">
        <f aca="false">IFERROR(forecast.ets($A205,$B$200:$B$287,$A$200:$A$287,4,1,1),"")</f>
        <v/>
      </c>
      <c r="G205" s="24" t="str">
        <f aca="false">IFERROR(F205-forecast.ets.confint($A205,$B$200:$B$287,$A$200:$A$287,0.95,4,1,1),"")</f>
        <v/>
      </c>
      <c r="H205" s="24" t="str">
        <f aca="false">IFERROR(F205+forecast.ets.confint($A205,$B$200:$B$287,$A$200:$A$287,0.95,4,1,1),"")</f>
        <v/>
      </c>
      <c r="J205" s="25" t="n">
        <v>2013</v>
      </c>
      <c r="K205" s="24" t="n">
        <f aca="false">IFERROR(SUMIFS($B$200:$B$287,$A$200:$A$287,"&gt;="&amp;DATE(J205,1,1),$A$200:$A$287,"&lt;="&amp;DATE(J205,12,31)),"")</f>
        <v>0</v>
      </c>
      <c r="L205" s="23" t="str">
        <f aca="false">IFERROR(K205/K204-1,"")</f>
        <v/>
      </c>
      <c r="M205" s="24" t="n">
        <f aca="false">IFERROR(SUMIFS($F$200:$F$287,$A$200:$A$287,"&gt;="&amp;DATE(J205,1,1),$A$200:$A$287,"&lt;="&amp;DATE(J205,12,31)),"")</f>
        <v>0</v>
      </c>
    </row>
    <row r="206" customFormat="false" ht="15" hidden="false" customHeight="false" outlineLevel="0" collapsed="false">
      <c r="A206" s="16" t="n">
        <v>39995</v>
      </c>
      <c r="B206" s="17" t="str">
        <f aca="false">IFERROR(haverdata(Codes!$D$16,$A206),"")</f>
        <v/>
      </c>
      <c r="C206" s="18" t="str">
        <f aca="false">IFERROR(B206/B205-1,"")</f>
        <v/>
      </c>
      <c r="D206" s="18" t="str">
        <f aca="false">IFERROR(B206/B202-1,"")</f>
        <v/>
      </c>
      <c r="E206" s="19" t="str">
        <f aca="false">IFERROR(IF(B206="",IFERROR(GROWTH($B$200:$B$287,$A$200:$A$287,$A206),TREND($B$200:$B$287,$A$200:$A$287,$A206)),""),"")</f>
        <v/>
      </c>
      <c r="F206" s="19" t="str">
        <f aca="false">IFERROR(forecast.ets($A206,$B$200:$B$287,$A$200:$A$287,4,1,1),"")</f>
        <v/>
      </c>
      <c r="G206" s="19" t="str">
        <f aca="false">IFERROR(F206-forecast.ets.confint($A206,$B$200:$B$287,$A$200:$A$287,0.95,4,1,1),"")</f>
        <v/>
      </c>
      <c r="H206" s="19" t="str">
        <f aca="false">IFERROR(F206+forecast.ets.confint($A206,$B$200:$B$287,$A$200:$A$287,0.95,4,1,1),"")</f>
        <v/>
      </c>
      <c r="J206" s="20" t="n">
        <v>2014</v>
      </c>
      <c r="K206" s="19" t="n">
        <f aca="false">IFERROR(SUMIFS($B$200:$B$287,$A$200:$A$287,"&gt;="&amp;DATE(J206,1,1),$A$200:$A$287,"&lt;="&amp;DATE(J206,12,31)),"")</f>
        <v>0</v>
      </c>
      <c r="L206" s="18" t="str">
        <f aca="false">IFERROR(K206/K205-1,"")</f>
        <v/>
      </c>
      <c r="M206" s="19" t="n">
        <f aca="false">IFERROR(SUMIFS($F$200:$F$287,$A$200:$A$287,"&gt;="&amp;DATE(J206,1,1),$A$200:$A$287,"&lt;="&amp;DATE(J206,12,31)),"")</f>
        <v>0</v>
      </c>
    </row>
    <row r="207" customFormat="false" ht="15" hidden="false" customHeight="false" outlineLevel="0" collapsed="false">
      <c r="A207" s="21" t="n">
        <v>40087</v>
      </c>
      <c r="B207" s="22" t="str">
        <f aca="false">IFERROR(haverdata(Codes!$D$16,$A207),"")</f>
        <v/>
      </c>
      <c r="C207" s="23" t="str">
        <f aca="false">IFERROR(B207/B206-1,"")</f>
        <v/>
      </c>
      <c r="D207" s="23" t="str">
        <f aca="false">IFERROR(B207/B203-1,"")</f>
        <v/>
      </c>
      <c r="E207" s="24" t="str">
        <f aca="false">IFERROR(IF(B207="",IFERROR(GROWTH($B$200:$B$287,$A$200:$A$287,$A207),TREND($B$200:$B$287,$A$200:$A$287,$A207)),""),"")</f>
        <v/>
      </c>
      <c r="F207" s="24" t="str">
        <f aca="false">IFERROR(forecast.ets($A207,$B$200:$B$287,$A$200:$A$287,4,1,1),"")</f>
        <v/>
      </c>
      <c r="G207" s="24" t="str">
        <f aca="false">IFERROR(F207-forecast.ets.confint($A207,$B$200:$B$287,$A$200:$A$287,0.95,4,1,1),"")</f>
        <v/>
      </c>
      <c r="H207" s="24" t="str">
        <f aca="false">IFERROR(F207+forecast.ets.confint($A207,$B$200:$B$287,$A$200:$A$287,0.95,4,1,1),"")</f>
        <v/>
      </c>
      <c r="J207" s="25" t="n">
        <v>2015</v>
      </c>
      <c r="K207" s="24" t="n">
        <f aca="false">IFERROR(SUMIFS($B$200:$B$287,$A$200:$A$287,"&gt;="&amp;DATE(J207,1,1),$A$200:$A$287,"&lt;="&amp;DATE(J207,12,31)),"")</f>
        <v>0</v>
      </c>
      <c r="L207" s="23" t="str">
        <f aca="false">IFERROR(K207/K206-1,"")</f>
        <v/>
      </c>
      <c r="M207" s="24" t="n">
        <f aca="false">IFERROR(SUMIFS($F$200:$F$287,$A$200:$A$287,"&gt;="&amp;DATE(J207,1,1),$A$200:$A$287,"&lt;="&amp;DATE(J207,12,31)),"")</f>
        <v>0</v>
      </c>
    </row>
    <row r="208" customFormat="false" ht="15" hidden="false" customHeight="false" outlineLevel="0" collapsed="false">
      <c r="A208" s="16" t="n">
        <v>40179</v>
      </c>
      <c r="B208" s="17" t="str">
        <f aca="false">IFERROR(haverdata(Codes!$D$16,$A208),"")</f>
        <v/>
      </c>
      <c r="C208" s="18" t="str">
        <f aca="false">IFERROR(B208/B207-1,"")</f>
        <v/>
      </c>
      <c r="D208" s="18" t="str">
        <f aca="false">IFERROR(B208/B204-1,"")</f>
        <v/>
      </c>
      <c r="E208" s="19" t="str">
        <f aca="false">IFERROR(IF(B208="",IFERROR(GROWTH($B$200:$B$287,$A$200:$A$287,$A208),TREND($B$200:$B$287,$A$200:$A$287,$A208)),""),"")</f>
        <v/>
      </c>
      <c r="F208" s="19" t="str">
        <f aca="false">IFERROR(forecast.ets($A208,$B$200:$B$287,$A$200:$A$287,4,1,1),"")</f>
        <v/>
      </c>
      <c r="G208" s="19" t="str">
        <f aca="false">IFERROR(F208-forecast.ets.confint($A208,$B$200:$B$287,$A$200:$A$287,0.95,4,1,1),"")</f>
        <v/>
      </c>
      <c r="H208" s="19" t="str">
        <f aca="false">IFERROR(F208+forecast.ets.confint($A208,$B$200:$B$287,$A$200:$A$287,0.95,4,1,1),"")</f>
        <v/>
      </c>
      <c r="J208" s="20" t="n">
        <v>2016</v>
      </c>
      <c r="K208" s="19" t="n">
        <f aca="false">IFERROR(SUMIFS($B$200:$B$287,$A$200:$A$287,"&gt;="&amp;DATE(J208,1,1),$A$200:$A$287,"&lt;="&amp;DATE(J208,12,31)),"")</f>
        <v>0</v>
      </c>
      <c r="L208" s="18" t="str">
        <f aca="false">IFERROR(K208/K207-1,"")</f>
        <v/>
      </c>
      <c r="M208" s="19" t="n">
        <f aca="false">IFERROR(SUMIFS($F$200:$F$287,$A$200:$A$287,"&gt;="&amp;DATE(J208,1,1),$A$200:$A$287,"&lt;="&amp;DATE(J208,12,31)),"")</f>
        <v>0</v>
      </c>
    </row>
    <row r="209" customFormat="false" ht="15" hidden="false" customHeight="false" outlineLevel="0" collapsed="false">
      <c r="A209" s="21" t="n">
        <v>40269</v>
      </c>
      <c r="B209" s="22" t="str">
        <f aca="false">IFERROR(haverdata(Codes!$D$16,$A209),"")</f>
        <v/>
      </c>
      <c r="C209" s="23" t="str">
        <f aca="false">IFERROR(B209/B208-1,"")</f>
        <v/>
      </c>
      <c r="D209" s="23" t="str">
        <f aca="false">IFERROR(B209/B205-1,"")</f>
        <v/>
      </c>
      <c r="E209" s="24" t="str">
        <f aca="false">IFERROR(IF(B209="",IFERROR(GROWTH($B$200:$B$287,$A$200:$A$287,$A209),TREND($B$200:$B$287,$A$200:$A$287,$A209)),""),"")</f>
        <v/>
      </c>
      <c r="F209" s="24" t="str">
        <f aca="false">IFERROR(forecast.ets($A209,$B$200:$B$287,$A$200:$A$287,4,1,1),"")</f>
        <v/>
      </c>
      <c r="G209" s="24" t="str">
        <f aca="false">IFERROR(F209-forecast.ets.confint($A209,$B$200:$B$287,$A$200:$A$287,0.95,4,1,1),"")</f>
        <v/>
      </c>
      <c r="H209" s="24" t="str">
        <f aca="false">IFERROR(F209+forecast.ets.confint($A209,$B$200:$B$287,$A$200:$A$287,0.95,4,1,1),"")</f>
        <v/>
      </c>
      <c r="J209" s="25" t="n">
        <v>2017</v>
      </c>
      <c r="K209" s="24" t="n">
        <f aca="false">IFERROR(SUMIFS($B$200:$B$287,$A$200:$A$287,"&gt;="&amp;DATE(J209,1,1),$A$200:$A$287,"&lt;="&amp;DATE(J209,12,31)),"")</f>
        <v>0</v>
      </c>
      <c r="L209" s="23" t="str">
        <f aca="false">IFERROR(K209/K208-1,"")</f>
        <v/>
      </c>
      <c r="M209" s="24" t="n">
        <f aca="false">IFERROR(SUMIFS($F$200:$F$287,$A$200:$A$287,"&gt;="&amp;DATE(J209,1,1),$A$200:$A$287,"&lt;="&amp;DATE(J209,12,31)),"")</f>
        <v>0</v>
      </c>
    </row>
    <row r="210" customFormat="false" ht="15" hidden="false" customHeight="false" outlineLevel="0" collapsed="false">
      <c r="A210" s="16" t="n">
        <v>40360</v>
      </c>
      <c r="B210" s="17" t="str">
        <f aca="false">IFERROR(haverdata(Codes!$D$16,$A210),"")</f>
        <v/>
      </c>
      <c r="C210" s="18" t="str">
        <f aca="false">IFERROR(B210/B209-1,"")</f>
        <v/>
      </c>
      <c r="D210" s="18" t="str">
        <f aca="false">IFERROR(B210/B206-1,"")</f>
        <v/>
      </c>
      <c r="E210" s="19" t="str">
        <f aca="false">IFERROR(IF(B210="",IFERROR(GROWTH($B$200:$B$287,$A$200:$A$287,$A210),TREND($B$200:$B$287,$A$200:$A$287,$A210)),""),"")</f>
        <v/>
      </c>
      <c r="F210" s="19" t="str">
        <f aca="false">IFERROR(forecast.ets($A210,$B$200:$B$287,$A$200:$A$287,4,1,1),"")</f>
        <v/>
      </c>
      <c r="G210" s="19" t="str">
        <f aca="false">IFERROR(F210-forecast.ets.confint($A210,$B$200:$B$287,$A$200:$A$287,0.95,4,1,1),"")</f>
        <v/>
      </c>
      <c r="H210" s="19" t="str">
        <f aca="false">IFERROR(F210+forecast.ets.confint($A210,$B$200:$B$287,$A$200:$A$287,0.95,4,1,1),"")</f>
        <v/>
      </c>
      <c r="J210" s="20" t="n">
        <v>2018</v>
      </c>
      <c r="K210" s="19" t="n">
        <f aca="false">IFERROR(SUMIFS($B$200:$B$287,$A$200:$A$287,"&gt;="&amp;DATE(J210,1,1),$A$200:$A$287,"&lt;="&amp;DATE(J210,12,31)),"")</f>
        <v>0</v>
      </c>
      <c r="L210" s="18" t="str">
        <f aca="false">IFERROR(K210/K209-1,"")</f>
        <v/>
      </c>
      <c r="M210" s="19" t="n">
        <f aca="false">IFERROR(SUMIFS($F$200:$F$287,$A$200:$A$287,"&gt;="&amp;DATE(J210,1,1),$A$200:$A$287,"&lt;="&amp;DATE(J210,12,31)),"")</f>
        <v>0</v>
      </c>
    </row>
    <row r="211" customFormat="false" ht="15" hidden="false" customHeight="false" outlineLevel="0" collapsed="false">
      <c r="A211" s="21" t="n">
        <v>40452</v>
      </c>
      <c r="B211" s="22" t="str">
        <f aca="false">IFERROR(haverdata(Codes!$D$16,$A211),"")</f>
        <v/>
      </c>
      <c r="C211" s="23" t="str">
        <f aca="false">IFERROR(B211/B210-1,"")</f>
        <v/>
      </c>
      <c r="D211" s="23" t="str">
        <f aca="false">IFERROR(B211/B207-1,"")</f>
        <v/>
      </c>
      <c r="E211" s="24" t="str">
        <f aca="false">IFERROR(IF(B211="",IFERROR(GROWTH($B$200:$B$287,$A$200:$A$287,$A211),TREND($B$200:$B$287,$A$200:$A$287,$A211)),""),"")</f>
        <v/>
      </c>
      <c r="F211" s="24" t="str">
        <f aca="false">IFERROR(forecast.ets($A211,$B$200:$B$287,$A$200:$A$287,4,1,1),"")</f>
        <v/>
      </c>
      <c r="G211" s="24" t="str">
        <f aca="false">IFERROR(F211-forecast.ets.confint($A211,$B$200:$B$287,$A$200:$A$287,0.95,4,1,1),"")</f>
        <v/>
      </c>
      <c r="H211" s="24" t="str">
        <f aca="false">IFERROR(F211+forecast.ets.confint($A211,$B$200:$B$287,$A$200:$A$287,0.95,4,1,1),"")</f>
        <v/>
      </c>
      <c r="J211" s="25" t="n">
        <v>2019</v>
      </c>
      <c r="K211" s="24" t="n">
        <f aca="false">IFERROR(SUMIFS($B$200:$B$287,$A$200:$A$287,"&gt;="&amp;DATE(J211,1,1),$A$200:$A$287,"&lt;="&amp;DATE(J211,12,31)),"")</f>
        <v>0</v>
      </c>
      <c r="L211" s="23" t="str">
        <f aca="false">IFERROR(K211/K210-1,"")</f>
        <v/>
      </c>
      <c r="M211" s="24" t="n">
        <f aca="false">IFERROR(SUMIFS($F$200:$F$287,$A$200:$A$287,"&gt;="&amp;DATE(J211,1,1),$A$200:$A$287,"&lt;="&amp;DATE(J211,12,31)),"")</f>
        <v>0</v>
      </c>
    </row>
    <row r="212" customFormat="false" ht="15" hidden="false" customHeight="false" outlineLevel="0" collapsed="false">
      <c r="A212" s="16" t="n">
        <v>40544</v>
      </c>
      <c r="B212" s="17" t="str">
        <f aca="false">IFERROR(haverdata(Codes!$D$16,$A212),"")</f>
        <v/>
      </c>
      <c r="C212" s="18" t="str">
        <f aca="false">IFERROR(B212/B211-1,"")</f>
        <v/>
      </c>
      <c r="D212" s="18" t="str">
        <f aca="false">IFERROR(B212/B208-1,"")</f>
        <v/>
      </c>
      <c r="E212" s="19" t="str">
        <f aca="false">IFERROR(IF(B212="",IFERROR(GROWTH($B$200:$B$287,$A$200:$A$287,$A212),TREND($B$200:$B$287,$A$200:$A$287,$A212)),""),"")</f>
        <v/>
      </c>
      <c r="F212" s="19" t="str">
        <f aca="false">IFERROR(forecast.ets($A212,$B$200:$B$287,$A$200:$A$287,4,1,1),"")</f>
        <v/>
      </c>
      <c r="G212" s="19" t="str">
        <f aca="false">IFERROR(F212-forecast.ets.confint($A212,$B$200:$B$287,$A$200:$A$287,0.95,4,1,1),"")</f>
        <v/>
      </c>
      <c r="H212" s="19" t="str">
        <f aca="false">IFERROR(F212+forecast.ets.confint($A212,$B$200:$B$287,$A$200:$A$287,0.95,4,1,1),"")</f>
        <v/>
      </c>
      <c r="J212" s="20" t="n">
        <v>2020</v>
      </c>
      <c r="K212" s="19" t="n">
        <f aca="false">IFERROR(SUMIFS($B$200:$B$287,$A$200:$A$287,"&gt;="&amp;DATE(J212,1,1),$A$200:$A$287,"&lt;="&amp;DATE(J212,12,31)),"")</f>
        <v>0</v>
      </c>
      <c r="L212" s="18" t="str">
        <f aca="false">IFERROR(K212/K211-1,"")</f>
        <v/>
      </c>
      <c r="M212" s="19" t="n">
        <f aca="false">IFERROR(SUMIFS($F$200:$F$287,$A$200:$A$287,"&gt;="&amp;DATE(J212,1,1),$A$200:$A$287,"&lt;="&amp;DATE(J212,12,31)),"")</f>
        <v>0</v>
      </c>
    </row>
    <row r="213" customFormat="false" ht="15" hidden="false" customHeight="false" outlineLevel="0" collapsed="false">
      <c r="A213" s="21" t="n">
        <v>40634</v>
      </c>
      <c r="B213" s="22" t="str">
        <f aca="false">IFERROR(haverdata(Codes!$D$16,$A213),"")</f>
        <v/>
      </c>
      <c r="C213" s="23" t="str">
        <f aca="false">IFERROR(B213/B212-1,"")</f>
        <v/>
      </c>
      <c r="D213" s="23" t="str">
        <f aca="false">IFERROR(B213/B209-1,"")</f>
        <v/>
      </c>
      <c r="E213" s="24" t="str">
        <f aca="false">IFERROR(IF(B213="",IFERROR(GROWTH($B$200:$B$287,$A$200:$A$287,$A213),TREND($B$200:$B$287,$A$200:$A$287,$A213)),""),"")</f>
        <v/>
      </c>
      <c r="F213" s="24" t="str">
        <f aca="false">IFERROR(forecast.ets($A213,$B$200:$B$287,$A$200:$A$287,4,1,1),"")</f>
        <v/>
      </c>
      <c r="G213" s="24" t="str">
        <f aca="false">IFERROR(F213-forecast.ets.confint($A213,$B$200:$B$287,$A$200:$A$287,0.95,4,1,1),"")</f>
        <v/>
      </c>
      <c r="H213" s="24" t="str">
        <f aca="false">IFERROR(F213+forecast.ets.confint($A213,$B$200:$B$287,$A$200:$A$287,0.95,4,1,1),"")</f>
        <v/>
      </c>
      <c r="J213" s="25" t="n">
        <v>2021</v>
      </c>
      <c r="K213" s="24" t="n">
        <f aca="false">IFERROR(SUMIFS($B$200:$B$287,$A$200:$A$287,"&gt;="&amp;DATE(J213,1,1),$A$200:$A$287,"&lt;="&amp;DATE(J213,12,31)),"")</f>
        <v>0</v>
      </c>
      <c r="L213" s="23" t="str">
        <f aca="false">IFERROR(K213/K212-1,"")</f>
        <v/>
      </c>
      <c r="M213" s="24" t="n">
        <f aca="false">IFERROR(SUMIFS($F$200:$F$287,$A$200:$A$287,"&gt;="&amp;DATE(J213,1,1),$A$200:$A$287,"&lt;="&amp;DATE(J213,12,31)),"")</f>
        <v>0</v>
      </c>
    </row>
    <row r="214" customFormat="false" ht="15" hidden="false" customHeight="false" outlineLevel="0" collapsed="false">
      <c r="A214" s="16" t="n">
        <v>40725</v>
      </c>
      <c r="B214" s="17" t="str">
        <f aca="false">IFERROR(haverdata(Codes!$D$16,$A214),"")</f>
        <v/>
      </c>
      <c r="C214" s="18" t="str">
        <f aca="false">IFERROR(B214/B213-1,"")</f>
        <v/>
      </c>
      <c r="D214" s="18" t="str">
        <f aca="false">IFERROR(B214/B210-1,"")</f>
        <v/>
      </c>
      <c r="E214" s="19" t="str">
        <f aca="false">IFERROR(IF(B214="",IFERROR(GROWTH($B$200:$B$287,$A$200:$A$287,$A214),TREND($B$200:$B$287,$A$200:$A$287,$A214)),""),"")</f>
        <v/>
      </c>
      <c r="F214" s="19" t="str">
        <f aca="false">IFERROR(forecast.ets($A214,$B$200:$B$287,$A$200:$A$287,4,1,1),"")</f>
        <v/>
      </c>
      <c r="G214" s="19" t="str">
        <f aca="false">IFERROR(F214-forecast.ets.confint($A214,$B$200:$B$287,$A$200:$A$287,0.95,4,1,1),"")</f>
        <v/>
      </c>
      <c r="H214" s="19" t="str">
        <f aca="false">IFERROR(F214+forecast.ets.confint($A214,$B$200:$B$287,$A$200:$A$287,0.95,4,1,1),"")</f>
        <v/>
      </c>
      <c r="J214" s="20" t="n">
        <v>2022</v>
      </c>
      <c r="K214" s="19" t="n">
        <f aca="false">IFERROR(SUMIFS($B$200:$B$287,$A$200:$A$287,"&gt;="&amp;DATE(J214,1,1),$A$200:$A$287,"&lt;="&amp;DATE(J214,12,31)),"")</f>
        <v>0</v>
      </c>
      <c r="L214" s="18" t="str">
        <f aca="false">IFERROR(K214/K213-1,"")</f>
        <v/>
      </c>
      <c r="M214" s="19" t="n">
        <f aca="false">IFERROR(SUMIFS($F$200:$F$287,$A$200:$A$287,"&gt;="&amp;DATE(J214,1,1),$A$200:$A$287,"&lt;="&amp;DATE(J214,12,31)),"")</f>
        <v>0</v>
      </c>
    </row>
    <row r="215" customFormat="false" ht="15" hidden="false" customHeight="false" outlineLevel="0" collapsed="false">
      <c r="A215" s="21" t="n">
        <v>40817</v>
      </c>
      <c r="B215" s="22" t="str">
        <f aca="false">IFERROR(haverdata(Codes!$D$16,$A215),"")</f>
        <v/>
      </c>
      <c r="C215" s="23" t="str">
        <f aca="false">IFERROR(B215/B214-1,"")</f>
        <v/>
      </c>
      <c r="D215" s="23" t="str">
        <f aca="false">IFERROR(B215/B211-1,"")</f>
        <v/>
      </c>
      <c r="E215" s="24" t="str">
        <f aca="false">IFERROR(IF(B215="",IFERROR(GROWTH($B$200:$B$287,$A$200:$A$287,$A215),TREND($B$200:$B$287,$A$200:$A$287,$A215)),""),"")</f>
        <v/>
      </c>
      <c r="F215" s="24" t="str">
        <f aca="false">IFERROR(forecast.ets($A215,$B$200:$B$287,$A$200:$A$287,4,1,1),"")</f>
        <v/>
      </c>
      <c r="G215" s="24" t="str">
        <f aca="false">IFERROR(F215-forecast.ets.confint($A215,$B$200:$B$287,$A$200:$A$287,0.95,4,1,1),"")</f>
        <v/>
      </c>
      <c r="H215" s="24" t="str">
        <f aca="false">IFERROR(F215+forecast.ets.confint($A215,$B$200:$B$287,$A$200:$A$287,0.95,4,1,1),"")</f>
        <v/>
      </c>
      <c r="J215" s="25" t="n">
        <v>2023</v>
      </c>
      <c r="K215" s="24" t="n">
        <f aca="false">IFERROR(SUMIFS($B$200:$B$287,$A$200:$A$287,"&gt;="&amp;DATE(J215,1,1),$A$200:$A$287,"&lt;="&amp;DATE(J215,12,31)),"")</f>
        <v>0</v>
      </c>
      <c r="L215" s="23" t="str">
        <f aca="false">IFERROR(K215/K214-1,"")</f>
        <v/>
      </c>
      <c r="M215" s="24" t="n">
        <f aca="false">IFERROR(SUMIFS($F$200:$F$287,$A$200:$A$287,"&gt;="&amp;DATE(J215,1,1),$A$200:$A$287,"&lt;="&amp;DATE(J215,12,31)),"")</f>
        <v>0</v>
      </c>
    </row>
    <row r="216" customFormat="false" ht="15" hidden="false" customHeight="false" outlineLevel="0" collapsed="false">
      <c r="A216" s="16" t="n">
        <v>40909</v>
      </c>
      <c r="B216" s="17" t="str">
        <f aca="false">IFERROR(haverdata(Codes!$D$16,$A216),"")</f>
        <v/>
      </c>
      <c r="C216" s="18" t="str">
        <f aca="false">IFERROR(B216/B215-1,"")</f>
        <v/>
      </c>
      <c r="D216" s="18" t="str">
        <f aca="false">IFERROR(B216/B212-1,"")</f>
        <v/>
      </c>
      <c r="E216" s="19" t="str">
        <f aca="false">IFERROR(IF(B216="",IFERROR(GROWTH($B$200:$B$287,$A$200:$A$287,$A216),TREND($B$200:$B$287,$A$200:$A$287,$A216)),""),"")</f>
        <v/>
      </c>
      <c r="F216" s="19" t="str">
        <f aca="false">IFERROR(forecast.ets($A216,$B$200:$B$287,$A$200:$A$287,4,1,1),"")</f>
        <v/>
      </c>
      <c r="G216" s="19" t="str">
        <f aca="false">IFERROR(F216-forecast.ets.confint($A216,$B$200:$B$287,$A$200:$A$287,0.95,4,1,1),"")</f>
        <v/>
      </c>
      <c r="H216" s="19" t="str">
        <f aca="false">IFERROR(F216+forecast.ets.confint($A216,$B$200:$B$287,$A$200:$A$287,0.95,4,1,1),"")</f>
        <v/>
      </c>
      <c r="J216" s="20" t="n">
        <v>2024</v>
      </c>
      <c r="K216" s="19" t="n">
        <f aca="false">IFERROR(SUMIFS($B$200:$B$287,$A$200:$A$287,"&gt;="&amp;DATE(J216,1,1),$A$200:$A$287,"&lt;="&amp;DATE(J216,12,31)),"")</f>
        <v>0</v>
      </c>
      <c r="L216" s="18" t="str">
        <f aca="false">IFERROR(K216/K215-1,"")</f>
        <v/>
      </c>
      <c r="M216" s="19" t="n">
        <f aca="false">IFERROR(SUMIFS($F$200:$F$287,$A$200:$A$287,"&gt;="&amp;DATE(J216,1,1),$A$200:$A$287,"&lt;="&amp;DATE(J216,12,31)),"")</f>
        <v>0</v>
      </c>
    </row>
    <row r="217" customFormat="false" ht="15" hidden="false" customHeight="false" outlineLevel="0" collapsed="false">
      <c r="A217" s="21" t="n">
        <v>41000</v>
      </c>
      <c r="B217" s="22" t="str">
        <f aca="false">IFERROR(haverdata(Codes!$D$16,$A217),"")</f>
        <v/>
      </c>
      <c r="C217" s="23" t="str">
        <f aca="false">IFERROR(B217/B216-1,"")</f>
        <v/>
      </c>
      <c r="D217" s="23" t="str">
        <f aca="false">IFERROR(B217/B213-1,"")</f>
        <v/>
      </c>
      <c r="E217" s="24" t="str">
        <f aca="false">IFERROR(IF(B217="",IFERROR(GROWTH($B$200:$B$287,$A$200:$A$287,$A217),TREND($B$200:$B$287,$A$200:$A$287,$A217)),""),"")</f>
        <v/>
      </c>
      <c r="F217" s="24" t="str">
        <f aca="false">IFERROR(forecast.ets($A217,$B$200:$B$287,$A$200:$A$287,4,1,1),"")</f>
        <v/>
      </c>
      <c r="G217" s="24" t="str">
        <f aca="false">IFERROR(F217-forecast.ets.confint($A217,$B$200:$B$287,$A$200:$A$287,0.95,4,1,1),"")</f>
        <v/>
      </c>
      <c r="H217" s="24" t="str">
        <f aca="false">IFERROR(F217+forecast.ets.confint($A217,$B$200:$B$287,$A$200:$A$287,0.95,4,1,1),"")</f>
        <v/>
      </c>
      <c r="J217" s="25" t="n">
        <v>2025</v>
      </c>
      <c r="K217" s="24" t="n">
        <f aca="false">IFERROR(SUMIFS($B$200:$B$287,$A$200:$A$287,"&gt;="&amp;DATE(J217,1,1),$A$200:$A$287,"&lt;="&amp;DATE(J217,12,31)),"")</f>
        <v>0</v>
      </c>
      <c r="L217" s="23" t="str">
        <f aca="false">IFERROR(K217/K216-1,"")</f>
        <v/>
      </c>
      <c r="M217" s="24" t="n">
        <f aca="false">IFERROR(SUMIFS($F$200:$F$287,$A$200:$A$287,"&gt;="&amp;DATE(J217,1,1),$A$200:$A$287,"&lt;="&amp;DATE(J217,12,31)),"")</f>
        <v>0</v>
      </c>
    </row>
    <row r="218" customFormat="false" ht="15" hidden="false" customHeight="false" outlineLevel="0" collapsed="false">
      <c r="A218" s="16" t="n">
        <v>41091</v>
      </c>
      <c r="B218" s="17" t="str">
        <f aca="false">IFERROR(haverdata(Codes!$D$16,$A218),"")</f>
        <v/>
      </c>
      <c r="C218" s="18" t="str">
        <f aca="false">IFERROR(B218/B217-1,"")</f>
        <v/>
      </c>
      <c r="D218" s="18" t="str">
        <f aca="false">IFERROR(B218/B214-1,"")</f>
        <v/>
      </c>
      <c r="E218" s="19" t="str">
        <f aca="false">IFERROR(IF(B218="",IFERROR(GROWTH($B$200:$B$287,$A$200:$A$287,$A218),TREND($B$200:$B$287,$A$200:$A$287,$A218)),""),"")</f>
        <v/>
      </c>
      <c r="F218" s="19" t="str">
        <f aca="false">IFERROR(forecast.ets($A218,$B$200:$B$287,$A$200:$A$287,4,1,1),"")</f>
        <v/>
      </c>
      <c r="G218" s="19" t="str">
        <f aca="false">IFERROR(F218-forecast.ets.confint($A218,$B$200:$B$287,$A$200:$A$287,0.95,4,1,1),"")</f>
        <v/>
      </c>
      <c r="H218" s="19" t="str">
        <f aca="false">IFERROR(F218+forecast.ets.confint($A218,$B$200:$B$287,$A$200:$A$287,0.95,4,1,1),"")</f>
        <v/>
      </c>
      <c r="J218" s="20" t="n">
        <v>2026</v>
      </c>
      <c r="K218" s="19" t="n">
        <f aca="false">IFERROR(SUMIFS($B$200:$B$287,$A$200:$A$287,"&gt;="&amp;DATE(J218,1,1),$A$200:$A$287,"&lt;="&amp;DATE(J218,12,31)),"")</f>
        <v>0</v>
      </c>
      <c r="L218" s="18" t="str">
        <f aca="false">IFERROR(K218/K217-1,"")</f>
        <v/>
      </c>
      <c r="M218" s="19" t="n">
        <f aca="false">IFERROR(SUMIFS($F$200:$F$287,$A$200:$A$287,"&gt;="&amp;DATE(J218,1,1),$A$200:$A$287,"&lt;="&amp;DATE(J218,12,31)),"")</f>
        <v>0</v>
      </c>
    </row>
    <row r="219" customFormat="false" ht="15" hidden="false" customHeight="false" outlineLevel="0" collapsed="false">
      <c r="A219" s="21" t="n">
        <v>41183</v>
      </c>
      <c r="B219" s="22" t="str">
        <f aca="false">IFERROR(haverdata(Codes!$D$16,$A219),"")</f>
        <v/>
      </c>
      <c r="C219" s="23" t="str">
        <f aca="false">IFERROR(B219/B218-1,"")</f>
        <v/>
      </c>
      <c r="D219" s="23" t="str">
        <f aca="false">IFERROR(B219/B215-1,"")</f>
        <v/>
      </c>
      <c r="E219" s="24" t="str">
        <f aca="false">IFERROR(IF(B219="",IFERROR(GROWTH($B$200:$B$287,$A$200:$A$287,$A219),TREND($B$200:$B$287,$A$200:$A$287,$A219)),""),"")</f>
        <v/>
      </c>
      <c r="F219" s="24" t="str">
        <f aca="false">IFERROR(forecast.ets($A219,$B$200:$B$287,$A$200:$A$287,4,1,1),"")</f>
        <v/>
      </c>
      <c r="G219" s="24" t="str">
        <f aca="false">IFERROR(F219-forecast.ets.confint($A219,$B$200:$B$287,$A$200:$A$287,0.95,4,1,1),"")</f>
        <v/>
      </c>
      <c r="H219" s="24" t="str">
        <f aca="false">IFERROR(F219+forecast.ets.confint($A219,$B$200:$B$287,$A$200:$A$287,0.95,4,1,1),"")</f>
        <v/>
      </c>
      <c r="J219" s="25" t="n">
        <v>2027</v>
      </c>
      <c r="K219" s="24" t="n">
        <f aca="false">IFERROR(SUMIFS($B$200:$B$287,$A$200:$A$287,"&gt;="&amp;DATE(J219,1,1),$A$200:$A$287,"&lt;="&amp;DATE(J219,12,31)),"")</f>
        <v>0</v>
      </c>
      <c r="L219" s="23" t="str">
        <f aca="false">IFERROR(K219/K218-1,"")</f>
        <v/>
      </c>
      <c r="M219" s="24" t="n">
        <f aca="false">IFERROR(SUMIFS($F$200:$F$287,$A$200:$A$287,"&gt;="&amp;DATE(J219,1,1),$A$200:$A$287,"&lt;="&amp;DATE(J219,12,31)),"")</f>
        <v>0</v>
      </c>
    </row>
    <row r="220" customFormat="false" ht="15" hidden="false" customHeight="false" outlineLevel="0" collapsed="false">
      <c r="A220" s="16" t="n">
        <v>41275</v>
      </c>
      <c r="B220" s="17" t="str">
        <f aca="false">IFERROR(haverdata(Codes!$D$16,$A220),"")</f>
        <v/>
      </c>
      <c r="C220" s="18" t="str">
        <f aca="false">IFERROR(B220/B219-1,"")</f>
        <v/>
      </c>
      <c r="D220" s="18" t="str">
        <f aca="false">IFERROR(B220/B216-1,"")</f>
        <v/>
      </c>
      <c r="E220" s="19" t="str">
        <f aca="false">IFERROR(IF(B220="",IFERROR(GROWTH($B$200:$B$287,$A$200:$A$287,$A220),TREND($B$200:$B$287,$A$200:$A$287,$A220)),""),"")</f>
        <v/>
      </c>
      <c r="F220" s="19" t="str">
        <f aca="false">IFERROR(forecast.ets($A220,$B$200:$B$287,$A$200:$A$287,4,1,1),"")</f>
        <v/>
      </c>
      <c r="G220" s="19" t="str">
        <f aca="false">IFERROR(F220-forecast.ets.confint($A220,$B$200:$B$287,$A$200:$A$287,0.95,4,1,1),"")</f>
        <v/>
      </c>
      <c r="H220" s="19" t="str">
        <f aca="false">IFERROR(F220+forecast.ets.confint($A220,$B$200:$B$287,$A$200:$A$287,0.95,4,1,1),"")</f>
        <v/>
      </c>
      <c r="J220" s="20" t="n">
        <v>2028</v>
      </c>
      <c r="K220" s="19" t="n">
        <f aca="false">IFERROR(SUMIFS($B$200:$B$287,$A$200:$A$287,"&gt;="&amp;DATE(J220,1,1),$A$200:$A$287,"&lt;="&amp;DATE(J220,12,31)),"")</f>
        <v>0</v>
      </c>
      <c r="L220" s="18" t="str">
        <f aca="false">IFERROR(K220/K219-1,"")</f>
        <v/>
      </c>
      <c r="M220" s="19" t="n">
        <f aca="false">IFERROR(SUMIFS($F$200:$F$287,$A$200:$A$287,"&gt;="&amp;DATE(J220,1,1),$A$200:$A$287,"&lt;="&amp;DATE(J220,12,31)),"")</f>
        <v>0</v>
      </c>
    </row>
    <row r="221" customFormat="false" ht="15" hidden="false" customHeight="false" outlineLevel="0" collapsed="false">
      <c r="A221" s="21" t="n">
        <v>41365</v>
      </c>
      <c r="B221" s="22" t="str">
        <f aca="false">IFERROR(haverdata(Codes!$D$16,$A221),"")</f>
        <v/>
      </c>
      <c r="C221" s="23" t="str">
        <f aca="false">IFERROR(B221/B220-1,"")</f>
        <v/>
      </c>
      <c r="D221" s="23" t="str">
        <f aca="false">IFERROR(B221/B217-1,"")</f>
        <v/>
      </c>
      <c r="E221" s="24" t="str">
        <f aca="false">IFERROR(IF(B221="",IFERROR(GROWTH($B$200:$B$287,$A$200:$A$287,$A221),TREND($B$200:$B$287,$A$200:$A$287,$A221)),""),"")</f>
        <v/>
      </c>
      <c r="F221" s="24" t="str">
        <f aca="false">IFERROR(forecast.ets($A221,$B$200:$B$287,$A$200:$A$287,4,1,1),"")</f>
        <v/>
      </c>
      <c r="G221" s="24" t="str">
        <f aca="false">IFERROR(F221-forecast.ets.confint($A221,$B$200:$B$287,$A$200:$A$287,0.95,4,1,1),"")</f>
        <v/>
      </c>
      <c r="H221" s="24" t="str">
        <f aca="false">IFERROR(F221+forecast.ets.confint($A221,$B$200:$B$287,$A$200:$A$287,0.95,4,1,1),"")</f>
        <v/>
      </c>
      <c r="J221" s="25" t="n">
        <v>2029</v>
      </c>
      <c r="K221" s="24" t="n">
        <f aca="false">IFERROR(SUMIFS($B$200:$B$287,$A$200:$A$287,"&gt;="&amp;DATE(J221,1,1),$A$200:$A$287,"&lt;="&amp;DATE(J221,12,31)),"")</f>
        <v>0</v>
      </c>
      <c r="L221" s="23" t="str">
        <f aca="false">IFERROR(K221/K220-1,"")</f>
        <v/>
      </c>
      <c r="M221" s="24" t="n">
        <f aca="false">IFERROR(SUMIFS($F$200:$F$287,$A$200:$A$287,"&gt;="&amp;DATE(J221,1,1),$A$200:$A$287,"&lt;="&amp;DATE(J221,12,31)),"")</f>
        <v>0</v>
      </c>
    </row>
    <row r="222" customFormat="false" ht="15" hidden="false" customHeight="false" outlineLevel="0" collapsed="false">
      <c r="A222" s="16" t="n">
        <v>41456</v>
      </c>
      <c r="B222" s="17" t="str">
        <f aca="false">IFERROR(haverdata(Codes!$D$16,$A222),"")</f>
        <v/>
      </c>
      <c r="C222" s="18" t="str">
        <f aca="false">IFERROR(B222/B221-1,"")</f>
        <v/>
      </c>
      <c r="D222" s="18" t="str">
        <f aca="false">IFERROR(B222/B218-1,"")</f>
        <v/>
      </c>
      <c r="E222" s="19" t="str">
        <f aca="false">IFERROR(IF(B222="",IFERROR(GROWTH($B$200:$B$287,$A$200:$A$287,$A222),TREND($B$200:$B$287,$A$200:$A$287,$A222)),""),"")</f>
        <v/>
      </c>
      <c r="F222" s="19" t="str">
        <f aca="false">IFERROR(forecast.ets($A222,$B$200:$B$287,$A$200:$A$287,4,1,1),"")</f>
        <v/>
      </c>
      <c r="G222" s="19" t="str">
        <f aca="false">IFERROR(F222-forecast.ets.confint($A222,$B$200:$B$287,$A$200:$A$287,0.95,4,1,1),"")</f>
        <v/>
      </c>
      <c r="H222" s="19" t="str">
        <f aca="false">IFERROR(F222+forecast.ets.confint($A222,$B$200:$B$287,$A$200:$A$287,0.95,4,1,1),"")</f>
        <v/>
      </c>
    </row>
    <row r="223" customFormat="false" ht="15" hidden="false" customHeight="false" outlineLevel="0" collapsed="false">
      <c r="A223" s="21" t="n">
        <v>41548</v>
      </c>
      <c r="B223" s="22" t="str">
        <f aca="false">IFERROR(haverdata(Codes!$D$16,$A223),"")</f>
        <v/>
      </c>
      <c r="C223" s="23" t="str">
        <f aca="false">IFERROR(B223/B222-1,"")</f>
        <v/>
      </c>
      <c r="D223" s="23" t="str">
        <f aca="false">IFERROR(B223/B219-1,"")</f>
        <v/>
      </c>
      <c r="E223" s="24" t="str">
        <f aca="false">IFERROR(IF(B223="",IFERROR(GROWTH($B$200:$B$287,$A$200:$A$287,$A223),TREND($B$200:$B$287,$A$200:$A$287,$A223)),""),"")</f>
        <v/>
      </c>
      <c r="F223" s="24" t="str">
        <f aca="false">IFERROR(forecast.ets($A223,$B$200:$B$287,$A$200:$A$287,4,1,1),"")</f>
        <v/>
      </c>
      <c r="G223" s="24" t="str">
        <f aca="false">IFERROR(F223-forecast.ets.confint($A223,$B$200:$B$287,$A$200:$A$287,0.95,4,1,1),"")</f>
        <v/>
      </c>
      <c r="H223" s="24" t="str">
        <f aca="false">IFERROR(F223+forecast.ets.confint($A223,$B$200:$B$287,$A$200:$A$287,0.95,4,1,1),"")</f>
        <v/>
      </c>
    </row>
    <row r="224" customFormat="false" ht="15" hidden="false" customHeight="false" outlineLevel="0" collapsed="false">
      <c r="A224" s="16" t="n">
        <v>41640</v>
      </c>
      <c r="B224" s="17" t="str">
        <f aca="false">IFERROR(haverdata(Codes!$D$16,$A224),"")</f>
        <v/>
      </c>
      <c r="C224" s="18" t="str">
        <f aca="false">IFERROR(B224/B223-1,"")</f>
        <v/>
      </c>
      <c r="D224" s="18" t="str">
        <f aca="false">IFERROR(B224/B220-1,"")</f>
        <v/>
      </c>
      <c r="E224" s="19" t="str">
        <f aca="false">IFERROR(IF(B224="",IFERROR(GROWTH($B$200:$B$287,$A$200:$A$287,$A224),TREND($B$200:$B$287,$A$200:$A$287,$A224)),""),"")</f>
        <v/>
      </c>
      <c r="F224" s="19" t="str">
        <f aca="false">IFERROR(forecast.ets($A224,$B$200:$B$287,$A$200:$A$287,4,1,1),"")</f>
        <v/>
      </c>
      <c r="G224" s="19" t="str">
        <f aca="false">IFERROR(F224-forecast.ets.confint($A224,$B$200:$B$287,$A$200:$A$287,0.95,4,1,1),"")</f>
        <v/>
      </c>
      <c r="H224" s="19" t="str">
        <f aca="false">IFERROR(F224+forecast.ets.confint($A224,$B$200:$B$287,$A$200:$A$287,0.95,4,1,1),"")</f>
        <v/>
      </c>
    </row>
    <row r="225" customFormat="false" ht="15" hidden="false" customHeight="false" outlineLevel="0" collapsed="false">
      <c r="A225" s="21" t="n">
        <v>41730</v>
      </c>
      <c r="B225" s="22" t="str">
        <f aca="false">IFERROR(haverdata(Codes!$D$16,$A225),"")</f>
        <v/>
      </c>
      <c r="C225" s="23" t="str">
        <f aca="false">IFERROR(B225/B224-1,"")</f>
        <v/>
      </c>
      <c r="D225" s="23" t="str">
        <f aca="false">IFERROR(B225/B221-1,"")</f>
        <v/>
      </c>
      <c r="E225" s="24" t="str">
        <f aca="false">IFERROR(IF(B225="",IFERROR(GROWTH($B$200:$B$287,$A$200:$A$287,$A225),TREND($B$200:$B$287,$A$200:$A$287,$A225)),""),"")</f>
        <v/>
      </c>
      <c r="F225" s="24" t="str">
        <f aca="false">IFERROR(forecast.ets($A225,$B$200:$B$287,$A$200:$A$287,4,1,1),"")</f>
        <v/>
      </c>
      <c r="G225" s="24" t="str">
        <f aca="false">IFERROR(F225-forecast.ets.confint($A225,$B$200:$B$287,$A$200:$A$287,0.95,4,1,1),"")</f>
        <v/>
      </c>
      <c r="H225" s="24" t="str">
        <f aca="false">IFERROR(F225+forecast.ets.confint($A225,$B$200:$B$287,$A$200:$A$287,0.95,4,1,1),"")</f>
        <v/>
      </c>
    </row>
    <row r="226" customFormat="false" ht="15" hidden="false" customHeight="false" outlineLevel="0" collapsed="false">
      <c r="A226" s="16" t="n">
        <v>41821</v>
      </c>
      <c r="B226" s="17" t="str">
        <f aca="false">IFERROR(haverdata(Codes!$D$16,$A226),"")</f>
        <v/>
      </c>
      <c r="C226" s="18" t="str">
        <f aca="false">IFERROR(B226/B225-1,"")</f>
        <v/>
      </c>
      <c r="D226" s="18" t="str">
        <f aca="false">IFERROR(B226/B222-1,"")</f>
        <v/>
      </c>
      <c r="E226" s="19" t="str">
        <f aca="false">IFERROR(IF(B226="",IFERROR(GROWTH($B$200:$B$287,$A$200:$A$287,$A226),TREND($B$200:$B$287,$A$200:$A$287,$A226)),""),"")</f>
        <v/>
      </c>
      <c r="F226" s="19" t="str">
        <f aca="false">IFERROR(forecast.ets($A226,$B$200:$B$287,$A$200:$A$287,4,1,1),"")</f>
        <v/>
      </c>
      <c r="G226" s="19" t="str">
        <f aca="false">IFERROR(F226-forecast.ets.confint($A226,$B$200:$B$287,$A$200:$A$287,0.95,4,1,1),"")</f>
        <v/>
      </c>
      <c r="H226" s="19" t="str">
        <f aca="false">IFERROR(F226+forecast.ets.confint($A226,$B$200:$B$287,$A$200:$A$287,0.95,4,1,1),"")</f>
        <v/>
      </c>
    </row>
    <row r="227" customFormat="false" ht="15" hidden="false" customHeight="false" outlineLevel="0" collapsed="false">
      <c r="A227" s="21" t="n">
        <v>41913</v>
      </c>
      <c r="B227" s="22" t="str">
        <f aca="false">IFERROR(haverdata(Codes!$D$16,$A227),"")</f>
        <v/>
      </c>
      <c r="C227" s="23" t="str">
        <f aca="false">IFERROR(B227/B226-1,"")</f>
        <v/>
      </c>
      <c r="D227" s="23" t="str">
        <f aca="false">IFERROR(B227/B223-1,"")</f>
        <v/>
      </c>
      <c r="E227" s="24" t="str">
        <f aca="false">IFERROR(IF(B227="",IFERROR(GROWTH($B$200:$B$287,$A$200:$A$287,$A227),TREND($B$200:$B$287,$A$200:$A$287,$A227)),""),"")</f>
        <v/>
      </c>
      <c r="F227" s="24" t="str">
        <f aca="false">IFERROR(forecast.ets($A227,$B$200:$B$287,$A$200:$A$287,4,1,1),"")</f>
        <v/>
      </c>
      <c r="G227" s="24" t="str">
        <f aca="false">IFERROR(F227-forecast.ets.confint($A227,$B$200:$B$287,$A$200:$A$287,0.95,4,1,1),"")</f>
        <v/>
      </c>
      <c r="H227" s="24" t="str">
        <f aca="false">IFERROR(F227+forecast.ets.confint($A227,$B$200:$B$287,$A$200:$A$287,0.95,4,1,1),"")</f>
        <v/>
      </c>
    </row>
    <row r="228" customFormat="false" ht="15" hidden="false" customHeight="false" outlineLevel="0" collapsed="false">
      <c r="A228" s="16" t="n">
        <v>42005</v>
      </c>
      <c r="B228" s="17" t="str">
        <f aca="false">IFERROR(haverdata(Codes!$D$16,$A228),"")</f>
        <v/>
      </c>
      <c r="C228" s="18" t="str">
        <f aca="false">IFERROR(B228/B227-1,"")</f>
        <v/>
      </c>
      <c r="D228" s="18" t="str">
        <f aca="false">IFERROR(B228/B224-1,"")</f>
        <v/>
      </c>
      <c r="E228" s="19" t="str">
        <f aca="false">IFERROR(IF(B228="",IFERROR(GROWTH($B$200:$B$287,$A$200:$A$287,$A228),TREND($B$200:$B$287,$A$200:$A$287,$A228)),""),"")</f>
        <v/>
      </c>
      <c r="F228" s="19" t="str">
        <f aca="false">IFERROR(forecast.ets($A228,$B$200:$B$287,$A$200:$A$287,4,1,1),"")</f>
        <v/>
      </c>
      <c r="G228" s="19" t="str">
        <f aca="false">IFERROR(F228-forecast.ets.confint($A228,$B$200:$B$287,$A$200:$A$287,0.95,4,1,1),"")</f>
        <v/>
      </c>
      <c r="H228" s="19" t="str">
        <f aca="false">IFERROR(F228+forecast.ets.confint($A228,$B$200:$B$287,$A$200:$A$287,0.95,4,1,1),"")</f>
        <v/>
      </c>
    </row>
    <row r="229" customFormat="false" ht="15" hidden="false" customHeight="false" outlineLevel="0" collapsed="false">
      <c r="A229" s="21" t="n">
        <v>42095</v>
      </c>
      <c r="B229" s="22" t="str">
        <f aca="false">IFERROR(haverdata(Codes!$D$16,$A229),"")</f>
        <v/>
      </c>
      <c r="C229" s="23" t="str">
        <f aca="false">IFERROR(B229/B228-1,"")</f>
        <v/>
      </c>
      <c r="D229" s="23" t="str">
        <f aca="false">IFERROR(B229/B225-1,"")</f>
        <v/>
      </c>
      <c r="E229" s="24" t="str">
        <f aca="false">IFERROR(IF(B229="",IFERROR(GROWTH($B$200:$B$287,$A$200:$A$287,$A229),TREND($B$200:$B$287,$A$200:$A$287,$A229)),""),"")</f>
        <v/>
      </c>
      <c r="F229" s="24" t="str">
        <f aca="false">IFERROR(forecast.ets($A229,$B$200:$B$287,$A$200:$A$287,4,1,1),"")</f>
        <v/>
      </c>
      <c r="G229" s="24" t="str">
        <f aca="false">IFERROR(F229-forecast.ets.confint($A229,$B$200:$B$287,$A$200:$A$287,0.95,4,1,1),"")</f>
        <v/>
      </c>
      <c r="H229" s="24" t="str">
        <f aca="false">IFERROR(F229+forecast.ets.confint($A229,$B$200:$B$287,$A$200:$A$287,0.95,4,1,1),"")</f>
        <v/>
      </c>
    </row>
    <row r="230" customFormat="false" ht="15" hidden="false" customHeight="false" outlineLevel="0" collapsed="false">
      <c r="A230" s="16" t="n">
        <v>42186</v>
      </c>
      <c r="B230" s="17" t="str">
        <f aca="false">IFERROR(haverdata(Codes!$D$16,$A230),"")</f>
        <v/>
      </c>
      <c r="C230" s="18" t="str">
        <f aca="false">IFERROR(B230/B229-1,"")</f>
        <v/>
      </c>
      <c r="D230" s="18" t="str">
        <f aca="false">IFERROR(B230/B226-1,"")</f>
        <v/>
      </c>
      <c r="E230" s="19" t="str">
        <f aca="false">IFERROR(IF(B230="",IFERROR(GROWTH($B$200:$B$287,$A$200:$A$287,$A230),TREND($B$200:$B$287,$A$200:$A$287,$A230)),""),"")</f>
        <v/>
      </c>
      <c r="F230" s="19" t="str">
        <f aca="false">IFERROR(forecast.ets($A230,$B$200:$B$287,$A$200:$A$287,4,1,1),"")</f>
        <v/>
      </c>
      <c r="G230" s="19" t="str">
        <f aca="false">IFERROR(F230-forecast.ets.confint($A230,$B$200:$B$287,$A$200:$A$287,0.95,4,1,1),"")</f>
        <v/>
      </c>
      <c r="H230" s="19" t="str">
        <f aca="false">IFERROR(F230+forecast.ets.confint($A230,$B$200:$B$287,$A$200:$A$287,0.95,4,1,1),"")</f>
        <v/>
      </c>
    </row>
    <row r="231" customFormat="false" ht="15" hidden="false" customHeight="false" outlineLevel="0" collapsed="false">
      <c r="A231" s="21" t="n">
        <v>42278</v>
      </c>
      <c r="B231" s="22" t="str">
        <f aca="false">IFERROR(haverdata(Codes!$D$16,$A231),"")</f>
        <v/>
      </c>
      <c r="C231" s="23" t="str">
        <f aca="false">IFERROR(B231/B230-1,"")</f>
        <v/>
      </c>
      <c r="D231" s="23" t="str">
        <f aca="false">IFERROR(B231/B227-1,"")</f>
        <v/>
      </c>
      <c r="E231" s="24" t="str">
        <f aca="false">IFERROR(IF(B231="",IFERROR(GROWTH($B$200:$B$287,$A$200:$A$287,$A231),TREND($B$200:$B$287,$A$200:$A$287,$A231)),""),"")</f>
        <v/>
      </c>
      <c r="F231" s="24" t="str">
        <f aca="false">IFERROR(forecast.ets($A231,$B$200:$B$287,$A$200:$A$287,4,1,1),"")</f>
        <v/>
      </c>
      <c r="G231" s="24" t="str">
        <f aca="false">IFERROR(F231-forecast.ets.confint($A231,$B$200:$B$287,$A$200:$A$287,0.95,4,1,1),"")</f>
        <v/>
      </c>
      <c r="H231" s="24" t="str">
        <f aca="false">IFERROR(F231+forecast.ets.confint($A231,$B$200:$B$287,$A$200:$A$287,0.95,4,1,1),"")</f>
        <v/>
      </c>
    </row>
    <row r="232" customFormat="false" ht="15" hidden="false" customHeight="false" outlineLevel="0" collapsed="false">
      <c r="A232" s="16" t="n">
        <v>42370</v>
      </c>
      <c r="B232" s="17" t="str">
        <f aca="false">IFERROR(haverdata(Codes!$D$16,$A232),"")</f>
        <v/>
      </c>
      <c r="C232" s="18" t="str">
        <f aca="false">IFERROR(B232/B231-1,"")</f>
        <v/>
      </c>
      <c r="D232" s="18" t="str">
        <f aca="false">IFERROR(B232/B228-1,"")</f>
        <v/>
      </c>
      <c r="E232" s="19" t="str">
        <f aca="false">IFERROR(IF(B232="",IFERROR(GROWTH($B$200:$B$287,$A$200:$A$287,$A232),TREND($B$200:$B$287,$A$200:$A$287,$A232)),""),"")</f>
        <v/>
      </c>
      <c r="F232" s="19" t="str">
        <f aca="false">IFERROR(forecast.ets($A232,$B$200:$B$287,$A$200:$A$287,4,1,1),"")</f>
        <v/>
      </c>
      <c r="G232" s="19" t="str">
        <f aca="false">IFERROR(F232-forecast.ets.confint($A232,$B$200:$B$287,$A$200:$A$287,0.95,4,1,1),"")</f>
        <v/>
      </c>
      <c r="H232" s="19" t="str">
        <f aca="false">IFERROR(F232+forecast.ets.confint($A232,$B$200:$B$287,$A$200:$A$287,0.95,4,1,1),"")</f>
        <v/>
      </c>
    </row>
    <row r="233" customFormat="false" ht="15" hidden="false" customHeight="false" outlineLevel="0" collapsed="false">
      <c r="A233" s="21" t="n">
        <v>42461</v>
      </c>
      <c r="B233" s="22" t="str">
        <f aca="false">IFERROR(haverdata(Codes!$D$16,$A233),"")</f>
        <v/>
      </c>
      <c r="C233" s="23" t="str">
        <f aca="false">IFERROR(B233/B232-1,"")</f>
        <v/>
      </c>
      <c r="D233" s="23" t="str">
        <f aca="false">IFERROR(B233/B229-1,"")</f>
        <v/>
      </c>
      <c r="E233" s="24" t="str">
        <f aca="false">IFERROR(IF(B233="",IFERROR(GROWTH($B$200:$B$287,$A$200:$A$287,$A233),TREND($B$200:$B$287,$A$200:$A$287,$A233)),""),"")</f>
        <v/>
      </c>
      <c r="F233" s="24" t="str">
        <f aca="false">IFERROR(forecast.ets($A233,$B$200:$B$287,$A$200:$A$287,4,1,1),"")</f>
        <v/>
      </c>
      <c r="G233" s="24" t="str">
        <f aca="false">IFERROR(F233-forecast.ets.confint($A233,$B$200:$B$287,$A$200:$A$287,0.95,4,1,1),"")</f>
        <v/>
      </c>
      <c r="H233" s="24" t="str">
        <f aca="false">IFERROR(F233+forecast.ets.confint($A233,$B$200:$B$287,$A$200:$A$287,0.95,4,1,1),"")</f>
        <v/>
      </c>
    </row>
    <row r="234" customFormat="false" ht="15" hidden="false" customHeight="false" outlineLevel="0" collapsed="false">
      <c r="A234" s="16" t="n">
        <v>42552</v>
      </c>
      <c r="B234" s="17" t="str">
        <f aca="false">IFERROR(haverdata(Codes!$D$16,$A234),"")</f>
        <v/>
      </c>
      <c r="C234" s="18" t="str">
        <f aca="false">IFERROR(B234/B233-1,"")</f>
        <v/>
      </c>
      <c r="D234" s="18" t="str">
        <f aca="false">IFERROR(B234/B230-1,"")</f>
        <v/>
      </c>
      <c r="E234" s="19" t="str">
        <f aca="false">IFERROR(IF(B234="",IFERROR(GROWTH($B$200:$B$287,$A$200:$A$287,$A234),TREND($B$200:$B$287,$A$200:$A$287,$A234)),""),"")</f>
        <v/>
      </c>
      <c r="F234" s="19" t="str">
        <f aca="false">IFERROR(forecast.ets($A234,$B$200:$B$287,$A$200:$A$287,4,1,1),"")</f>
        <v/>
      </c>
      <c r="G234" s="19" t="str">
        <f aca="false">IFERROR(F234-forecast.ets.confint($A234,$B$200:$B$287,$A$200:$A$287,0.95,4,1,1),"")</f>
        <v/>
      </c>
      <c r="H234" s="19" t="str">
        <f aca="false">IFERROR(F234+forecast.ets.confint($A234,$B$200:$B$287,$A$200:$A$287,0.95,4,1,1),"")</f>
        <v/>
      </c>
    </row>
    <row r="235" customFormat="false" ht="15" hidden="false" customHeight="false" outlineLevel="0" collapsed="false">
      <c r="A235" s="21" t="n">
        <v>42644</v>
      </c>
      <c r="B235" s="22" t="str">
        <f aca="false">IFERROR(haverdata(Codes!$D$16,$A235),"")</f>
        <v/>
      </c>
      <c r="C235" s="23" t="str">
        <f aca="false">IFERROR(B235/B234-1,"")</f>
        <v/>
      </c>
      <c r="D235" s="23" t="str">
        <f aca="false">IFERROR(B235/B231-1,"")</f>
        <v/>
      </c>
      <c r="E235" s="24" t="str">
        <f aca="false">IFERROR(IF(B235="",IFERROR(GROWTH($B$200:$B$287,$A$200:$A$287,$A235),TREND($B$200:$B$287,$A$200:$A$287,$A235)),""),"")</f>
        <v/>
      </c>
      <c r="F235" s="24" t="str">
        <f aca="false">IFERROR(forecast.ets($A235,$B$200:$B$287,$A$200:$A$287,4,1,1),"")</f>
        <v/>
      </c>
      <c r="G235" s="24" t="str">
        <f aca="false">IFERROR(F235-forecast.ets.confint($A235,$B$200:$B$287,$A$200:$A$287,0.95,4,1,1),"")</f>
        <v/>
      </c>
      <c r="H235" s="24" t="str">
        <f aca="false">IFERROR(F235+forecast.ets.confint($A235,$B$200:$B$287,$A$200:$A$287,0.95,4,1,1),"")</f>
        <v/>
      </c>
    </row>
    <row r="236" customFormat="false" ht="15" hidden="false" customHeight="false" outlineLevel="0" collapsed="false">
      <c r="A236" s="16" t="n">
        <v>42736</v>
      </c>
      <c r="B236" s="17" t="str">
        <f aca="false">IFERROR(haverdata(Codes!$D$16,$A236),"")</f>
        <v/>
      </c>
      <c r="C236" s="18" t="str">
        <f aca="false">IFERROR(B236/B235-1,"")</f>
        <v/>
      </c>
      <c r="D236" s="18" t="str">
        <f aca="false">IFERROR(B236/B232-1,"")</f>
        <v/>
      </c>
      <c r="E236" s="19" t="str">
        <f aca="false">IFERROR(IF(B236="",IFERROR(GROWTH($B$200:$B$287,$A$200:$A$287,$A236),TREND($B$200:$B$287,$A$200:$A$287,$A236)),""),"")</f>
        <v/>
      </c>
      <c r="F236" s="19" t="str">
        <f aca="false">IFERROR(forecast.ets($A236,$B$200:$B$287,$A$200:$A$287,4,1,1),"")</f>
        <v/>
      </c>
      <c r="G236" s="19" t="str">
        <f aca="false">IFERROR(F236-forecast.ets.confint($A236,$B$200:$B$287,$A$200:$A$287,0.95,4,1,1),"")</f>
        <v/>
      </c>
      <c r="H236" s="19" t="str">
        <f aca="false">IFERROR(F236+forecast.ets.confint($A236,$B$200:$B$287,$A$200:$A$287,0.95,4,1,1),"")</f>
        <v/>
      </c>
    </row>
    <row r="237" customFormat="false" ht="15" hidden="false" customHeight="false" outlineLevel="0" collapsed="false">
      <c r="A237" s="21" t="n">
        <v>42826</v>
      </c>
      <c r="B237" s="22" t="str">
        <f aca="false">IFERROR(haverdata(Codes!$D$16,$A237),"")</f>
        <v/>
      </c>
      <c r="C237" s="23" t="str">
        <f aca="false">IFERROR(B237/B236-1,"")</f>
        <v/>
      </c>
      <c r="D237" s="23" t="str">
        <f aca="false">IFERROR(B237/B233-1,"")</f>
        <v/>
      </c>
      <c r="E237" s="24" t="str">
        <f aca="false">IFERROR(IF(B237="",IFERROR(GROWTH($B$200:$B$287,$A$200:$A$287,$A237),TREND($B$200:$B$287,$A$200:$A$287,$A237)),""),"")</f>
        <v/>
      </c>
      <c r="F237" s="24" t="str">
        <f aca="false">IFERROR(forecast.ets($A237,$B$200:$B$287,$A$200:$A$287,4,1,1),"")</f>
        <v/>
      </c>
      <c r="G237" s="24" t="str">
        <f aca="false">IFERROR(F237-forecast.ets.confint($A237,$B$200:$B$287,$A$200:$A$287,0.95,4,1,1),"")</f>
        <v/>
      </c>
      <c r="H237" s="24" t="str">
        <f aca="false">IFERROR(F237+forecast.ets.confint($A237,$B$200:$B$287,$A$200:$A$287,0.95,4,1,1),"")</f>
        <v/>
      </c>
    </row>
    <row r="238" customFormat="false" ht="15" hidden="false" customHeight="false" outlineLevel="0" collapsed="false">
      <c r="A238" s="16" t="n">
        <v>42917</v>
      </c>
      <c r="B238" s="17" t="str">
        <f aca="false">IFERROR(haverdata(Codes!$D$16,$A238),"")</f>
        <v/>
      </c>
      <c r="C238" s="18" t="str">
        <f aca="false">IFERROR(B238/B237-1,"")</f>
        <v/>
      </c>
      <c r="D238" s="18" t="str">
        <f aca="false">IFERROR(B238/B234-1,"")</f>
        <v/>
      </c>
      <c r="E238" s="19" t="str">
        <f aca="false">IFERROR(IF(B238="",IFERROR(GROWTH($B$200:$B$287,$A$200:$A$287,$A238),TREND($B$200:$B$287,$A$200:$A$287,$A238)),""),"")</f>
        <v/>
      </c>
      <c r="F238" s="19" t="str">
        <f aca="false">IFERROR(forecast.ets($A238,$B$200:$B$287,$A$200:$A$287,4,1,1),"")</f>
        <v/>
      </c>
      <c r="G238" s="19" t="str">
        <f aca="false">IFERROR(F238-forecast.ets.confint($A238,$B$200:$B$287,$A$200:$A$287,0.95,4,1,1),"")</f>
        <v/>
      </c>
      <c r="H238" s="19" t="str">
        <f aca="false">IFERROR(F238+forecast.ets.confint($A238,$B$200:$B$287,$A$200:$A$287,0.95,4,1,1),"")</f>
        <v/>
      </c>
    </row>
    <row r="239" customFormat="false" ht="15" hidden="false" customHeight="false" outlineLevel="0" collapsed="false">
      <c r="A239" s="21" t="n">
        <v>43009</v>
      </c>
      <c r="B239" s="22" t="str">
        <f aca="false">IFERROR(haverdata(Codes!$D$16,$A239),"")</f>
        <v/>
      </c>
      <c r="C239" s="23" t="str">
        <f aca="false">IFERROR(B239/B238-1,"")</f>
        <v/>
      </c>
      <c r="D239" s="23" t="str">
        <f aca="false">IFERROR(B239/B235-1,"")</f>
        <v/>
      </c>
      <c r="E239" s="24" t="str">
        <f aca="false">IFERROR(IF(B239="",IFERROR(GROWTH($B$200:$B$287,$A$200:$A$287,$A239),TREND($B$200:$B$287,$A$200:$A$287,$A239)),""),"")</f>
        <v/>
      </c>
      <c r="F239" s="24" t="str">
        <f aca="false">IFERROR(forecast.ets($A239,$B$200:$B$287,$A$200:$A$287,4,1,1),"")</f>
        <v/>
      </c>
      <c r="G239" s="24" t="str">
        <f aca="false">IFERROR(F239-forecast.ets.confint($A239,$B$200:$B$287,$A$200:$A$287,0.95,4,1,1),"")</f>
        <v/>
      </c>
      <c r="H239" s="24" t="str">
        <f aca="false">IFERROR(F239+forecast.ets.confint($A239,$B$200:$B$287,$A$200:$A$287,0.95,4,1,1),"")</f>
        <v/>
      </c>
    </row>
    <row r="240" customFormat="false" ht="15" hidden="false" customHeight="false" outlineLevel="0" collapsed="false">
      <c r="A240" s="16" t="n">
        <v>43101</v>
      </c>
      <c r="B240" s="17" t="str">
        <f aca="false">IFERROR(haverdata(Codes!$D$16,$A240),"")</f>
        <v/>
      </c>
      <c r="C240" s="18" t="str">
        <f aca="false">IFERROR(B240/B239-1,"")</f>
        <v/>
      </c>
      <c r="D240" s="18" t="str">
        <f aca="false">IFERROR(B240/B236-1,"")</f>
        <v/>
      </c>
      <c r="E240" s="19" t="str">
        <f aca="false">IFERROR(IF(B240="",IFERROR(GROWTH($B$200:$B$287,$A$200:$A$287,$A240),TREND($B$200:$B$287,$A$200:$A$287,$A240)),""),"")</f>
        <v/>
      </c>
      <c r="F240" s="19" t="str">
        <f aca="false">IFERROR(forecast.ets($A240,$B$200:$B$287,$A$200:$A$287,4,1,1),"")</f>
        <v/>
      </c>
      <c r="G240" s="19" t="str">
        <f aca="false">IFERROR(F240-forecast.ets.confint($A240,$B$200:$B$287,$A$200:$A$287,0.95,4,1,1),"")</f>
        <v/>
      </c>
      <c r="H240" s="19" t="str">
        <f aca="false">IFERROR(F240+forecast.ets.confint($A240,$B$200:$B$287,$A$200:$A$287,0.95,4,1,1),"")</f>
        <v/>
      </c>
    </row>
    <row r="241" customFormat="false" ht="15" hidden="false" customHeight="false" outlineLevel="0" collapsed="false">
      <c r="A241" s="21" t="n">
        <v>43191</v>
      </c>
      <c r="B241" s="22" t="str">
        <f aca="false">IFERROR(haverdata(Codes!$D$16,$A241),"")</f>
        <v/>
      </c>
      <c r="C241" s="23" t="str">
        <f aca="false">IFERROR(B241/B240-1,"")</f>
        <v/>
      </c>
      <c r="D241" s="23" t="str">
        <f aca="false">IFERROR(B241/B237-1,"")</f>
        <v/>
      </c>
      <c r="E241" s="24" t="str">
        <f aca="false">IFERROR(IF(B241="",IFERROR(GROWTH($B$200:$B$287,$A$200:$A$287,$A241),TREND($B$200:$B$287,$A$200:$A$287,$A241)),""),"")</f>
        <v/>
      </c>
      <c r="F241" s="24" t="str">
        <f aca="false">IFERROR(forecast.ets($A241,$B$200:$B$287,$A$200:$A$287,4,1,1),"")</f>
        <v/>
      </c>
      <c r="G241" s="24" t="str">
        <f aca="false">IFERROR(F241-forecast.ets.confint($A241,$B$200:$B$287,$A$200:$A$287,0.95,4,1,1),"")</f>
        <v/>
      </c>
      <c r="H241" s="24" t="str">
        <f aca="false">IFERROR(F241+forecast.ets.confint($A241,$B$200:$B$287,$A$200:$A$287,0.95,4,1,1),"")</f>
        <v/>
      </c>
    </row>
    <row r="242" customFormat="false" ht="15" hidden="false" customHeight="false" outlineLevel="0" collapsed="false">
      <c r="A242" s="16" t="n">
        <v>43282</v>
      </c>
      <c r="B242" s="17" t="str">
        <f aca="false">IFERROR(haverdata(Codes!$D$16,$A242),"")</f>
        <v/>
      </c>
      <c r="C242" s="18" t="str">
        <f aca="false">IFERROR(B242/B241-1,"")</f>
        <v/>
      </c>
      <c r="D242" s="18" t="str">
        <f aca="false">IFERROR(B242/B238-1,"")</f>
        <v/>
      </c>
      <c r="E242" s="19" t="str">
        <f aca="false">IFERROR(IF(B242="",IFERROR(GROWTH($B$200:$B$287,$A$200:$A$287,$A242),TREND($B$200:$B$287,$A$200:$A$287,$A242)),""),"")</f>
        <v/>
      </c>
      <c r="F242" s="19" t="str">
        <f aca="false">IFERROR(forecast.ets($A242,$B$200:$B$287,$A$200:$A$287,4,1,1),"")</f>
        <v/>
      </c>
      <c r="G242" s="19" t="str">
        <f aca="false">IFERROR(F242-forecast.ets.confint($A242,$B$200:$B$287,$A$200:$A$287,0.95,4,1,1),"")</f>
        <v/>
      </c>
      <c r="H242" s="19" t="str">
        <f aca="false">IFERROR(F242+forecast.ets.confint($A242,$B$200:$B$287,$A$200:$A$287,0.95,4,1,1),"")</f>
        <v/>
      </c>
    </row>
    <row r="243" customFormat="false" ht="15" hidden="false" customHeight="false" outlineLevel="0" collapsed="false">
      <c r="A243" s="21" t="n">
        <v>43374</v>
      </c>
      <c r="B243" s="22" t="str">
        <f aca="false">IFERROR(haverdata(Codes!$D$16,$A243),"")</f>
        <v/>
      </c>
      <c r="C243" s="23" t="str">
        <f aca="false">IFERROR(B243/B242-1,"")</f>
        <v/>
      </c>
      <c r="D243" s="23" t="str">
        <f aca="false">IFERROR(B243/B239-1,"")</f>
        <v/>
      </c>
      <c r="E243" s="24" t="str">
        <f aca="false">IFERROR(IF(B243="",IFERROR(GROWTH($B$200:$B$287,$A$200:$A$287,$A243),TREND($B$200:$B$287,$A$200:$A$287,$A243)),""),"")</f>
        <v/>
      </c>
      <c r="F243" s="24" t="str">
        <f aca="false">IFERROR(forecast.ets($A243,$B$200:$B$287,$A$200:$A$287,4,1,1),"")</f>
        <v/>
      </c>
      <c r="G243" s="24" t="str">
        <f aca="false">IFERROR(F243-forecast.ets.confint($A243,$B$200:$B$287,$A$200:$A$287,0.95,4,1,1),"")</f>
        <v/>
      </c>
      <c r="H243" s="24" t="str">
        <f aca="false">IFERROR(F243+forecast.ets.confint($A243,$B$200:$B$287,$A$200:$A$287,0.95,4,1,1),"")</f>
        <v/>
      </c>
    </row>
    <row r="244" customFormat="false" ht="15" hidden="false" customHeight="false" outlineLevel="0" collapsed="false">
      <c r="A244" s="16" t="n">
        <v>43466</v>
      </c>
      <c r="B244" s="17" t="str">
        <f aca="false">IFERROR(haverdata(Codes!$D$16,$A244),"")</f>
        <v/>
      </c>
      <c r="C244" s="18" t="str">
        <f aca="false">IFERROR(B244/B243-1,"")</f>
        <v/>
      </c>
      <c r="D244" s="18" t="str">
        <f aca="false">IFERROR(B244/B240-1,"")</f>
        <v/>
      </c>
      <c r="E244" s="19" t="str">
        <f aca="false">IFERROR(IF(B244="",IFERROR(GROWTH($B$200:$B$287,$A$200:$A$287,$A244),TREND($B$200:$B$287,$A$200:$A$287,$A244)),""),"")</f>
        <v/>
      </c>
      <c r="F244" s="19" t="str">
        <f aca="false">IFERROR(forecast.ets($A244,$B$200:$B$287,$A$200:$A$287,4,1,1),"")</f>
        <v/>
      </c>
      <c r="G244" s="19" t="str">
        <f aca="false">IFERROR(F244-forecast.ets.confint($A244,$B$200:$B$287,$A$200:$A$287,0.95,4,1,1),"")</f>
        <v/>
      </c>
      <c r="H244" s="19" t="str">
        <f aca="false">IFERROR(F244+forecast.ets.confint($A244,$B$200:$B$287,$A$200:$A$287,0.95,4,1,1),"")</f>
        <v/>
      </c>
    </row>
    <row r="245" customFormat="false" ht="15" hidden="false" customHeight="false" outlineLevel="0" collapsed="false">
      <c r="A245" s="21" t="n">
        <v>43556</v>
      </c>
      <c r="B245" s="22" t="str">
        <f aca="false">IFERROR(haverdata(Codes!$D$16,$A245),"")</f>
        <v/>
      </c>
      <c r="C245" s="23" t="str">
        <f aca="false">IFERROR(B245/B244-1,"")</f>
        <v/>
      </c>
      <c r="D245" s="23" t="str">
        <f aca="false">IFERROR(B245/B241-1,"")</f>
        <v/>
      </c>
      <c r="E245" s="24" t="str">
        <f aca="false">IFERROR(IF(B245="",IFERROR(GROWTH($B$200:$B$287,$A$200:$A$287,$A245),TREND($B$200:$B$287,$A$200:$A$287,$A245)),""),"")</f>
        <v/>
      </c>
      <c r="F245" s="24" t="str">
        <f aca="false">IFERROR(forecast.ets($A245,$B$200:$B$287,$A$200:$A$287,4,1,1),"")</f>
        <v/>
      </c>
      <c r="G245" s="24" t="str">
        <f aca="false">IFERROR(F245-forecast.ets.confint($A245,$B$200:$B$287,$A$200:$A$287,0.95,4,1,1),"")</f>
        <v/>
      </c>
      <c r="H245" s="24" t="str">
        <f aca="false">IFERROR(F245+forecast.ets.confint($A245,$B$200:$B$287,$A$200:$A$287,0.95,4,1,1),"")</f>
        <v/>
      </c>
    </row>
    <row r="246" customFormat="false" ht="15" hidden="false" customHeight="false" outlineLevel="0" collapsed="false">
      <c r="A246" s="16" t="n">
        <v>43647</v>
      </c>
      <c r="B246" s="17" t="str">
        <f aca="false">IFERROR(haverdata(Codes!$D$16,$A246),"")</f>
        <v/>
      </c>
      <c r="C246" s="18" t="str">
        <f aca="false">IFERROR(B246/B245-1,"")</f>
        <v/>
      </c>
      <c r="D246" s="18" t="str">
        <f aca="false">IFERROR(B246/B242-1,"")</f>
        <v/>
      </c>
      <c r="E246" s="19" t="str">
        <f aca="false">IFERROR(IF(B246="",IFERROR(GROWTH($B$200:$B$287,$A$200:$A$287,$A246),TREND($B$200:$B$287,$A$200:$A$287,$A246)),""),"")</f>
        <v/>
      </c>
      <c r="F246" s="19" t="str">
        <f aca="false">IFERROR(forecast.ets($A246,$B$200:$B$287,$A$200:$A$287,4,1,1),"")</f>
        <v/>
      </c>
      <c r="G246" s="19" t="str">
        <f aca="false">IFERROR(F246-forecast.ets.confint($A246,$B$200:$B$287,$A$200:$A$287,0.95,4,1,1),"")</f>
        <v/>
      </c>
      <c r="H246" s="19" t="str">
        <f aca="false">IFERROR(F246+forecast.ets.confint($A246,$B$200:$B$287,$A$200:$A$287,0.95,4,1,1),"")</f>
        <v/>
      </c>
    </row>
    <row r="247" customFormat="false" ht="15" hidden="false" customHeight="false" outlineLevel="0" collapsed="false">
      <c r="A247" s="21" t="n">
        <v>43739</v>
      </c>
      <c r="B247" s="22" t="str">
        <f aca="false">IFERROR(haverdata(Codes!$D$16,$A247),"")</f>
        <v/>
      </c>
      <c r="C247" s="23" t="str">
        <f aca="false">IFERROR(B247/B246-1,"")</f>
        <v/>
      </c>
      <c r="D247" s="23" t="str">
        <f aca="false">IFERROR(B247/B243-1,"")</f>
        <v/>
      </c>
      <c r="E247" s="24" t="str">
        <f aca="false">IFERROR(IF(B247="",IFERROR(GROWTH($B$200:$B$287,$A$200:$A$287,$A247),TREND($B$200:$B$287,$A$200:$A$287,$A247)),""),"")</f>
        <v/>
      </c>
      <c r="F247" s="24" t="str">
        <f aca="false">IFERROR(forecast.ets($A247,$B$200:$B$287,$A$200:$A$287,4,1,1),"")</f>
        <v/>
      </c>
      <c r="G247" s="24" t="str">
        <f aca="false">IFERROR(F247-forecast.ets.confint($A247,$B$200:$B$287,$A$200:$A$287,0.95,4,1,1),"")</f>
        <v/>
      </c>
      <c r="H247" s="24" t="str">
        <f aca="false">IFERROR(F247+forecast.ets.confint($A247,$B$200:$B$287,$A$200:$A$287,0.95,4,1,1),"")</f>
        <v/>
      </c>
    </row>
    <row r="248" customFormat="false" ht="15" hidden="false" customHeight="false" outlineLevel="0" collapsed="false">
      <c r="A248" s="16" t="n">
        <v>43831</v>
      </c>
      <c r="B248" s="17" t="str">
        <f aca="false">IFERROR(haverdata(Codes!$D$16,$A248),"")</f>
        <v/>
      </c>
      <c r="C248" s="18" t="str">
        <f aca="false">IFERROR(B248/B247-1,"")</f>
        <v/>
      </c>
      <c r="D248" s="18" t="str">
        <f aca="false">IFERROR(B248/B244-1,"")</f>
        <v/>
      </c>
      <c r="E248" s="19" t="str">
        <f aca="false">IFERROR(IF(B248="",IFERROR(GROWTH($B$200:$B$287,$A$200:$A$287,$A248),TREND($B$200:$B$287,$A$200:$A$287,$A248)),""),"")</f>
        <v/>
      </c>
      <c r="F248" s="19" t="str">
        <f aca="false">IFERROR(forecast.ets($A248,$B$200:$B$287,$A$200:$A$287,4,1,1),"")</f>
        <v/>
      </c>
      <c r="G248" s="19" t="str">
        <f aca="false">IFERROR(F248-forecast.ets.confint($A248,$B$200:$B$287,$A$200:$A$287,0.95,4,1,1),"")</f>
        <v/>
      </c>
      <c r="H248" s="19" t="str">
        <f aca="false">IFERROR(F248+forecast.ets.confint($A248,$B$200:$B$287,$A$200:$A$287,0.95,4,1,1),"")</f>
        <v/>
      </c>
    </row>
    <row r="249" customFormat="false" ht="15" hidden="false" customHeight="false" outlineLevel="0" collapsed="false">
      <c r="A249" s="21" t="n">
        <v>43922</v>
      </c>
      <c r="B249" s="22" t="str">
        <f aca="false">IFERROR(haverdata(Codes!$D$16,$A249),"")</f>
        <v/>
      </c>
      <c r="C249" s="23" t="str">
        <f aca="false">IFERROR(B249/B248-1,"")</f>
        <v/>
      </c>
      <c r="D249" s="23" t="str">
        <f aca="false">IFERROR(B249/B245-1,"")</f>
        <v/>
      </c>
      <c r="E249" s="24" t="str">
        <f aca="false">IFERROR(IF(B249="",IFERROR(GROWTH($B$200:$B$287,$A$200:$A$287,$A249),TREND($B$200:$B$287,$A$200:$A$287,$A249)),""),"")</f>
        <v/>
      </c>
      <c r="F249" s="24" t="str">
        <f aca="false">IFERROR(forecast.ets($A249,$B$200:$B$287,$A$200:$A$287,4,1,1),"")</f>
        <v/>
      </c>
      <c r="G249" s="24" t="str">
        <f aca="false">IFERROR(F249-forecast.ets.confint($A249,$B$200:$B$287,$A$200:$A$287,0.95,4,1,1),"")</f>
        <v/>
      </c>
      <c r="H249" s="24" t="str">
        <f aca="false">IFERROR(F249+forecast.ets.confint($A249,$B$200:$B$287,$A$200:$A$287,0.95,4,1,1),"")</f>
        <v/>
      </c>
    </row>
    <row r="250" customFormat="false" ht="15" hidden="false" customHeight="false" outlineLevel="0" collapsed="false">
      <c r="A250" s="16" t="n">
        <v>44013</v>
      </c>
      <c r="B250" s="17" t="str">
        <f aca="false">IFERROR(haverdata(Codes!$D$16,$A250),"")</f>
        <v/>
      </c>
      <c r="C250" s="18" t="str">
        <f aca="false">IFERROR(B250/B249-1,"")</f>
        <v/>
      </c>
      <c r="D250" s="18" t="str">
        <f aca="false">IFERROR(B250/B246-1,"")</f>
        <v/>
      </c>
      <c r="E250" s="19" t="str">
        <f aca="false">IFERROR(IF(B250="",IFERROR(GROWTH($B$200:$B$287,$A$200:$A$287,$A250),TREND($B$200:$B$287,$A$200:$A$287,$A250)),""),"")</f>
        <v/>
      </c>
      <c r="F250" s="19" t="str">
        <f aca="false">IFERROR(forecast.ets($A250,$B$200:$B$287,$A$200:$A$287,4,1,1),"")</f>
        <v/>
      </c>
      <c r="G250" s="19" t="str">
        <f aca="false">IFERROR(F250-forecast.ets.confint($A250,$B$200:$B$287,$A$200:$A$287,0.95,4,1,1),"")</f>
        <v/>
      </c>
      <c r="H250" s="19" t="str">
        <f aca="false">IFERROR(F250+forecast.ets.confint($A250,$B$200:$B$287,$A$200:$A$287,0.95,4,1,1),"")</f>
        <v/>
      </c>
    </row>
    <row r="251" customFormat="false" ht="15" hidden="false" customHeight="false" outlineLevel="0" collapsed="false">
      <c r="A251" s="21" t="n">
        <v>44105</v>
      </c>
      <c r="B251" s="22" t="str">
        <f aca="false">IFERROR(haverdata(Codes!$D$16,$A251),"")</f>
        <v/>
      </c>
      <c r="C251" s="23" t="str">
        <f aca="false">IFERROR(B251/B250-1,"")</f>
        <v/>
      </c>
      <c r="D251" s="23" t="str">
        <f aca="false">IFERROR(B251/B247-1,"")</f>
        <v/>
      </c>
      <c r="E251" s="24" t="str">
        <f aca="false">IFERROR(IF(B251="",IFERROR(GROWTH($B$200:$B$287,$A$200:$A$287,$A251),TREND($B$200:$B$287,$A$200:$A$287,$A251)),""),"")</f>
        <v/>
      </c>
      <c r="F251" s="24" t="str">
        <f aca="false">IFERROR(forecast.ets($A251,$B$200:$B$287,$A$200:$A$287,4,1,1),"")</f>
        <v/>
      </c>
      <c r="G251" s="24" t="str">
        <f aca="false">IFERROR(F251-forecast.ets.confint($A251,$B$200:$B$287,$A$200:$A$287,0.95,4,1,1),"")</f>
        <v/>
      </c>
      <c r="H251" s="24" t="str">
        <f aca="false">IFERROR(F251+forecast.ets.confint($A251,$B$200:$B$287,$A$200:$A$287,0.95,4,1,1),"")</f>
        <v/>
      </c>
    </row>
    <row r="252" customFormat="false" ht="15" hidden="false" customHeight="false" outlineLevel="0" collapsed="false">
      <c r="A252" s="16" t="n">
        <v>44197</v>
      </c>
      <c r="B252" s="17" t="str">
        <f aca="false">IFERROR(haverdata(Codes!$D$16,$A252),"")</f>
        <v/>
      </c>
      <c r="C252" s="18" t="str">
        <f aca="false">IFERROR(B252/B251-1,"")</f>
        <v/>
      </c>
      <c r="D252" s="18" t="str">
        <f aca="false">IFERROR(B252/B248-1,"")</f>
        <v/>
      </c>
      <c r="E252" s="19" t="str">
        <f aca="false">IFERROR(IF(B252="",IFERROR(GROWTH($B$200:$B$287,$A$200:$A$287,$A252),TREND($B$200:$B$287,$A$200:$A$287,$A252)),""),"")</f>
        <v/>
      </c>
      <c r="F252" s="19" t="str">
        <f aca="false">IFERROR(forecast.ets($A252,$B$200:$B$287,$A$200:$A$287,4,1,1),"")</f>
        <v/>
      </c>
      <c r="G252" s="19" t="str">
        <f aca="false">IFERROR(F252-forecast.ets.confint($A252,$B$200:$B$287,$A$200:$A$287,0.95,4,1,1),"")</f>
        <v/>
      </c>
      <c r="H252" s="19" t="str">
        <f aca="false">IFERROR(F252+forecast.ets.confint($A252,$B$200:$B$287,$A$200:$A$287,0.95,4,1,1),"")</f>
        <v/>
      </c>
    </row>
    <row r="253" customFormat="false" ht="15" hidden="false" customHeight="false" outlineLevel="0" collapsed="false">
      <c r="A253" s="21" t="n">
        <v>44287</v>
      </c>
      <c r="B253" s="22" t="str">
        <f aca="false">IFERROR(haverdata(Codes!$D$16,$A253),"")</f>
        <v/>
      </c>
      <c r="C253" s="23" t="str">
        <f aca="false">IFERROR(B253/B252-1,"")</f>
        <v/>
      </c>
      <c r="D253" s="23" t="str">
        <f aca="false">IFERROR(B253/B249-1,"")</f>
        <v/>
      </c>
      <c r="E253" s="24" t="str">
        <f aca="false">IFERROR(IF(B253="",IFERROR(GROWTH($B$200:$B$287,$A$200:$A$287,$A253),TREND($B$200:$B$287,$A$200:$A$287,$A253)),""),"")</f>
        <v/>
      </c>
      <c r="F253" s="24" t="str">
        <f aca="false">IFERROR(forecast.ets($A253,$B$200:$B$287,$A$200:$A$287,4,1,1),"")</f>
        <v/>
      </c>
      <c r="G253" s="24" t="str">
        <f aca="false">IFERROR(F253-forecast.ets.confint($A253,$B$200:$B$287,$A$200:$A$287,0.95,4,1,1),"")</f>
        <v/>
      </c>
      <c r="H253" s="24" t="str">
        <f aca="false">IFERROR(F253+forecast.ets.confint($A253,$B$200:$B$287,$A$200:$A$287,0.95,4,1,1),"")</f>
        <v/>
      </c>
    </row>
    <row r="254" customFormat="false" ht="15" hidden="false" customHeight="false" outlineLevel="0" collapsed="false">
      <c r="A254" s="16" t="n">
        <v>44378</v>
      </c>
      <c r="B254" s="17" t="str">
        <f aca="false">IFERROR(haverdata(Codes!$D$16,$A254),"")</f>
        <v/>
      </c>
      <c r="C254" s="18" t="str">
        <f aca="false">IFERROR(B254/B253-1,"")</f>
        <v/>
      </c>
      <c r="D254" s="18" t="str">
        <f aca="false">IFERROR(B254/B250-1,"")</f>
        <v/>
      </c>
      <c r="E254" s="19" t="str">
        <f aca="false">IFERROR(IF(B254="",IFERROR(GROWTH($B$200:$B$287,$A$200:$A$287,$A254),TREND($B$200:$B$287,$A$200:$A$287,$A254)),""),"")</f>
        <v/>
      </c>
      <c r="F254" s="19" t="str">
        <f aca="false">IFERROR(forecast.ets($A254,$B$200:$B$287,$A$200:$A$287,4,1,1),"")</f>
        <v/>
      </c>
      <c r="G254" s="19" t="str">
        <f aca="false">IFERROR(F254-forecast.ets.confint($A254,$B$200:$B$287,$A$200:$A$287,0.95,4,1,1),"")</f>
        <v/>
      </c>
      <c r="H254" s="19" t="str">
        <f aca="false">IFERROR(F254+forecast.ets.confint($A254,$B$200:$B$287,$A$200:$A$287,0.95,4,1,1),"")</f>
        <v/>
      </c>
    </row>
    <row r="255" customFormat="false" ht="15" hidden="false" customHeight="false" outlineLevel="0" collapsed="false">
      <c r="A255" s="21" t="n">
        <v>44470</v>
      </c>
      <c r="B255" s="22" t="str">
        <f aca="false">IFERROR(haverdata(Codes!$D$16,$A255),"")</f>
        <v/>
      </c>
      <c r="C255" s="23" t="str">
        <f aca="false">IFERROR(B255/B254-1,"")</f>
        <v/>
      </c>
      <c r="D255" s="23" t="str">
        <f aca="false">IFERROR(B255/B251-1,"")</f>
        <v/>
      </c>
      <c r="E255" s="24" t="str">
        <f aca="false">IFERROR(IF(B255="",IFERROR(GROWTH($B$200:$B$287,$A$200:$A$287,$A255),TREND($B$200:$B$287,$A$200:$A$287,$A255)),""),"")</f>
        <v/>
      </c>
      <c r="F255" s="24" t="str">
        <f aca="false">IFERROR(forecast.ets($A255,$B$200:$B$287,$A$200:$A$287,4,1,1),"")</f>
        <v/>
      </c>
      <c r="G255" s="24" t="str">
        <f aca="false">IFERROR(F255-forecast.ets.confint($A255,$B$200:$B$287,$A$200:$A$287,0.95,4,1,1),"")</f>
        <v/>
      </c>
      <c r="H255" s="24" t="str">
        <f aca="false">IFERROR(F255+forecast.ets.confint($A255,$B$200:$B$287,$A$200:$A$287,0.95,4,1,1),"")</f>
        <v/>
      </c>
    </row>
    <row r="256" customFormat="false" ht="15" hidden="false" customHeight="false" outlineLevel="0" collapsed="false">
      <c r="A256" s="16" t="n">
        <v>44562</v>
      </c>
      <c r="B256" s="17" t="str">
        <f aca="false">IFERROR(haverdata(Codes!$D$16,$A256),"")</f>
        <v/>
      </c>
      <c r="C256" s="18" t="str">
        <f aca="false">IFERROR(B256/B255-1,"")</f>
        <v/>
      </c>
      <c r="D256" s="18" t="str">
        <f aca="false">IFERROR(B256/B252-1,"")</f>
        <v/>
      </c>
      <c r="E256" s="19" t="str">
        <f aca="false">IFERROR(IF(B256="",IFERROR(GROWTH($B$200:$B$287,$A$200:$A$287,$A256),TREND($B$200:$B$287,$A$200:$A$287,$A256)),""),"")</f>
        <v/>
      </c>
      <c r="F256" s="19" t="str">
        <f aca="false">IFERROR(forecast.ets($A256,$B$200:$B$287,$A$200:$A$287,4,1,1),"")</f>
        <v/>
      </c>
      <c r="G256" s="19" t="str">
        <f aca="false">IFERROR(F256-forecast.ets.confint($A256,$B$200:$B$287,$A$200:$A$287,0.95,4,1,1),"")</f>
        <v/>
      </c>
      <c r="H256" s="19" t="str">
        <f aca="false">IFERROR(F256+forecast.ets.confint($A256,$B$200:$B$287,$A$200:$A$287,0.95,4,1,1),"")</f>
        <v/>
      </c>
    </row>
    <row r="257" customFormat="false" ht="15" hidden="false" customHeight="false" outlineLevel="0" collapsed="false">
      <c r="A257" s="21" t="n">
        <v>44652</v>
      </c>
      <c r="B257" s="22" t="str">
        <f aca="false">IFERROR(haverdata(Codes!$D$16,$A257),"")</f>
        <v/>
      </c>
      <c r="C257" s="23" t="str">
        <f aca="false">IFERROR(B257/B256-1,"")</f>
        <v/>
      </c>
      <c r="D257" s="23" t="str">
        <f aca="false">IFERROR(B257/B253-1,"")</f>
        <v/>
      </c>
      <c r="E257" s="24" t="str">
        <f aca="false">IFERROR(IF(B257="",IFERROR(GROWTH($B$200:$B$287,$A$200:$A$287,$A257),TREND($B$200:$B$287,$A$200:$A$287,$A257)),""),"")</f>
        <v/>
      </c>
      <c r="F257" s="24" t="str">
        <f aca="false">IFERROR(forecast.ets($A257,$B$200:$B$287,$A$200:$A$287,4,1,1),"")</f>
        <v/>
      </c>
      <c r="G257" s="24" t="str">
        <f aca="false">IFERROR(F257-forecast.ets.confint($A257,$B$200:$B$287,$A$200:$A$287,0.95,4,1,1),"")</f>
        <v/>
      </c>
      <c r="H257" s="24" t="str">
        <f aca="false">IFERROR(F257+forecast.ets.confint($A257,$B$200:$B$287,$A$200:$A$287,0.95,4,1,1),"")</f>
        <v/>
      </c>
    </row>
    <row r="258" customFormat="false" ht="15" hidden="false" customHeight="false" outlineLevel="0" collapsed="false">
      <c r="A258" s="16" t="n">
        <v>44743</v>
      </c>
      <c r="B258" s="17" t="str">
        <f aca="false">IFERROR(haverdata(Codes!$D$16,$A258),"")</f>
        <v/>
      </c>
      <c r="C258" s="18" t="str">
        <f aca="false">IFERROR(B258/B257-1,"")</f>
        <v/>
      </c>
      <c r="D258" s="18" t="str">
        <f aca="false">IFERROR(B258/B254-1,"")</f>
        <v/>
      </c>
      <c r="E258" s="19" t="str">
        <f aca="false">IFERROR(IF(B258="",IFERROR(GROWTH($B$200:$B$287,$A$200:$A$287,$A258),TREND($B$200:$B$287,$A$200:$A$287,$A258)),""),"")</f>
        <v/>
      </c>
      <c r="F258" s="19" t="str">
        <f aca="false">IFERROR(forecast.ets($A258,$B$200:$B$287,$A$200:$A$287,4,1,1),"")</f>
        <v/>
      </c>
      <c r="G258" s="19" t="str">
        <f aca="false">IFERROR(F258-forecast.ets.confint($A258,$B$200:$B$287,$A$200:$A$287,0.95,4,1,1),"")</f>
        <v/>
      </c>
      <c r="H258" s="19" t="str">
        <f aca="false">IFERROR(F258+forecast.ets.confint($A258,$B$200:$B$287,$A$200:$A$287,0.95,4,1,1),"")</f>
        <v/>
      </c>
    </row>
    <row r="259" customFormat="false" ht="15" hidden="false" customHeight="false" outlineLevel="0" collapsed="false">
      <c r="A259" s="21" t="n">
        <v>44835</v>
      </c>
      <c r="B259" s="22" t="str">
        <f aca="false">IFERROR(haverdata(Codes!$D$16,$A259),"")</f>
        <v/>
      </c>
      <c r="C259" s="23" t="str">
        <f aca="false">IFERROR(B259/B258-1,"")</f>
        <v/>
      </c>
      <c r="D259" s="23" t="str">
        <f aca="false">IFERROR(B259/B255-1,"")</f>
        <v/>
      </c>
      <c r="E259" s="24" t="str">
        <f aca="false">IFERROR(IF(B259="",IFERROR(GROWTH($B$200:$B$287,$A$200:$A$287,$A259),TREND($B$200:$B$287,$A$200:$A$287,$A259)),""),"")</f>
        <v/>
      </c>
      <c r="F259" s="24" t="str">
        <f aca="false">IFERROR(forecast.ets($A259,$B$200:$B$287,$A$200:$A$287,4,1,1),"")</f>
        <v/>
      </c>
      <c r="G259" s="24" t="str">
        <f aca="false">IFERROR(F259-forecast.ets.confint($A259,$B$200:$B$287,$A$200:$A$287,0.95,4,1,1),"")</f>
        <v/>
      </c>
      <c r="H259" s="24" t="str">
        <f aca="false">IFERROR(F259+forecast.ets.confint($A259,$B$200:$B$287,$A$200:$A$287,0.95,4,1,1),"")</f>
        <v/>
      </c>
    </row>
    <row r="260" customFormat="false" ht="15" hidden="false" customHeight="false" outlineLevel="0" collapsed="false">
      <c r="A260" s="16" t="n">
        <v>44927</v>
      </c>
      <c r="B260" s="17" t="str">
        <f aca="false">IFERROR(haverdata(Codes!$D$16,$A260),"")</f>
        <v/>
      </c>
      <c r="C260" s="18" t="str">
        <f aca="false">IFERROR(B260/B259-1,"")</f>
        <v/>
      </c>
      <c r="D260" s="18" t="str">
        <f aca="false">IFERROR(B260/B256-1,"")</f>
        <v/>
      </c>
      <c r="E260" s="19" t="str">
        <f aca="false">IFERROR(IF(B260="",IFERROR(GROWTH($B$200:$B$287,$A$200:$A$287,$A260),TREND($B$200:$B$287,$A$200:$A$287,$A260)),""),"")</f>
        <v/>
      </c>
      <c r="F260" s="19" t="str">
        <f aca="false">IFERROR(forecast.ets($A260,$B$200:$B$287,$A$200:$A$287,4,1,1),"")</f>
        <v/>
      </c>
      <c r="G260" s="19" t="str">
        <f aca="false">IFERROR(F260-forecast.ets.confint($A260,$B$200:$B$287,$A$200:$A$287,0.95,4,1,1),"")</f>
        <v/>
      </c>
      <c r="H260" s="19" t="str">
        <f aca="false">IFERROR(F260+forecast.ets.confint($A260,$B$200:$B$287,$A$200:$A$287,0.95,4,1,1),"")</f>
        <v/>
      </c>
    </row>
    <row r="261" customFormat="false" ht="15" hidden="false" customHeight="false" outlineLevel="0" collapsed="false">
      <c r="A261" s="21" t="n">
        <v>45017</v>
      </c>
      <c r="B261" s="22" t="str">
        <f aca="false">IFERROR(haverdata(Codes!$D$16,$A261),"")</f>
        <v/>
      </c>
      <c r="C261" s="23" t="str">
        <f aca="false">IFERROR(B261/B260-1,"")</f>
        <v/>
      </c>
      <c r="D261" s="23" t="str">
        <f aca="false">IFERROR(B261/B257-1,"")</f>
        <v/>
      </c>
      <c r="E261" s="24" t="str">
        <f aca="false">IFERROR(IF(B261="",IFERROR(GROWTH($B$200:$B$287,$A$200:$A$287,$A261),TREND($B$200:$B$287,$A$200:$A$287,$A261)),""),"")</f>
        <v/>
      </c>
      <c r="F261" s="24" t="str">
        <f aca="false">IFERROR(forecast.ets($A261,$B$200:$B$287,$A$200:$A$287,4,1,1),"")</f>
        <v/>
      </c>
      <c r="G261" s="24" t="str">
        <f aca="false">IFERROR(F261-forecast.ets.confint($A261,$B$200:$B$287,$A$200:$A$287,0.95,4,1,1),"")</f>
        <v/>
      </c>
      <c r="H261" s="24" t="str">
        <f aca="false">IFERROR(F261+forecast.ets.confint($A261,$B$200:$B$287,$A$200:$A$287,0.95,4,1,1),"")</f>
        <v/>
      </c>
    </row>
    <row r="262" customFormat="false" ht="15" hidden="false" customHeight="false" outlineLevel="0" collapsed="false">
      <c r="A262" s="16" t="n">
        <v>45108</v>
      </c>
      <c r="B262" s="17" t="str">
        <f aca="false">IFERROR(haverdata(Codes!$D$16,$A262),"")</f>
        <v/>
      </c>
      <c r="C262" s="18" t="str">
        <f aca="false">IFERROR(B262/B261-1,"")</f>
        <v/>
      </c>
      <c r="D262" s="18" t="str">
        <f aca="false">IFERROR(B262/B258-1,"")</f>
        <v/>
      </c>
      <c r="E262" s="19" t="str">
        <f aca="false">IFERROR(IF(B262="",IFERROR(GROWTH($B$200:$B$287,$A$200:$A$287,$A262),TREND($B$200:$B$287,$A$200:$A$287,$A262)),""),"")</f>
        <v/>
      </c>
      <c r="F262" s="19" t="str">
        <f aca="false">IFERROR(forecast.ets($A262,$B$200:$B$287,$A$200:$A$287,4,1,1),"")</f>
        <v/>
      </c>
      <c r="G262" s="19" t="str">
        <f aca="false">IFERROR(F262-forecast.ets.confint($A262,$B$200:$B$287,$A$200:$A$287,0.95,4,1,1),"")</f>
        <v/>
      </c>
      <c r="H262" s="19" t="str">
        <f aca="false">IFERROR(F262+forecast.ets.confint($A262,$B$200:$B$287,$A$200:$A$287,0.95,4,1,1),"")</f>
        <v/>
      </c>
    </row>
    <row r="263" customFormat="false" ht="15" hidden="false" customHeight="false" outlineLevel="0" collapsed="false">
      <c r="A263" s="21" t="n">
        <v>45200</v>
      </c>
      <c r="B263" s="22" t="str">
        <f aca="false">IFERROR(haverdata(Codes!$D$16,$A263),"")</f>
        <v/>
      </c>
      <c r="C263" s="23" t="str">
        <f aca="false">IFERROR(B263/B262-1,"")</f>
        <v/>
      </c>
      <c r="D263" s="23" t="str">
        <f aca="false">IFERROR(B263/B259-1,"")</f>
        <v/>
      </c>
      <c r="E263" s="24" t="str">
        <f aca="false">IFERROR(IF(B263="",IFERROR(GROWTH($B$200:$B$287,$A$200:$A$287,$A263),TREND($B$200:$B$287,$A$200:$A$287,$A263)),""),"")</f>
        <v/>
      </c>
      <c r="F263" s="24" t="str">
        <f aca="false">IFERROR(forecast.ets($A263,$B$200:$B$287,$A$200:$A$287,4,1,1),"")</f>
        <v/>
      </c>
      <c r="G263" s="24" t="str">
        <f aca="false">IFERROR(F263-forecast.ets.confint($A263,$B$200:$B$287,$A$200:$A$287,0.95,4,1,1),"")</f>
        <v/>
      </c>
      <c r="H263" s="24" t="str">
        <f aca="false">IFERROR(F263+forecast.ets.confint($A263,$B$200:$B$287,$A$200:$A$287,0.95,4,1,1),"")</f>
        <v/>
      </c>
    </row>
    <row r="264" customFormat="false" ht="15" hidden="false" customHeight="false" outlineLevel="0" collapsed="false">
      <c r="A264" s="16" t="n">
        <v>45292</v>
      </c>
      <c r="B264" s="17" t="str">
        <f aca="false">IFERROR(haverdata(Codes!$D$16,$A264),"")</f>
        <v/>
      </c>
      <c r="C264" s="18" t="str">
        <f aca="false">IFERROR(B264/B263-1,"")</f>
        <v/>
      </c>
      <c r="D264" s="18" t="str">
        <f aca="false">IFERROR(B264/B260-1,"")</f>
        <v/>
      </c>
      <c r="E264" s="19" t="str">
        <f aca="false">IFERROR(IF(B264="",IFERROR(GROWTH($B$200:$B$287,$A$200:$A$287,$A264),TREND($B$200:$B$287,$A$200:$A$287,$A264)),""),"")</f>
        <v/>
      </c>
      <c r="F264" s="19" t="str">
        <f aca="false">IFERROR(forecast.ets($A264,$B$200:$B$287,$A$200:$A$287,4,1,1),"")</f>
        <v/>
      </c>
      <c r="G264" s="19" t="str">
        <f aca="false">IFERROR(F264-forecast.ets.confint($A264,$B$200:$B$287,$A$200:$A$287,0.95,4,1,1),"")</f>
        <v/>
      </c>
      <c r="H264" s="19" t="str">
        <f aca="false">IFERROR(F264+forecast.ets.confint($A264,$B$200:$B$287,$A$200:$A$287,0.95,4,1,1),"")</f>
        <v/>
      </c>
    </row>
    <row r="265" customFormat="false" ht="15" hidden="false" customHeight="false" outlineLevel="0" collapsed="false">
      <c r="A265" s="21" t="n">
        <v>45383</v>
      </c>
      <c r="B265" s="22" t="str">
        <f aca="false">IFERROR(haverdata(Codes!$D$16,$A265),"")</f>
        <v/>
      </c>
      <c r="C265" s="23" t="str">
        <f aca="false">IFERROR(B265/B264-1,"")</f>
        <v/>
      </c>
      <c r="D265" s="23" t="str">
        <f aca="false">IFERROR(B265/B261-1,"")</f>
        <v/>
      </c>
      <c r="E265" s="24" t="str">
        <f aca="false">IFERROR(IF(B265="",IFERROR(GROWTH($B$200:$B$287,$A$200:$A$287,$A265),TREND($B$200:$B$287,$A$200:$A$287,$A265)),""),"")</f>
        <v/>
      </c>
      <c r="F265" s="24" t="str">
        <f aca="false">IFERROR(forecast.ets($A265,$B$200:$B$287,$A$200:$A$287,4,1,1),"")</f>
        <v/>
      </c>
      <c r="G265" s="24" t="str">
        <f aca="false">IFERROR(F265-forecast.ets.confint($A265,$B$200:$B$287,$A$200:$A$287,0.95,4,1,1),"")</f>
        <v/>
      </c>
      <c r="H265" s="24" t="str">
        <f aca="false">IFERROR(F265+forecast.ets.confint($A265,$B$200:$B$287,$A$200:$A$287,0.95,4,1,1),"")</f>
        <v/>
      </c>
    </row>
    <row r="266" customFormat="false" ht="15" hidden="false" customHeight="false" outlineLevel="0" collapsed="false">
      <c r="A266" s="16" t="n">
        <v>45474</v>
      </c>
      <c r="B266" s="17" t="str">
        <f aca="false">IFERROR(haverdata(Codes!$D$16,$A266),"")</f>
        <v/>
      </c>
      <c r="C266" s="18" t="str">
        <f aca="false">IFERROR(B266/B265-1,"")</f>
        <v/>
      </c>
      <c r="D266" s="18" t="str">
        <f aca="false">IFERROR(B266/B262-1,"")</f>
        <v/>
      </c>
      <c r="E266" s="19" t="str">
        <f aca="false">IFERROR(IF(B266="",IFERROR(GROWTH($B$200:$B$287,$A$200:$A$287,$A266),TREND($B$200:$B$287,$A$200:$A$287,$A266)),""),"")</f>
        <v/>
      </c>
      <c r="F266" s="19" t="str">
        <f aca="false">IFERROR(forecast.ets($A266,$B$200:$B$287,$A$200:$A$287,4,1,1),"")</f>
        <v/>
      </c>
      <c r="G266" s="19" t="str">
        <f aca="false">IFERROR(F266-forecast.ets.confint($A266,$B$200:$B$287,$A$200:$A$287,0.95,4,1,1),"")</f>
        <v/>
      </c>
      <c r="H266" s="19" t="str">
        <f aca="false">IFERROR(F266+forecast.ets.confint($A266,$B$200:$B$287,$A$200:$A$287,0.95,4,1,1),"")</f>
        <v/>
      </c>
    </row>
    <row r="267" customFormat="false" ht="15" hidden="false" customHeight="false" outlineLevel="0" collapsed="false">
      <c r="A267" s="21" t="n">
        <v>45566</v>
      </c>
      <c r="B267" s="22" t="str">
        <f aca="false">IFERROR(haverdata(Codes!$D$16,$A267),"")</f>
        <v/>
      </c>
      <c r="C267" s="23" t="str">
        <f aca="false">IFERROR(B267/B266-1,"")</f>
        <v/>
      </c>
      <c r="D267" s="23" t="str">
        <f aca="false">IFERROR(B267/B263-1,"")</f>
        <v/>
      </c>
      <c r="E267" s="24" t="str">
        <f aca="false">IFERROR(IF(B267="",IFERROR(GROWTH($B$200:$B$287,$A$200:$A$287,$A267),TREND($B$200:$B$287,$A$200:$A$287,$A267)),""),"")</f>
        <v/>
      </c>
      <c r="F267" s="24" t="str">
        <f aca="false">IFERROR(forecast.ets($A267,$B$200:$B$287,$A$200:$A$287,4,1,1),"")</f>
        <v/>
      </c>
      <c r="G267" s="24" t="str">
        <f aca="false">IFERROR(F267-forecast.ets.confint($A267,$B$200:$B$287,$A$200:$A$287,0.95,4,1,1),"")</f>
        <v/>
      </c>
      <c r="H267" s="24" t="str">
        <f aca="false">IFERROR(F267+forecast.ets.confint($A267,$B$200:$B$287,$A$200:$A$287,0.95,4,1,1),"")</f>
        <v/>
      </c>
    </row>
    <row r="268" customFormat="false" ht="15" hidden="false" customHeight="false" outlineLevel="0" collapsed="false">
      <c r="A268" s="16" t="n">
        <v>45658</v>
      </c>
      <c r="B268" s="17" t="str">
        <f aca="false">IFERROR(haverdata(Codes!$D$16,$A268),"")</f>
        <v/>
      </c>
      <c r="C268" s="18" t="str">
        <f aca="false">IFERROR(B268/B267-1,"")</f>
        <v/>
      </c>
      <c r="D268" s="18" t="str">
        <f aca="false">IFERROR(B268/B264-1,"")</f>
        <v/>
      </c>
      <c r="E268" s="19" t="str">
        <f aca="false">IFERROR(IF(B268="",IFERROR(GROWTH($B$200:$B$287,$A$200:$A$287,$A268),TREND($B$200:$B$287,$A$200:$A$287,$A268)),""),"")</f>
        <v/>
      </c>
      <c r="F268" s="19" t="str">
        <f aca="false">IFERROR(forecast.ets($A268,$B$200:$B$287,$A$200:$A$287,4,1,1),"")</f>
        <v/>
      </c>
      <c r="G268" s="19" t="str">
        <f aca="false">IFERROR(F268-forecast.ets.confint($A268,$B$200:$B$287,$A$200:$A$287,0.95,4,1,1),"")</f>
        <v/>
      </c>
      <c r="H268" s="19" t="str">
        <f aca="false">IFERROR(F268+forecast.ets.confint($A268,$B$200:$B$287,$A$200:$A$287,0.95,4,1,1),"")</f>
        <v/>
      </c>
    </row>
    <row r="269" customFormat="false" ht="15" hidden="false" customHeight="false" outlineLevel="0" collapsed="false">
      <c r="A269" s="21" t="n">
        <v>45748</v>
      </c>
      <c r="B269" s="22" t="str">
        <f aca="false">IFERROR(haverdata(Codes!$D$16,$A269),"")</f>
        <v/>
      </c>
      <c r="C269" s="23" t="str">
        <f aca="false">IFERROR(B269/B268-1,"")</f>
        <v/>
      </c>
      <c r="D269" s="23" t="str">
        <f aca="false">IFERROR(B269/B265-1,"")</f>
        <v/>
      </c>
      <c r="E269" s="24" t="str">
        <f aca="false">IFERROR(IF(B269="",IFERROR(GROWTH($B$200:$B$287,$A$200:$A$287,$A269),TREND($B$200:$B$287,$A$200:$A$287,$A269)),""),"")</f>
        <v/>
      </c>
      <c r="F269" s="24" t="str">
        <f aca="false">IFERROR(forecast.ets($A269,$B$200:$B$287,$A$200:$A$287,4,1,1),"")</f>
        <v/>
      </c>
      <c r="G269" s="24" t="str">
        <f aca="false">IFERROR(F269-forecast.ets.confint($A269,$B$200:$B$287,$A$200:$A$287,0.95,4,1,1),"")</f>
        <v/>
      </c>
      <c r="H269" s="24" t="str">
        <f aca="false">IFERROR(F269+forecast.ets.confint($A269,$B$200:$B$287,$A$200:$A$287,0.95,4,1,1),"")</f>
        <v/>
      </c>
    </row>
    <row r="270" customFormat="false" ht="15" hidden="false" customHeight="false" outlineLevel="0" collapsed="false">
      <c r="A270" s="16" t="n">
        <v>45839</v>
      </c>
      <c r="B270" s="17" t="str">
        <f aca="false">IFERROR(haverdata(Codes!$D$16,$A270),"")</f>
        <v/>
      </c>
      <c r="C270" s="18" t="str">
        <f aca="false">IFERROR(B270/B269-1,"")</f>
        <v/>
      </c>
      <c r="D270" s="18" t="str">
        <f aca="false">IFERROR(B270/B266-1,"")</f>
        <v/>
      </c>
      <c r="E270" s="19" t="str">
        <f aca="false">IFERROR(IF(B270="",IFERROR(GROWTH($B$200:$B$287,$A$200:$A$287,$A270),TREND($B$200:$B$287,$A$200:$A$287,$A270)),""),"")</f>
        <v/>
      </c>
      <c r="F270" s="19" t="str">
        <f aca="false">IFERROR(forecast.ets($A270,$B$200:$B$287,$A$200:$A$287,4,1,1),"")</f>
        <v/>
      </c>
      <c r="G270" s="19" t="str">
        <f aca="false">IFERROR(F270-forecast.ets.confint($A270,$B$200:$B$287,$A$200:$A$287,0.95,4,1,1),"")</f>
        <v/>
      </c>
      <c r="H270" s="19" t="str">
        <f aca="false">IFERROR(F270+forecast.ets.confint($A270,$B$200:$B$287,$A$200:$A$287,0.95,4,1,1),"")</f>
        <v/>
      </c>
    </row>
    <row r="271" customFormat="false" ht="15" hidden="false" customHeight="false" outlineLevel="0" collapsed="false">
      <c r="A271" s="21" t="n">
        <v>45931</v>
      </c>
      <c r="B271" s="22" t="str">
        <f aca="false">IFERROR(haverdata(Codes!$D$16,$A271),"")</f>
        <v/>
      </c>
      <c r="C271" s="23" t="str">
        <f aca="false">IFERROR(B271/B270-1,"")</f>
        <v/>
      </c>
      <c r="D271" s="23" t="str">
        <f aca="false">IFERROR(B271/B267-1,"")</f>
        <v/>
      </c>
      <c r="E271" s="24" t="str">
        <f aca="false">IFERROR(IF(B271="",IFERROR(GROWTH($B$200:$B$287,$A$200:$A$287,$A271),TREND($B$200:$B$287,$A$200:$A$287,$A271)),""),"")</f>
        <v/>
      </c>
      <c r="F271" s="24" t="str">
        <f aca="false">IFERROR(forecast.ets($A271,$B$200:$B$287,$A$200:$A$287,4,1,1),"")</f>
        <v/>
      </c>
      <c r="G271" s="24" t="str">
        <f aca="false">IFERROR(F271-forecast.ets.confint($A271,$B$200:$B$287,$A$200:$A$287,0.95,4,1,1),"")</f>
        <v/>
      </c>
      <c r="H271" s="24" t="str">
        <f aca="false">IFERROR(F271+forecast.ets.confint($A271,$B$200:$B$287,$A$200:$A$287,0.95,4,1,1),"")</f>
        <v/>
      </c>
    </row>
    <row r="272" customFormat="false" ht="15" hidden="false" customHeight="false" outlineLevel="0" collapsed="false">
      <c r="A272" s="16" t="n">
        <v>46023</v>
      </c>
      <c r="B272" s="17" t="str">
        <f aca="false">IFERROR(haverdata(Codes!$D$16,$A272),"")</f>
        <v/>
      </c>
      <c r="C272" s="18" t="str">
        <f aca="false">IFERROR(B272/B271-1,"")</f>
        <v/>
      </c>
      <c r="D272" s="18" t="str">
        <f aca="false">IFERROR(B272/B268-1,"")</f>
        <v/>
      </c>
      <c r="E272" s="19" t="str">
        <f aca="false">IFERROR(IF(B272="",IFERROR(GROWTH($B$200:$B$287,$A$200:$A$287,$A272),TREND($B$200:$B$287,$A$200:$A$287,$A272)),""),"")</f>
        <v/>
      </c>
      <c r="F272" s="19" t="str">
        <f aca="false">IFERROR(forecast.ets($A272,$B$200:$B$287,$A$200:$A$287,4,1,1),"")</f>
        <v/>
      </c>
      <c r="G272" s="19" t="str">
        <f aca="false">IFERROR(F272-forecast.ets.confint($A272,$B$200:$B$287,$A$200:$A$287,0.95,4,1,1),"")</f>
        <v/>
      </c>
      <c r="H272" s="19" t="str">
        <f aca="false">IFERROR(F272+forecast.ets.confint($A272,$B$200:$B$287,$A$200:$A$287,0.95,4,1,1),"")</f>
        <v/>
      </c>
    </row>
    <row r="273" customFormat="false" ht="15" hidden="false" customHeight="false" outlineLevel="0" collapsed="false">
      <c r="A273" s="21" t="n">
        <v>46113</v>
      </c>
      <c r="B273" s="22" t="str">
        <f aca="false">IFERROR(haverdata(Codes!$D$16,$A273),"")</f>
        <v/>
      </c>
      <c r="C273" s="23" t="str">
        <f aca="false">IFERROR(B273/B272-1,"")</f>
        <v/>
      </c>
      <c r="D273" s="23" t="str">
        <f aca="false">IFERROR(B273/B269-1,"")</f>
        <v/>
      </c>
      <c r="E273" s="24" t="str">
        <f aca="false">IFERROR(IF(B273="",IFERROR(GROWTH($B$200:$B$287,$A$200:$A$287,$A273),TREND($B$200:$B$287,$A$200:$A$287,$A273)),""),"")</f>
        <v/>
      </c>
      <c r="F273" s="24" t="str">
        <f aca="false">IFERROR(forecast.ets($A273,$B$200:$B$287,$A$200:$A$287,4,1,1),"")</f>
        <v/>
      </c>
      <c r="G273" s="24" t="str">
        <f aca="false">IFERROR(F273-forecast.ets.confint($A273,$B$200:$B$287,$A$200:$A$287,0.95,4,1,1),"")</f>
        <v/>
      </c>
      <c r="H273" s="24" t="str">
        <f aca="false">IFERROR(F273+forecast.ets.confint($A273,$B$200:$B$287,$A$200:$A$287,0.95,4,1,1),"")</f>
        <v/>
      </c>
    </row>
    <row r="274" customFormat="false" ht="15" hidden="false" customHeight="false" outlineLevel="0" collapsed="false">
      <c r="A274" s="16" t="n">
        <v>46204</v>
      </c>
      <c r="B274" s="17" t="str">
        <f aca="false">IFERROR(haverdata(Codes!$D$16,$A274),"")</f>
        <v/>
      </c>
      <c r="C274" s="18" t="str">
        <f aca="false">IFERROR(B274/B273-1,"")</f>
        <v/>
      </c>
      <c r="D274" s="18" t="str">
        <f aca="false">IFERROR(B274/B270-1,"")</f>
        <v/>
      </c>
      <c r="E274" s="19" t="str">
        <f aca="false">IFERROR(IF(B274="",IFERROR(GROWTH($B$200:$B$287,$A$200:$A$287,$A274),TREND($B$200:$B$287,$A$200:$A$287,$A274)),""),"")</f>
        <v/>
      </c>
      <c r="F274" s="19" t="str">
        <f aca="false">IFERROR(forecast.ets($A274,$B$200:$B$287,$A$200:$A$287,4,1,1),"")</f>
        <v/>
      </c>
      <c r="G274" s="19" t="str">
        <f aca="false">IFERROR(F274-forecast.ets.confint($A274,$B$200:$B$287,$A$200:$A$287,0.95,4,1,1),"")</f>
        <v/>
      </c>
      <c r="H274" s="19" t="str">
        <f aca="false">IFERROR(F274+forecast.ets.confint($A274,$B$200:$B$287,$A$200:$A$287,0.95,4,1,1),"")</f>
        <v/>
      </c>
    </row>
    <row r="275" customFormat="false" ht="15" hidden="false" customHeight="false" outlineLevel="0" collapsed="false">
      <c r="A275" s="21" t="n">
        <v>46296</v>
      </c>
      <c r="B275" s="22" t="str">
        <f aca="false">IFERROR(haverdata(Codes!$D$16,$A275),"")</f>
        <v/>
      </c>
      <c r="C275" s="23" t="str">
        <f aca="false">IFERROR(B275/B274-1,"")</f>
        <v/>
      </c>
      <c r="D275" s="23" t="str">
        <f aca="false">IFERROR(B275/B271-1,"")</f>
        <v/>
      </c>
      <c r="E275" s="24" t="str">
        <f aca="false">IFERROR(IF(B275="",IFERROR(GROWTH($B$200:$B$287,$A$200:$A$287,$A275),TREND($B$200:$B$287,$A$200:$A$287,$A275)),""),"")</f>
        <v/>
      </c>
      <c r="F275" s="24" t="str">
        <f aca="false">IFERROR(forecast.ets($A275,$B$200:$B$287,$A$200:$A$287,4,1,1),"")</f>
        <v/>
      </c>
      <c r="G275" s="24" t="str">
        <f aca="false">IFERROR(F275-forecast.ets.confint($A275,$B$200:$B$287,$A$200:$A$287,0.95,4,1,1),"")</f>
        <v/>
      </c>
      <c r="H275" s="24" t="str">
        <f aca="false">IFERROR(F275+forecast.ets.confint($A275,$B$200:$B$287,$A$200:$A$287,0.95,4,1,1),"")</f>
        <v/>
      </c>
    </row>
    <row r="276" customFormat="false" ht="15" hidden="false" customHeight="false" outlineLevel="0" collapsed="false">
      <c r="A276" s="16" t="n">
        <v>46388</v>
      </c>
      <c r="B276" s="17" t="str">
        <f aca="false">IFERROR(haverdata(Codes!$D$16,$A276),"")</f>
        <v/>
      </c>
      <c r="C276" s="18" t="str">
        <f aca="false">IFERROR(B276/B275-1,"")</f>
        <v/>
      </c>
      <c r="D276" s="18" t="str">
        <f aca="false">IFERROR(B276/B272-1,"")</f>
        <v/>
      </c>
      <c r="E276" s="19" t="str">
        <f aca="false">IFERROR(IF(B276="",IFERROR(GROWTH($B$200:$B$287,$A$200:$A$287,$A276),TREND($B$200:$B$287,$A$200:$A$287,$A276)),""),"")</f>
        <v/>
      </c>
      <c r="F276" s="19" t="str">
        <f aca="false">IFERROR(forecast.ets($A276,$B$200:$B$287,$A$200:$A$287,4,1,1),"")</f>
        <v/>
      </c>
      <c r="G276" s="19" t="str">
        <f aca="false">IFERROR(F276-forecast.ets.confint($A276,$B$200:$B$287,$A$200:$A$287,0.95,4,1,1),"")</f>
        <v/>
      </c>
      <c r="H276" s="19" t="str">
        <f aca="false">IFERROR(F276+forecast.ets.confint($A276,$B$200:$B$287,$A$200:$A$287,0.95,4,1,1),"")</f>
        <v/>
      </c>
    </row>
    <row r="277" customFormat="false" ht="15" hidden="false" customHeight="false" outlineLevel="0" collapsed="false">
      <c r="A277" s="21" t="n">
        <v>46478</v>
      </c>
      <c r="B277" s="22" t="str">
        <f aca="false">IFERROR(haverdata(Codes!$D$16,$A277),"")</f>
        <v/>
      </c>
      <c r="C277" s="23" t="str">
        <f aca="false">IFERROR(B277/B276-1,"")</f>
        <v/>
      </c>
      <c r="D277" s="23" t="str">
        <f aca="false">IFERROR(B277/B273-1,"")</f>
        <v/>
      </c>
      <c r="E277" s="24" t="str">
        <f aca="false">IFERROR(IF(B277="",IFERROR(GROWTH($B$200:$B$287,$A$200:$A$287,$A277),TREND($B$200:$B$287,$A$200:$A$287,$A277)),""),"")</f>
        <v/>
      </c>
      <c r="F277" s="24" t="str">
        <f aca="false">IFERROR(forecast.ets($A277,$B$200:$B$287,$A$200:$A$287,4,1,1),"")</f>
        <v/>
      </c>
      <c r="G277" s="24" t="str">
        <f aca="false">IFERROR(F277-forecast.ets.confint($A277,$B$200:$B$287,$A$200:$A$287,0.95,4,1,1),"")</f>
        <v/>
      </c>
      <c r="H277" s="24" t="str">
        <f aca="false">IFERROR(F277+forecast.ets.confint($A277,$B$200:$B$287,$A$200:$A$287,0.95,4,1,1),"")</f>
        <v/>
      </c>
    </row>
    <row r="278" customFormat="false" ht="15" hidden="false" customHeight="false" outlineLevel="0" collapsed="false">
      <c r="A278" s="16" t="n">
        <v>46569</v>
      </c>
      <c r="B278" s="17" t="str">
        <f aca="false">IFERROR(haverdata(Codes!$D$16,$A278),"")</f>
        <v/>
      </c>
      <c r="C278" s="18" t="str">
        <f aca="false">IFERROR(B278/B277-1,"")</f>
        <v/>
      </c>
      <c r="D278" s="18" t="str">
        <f aca="false">IFERROR(B278/B274-1,"")</f>
        <v/>
      </c>
      <c r="E278" s="19" t="str">
        <f aca="false">IFERROR(IF(B278="",IFERROR(GROWTH($B$200:$B$287,$A$200:$A$287,$A278),TREND($B$200:$B$287,$A$200:$A$287,$A278)),""),"")</f>
        <v/>
      </c>
      <c r="F278" s="19" t="str">
        <f aca="false">IFERROR(forecast.ets($A278,$B$200:$B$287,$A$200:$A$287,4,1,1),"")</f>
        <v/>
      </c>
      <c r="G278" s="19" t="str">
        <f aca="false">IFERROR(F278-forecast.ets.confint($A278,$B$200:$B$287,$A$200:$A$287,0.95,4,1,1),"")</f>
        <v/>
      </c>
      <c r="H278" s="19" t="str">
        <f aca="false">IFERROR(F278+forecast.ets.confint($A278,$B$200:$B$287,$A$200:$A$287,0.95,4,1,1),"")</f>
        <v/>
      </c>
    </row>
    <row r="279" customFormat="false" ht="15" hidden="false" customHeight="false" outlineLevel="0" collapsed="false">
      <c r="A279" s="21" t="n">
        <v>46661</v>
      </c>
      <c r="B279" s="22" t="str">
        <f aca="false">IFERROR(haverdata(Codes!$D$16,$A279),"")</f>
        <v/>
      </c>
      <c r="C279" s="23" t="str">
        <f aca="false">IFERROR(B279/B278-1,"")</f>
        <v/>
      </c>
      <c r="D279" s="23" t="str">
        <f aca="false">IFERROR(B279/B275-1,"")</f>
        <v/>
      </c>
      <c r="E279" s="24" t="str">
        <f aca="false">IFERROR(IF(B279="",IFERROR(GROWTH($B$200:$B$287,$A$200:$A$287,$A279),TREND($B$200:$B$287,$A$200:$A$287,$A279)),""),"")</f>
        <v/>
      </c>
      <c r="F279" s="24" t="str">
        <f aca="false">IFERROR(forecast.ets($A279,$B$200:$B$287,$A$200:$A$287,4,1,1),"")</f>
        <v/>
      </c>
      <c r="G279" s="24" t="str">
        <f aca="false">IFERROR(F279-forecast.ets.confint($A279,$B$200:$B$287,$A$200:$A$287,0.95,4,1,1),"")</f>
        <v/>
      </c>
      <c r="H279" s="24" t="str">
        <f aca="false">IFERROR(F279+forecast.ets.confint($A279,$B$200:$B$287,$A$200:$A$287,0.95,4,1,1),"")</f>
        <v/>
      </c>
    </row>
    <row r="280" customFormat="false" ht="15" hidden="false" customHeight="false" outlineLevel="0" collapsed="false">
      <c r="A280" s="16" t="n">
        <v>46753</v>
      </c>
      <c r="B280" s="17" t="str">
        <f aca="false">IFERROR(haverdata(Codes!$D$16,$A280),"")</f>
        <v/>
      </c>
      <c r="C280" s="18" t="str">
        <f aca="false">IFERROR(B280/B279-1,"")</f>
        <v/>
      </c>
      <c r="D280" s="18" t="str">
        <f aca="false">IFERROR(B280/B276-1,"")</f>
        <v/>
      </c>
      <c r="E280" s="19" t="str">
        <f aca="false">IFERROR(IF(B280="",IFERROR(GROWTH($B$200:$B$287,$A$200:$A$287,$A280),TREND($B$200:$B$287,$A$200:$A$287,$A280)),""),"")</f>
        <v/>
      </c>
      <c r="F280" s="19" t="str">
        <f aca="false">IFERROR(forecast.ets($A280,$B$200:$B$287,$A$200:$A$287,4,1,1),"")</f>
        <v/>
      </c>
      <c r="G280" s="19" t="str">
        <f aca="false">IFERROR(F280-forecast.ets.confint($A280,$B$200:$B$287,$A$200:$A$287,0.95,4,1,1),"")</f>
        <v/>
      </c>
      <c r="H280" s="19" t="str">
        <f aca="false">IFERROR(F280+forecast.ets.confint($A280,$B$200:$B$287,$A$200:$A$287,0.95,4,1,1),"")</f>
        <v/>
      </c>
    </row>
    <row r="281" customFormat="false" ht="15" hidden="false" customHeight="false" outlineLevel="0" collapsed="false">
      <c r="A281" s="21" t="n">
        <v>46844</v>
      </c>
      <c r="B281" s="22" t="str">
        <f aca="false">IFERROR(haverdata(Codes!$D$16,$A281),"")</f>
        <v/>
      </c>
      <c r="C281" s="23" t="str">
        <f aca="false">IFERROR(B281/B280-1,"")</f>
        <v/>
      </c>
      <c r="D281" s="23" t="str">
        <f aca="false">IFERROR(B281/B277-1,"")</f>
        <v/>
      </c>
      <c r="E281" s="24" t="str">
        <f aca="false">IFERROR(IF(B281="",IFERROR(GROWTH($B$200:$B$287,$A$200:$A$287,$A281),TREND($B$200:$B$287,$A$200:$A$287,$A281)),""),"")</f>
        <v/>
      </c>
      <c r="F281" s="24" t="str">
        <f aca="false">IFERROR(forecast.ets($A281,$B$200:$B$287,$A$200:$A$287,4,1,1),"")</f>
        <v/>
      </c>
      <c r="G281" s="24" t="str">
        <f aca="false">IFERROR(F281-forecast.ets.confint($A281,$B$200:$B$287,$A$200:$A$287,0.95,4,1,1),"")</f>
        <v/>
      </c>
      <c r="H281" s="24" t="str">
        <f aca="false">IFERROR(F281+forecast.ets.confint($A281,$B$200:$B$287,$A$200:$A$287,0.95,4,1,1),"")</f>
        <v/>
      </c>
    </row>
    <row r="282" customFormat="false" ht="15" hidden="false" customHeight="false" outlineLevel="0" collapsed="false">
      <c r="A282" s="16" t="n">
        <v>46935</v>
      </c>
      <c r="B282" s="17" t="str">
        <f aca="false">IFERROR(haverdata(Codes!$D$16,$A282),"")</f>
        <v/>
      </c>
      <c r="C282" s="18" t="str">
        <f aca="false">IFERROR(B282/B281-1,"")</f>
        <v/>
      </c>
      <c r="D282" s="18" t="str">
        <f aca="false">IFERROR(B282/B278-1,"")</f>
        <v/>
      </c>
      <c r="E282" s="19" t="str">
        <f aca="false">IFERROR(IF(B282="",IFERROR(GROWTH($B$200:$B$287,$A$200:$A$287,$A282),TREND($B$200:$B$287,$A$200:$A$287,$A282)),""),"")</f>
        <v/>
      </c>
      <c r="F282" s="19" t="str">
        <f aca="false">IFERROR(forecast.ets($A282,$B$200:$B$287,$A$200:$A$287,4,1,1),"")</f>
        <v/>
      </c>
      <c r="G282" s="19" t="str">
        <f aca="false">IFERROR(F282-forecast.ets.confint($A282,$B$200:$B$287,$A$200:$A$287,0.95,4,1,1),"")</f>
        <v/>
      </c>
      <c r="H282" s="19" t="str">
        <f aca="false">IFERROR(F282+forecast.ets.confint($A282,$B$200:$B$287,$A$200:$A$287,0.95,4,1,1),"")</f>
        <v/>
      </c>
    </row>
    <row r="283" customFormat="false" ht="15" hidden="false" customHeight="false" outlineLevel="0" collapsed="false">
      <c r="A283" s="21" t="n">
        <v>47027</v>
      </c>
      <c r="B283" s="22" t="str">
        <f aca="false">IFERROR(haverdata(Codes!$D$16,$A283),"")</f>
        <v/>
      </c>
      <c r="C283" s="23" t="str">
        <f aca="false">IFERROR(B283/B282-1,"")</f>
        <v/>
      </c>
      <c r="D283" s="23" t="str">
        <f aca="false">IFERROR(B283/B279-1,"")</f>
        <v/>
      </c>
      <c r="E283" s="24" t="str">
        <f aca="false">IFERROR(IF(B283="",IFERROR(GROWTH($B$200:$B$287,$A$200:$A$287,$A283),TREND($B$200:$B$287,$A$200:$A$287,$A283)),""),"")</f>
        <v/>
      </c>
      <c r="F283" s="24" t="str">
        <f aca="false">IFERROR(forecast.ets($A283,$B$200:$B$287,$A$200:$A$287,4,1,1),"")</f>
        <v/>
      </c>
      <c r="G283" s="24" t="str">
        <f aca="false">IFERROR(F283-forecast.ets.confint($A283,$B$200:$B$287,$A$200:$A$287,0.95,4,1,1),"")</f>
        <v/>
      </c>
      <c r="H283" s="24" t="str">
        <f aca="false">IFERROR(F283+forecast.ets.confint($A283,$B$200:$B$287,$A$200:$A$287,0.95,4,1,1),"")</f>
        <v/>
      </c>
    </row>
    <row r="284" customFormat="false" ht="15" hidden="false" customHeight="false" outlineLevel="0" collapsed="false">
      <c r="A284" s="16" t="n">
        <v>47119</v>
      </c>
      <c r="B284" s="17" t="str">
        <f aca="false">IFERROR(haverdata(Codes!$D$16,$A284),"")</f>
        <v/>
      </c>
      <c r="C284" s="18" t="str">
        <f aca="false">IFERROR(B284/B283-1,"")</f>
        <v/>
      </c>
      <c r="D284" s="18" t="str">
        <f aca="false">IFERROR(B284/B280-1,"")</f>
        <v/>
      </c>
      <c r="E284" s="19" t="str">
        <f aca="false">IFERROR(IF(B284="",IFERROR(GROWTH($B$200:$B$287,$A$200:$A$287,$A284),TREND($B$200:$B$287,$A$200:$A$287,$A284)),""),"")</f>
        <v/>
      </c>
      <c r="F284" s="19" t="str">
        <f aca="false">IFERROR(forecast.ets($A284,$B$200:$B$287,$A$200:$A$287,4,1,1),"")</f>
        <v/>
      </c>
      <c r="G284" s="19" t="str">
        <f aca="false">IFERROR(F284-forecast.ets.confint($A284,$B$200:$B$287,$A$200:$A$287,0.95,4,1,1),"")</f>
        <v/>
      </c>
      <c r="H284" s="19" t="str">
        <f aca="false">IFERROR(F284+forecast.ets.confint($A284,$B$200:$B$287,$A$200:$A$287,0.95,4,1,1),"")</f>
        <v/>
      </c>
    </row>
    <row r="285" customFormat="false" ht="15" hidden="false" customHeight="false" outlineLevel="0" collapsed="false">
      <c r="A285" s="21" t="n">
        <v>47209</v>
      </c>
      <c r="B285" s="22" t="str">
        <f aca="false">IFERROR(haverdata(Codes!$D$16,$A285),"")</f>
        <v/>
      </c>
      <c r="C285" s="23" t="str">
        <f aca="false">IFERROR(B285/B284-1,"")</f>
        <v/>
      </c>
      <c r="D285" s="23" t="str">
        <f aca="false">IFERROR(B285/B281-1,"")</f>
        <v/>
      </c>
      <c r="E285" s="24" t="str">
        <f aca="false">IFERROR(IF(B285="",IFERROR(GROWTH($B$200:$B$287,$A$200:$A$287,$A285),TREND($B$200:$B$287,$A$200:$A$287,$A285)),""),"")</f>
        <v/>
      </c>
      <c r="F285" s="24" t="str">
        <f aca="false">IFERROR(forecast.ets($A285,$B$200:$B$287,$A$200:$A$287,4,1,1),"")</f>
        <v/>
      </c>
      <c r="G285" s="24" t="str">
        <f aca="false">IFERROR(F285-forecast.ets.confint($A285,$B$200:$B$287,$A$200:$A$287,0.95,4,1,1),"")</f>
        <v/>
      </c>
      <c r="H285" s="24" t="str">
        <f aca="false">IFERROR(F285+forecast.ets.confint($A285,$B$200:$B$287,$A$200:$A$287,0.95,4,1,1),"")</f>
        <v/>
      </c>
    </row>
    <row r="286" customFormat="false" ht="15" hidden="false" customHeight="false" outlineLevel="0" collapsed="false">
      <c r="A286" s="16" t="n">
        <v>47300</v>
      </c>
      <c r="B286" s="17" t="str">
        <f aca="false">IFERROR(haverdata(Codes!$D$16,$A286),"")</f>
        <v/>
      </c>
      <c r="C286" s="18" t="str">
        <f aca="false">IFERROR(B286/B285-1,"")</f>
        <v/>
      </c>
      <c r="D286" s="18" t="str">
        <f aca="false">IFERROR(B286/B282-1,"")</f>
        <v/>
      </c>
      <c r="E286" s="19" t="str">
        <f aca="false">IFERROR(IF(B286="",IFERROR(GROWTH($B$200:$B$287,$A$200:$A$287,$A286),TREND($B$200:$B$287,$A$200:$A$287,$A286)),""),"")</f>
        <v/>
      </c>
      <c r="F286" s="19" t="str">
        <f aca="false">IFERROR(forecast.ets($A286,$B$200:$B$287,$A$200:$A$287,4,1,1),"")</f>
        <v/>
      </c>
      <c r="G286" s="19" t="str">
        <f aca="false">IFERROR(F286-forecast.ets.confint($A286,$B$200:$B$287,$A$200:$A$287,0.95,4,1,1),"")</f>
        <v/>
      </c>
      <c r="H286" s="19" t="str">
        <f aca="false">IFERROR(F286+forecast.ets.confint($A286,$B$200:$B$287,$A$200:$A$287,0.95,4,1,1),"")</f>
        <v/>
      </c>
    </row>
    <row r="287" customFormat="false" ht="15" hidden="false" customHeight="false" outlineLevel="0" collapsed="false">
      <c r="A287" s="21" t="n">
        <v>47392</v>
      </c>
      <c r="B287" s="22" t="str">
        <f aca="false">IFERROR(haverdata(Codes!$D$16,$A287),"")</f>
        <v/>
      </c>
      <c r="C287" s="23" t="str">
        <f aca="false">IFERROR(B287/B286-1,"")</f>
        <v/>
      </c>
      <c r="D287" s="23" t="str">
        <f aca="false">IFERROR(B287/B283-1,"")</f>
        <v/>
      </c>
      <c r="E287" s="24" t="str">
        <f aca="false">IFERROR(IF(B287="",IFERROR(GROWTH($B$200:$B$287,$A$200:$A$287,$A287),TREND($B$200:$B$287,$A$200:$A$287,$A287)),""),"")</f>
        <v/>
      </c>
      <c r="F287" s="24" t="str">
        <f aca="false">IFERROR(forecast.ets($A287,$B$200:$B$287,$A$200:$A$287,4,1,1),"")</f>
        <v/>
      </c>
      <c r="G287" s="24" t="str">
        <f aca="false">IFERROR(F287-forecast.ets.confint($A287,$B$200:$B$287,$A$200:$A$287,0.95,4,1,1),"")</f>
        <v/>
      </c>
      <c r="H287" s="24" t="str">
        <f aca="false">IFERROR(F287+forecast.ets.confint($A287,$B$200:$B$287,$A$200:$A$287,0.95,4,1,1),"")</f>
        <v/>
      </c>
    </row>
  </sheetData>
  <mergeCells count="13">
    <mergeCell ref="A2:O2"/>
    <mergeCell ref="A4:M4"/>
    <mergeCell ref="E5:M5"/>
    <mergeCell ref="A6:H6"/>
    <mergeCell ref="J6:M6"/>
    <mergeCell ref="A100:M100"/>
    <mergeCell ref="E101:M101"/>
    <mergeCell ref="A102:H102"/>
    <mergeCell ref="J102:M102"/>
    <mergeCell ref="A196:M196"/>
    <mergeCell ref="E197:M197"/>
    <mergeCell ref="A198:H198"/>
    <mergeCell ref="J198:M1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8" min="5" style="0" width="12"/>
    <col collapsed="false" customWidth="true" hidden="false" outlineLevel="0" max="9" min="9" style="0" width="2"/>
    <col collapsed="false" customWidth="true" hidden="false" outlineLevel="0" max="10" min="10" style="0" width="7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"/>
  </cols>
  <sheetData>
    <row r="1" customFormat="false" ht="22.0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6" t="s">
        <v>106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customFormat="false" ht="21.75" hidden="false" customHeight="true" outlineLevel="0" collapsed="false">
      <c r="A4" s="13" t="str">
        <f aca="false">Codes!$B$17&amp;"   ["&amp;Codes!$D$17&amp;"]   "&amp;Codes!$F$17</f>
        <v>BCRA International Reserves   [RESINT@ARGEN]   USD Mn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customFormat="false" ht="15" hidden="false" customHeight="false" outlineLevel="0" collapsed="false">
      <c r="A5" s="4" t="s">
        <v>107</v>
      </c>
      <c r="B5" s="14" t="str">
        <f aca="false">Codes!$G$17</f>
        <v>last</v>
      </c>
      <c r="D5" s="4" t="s">
        <v>108</v>
      </c>
      <c r="E5" s="6" t="str">
        <f aca="false">Codes!$H$17</f>
        <v>BCRA gross international reserves, end of period. [VERIFY]</v>
      </c>
      <c r="F5" s="6"/>
      <c r="G5" s="6"/>
      <c r="H5" s="6"/>
      <c r="I5" s="6"/>
      <c r="J5" s="6"/>
      <c r="K5" s="6"/>
      <c r="L5" s="6"/>
      <c r="M5" s="6"/>
    </row>
    <row r="6" customFormat="false" ht="18" hidden="false" customHeight="true" outlineLevel="0" collapsed="false">
      <c r="A6" s="15" t="s">
        <v>109</v>
      </c>
      <c r="B6" s="15"/>
      <c r="C6" s="15"/>
      <c r="D6" s="15"/>
      <c r="E6" s="15"/>
      <c r="F6" s="15"/>
      <c r="G6" s="15"/>
      <c r="H6" s="15"/>
      <c r="J6" s="15" t="s">
        <v>110</v>
      </c>
      <c r="K6" s="15"/>
      <c r="L6" s="15"/>
      <c r="M6" s="15"/>
    </row>
    <row r="7" customFormat="false" ht="15" hidden="false" customHeight="false" outlineLevel="0" collapsed="false">
      <c r="A7" s="7" t="s">
        <v>111</v>
      </c>
      <c r="B7" s="7" t="s">
        <v>112</v>
      </c>
      <c r="C7" s="7" t="s">
        <v>113</v>
      </c>
      <c r="D7" s="7" t="s">
        <v>114</v>
      </c>
      <c r="E7" s="7" t="s">
        <v>115</v>
      </c>
      <c r="F7" s="7" t="s">
        <v>116</v>
      </c>
      <c r="G7" s="7" t="s">
        <v>117</v>
      </c>
      <c r="H7" s="7" t="s">
        <v>118</v>
      </c>
      <c r="J7" s="7" t="s">
        <v>119</v>
      </c>
      <c r="K7" s="7" t="s">
        <v>112</v>
      </c>
      <c r="L7" s="7" t="s">
        <v>114</v>
      </c>
      <c r="M7" s="7" t="s">
        <v>120</v>
      </c>
    </row>
    <row r="8" customFormat="false" ht="15" hidden="false" customHeight="false" outlineLevel="0" collapsed="false">
      <c r="A8" s="16" t="n">
        <v>39448</v>
      </c>
      <c r="B8" s="17" t="str">
        <f aca="false">IFERROR(haverdata(Codes!$D$17,$A8),"")</f>
        <v/>
      </c>
      <c r="C8" s="18"/>
      <c r="D8" s="18"/>
      <c r="E8" s="19" t="str">
        <f aca="false">IFERROR(IF(B8="",IFERROR(GROWTH($B$8:$B$95,$A$8:$A$95,$A8),TREND($B$8:$B$95,$A$8:$A$95,$A8)),""),"")</f>
        <v/>
      </c>
      <c r="F8" s="19" t="str">
        <f aca="false">IFERROR(forecast.ets($A8,$B$8:$B$95,$A$8:$A$95,4,1,1),"")</f>
        <v/>
      </c>
      <c r="G8" s="19" t="str">
        <f aca="false">IFERROR(F8-forecast.ets.confint($A8,$B$8:$B$95,$A$8:$A$95,0.95,4,1,1),"")</f>
        <v/>
      </c>
      <c r="H8" s="19" t="str">
        <f aca="false">IFERROR(F8+forecast.ets.confint($A8,$B$8:$B$95,$A$8:$A$95,0.95,4,1,1),"")</f>
        <v/>
      </c>
      <c r="J8" s="20" t="n">
        <v>2008</v>
      </c>
      <c r="K8" s="19" t="str">
        <f aca="false">IFERROR(INDEX($B$8:$B$95,MATCH(DATE(J8,10,1),$A$8:$A$95,0)),"")</f>
        <v/>
      </c>
      <c r="L8" s="18"/>
      <c r="M8" s="19" t="str">
        <f aca="false">IFERROR(INDEX($F$8:$F$95,MATCH(DATE(J8,10,1),$A$8:$A$95,0)),"")</f>
        <v/>
      </c>
    </row>
    <row r="9" customFormat="false" ht="15" hidden="false" customHeight="false" outlineLevel="0" collapsed="false">
      <c r="A9" s="21" t="n">
        <v>39539</v>
      </c>
      <c r="B9" s="22" t="str">
        <f aca="false">IFERROR(haverdata(Codes!$D$17,$A9),"")</f>
        <v/>
      </c>
      <c r="C9" s="23" t="str">
        <f aca="false">IFERROR(B9/B8-1,"")</f>
        <v/>
      </c>
      <c r="D9" s="23"/>
      <c r="E9" s="24" t="str">
        <f aca="false">IFERROR(IF(B9="",IFERROR(GROWTH($B$8:$B$95,$A$8:$A$95,$A9),TREND($B$8:$B$95,$A$8:$A$95,$A9)),""),"")</f>
        <v/>
      </c>
      <c r="F9" s="24" t="str">
        <f aca="false">IFERROR(forecast.ets($A9,$B$8:$B$95,$A$8:$A$95,4,1,1),"")</f>
        <v/>
      </c>
      <c r="G9" s="24" t="str">
        <f aca="false">IFERROR(F9-forecast.ets.confint($A9,$B$8:$B$95,$A$8:$A$95,0.95,4,1,1),"")</f>
        <v/>
      </c>
      <c r="H9" s="24" t="str">
        <f aca="false">IFERROR(F9+forecast.ets.confint($A9,$B$8:$B$95,$A$8:$A$95,0.95,4,1,1),"")</f>
        <v/>
      </c>
      <c r="J9" s="25" t="n">
        <v>2009</v>
      </c>
      <c r="K9" s="24" t="str">
        <f aca="false">IFERROR(INDEX($B$8:$B$95,MATCH(DATE(J9,10,1),$A$8:$A$95,0)),"")</f>
        <v/>
      </c>
      <c r="L9" s="23" t="str">
        <f aca="false">IFERROR(K9/K8-1,"")</f>
        <v/>
      </c>
      <c r="M9" s="24" t="str">
        <f aca="false">IFERROR(INDEX($F$8:$F$95,MATCH(DATE(J9,10,1),$A$8:$A$95,0)),"")</f>
        <v/>
      </c>
    </row>
    <row r="10" customFormat="false" ht="15" hidden="false" customHeight="false" outlineLevel="0" collapsed="false">
      <c r="A10" s="16" t="n">
        <v>39630</v>
      </c>
      <c r="B10" s="17" t="str">
        <f aca="false">IFERROR(haverdata(Codes!$D$17,$A10),"")</f>
        <v/>
      </c>
      <c r="C10" s="18" t="str">
        <f aca="false">IFERROR(B10/B9-1,"")</f>
        <v/>
      </c>
      <c r="D10" s="18"/>
      <c r="E10" s="19" t="str">
        <f aca="false">IFERROR(IF(B10="",IFERROR(GROWTH($B$8:$B$95,$A$8:$A$95,$A10),TREND($B$8:$B$95,$A$8:$A$95,$A10)),""),"")</f>
        <v/>
      </c>
      <c r="F10" s="19" t="str">
        <f aca="false">IFERROR(forecast.ets($A10,$B$8:$B$95,$A$8:$A$95,4,1,1),"")</f>
        <v/>
      </c>
      <c r="G10" s="19" t="str">
        <f aca="false">IFERROR(F10-forecast.ets.confint($A10,$B$8:$B$95,$A$8:$A$95,0.95,4,1,1),"")</f>
        <v/>
      </c>
      <c r="H10" s="19" t="str">
        <f aca="false">IFERROR(F10+forecast.ets.confint($A10,$B$8:$B$95,$A$8:$A$95,0.95,4,1,1),"")</f>
        <v/>
      </c>
      <c r="J10" s="20" t="n">
        <v>2010</v>
      </c>
      <c r="K10" s="19" t="str">
        <f aca="false">IFERROR(INDEX($B$8:$B$95,MATCH(DATE(J10,10,1),$A$8:$A$95,0)),"")</f>
        <v/>
      </c>
      <c r="L10" s="18" t="str">
        <f aca="false">IFERROR(K10/K9-1,"")</f>
        <v/>
      </c>
      <c r="M10" s="19" t="str">
        <f aca="false">IFERROR(INDEX($F$8:$F$95,MATCH(DATE(J10,10,1),$A$8:$A$95,0)),"")</f>
        <v/>
      </c>
    </row>
    <row r="11" customFormat="false" ht="15" hidden="false" customHeight="false" outlineLevel="0" collapsed="false">
      <c r="A11" s="21" t="n">
        <v>39722</v>
      </c>
      <c r="B11" s="22" t="str">
        <f aca="false">IFERROR(haverdata(Codes!$D$17,$A11),"")</f>
        <v/>
      </c>
      <c r="C11" s="23" t="str">
        <f aca="false">IFERROR(B11/B10-1,"")</f>
        <v/>
      </c>
      <c r="D11" s="23"/>
      <c r="E11" s="24" t="str">
        <f aca="false">IFERROR(IF(B11="",IFERROR(GROWTH($B$8:$B$95,$A$8:$A$95,$A11),TREND($B$8:$B$95,$A$8:$A$95,$A11)),""),"")</f>
        <v/>
      </c>
      <c r="F11" s="24" t="str">
        <f aca="false">IFERROR(forecast.ets($A11,$B$8:$B$95,$A$8:$A$95,4,1,1),"")</f>
        <v/>
      </c>
      <c r="G11" s="24" t="str">
        <f aca="false">IFERROR(F11-forecast.ets.confint($A11,$B$8:$B$95,$A$8:$A$95,0.95,4,1,1),"")</f>
        <v/>
      </c>
      <c r="H11" s="24" t="str">
        <f aca="false">IFERROR(F11+forecast.ets.confint($A11,$B$8:$B$95,$A$8:$A$95,0.95,4,1,1),"")</f>
        <v/>
      </c>
      <c r="J11" s="25" t="n">
        <v>2011</v>
      </c>
      <c r="K11" s="24" t="str">
        <f aca="false">IFERROR(INDEX($B$8:$B$95,MATCH(DATE(J11,10,1),$A$8:$A$95,0)),"")</f>
        <v/>
      </c>
      <c r="L11" s="23" t="str">
        <f aca="false">IFERROR(K11/K10-1,"")</f>
        <v/>
      </c>
      <c r="M11" s="24" t="str">
        <f aca="false">IFERROR(INDEX($F$8:$F$95,MATCH(DATE(J11,10,1),$A$8:$A$95,0)),"")</f>
        <v/>
      </c>
    </row>
    <row r="12" customFormat="false" ht="15" hidden="false" customHeight="false" outlineLevel="0" collapsed="false">
      <c r="A12" s="16" t="n">
        <v>39814</v>
      </c>
      <c r="B12" s="17" t="str">
        <f aca="false">IFERROR(haverdata(Codes!$D$17,$A12),"")</f>
        <v/>
      </c>
      <c r="C12" s="18" t="str">
        <f aca="false">IFERROR(B12/B11-1,"")</f>
        <v/>
      </c>
      <c r="D12" s="18" t="str">
        <f aca="false">IFERROR(B12/B8-1,"")</f>
        <v/>
      </c>
      <c r="E12" s="19" t="str">
        <f aca="false">IFERROR(IF(B12="",IFERROR(GROWTH($B$8:$B$95,$A$8:$A$95,$A12),TREND($B$8:$B$95,$A$8:$A$95,$A12)),""),"")</f>
        <v/>
      </c>
      <c r="F12" s="19" t="str">
        <f aca="false">IFERROR(forecast.ets($A12,$B$8:$B$95,$A$8:$A$95,4,1,1),"")</f>
        <v/>
      </c>
      <c r="G12" s="19" t="str">
        <f aca="false">IFERROR(F12-forecast.ets.confint($A12,$B$8:$B$95,$A$8:$A$95,0.95,4,1,1),"")</f>
        <v/>
      </c>
      <c r="H12" s="19" t="str">
        <f aca="false">IFERROR(F12+forecast.ets.confint($A12,$B$8:$B$95,$A$8:$A$95,0.95,4,1,1),"")</f>
        <v/>
      </c>
      <c r="J12" s="20" t="n">
        <v>2012</v>
      </c>
      <c r="K12" s="19" t="str">
        <f aca="false">IFERROR(INDEX($B$8:$B$95,MATCH(DATE(J12,10,1),$A$8:$A$95,0)),"")</f>
        <v/>
      </c>
      <c r="L12" s="18" t="str">
        <f aca="false">IFERROR(K12/K11-1,"")</f>
        <v/>
      </c>
      <c r="M12" s="19" t="str">
        <f aca="false">IFERROR(INDEX($F$8:$F$95,MATCH(DATE(J12,10,1),$A$8:$A$95,0)),"")</f>
        <v/>
      </c>
    </row>
    <row r="13" customFormat="false" ht="15" hidden="false" customHeight="false" outlineLevel="0" collapsed="false">
      <c r="A13" s="21" t="n">
        <v>39904</v>
      </c>
      <c r="B13" s="22" t="str">
        <f aca="false">IFERROR(haverdata(Codes!$D$17,$A13),"")</f>
        <v/>
      </c>
      <c r="C13" s="23" t="str">
        <f aca="false">IFERROR(B13/B12-1,"")</f>
        <v/>
      </c>
      <c r="D13" s="23" t="str">
        <f aca="false">IFERROR(B13/B9-1,"")</f>
        <v/>
      </c>
      <c r="E13" s="24" t="str">
        <f aca="false">IFERROR(IF(B13="",IFERROR(GROWTH($B$8:$B$95,$A$8:$A$95,$A13),TREND($B$8:$B$95,$A$8:$A$95,$A13)),""),"")</f>
        <v/>
      </c>
      <c r="F13" s="24" t="str">
        <f aca="false">IFERROR(forecast.ets($A13,$B$8:$B$95,$A$8:$A$95,4,1,1),"")</f>
        <v/>
      </c>
      <c r="G13" s="24" t="str">
        <f aca="false">IFERROR(F13-forecast.ets.confint($A13,$B$8:$B$95,$A$8:$A$95,0.95,4,1,1),"")</f>
        <v/>
      </c>
      <c r="H13" s="24" t="str">
        <f aca="false">IFERROR(F13+forecast.ets.confint($A13,$B$8:$B$95,$A$8:$A$95,0.95,4,1,1),"")</f>
        <v/>
      </c>
      <c r="J13" s="25" t="n">
        <v>2013</v>
      </c>
      <c r="K13" s="24" t="str">
        <f aca="false">IFERROR(INDEX($B$8:$B$95,MATCH(DATE(J13,10,1),$A$8:$A$95,0)),"")</f>
        <v/>
      </c>
      <c r="L13" s="23" t="str">
        <f aca="false">IFERROR(K13/K12-1,"")</f>
        <v/>
      </c>
      <c r="M13" s="24" t="str">
        <f aca="false">IFERROR(INDEX($F$8:$F$95,MATCH(DATE(J13,10,1),$A$8:$A$95,0)),"")</f>
        <v/>
      </c>
    </row>
    <row r="14" customFormat="false" ht="15" hidden="false" customHeight="false" outlineLevel="0" collapsed="false">
      <c r="A14" s="16" t="n">
        <v>39995</v>
      </c>
      <c r="B14" s="17" t="str">
        <f aca="false">IFERROR(haverdata(Codes!$D$17,$A14),"")</f>
        <v/>
      </c>
      <c r="C14" s="18" t="str">
        <f aca="false">IFERROR(B14/B13-1,"")</f>
        <v/>
      </c>
      <c r="D14" s="18" t="str">
        <f aca="false">IFERROR(B14/B10-1,"")</f>
        <v/>
      </c>
      <c r="E14" s="19" t="str">
        <f aca="false">IFERROR(IF(B14="",IFERROR(GROWTH($B$8:$B$95,$A$8:$A$95,$A14),TREND($B$8:$B$95,$A$8:$A$95,$A14)),""),"")</f>
        <v/>
      </c>
      <c r="F14" s="19" t="str">
        <f aca="false">IFERROR(forecast.ets($A14,$B$8:$B$95,$A$8:$A$95,4,1,1),"")</f>
        <v/>
      </c>
      <c r="G14" s="19" t="str">
        <f aca="false">IFERROR(F14-forecast.ets.confint($A14,$B$8:$B$95,$A$8:$A$95,0.95,4,1,1),"")</f>
        <v/>
      </c>
      <c r="H14" s="19" t="str">
        <f aca="false">IFERROR(F14+forecast.ets.confint($A14,$B$8:$B$95,$A$8:$A$95,0.95,4,1,1),"")</f>
        <v/>
      </c>
      <c r="J14" s="20" t="n">
        <v>2014</v>
      </c>
      <c r="K14" s="19" t="str">
        <f aca="false">IFERROR(INDEX($B$8:$B$95,MATCH(DATE(J14,10,1),$A$8:$A$95,0)),"")</f>
        <v/>
      </c>
      <c r="L14" s="18" t="str">
        <f aca="false">IFERROR(K14/K13-1,"")</f>
        <v/>
      </c>
      <c r="M14" s="19" t="str">
        <f aca="false">IFERROR(INDEX($F$8:$F$95,MATCH(DATE(J14,10,1),$A$8:$A$95,0)),"")</f>
        <v/>
      </c>
    </row>
    <row r="15" customFormat="false" ht="15" hidden="false" customHeight="false" outlineLevel="0" collapsed="false">
      <c r="A15" s="21" t="n">
        <v>40087</v>
      </c>
      <c r="B15" s="22" t="str">
        <f aca="false">IFERROR(haverdata(Codes!$D$17,$A15),"")</f>
        <v/>
      </c>
      <c r="C15" s="23" t="str">
        <f aca="false">IFERROR(B15/B14-1,"")</f>
        <v/>
      </c>
      <c r="D15" s="23" t="str">
        <f aca="false">IFERROR(B15/B11-1,"")</f>
        <v/>
      </c>
      <c r="E15" s="24" t="str">
        <f aca="false">IFERROR(IF(B15="",IFERROR(GROWTH($B$8:$B$95,$A$8:$A$95,$A15),TREND($B$8:$B$95,$A$8:$A$95,$A15)),""),"")</f>
        <v/>
      </c>
      <c r="F15" s="24" t="str">
        <f aca="false">IFERROR(forecast.ets($A15,$B$8:$B$95,$A$8:$A$95,4,1,1),"")</f>
        <v/>
      </c>
      <c r="G15" s="24" t="str">
        <f aca="false">IFERROR(F15-forecast.ets.confint($A15,$B$8:$B$95,$A$8:$A$95,0.95,4,1,1),"")</f>
        <v/>
      </c>
      <c r="H15" s="24" t="str">
        <f aca="false">IFERROR(F15+forecast.ets.confint($A15,$B$8:$B$95,$A$8:$A$95,0.95,4,1,1),"")</f>
        <v/>
      </c>
      <c r="J15" s="25" t="n">
        <v>2015</v>
      </c>
      <c r="K15" s="24" t="str">
        <f aca="false">IFERROR(INDEX($B$8:$B$95,MATCH(DATE(J15,10,1),$A$8:$A$95,0)),"")</f>
        <v/>
      </c>
      <c r="L15" s="23" t="str">
        <f aca="false">IFERROR(K15/K14-1,"")</f>
        <v/>
      </c>
      <c r="M15" s="24" t="str">
        <f aca="false">IFERROR(INDEX($F$8:$F$95,MATCH(DATE(J15,10,1),$A$8:$A$95,0)),"")</f>
        <v/>
      </c>
    </row>
    <row r="16" customFormat="false" ht="15" hidden="false" customHeight="false" outlineLevel="0" collapsed="false">
      <c r="A16" s="16" t="n">
        <v>40179</v>
      </c>
      <c r="B16" s="17" t="str">
        <f aca="false">IFERROR(haverdata(Codes!$D$17,$A16),"")</f>
        <v/>
      </c>
      <c r="C16" s="18" t="str">
        <f aca="false">IFERROR(B16/B15-1,"")</f>
        <v/>
      </c>
      <c r="D16" s="18" t="str">
        <f aca="false">IFERROR(B16/B12-1,"")</f>
        <v/>
      </c>
      <c r="E16" s="19" t="str">
        <f aca="false">IFERROR(IF(B16="",IFERROR(GROWTH($B$8:$B$95,$A$8:$A$95,$A16),TREND($B$8:$B$95,$A$8:$A$95,$A16)),""),"")</f>
        <v/>
      </c>
      <c r="F16" s="19" t="str">
        <f aca="false">IFERROR(forecast.ets($A16,$B$8:$B$95,$A$8:$A$95,4,1,1),"")</f>
        <v/>
      </c>
      <c r="G16" s="19" t="str">
        <f aca="false">IFERROR(F16-forecast.ets.confint($A16,$B$8:$B$95,$A$8:$A$95,0.95,4,1,1),"")</f>
        <v/>
      </c>
      <c r="H16" s="19" t="str">
        <f aca="false">IFERROR(F16+forecast.ets.confint($A16,$B$8:$B$95,$A$8:$A$95,0.95,4,1,1),"")</f>
        <v/>
      </c>
      <c r="J16" s="20" t="n">
        <v>2016</v>
      </c>
      <c r="K16" s="19" t="str">
        <f aca="false">IFERROR(INDEX($B$8:$B$95,MATCH(DATE(J16,10,1),$A$8:$A$95,0)),"")</f>
        <v/>
      </c>
      <c r="L16" s="18" t="str">
        <f aca="false">IFERROR(K16/K15-1,"")</f>
        <v/>
      </c>
      <c r="M16" s="19" t="str">
        <f aca="false">IFERROR(INDEX($F$8:$F$95,MATCH(DATE(J16,10,1),$A$8:$A$95,0)),"")</f>
        <v/>
      </c>
    </row>
    <row r="17" customFormat="false" ht="15" hidden="false" customHeight="false" outlineLevel="0" collapsed="false">
      <c r="A17" s="21" t="n">
        <v>40269</v>
      </c>
      <c r="B17" s="22" t="str">
        <f aca="false">IFERROR(haverdata(Codes!$D$17,$A17),"")</f>
        <v/>
      </c>
      <c r="C17" s="23" t="str">
        <f aca="false">IFERROR(B17/B16-1,"")</f>
        <v/>
      </c>
      <c r="D17" s="23" t="str">
        <f aca="false">IFERROR(B17/B13-1,"")</f>
        <v/>
      </c>
      <c r="E17" s="24" t="str">
        <f aca="false">IFERROR(IF(B17="",IFERROR(GROWTH($B$8:$B$95,$A$8:$A$95,$A17),TREND($B$8:$B$95,$A$8:$A$95,$A17)),""),"")</f>
        <v/>
      </c>
      <c r="F17" s="24" t="str">
        <f aca="false">IFERROR(forecast.ets($A17,$B$8:$B$95,$A$8:$A$95,4,1,1),"")</f>
        <v/>
      </c>
      <c r="G17" s="24" t="str">
        <f aca="false">IFERROR(F17-forecast.ets.confint($A17,$B$8:$B$95,$A$8:$A$95,0.95,4,1,1),"")</f>
        <v/>
      </c>
      <c r="H17" s="24" t="str">
        <f aca="false">IFERROR(F17+forecast.ets.confint($A17,$B$8:$B$95,$A$8:$A$95,0.95,4,1,1),"")</f>
        <v/>
      </c>
      <c r="J17" s="25" t="n">
        <v>2017</v>
      </c>
      <c r="K17" s="24" t="str">
        <f aca="false">IFERROR(INDEX($B$8:$B$95,MATCH(DATE(J17,10,1),$A$8:$A$95,0)),"")</f>
        <v/>
      </c>
      <c r="L17" s="23" t="str">
        <f aca="false">IFERROR(K17/K16-1,"")</f>
        <v/>
      </c>
      <c r="M17" s="24" t="str">
        <f aca="false">IFERROR(INDEX($F$8:$F$95,MATCH(DATE(J17,10,1),$A$8:$A$95,0)),"")</f>
        <v/>
      </c>
    </row>
    <row r="18" customFormat="false" ht="15" hidden="false" customHeight="false" outlineLevel="0" collapsed="false">
      <c r="A18" s="16" t="n">
        <v>40360</v>
      </c>
      <c r="B18" s="17" t="str">
        <f aca="false">IFERROR(haverdata(Codes!$D$17,$A18),"")</f>
        <v/>
      </c>
      <c r="C18" s="18" t="str">
        <f aca="false">IFERROR(B18/B17-1,"")</f>
        <v/>
      </c>
      <c r="D18" s="18" t="str">
        <f aca="false">IFERROR(B18/B14-1,"")</f>
        <v/>
      </c>
      <c r="E18" s="19" t="str">
        <f aca="false">IFERROR(IF(B18="",IFERROR(GROWTH($B$8:$B$95,$A$8:$A$95,$A18),TREND($B$8:$B$95,$A$8:$A$95,$A18)),""),"")</f>
        <v/>
      </c>
      <c r="F18" s="19" t="str">
        <f aca="false">IFERROR(forecast.ets($A18,$B$8:$B$95,$A$8:$A$95,4,1,1),"")</f>
        <v/>
      </c>
      <c r="G18" s="19" t="str">
        <f aca="false">IFERROR(F18-forecast.ets.confint($A18,$B$8:$B$95,$A$8:$A$95,0.95,4,1,1),"")</f>
        <v/>
      </c>
      <c r="H18" s="19" t="str">
        <f aca="false">IFERROR(F18+forecast.ets.confint($A18,$B$8:$B$95,$A$8:$A$95,0.95,4,1,1),"")</f>
        <v/>
      </c>
      <c r="J18" s="20" t="n">
        <v>2018</v>
      </c>
      <c r="K18" s="19" t="str">
        <f aca="false">IFERROR(INDEX($B$8:$B$95,MATCH(DATE(J18,10,1),$A$8:$A$95,0)),"")</f>
        <v/>
      </c>
      <c r="L18" s="18" t="str">
        <f aca="false">IFERROR(K18/K17-1,"")</f>
        <v/>
      </c>
      <c r="M18" s="19" t="str">
        <f aca="false">IFERROR(INDEX($F$8:$F$95,MATCH(DATE(J18,10,1),$A$8:$A$95,0)),"")</f>
        <v/>
      </c>
    </row>
    <row r="19" customFormat="false" ht="15" hidden="false" customHeight="false" outlineLevel="0" collapsed="false">
      <c r="A19" s="21" t="n">
        <v>40452</v>
      </c>
      <c r="B19" s="22" t="str">
        <f aca="false">IFERROR(haverdata(Codes!$D$17,$A19),"")</f>
        <v/>
      </c>
      <c r="C19" s="23" t="str">
        <f aca="false">IFERROR(B19/B18-1,"")</f>
        <v/>
      </c>
      <c r="D19" s="23" t="str">
        <f aca="false">IFERROR(B19/B15-1,"")</f>
        <v/>
      </c>
      <c r="E19" s="24" t="str">
        <f aca="false">IFERROR(IF(B19="",IFERROR(GROWTH($B$8:$B$95,$A$8:$A$95,$A19),TREND($B$8:$B$95,$A$8:$A$95,$A19)),""),"")</f>
        <v/>
      </c>
      <c r="F19" s="24" t="str">
        <f aca="false">IFERROR(forecast.ets($A19,$B$8:$B$95,$A$8:$A$95,4,1,1),"")</f>
        <v/>
      </c>
      <c r="G19" s="24" t="str">
        <f aca="false">IFERROR(F19-forecast.ets.confint($A19,$B$8:$B$95,$A$8:$A$95,0.95,4,1,1),"")</f>
        <v/>
      </c>
      <c r="H19" s="24" t="str">
        <f aca="false">IFERROR(F19+forecast.ets.confint($A19,$B$8:$B$95,$A$8:$A$95,0.95,4,1,1),"")</f>
        <v/>
      </c>
      <c r="J19" s="25" t="n">
        <v>2019</v>
      </c>
      <c r="K19" s="24" t="str">
        <f aca="false">IFERROR(INDEX($B$8:$B$95,MATCH(DATE(J19,10,1),$A$8:$A$95,0)),"")</f>
        <v/>
      </c>
      <c r="L19" s="23" t="str">
        <f aca="false">IFERROR(K19/K18-1,"")</f>
        <v/>
      </c>
      <c r="M19" s="24" t="str">
        <f aca="false">IFERROR(INDEX($F$8:$F$95,MATCH(DATE(J19,10,1),$A$8:$A$95,0)),"")</f>
        <v/>
      </c>
    </row>
    <row r="20" customFormat="false" ht="15" hidden="false" customHeight="false" outlineLevel="0" collapsed="false">
      <c r="A20" s="16" t="n">
        <v>40544</v>
      </c>
      <c r="B20" s="17" t="str">
        <f aca="false">IFERROR(haverdata(Codes!$D$17,$A20),"")</f>
        <v/>
      </c>
      <c r="C20" s="18" t="str">
        <f aca="false">IFERROR(B20/B19-1,"")</f>
        <v/>
      </c>
      <c r="D20" s="18" t="str">
        <f aca="false">IFERROR(B20/B16-1,"")</f>
        <v/>
      </c>
      <c r="E20" s="19" t="str">
        <f aca="false">IFERROR(IF(B20="",IFERROR(GROWTH($B$8:$B$95,$A$8:$A$95,$A20),TREND($B$8:$B$95,$A$8:$A$95,$A20)),""),"")</f>
        <v/>
      </c>
      <c r="F20" s="19" t="str">
        <f aca="false">IFERROR(forecast.ets($A20,$B$8:$B$95,$A$8:$A$95,4,1,1),"")</f>
        <v/>
      </c>
      <c r="G20" s="19" t="str">
        <f aca="false">IFERROR(F20-forecast.ets.confint($A20,$B$8:$B$95,$A$8:$A$95,0.95,4,1,1),"")</f>
        <v/>
      </c>
      <c r="H20" s="19" t="str">
        <f aca="false">IFERROR(F20+forecast.ets.confint($A20,$B$8:$B$95,$A$8:$A$95,0.95,4,1,1),"")</f>
        <v/>
      </c>
      <c r="J20" s="20" t="n">
        <v>2020</v>
      </c>
      <c r="K20" s="19" t="str">
        <f aca="false">IFERROR(INDEX($B$8:$B$95,MATCH(DATE(J20,10,1),$A$8:$A$95,0)),"")</f>
        <v/>
      </c>
      <c r="L20" s="18" t="str">
        <f aca="false">IFERROR(K20/K19-1,"")</f>
        <v/>
      </c>
      <c r="M20" s="19" t="str">
        <f aca="false">IFERROR(INDEX($F$8:$F$95,MATCH(DATE(J20,10,1),$A$8:$A$95,0)),"")</f>
        <v/>
      </c>
    </row>
    <row r="21" customFormat="false" ht="15" hidden="false" customHeight="false" outlineLevel="0" collapsed="false">
      <c r="A21" s="21" t="n">
        <v>40634</v>
      </c>
      <c r="B21" s="22" t="str">
        <f aca="false">IFERROR(haverdata(Codes!$D$17,$A21),"")</f>
        <v/>
      </c>
      <c r="C21" s="23" t="str">
        <f aca="false">IFERROR(B21/B20-1,"")</f>
        <v/>
      </c>
      <c r="D21" s="23" t="str">
        <f aca="false">IFERROR(B21/B17-1,"")</f>
        <v/>
      </c>
      <c r="E21" s="24" t="str">
        <f aca="false">IFERROR(IF(B21="",IFERROR(GROWTH($B$8:$B$95,$A$8:$A$95,$A21),TREND($B$8:$B$95,$A$8:$A$95,$A21)),""),"")</f>
        <v/>
      </c>
      <c r="F21" s="24" t="str">
        <f aca="false">IFERROR(forecast.ets($A21,$B$8:$B$95,$A$8:$A$95,4,1,1),"")</f>
        <v/>
      </c>
      <c r="G21" s="24" t="str">
        <f aca="false">IFERROR(F21-forecast.ets.confint($A21,$B$8:$B$95,$A$8:$A$95,0.95,4,1,1),"")</f>
        <v/>
      </c>
      <c r="H21" s="24" t="str">
        <f aca="false">IFERROR(F21+forecast.ets.confint($A21,$B$8:$B$95,$A$8:$A$95,0.95,4,1,1),"")</f>
        <v/>
      </c>
      <c r="J21" s="25" t="n">
        <v>2021</v>
      </c>
      <c r="K21" s="24" t="str">
        <f aca="false">IFERROR(INDEX($B$8:$B$95,MATCH(DATE(J21,10,1),$A$8:$A$95,0)),"")</f>
        <v/>
      </c>
      <c r="L21" s="23" t="str">
        <f aca="false">IFERROR(K21/K20-1,"")</f>
        <v/>
      </c>
      <c r="M21" s="24" t="str">
        <f aca="false">IFERROR(INDEX($F$8:$F$95,MATCH(DATE(J21,10,1),$A$8:$A$95,0)),"")</f>
        <v/>
      </c>
    </row>
    <row r="22" customFormat="false" ht="15" hidden="false" customHeight="false" outlineLevel="0" collapsed="false">
      <c r="A22" s="16" t="n">
        <v>40725</v>
      </c>
      <c r="B22" s="17" t="str">
        <f aca="false">IFERROR(haverdata(Codes!$D$17,$A22),"")</f>
        <v/>
      </c>
      <c r="C22" s="18" t="str">
        <f aca="false">IFERROR(B22/B21-1,"")</f>
        <v/>
      </c>
      <c r="D22" s="18" t="str">
        <f aca="false">IFERROR(B22/B18-1,"")</f>
        <v/>
      </c>
      <c r="E22" s="19" t="str">
        <f aca="false">IFERROR(IF(B22="",IFERROR(GROWTH($B$8:$B$95,$A$8:$A$95,$A22),TREND($B$8:$B$95,$A$8:$A$95,$A22)),""),"")</f>
        <v/>
      </c>
      <c r="F22" s="19" t="str">
        <f aca="false">IFERROR(forecast.ets($A22,$B$8:$B$95,$A$8:$A$95,4,1,1),"")</f>
        <v/>
      </c>
      <c r="G22" s="19" t="str">
        <f aca="false">IFERROR(F22-forecast.ets.confint($A22,$B$8:$B$95,$A$8:$A$95,0.95,4,1,1),"")</f>
        <v/>
      </c>
      <c r="H22" s="19" t="str">
        <f aca="false">IFERROR(F22+forecast.ets.confint($A22,$B$8:$B$95,$A$8:$A$95,0.95,4,1,1),"")</f>
        <v/>
      </c>
      <c r="J22" s="20" t="n">
        <v>2022</v>
      </c>
      <c r="K22" s="19" t="str">
        <f aca="false">IFERROR(INDEX($B$8:$B$95,MATCH(DATE(J22,10,1),$A$8:$A$95,0)),"")</f>
        <v/>
      </c>
      <c r="L22" s="18" t="str">
        <f aca="false">IFERROR(K22/K21-1,"")</f>
        <v/>
      </c>
      <c r="M22" s="19" t="str">
        <f aca="false">IFERROR(INDEX($F$8:$F$95,MATCH(DATE(J22,10,1),$A$8:$A$95,0)),"")</f>
        <v/>
      </c>
    </row>
    <row r="23" customFormat="false" ht="15" hidden="false" customHeight="false" outlineLevel="0" collapsed="false">
      <c r="A23" s="21" t="n">
        <v>40817</v>
      </c>
      <c r="B23" s="22" t="str">
        <f aca="false">IFERROR(haverdata(Codes!$D$17,$A23),"")</f>
        <v/>
      </c>
      <c r="C23" s="23" t="str">
        <f aca="false">IFERROR(B23/B22-1,"")</f>
        <v/>
      </c>
      <c r="D23" s="23" t="str">
        <f aca="false">IFERROR(B23/B19-1,"")</f>
        <v/>
      </c>
      <c r="E23" s="24" t="str">
        <f aca="false">IFERROR(IF(B23="",IFERROR(GROWTH($B$8:$B$95,$A$8:$A$95,$A23),TREND($B$8:$B$95,$A$8:$A$95,$A23)),""),"")</f>
        <v/>
      </c>
      <c r="F23" s="24" t="str">
        <f aca="false">IFERROR(forecast.ets($A23,$B$8:$B$95,$A$8:$A$95,4,1,1),"")</f>
        <v/>
      </c>
      <c r="G23" s="24" t="str">
        <f aca="false">IFERROR(F23-forecast.ets.confint($A23,$B$8:$B$95,$A$8:$A$95,0.95,4,1,1),"")</f>
        <v/>
      </c>
      <c r="H23" s="24" t="str">
        <f aca="false">IFERROR(F23+forecast.ets.confint($A23,$B$8:$B$95,$A$8:$A$95,0.95,4,1,1),"")</f>
        <v/>
      </c>
      <c r="J23" s="25" t="n">
        <v>2023</v>
      </c>
      <c r="K23" s="24" t="str">
        <f aca="false">IFERROR(INDEX($B$8:$B$95,MATCH(DATE(J23,10,1),$A$8:$A$95,0)),"")</f>
        <v/>
      </c>
      <c r="L23" s="23" t="str">
        <f aca="false">IFERROR(K23/K22-1,"")</f>
        <v/>
      </c>
      <c r="M23" s="24" t="str">
        <f aca="false">IFERROR(INDEX($F$8:$F$95,MATCH(DATE(J23,10,1),$A$8:$A$95,0)),"")</f>
        <v/>
      </c>
    </row>
    <row r="24" customFormat="false" ht="15" hidden="false" customHeight="false" outlineLevel="0" collapsed="false">
      <c r="A24" s="16" t="n">
        <v>40909</v>
      </c>
      <c r="B24" s="17" t="str">
        <f aca="false">IFERROR(haverdata(Codes!$D$17,$A24),"")</f>
        <v/>
      </c>
      <c r="C24" s="18" t="str">
        <f aca="false">IFERROR(B24/B23-1,"")</f>
        <v/>
      </c>
      <c r="D24" s="18" t="str">
        <f aca="false">IFERROR(B24/B20-1,"")</f>
        <v/>
      </c>
      <c r="E24" s="19" t="str">
        <f aca="false">IFERROR(IF(B24="",IFERROR(GROWTH($B$8:$B$95,$A$8:$A$95,$A24),TREND($B$8:$B$95,$A$8:$A$95,$A24)),""),"")</f>
        <v/>
      </c>
      <c r="F24" s="19" t="str">
        <f aca="false">IFERROR(forecast.ets($A24,$B$8:$B$95,$A$8:$A$95,4,1,1),"")</f>
        <v/>
      </c>
      <c r="G24" s="19" t="str">
        <f aca="false">IFERROR(F24-forecast.ets.confint($A24,$B$8:$B$95,$A$8:$A$95,0.95,4,1,1),"")</f>
        <v/>
      </c>
      <c r="H24" s="19" t="str">
        <f aca="false">IFERROR(F24+forecast.ets.confint($A24,$B$8:$B$95,$A$8:$A$95,0.95,4,1,1),"")</f>
        <v/>
      </c>
      <c r="J24" s="20" t="n">
        <v>2024</v>
      </c>
      <c r="K24" s="19" t="str">
        <f aca="false">IFERROR(INDEX($B$8:$B$95,MATCH(DATE(J24,10,1),$A$8:$A$95,0)),"")</f>
        <v/>
      </c>
      <c r="L24" s="18" t="str">
        <f aca="false">IFERROR(K24/K23-1,"")</f>
        <v/>
      </c>
      <c r="M24" s="19" t="str">
        <f aca="false">IFERROR(INDEX($F$8:$F$95,MATCH(DATE(J24,10,1),$A$8:$A$95,0)),"")</f>
        <v/>
      </c>
    </row>
    <row r="25" customFormat="false" ht="15" hidden="false" customHeight="false" outlineLevel="0" collapsed="false">
      <c r="A25" s="21" t="n">
        <v>41000</v>
      </c>
      <c r="B25" s="22" t="str">
        <f aca="false">IFERROR(haverdata(Codes!$D$17,$A25),"")</f>
        <v/>
      </c>
      <c r="C25" s="23" t="str">
        <f aca="false">IFERROR(B25/B24-1,"")</f>
        <v/>
      </c>
      <c r="D25" s="23" t="str">
        <f aca="false">IFERROR(B25/B21-1,"")</f>
        <v/>
      </c>
      <c r="E25" s="24" t="str">
        <f aca="false">IFERROR(IF(B25="",IFERROR(GROWTH($B$8:$B$95,$A$8:$A$95,$A25),TREND($B$8:$B$95,$A$8:$A$95,$A25)),""),"")</f>
        <v/>
      </c>
      <c r="F25" s="24" t="str">
        <f aca="false">IFERROR(forecast.ets($A25,$B$8:$B$95,$A$8:$A$95,4,1,1),"")</f>
        <v/>
      </c>
      <c r="G25" s="24" t="str">
        <f aca="false">IFERROR(F25-forecast.ets.confint($A25,$B$8:$B$95,$A$8:$A$95,0.95,4,1,1),"")</f>
        <v/>
      </c>
      <c r="H25" s="24" t="str">
        <f aca="false">IFERROR(F25+forecast.ets.confint($A25,$B$8:$B$95,$A$8:$A$95,0.95,4,1,1),"")</f>
        <v/>
      </c>
      <c r="J25" s="25" t="n">
        <v>2025</v>
      </c>
      <c r="K25" s="24" t="str">
        <f aca="false">IFERROR(INDEX($B$8:$B$95,MATCH(DATE(J25,10,1),$A$8:$A$95,0)),"")</f>
        <v/>
      </c>
      <c r="L25" s="23" t="str">
        <f aca="false">IFERROR(K25/K24-1,"")</f>
        <v/>
      </c>
      <c r="M25" s="24" t="str">
        <f aca="false">IFERROR(INDEX($F$8:$F$95,MATCH(DATE(J25,10,1),$A$8:$A$95,0)),"")</f>
        <v/>
      </c>
    </row>
    <row r="26" customFormat="false" ht="15" hidden="false" customHeight="false" outlineLevel="0" collapsed="false">
      <c r="A26" s="16" t="n">
        <v>41091</v>
      </c>
      <c r="B26" s="17" t="str">
        <f aca="false">IFERROR(haverdata(Codes!$D$17,$A26),"")</f>
        <v/>
      </c>
      <c r="C26" s="18" t="str">
        <f aca="false">IFERROR(B26/B25-1,"")</f>
        <v/>
      </c>
      <c r="D26" s="18" t="str">
        <f aca="false">IFERROR(B26/B22-1,"")</f>
        <v/>
      </c>
      <c r="E26" s="19" t="str">
        <f aca="false">IFERROR(IF(B26="",IFERROR(GROWTH($B$8:$B$95,$A$8:$A$95,$A26),TREND($B$8:$B$95,$A$8:$A$95,$A26)),""),"")</f>
        <v/>
      </c>
      <c r="F26" s="19" t="str">
        <f aca="false">IFERROR(forecast.ets($A26,$B$8:$B$95,$A$8:$A$95,4,1,1),"")</f>
        <v/>
      </c>
      <c r="G26" s="19" t="str">
        <f aca="false">IFERROR(F26-forecast.ets.confint($A26,$B$8:$B$95,$A$8:$A$95,0.95,4,1,1),"")</f>
        <v/>
      </c>
      <c r="H26" s="19" t="str">
        <f aca="false">IFERROR(F26+forecast.ets.confint($A26,$B$8:$B$95,$A$8:$A$95,0.95,4,1,1),"")</f>
        <v/>
      </c>
      <c r="J26" s="20" t="n">
        <v>2026</v>
      </c>
      <c r="K26" s="19" t="str">
        <f aca="false">IFERROR(INDEX($B$8:$B$95,MATCH(DATE(J26,10,1),$A$8:$A$95,0)),"")</f>
        <v/>
      </c>
      <c r="L26" s="18" t="str">
        <f aca="false">IFERROR(K26/K25-1,"")</f>
        <v/>
      </c>
      <c r="M26" s="19" t="str">
        <f aca="false">IFERROR(INDEX($F$8:$F$95,MATCH(DATE(J26,10,1),$A$8:$A$95,0)),"")</f>
        <v/>
      </c>
    </row>
    <row r="27" customFormat="false" ht="15" hidden="false" customHeight="false" outlineLevel="0" collapsed="false">
      <c r="A27" s="21" t="n">
        <v>41183</v>
      </c>
      <c r="B27" s="22" t="str">
        <f aca="false">IFERROR(haverdata(Codes!$D$17,$A27),"")</f>
        <v/>
      </c>
      <c r="C27" s="23" t="str">
        <f aca="false">IFERROR(B27/B26-1,"")</f>
        <v/>
      </c>
      <c r="D27" s="23" t="str">
        <f aca="false">IFERROR(B27/B23-1,"")</f>
        <v/>
      </c>
      <c r="E27" s="24" t="str">
        <f aca="false">IFERROR(IF(B27="",IFERROR(GROWTH($B$8:$B$95,$A$8:$A$95,$A27),TREND($B$8:$B$95,$A$8:$A$95,$A27)),""),"")</f>
        <v/>
      </c>
      <c r="F27" s="24" t="str">
        <f aca="false">IFERROR(forecast.ets($A27,$B$8:$B$95,$A$8:$A$95,4,1,1),"")</f>
        <v/>
      </c>
      <c r="G27" s="24" t="str">
        <f aca="false">IFERROR(F27-forecast.ets.confint($A27,$B$8:$B$95,$A$8:$A$95,0.95,4,1,1),"")</f>
        <v/>
      </c>
      <c r="H27" s="24" t="str">
        <f aca="false">IFERROR(F27+forecast.ets.confint($A27,$B$8:$B$95,$A$8:$A$95,0.95,4,1,1),"")</f>
        <v/>
      </c>
      <c r="J27" s="25" t="n">
        <v>2027</v>
      </c>
      <c r="K27" s="24" t="str">
        <f aca="false">IFERROR(INDEX($B$8:$B$95,MATCH(DATE(J27,10,1),$A$8:$A$95,0)),"")</f>
        <v/>
      </c>
      <c r="L27" s="23" t="str">
        <f aca="false">IFERROR(K27/K26-1,"")</f>
        <v/>
      </c>
      <c r="M27" s="24" t="str">
        <f aca="false">IFERROR(INDEX($F$8:$F$95,MATCH(DATE(J27,10,1),$A$8:$A$95,0)),"")</f>
        <v/>
      </c>
    </row>
    <row r="28" customFormat="false" ht="15" hidden="false" customHeight="false" outlineLevel="0" collapsed="false">
      <c r="A28" s="16" t="n">
        <v>41275</v>
      </c>
      <c r="B28" s="17" t="str">
        <f aca="false">IFERROR(haverdata(Codes!$D$17,$A28),"")</f>
        <v/>
      </c>
      <c r="C28" s="18" t="str">
        <f aca="false">IFERROR(B28/B27-1,"")</f>
        <v/>
      </c>
      <c r="D28" s="18" t="str">
        <f aca="false">IFERROR(B28/B24-1,"")</f>
        <v/>
      </c>
      <c r="E28" s="19" t="str">
        <f aca="false">IFERROR(IF(B28="",IFERROR(GROWTH($B$8:$B$95,$A$8:$A$95,$A28),TREND($B$8:$B$95,$A$8:$A$95,$A28)),""),"")</f>
        <v/>
      </c>
      <c r="F28" s="19" t="str">
        <f aca="false">IFERROR(forecast.ets($A28,$B$8:$B$95,$A$8:$A$95,4,1,1),"")</f>
        <v/>
      </c>
      <c r="G28" s="19" t="str">
        <f aca="false">IFERROR(F28-forecast.ets.confint($A28,$B$8:$B$95,$A$8:$A$95,0.95,4,1,1),"")</f>
        <v/>
      </c>
      <c r="H28" s="19" t="str">
        <f aca="false">IFERROR(F28+forecast.ets.confint($A28,$B$8:$B$95,$A$8:$A$95,0.95,4,1,1),"")</f>
        <v/>
      </c>
      <c r="J28" s="20" t="n">
        <v>2028</v>
      </c>
      <c r="K28" s="19" t="str">
        <f aca="false">IFERROR(INDEX($B$8:$B$95,MATCH(DATE(J28,10,1),$A$8:$A$95,0)),"")</f>
        <v/>
      </c>
      <c r="L28" s="18" t="str">
        <f aca="false">IFERROR(K28/K27-1,"")</f>
        <v/>
      </c>
      <c r="M28" s="19" t="str">
        <f aca="false">IFERROR(INDEX($F$8:$F$95,MATCH(DATE(J28,10,1),$A$8:$A$95,0)),"")</f>
        <v/>
      </c>
    </row>
    <row r="29" customFormat="false" ht="15" hidden="false" customHeight="false" outlineLevel="0" collapsed="false">
      <c r="A29" s="21" t="n">
        <v>41365</v>
      </c>
      <c r="B29" s="22" t="str">
        <f aca="false">IFERROR(haverdata(Codes!$D$17,$A29),"")</f>
        <v/>
      </c>
      <c r="C29" s="23" t="str">
        <f aca="false">IFERROR(B29/B28-1,"")</f>
        <v/>
      </c>
      <c r="D29" s="23" t="str">
        <f aca="false">IFERROR(B29/B25-1,"")</f>
        <v/>
      </c>
      <c r="E29" s="24" t="str">
        <f aca="false">IFERROR(IF(B29="",IFERROR(GROWTH($B$8:$B$95,$A$8:$A$95,$A29),TREND($B$8:$B$95,$A$8:$A$95,$A29)),""),"")</f>
        <v/>
      </c>
      <c r="F29" s="24" t="str">
        <f aca="false">IFERROR(forecast.ets($A29,$B$8:$B$95,$A$8:$A$95,4,1,1),"")</f>
        <v/>
      </c>
      <c r="G29" s="24" t="str">
        <f aca="false">IFERROR(F29-forecast.ets.confint($A29,$B$8:$B$95,$A$8:$A$95,0.95,4,1,1),"")</f>
        <v/>
      </c>
      <c r="H29" s="24" t="str">
        <f aca="false">IFERROR(F29+forecast.ets.confint($A29,$B$8:$B$95,$A$8:$A$95,0.95,4,1,1),"")</f>
        <v/>
      </c>
      <c r="J29" s="25" t="n">
        <v>2029</v>
      </c>
      <c r="K29" s="24" t="str">
        <f aca="false">IFERROR(INDEX($B$8:$B$95,MATCH(DATE(J29,10,1),$A$8:$A$95,0)),"")</f>
        <v/>
      </c>
      <c r="L29" s="23" t="str">
        <f aca="false">IFERROR(K29/K28-1,"")</f>
        <v/>
      </c>
      <c r="M29" s="24" t="str">
        <f aca="false">IFERROR(INDEX($F$8:$F$95,MATCH(DATE(J29,10,1),$A$8:$A$95,0)),"")</f>
        <v/>
      </c>
    </row>
    <row r="30" customFormat="false" ht="15" hidden="false" customHeight="false" outlineLevel="0" collapsed="false">
      <c r="A30" s="16" t="n">
        <v>41456</v>
      </c>
      <c r="B30" s="17" t="str">
        <f aca="false">IFERROR(haverdata(Codes!$D$17,$A30),"")</f>
        <v/>
      </c>
      <c r="C30" s="18" t="str">
        <f aca="false">IFERROR(B30/B29-1,"")</f>
        <v/>
      </c>
      <c r="D30" s="18" t="str">
        <f aca="false">IFERROR(B30/B26-1,"")</f>
        <v/>
      </c>
      <c r="E30" s="19" t="str">
        <f aca="false">IFERROR(IF(B30="",IFERROR(GROWTH($B$8:$B$95,$A$8:$A$95,$A30),TREND($B$8:$B$95,$A$8:$A$95,$A30)),""),"")</f>
        <v/>
      </c>
      <c r="F30" s="19" t="str">
        <f aca="false">IFERROR(forecast.ets($A30,$B$8:$B$95,$A$8:$A$95,4,1,1),"")</f>
        <v/>
      </c>
      <c r="G30" s="19" t="str">
        <f aca="false">IFERROR(F30-forecast.ets.confint($A30,$B$8:$B$95,$A$8:$A$95,0.95,4,1,1),"")</f>
        <v/>
      </c>
      <c r="H30" s="19" t="str">
        <f aca="false">IFERROR(F30+forecast.ets.confint($A30,$B$8:$B$95,$A$8:$A$95,0.95,4,1,1),"")</f>
        <v/>
      </c>
    </row>
    <row r="31" customFormat="false" ht="15" hidden="false" customHeight="false" outlineLevel="0" collapsed="false">
      <c r="A31" s="21" t="n">
        <v>41548</v>
      </c>
      <c r="B31" s="22" t="str">
        <f aca="false">IFERROR(haverdata(Codes!$D$17,$A31),"")</f>
        <v/>
      </c>
      <c r="C31" s="23" t="str">
        <f aca="false">IFERROR(B31/B30-1,"")</f>
        <v/>
      </c>
      <c r="D31" s="23" t="str">
        <f aca="false">IFERROR(B31/B27-1,"")</f>
        <v/>
      </c>
      <c r="E31" s="24" t="str">
        <f aca="false">IFERROR(IF(B31="",IFERROR(GROWTH($B$8:$B$95,$A$8:$A$95,$A31),TREND($B$8:$B$95,$A$8:$A$95,$A31)),""),"")</f>
        <v/>
      </c>
      <c r="F31" s="24" t="str">
        <f aca="false">IFERROR(forecast.ets($A31,$B$8:$B$95,$A$8:$A$95,4,1,1),"")</f>
        <v/>
      </c>
      <c r="G31" s="24" t="str">
        <f aca="false">IFERROR(F31-forecast.ets.confint($A31,$B$8:$B$95,$A$8:$A$95,0.95,4,1,1),"")</f>
        <v/>
      </c>
      <c r="H31" s="24" t="str">
        <f aca="false">IFERROR(F31+forecast.ets.confint($A31,$B$8:$B$95,$A$8:$A$95,0.95,4,1,1),"")</f>
        <v/>
      </c>
    </row>
    <row r="32" customFormat="false" ht="15" hidden="false" customHeight="false" outlineLevel="0" collapsed="false">
      <c r="A32" s="16" t="n">
        <v>41640</v>
      </c>
      <c r="B32" s="17" t="str">
        <f aca="false">IFERROR(haverdata(Codes!$D$17,$A32),"")</f>
        <v/>
      </c>
      <c r="C32" s="18" t="str">
        <f aca="false">IFERROR(B32/B31-1,"")</f>
        <v/>
      </c>
      <c r="D32" s="18" t="str">
        <f aca="false">IFERROR(B32/B28-1,"")</f>
        <v/>
      </c>
      <c r="E32" s="19" t="str">
        <f aca="false">IFERROR(IF(B32="",IFERROR(GROWTH($B$8:$B$95,$A$8:$A$95,$A32),TREND($B$8:$B$95,$A$8:$A$95,$A32)),""),"")</f>
        <v/>
      </c>
      <c r="F32" s="19" t="str">
        <f aca="false">IFERROR(forecast.ets($A32,$B$8:$B$95,$A$8:$A$95,4,1,1),"")</f>
        <v/>
      </c>
      <c r="G32" s="19" t="str">
        <f aca="false">IFERROR(F32-forecast.ets.confint($A32,$B$8:$B$95,$A$8:$A$95,0.95,4,1,1),"")</f>
        <v/>
      </c>
      <c r="H32" s="19" t="str">
        <f aca="false">IFERROR(F32+forecast.ets.confint($A32,$B$8:$B$95,$A$8:$A$95,0.95,4,1,1),"")</f>
        <v/>
      </c>
    </row>
    <row r="33" customFormat="false" ht="15" hidden="false" customHeight="false" outlineLevel="0" collapsed="false">
      <c r="A33" s="21" t="n">
        <v>41730</v>
      </c>
      <c r="B33" s="22" t="str">
        <f aca="false">IFERROR(haverdata(Codes!$D$17,$A33),"")</f>
        <v/>
      </c>
      <c r="C33" s="23" t="str">
        <f aca="false">IFERROR(B33/B32-1,"")</f>
        <v/>
      </c>
      <c r="D33" s="23" t="str">
        <f aca="false">IFERROR(B33/B29-1,"")</f>
        <v/>
      </c>
      <c r="E33" s="24" t="str">
        <f aca="false">IFERROR(IF(B33="",IFERROR(GROWTH($B$8:$B$95,$A$8:$A$95,$A33),TREND($B$8:$B$95,$A$8:$A$95,$A33)),""),"")</f>
        <v/>
      </c>
      <c r="F33" s="24" t="str">
        <f aca="false">IFERROR(forecast.ets($A33,$B$8:$B$95,$A$8:$A$95,4,1,1),"")</f>
        <v/>
      </c>
      <c r="G33" s="24" t="str">
        <f aca="false">IFERROR(F33-forecast.ets.confint($A33,$B$8:$B$95,$A$8:$A$95,0.95,4,1,1),"")</f>
        <v/>
      </c>
      <c r="H33" s="24" t="str">
        <f aca="false">IFERROR(F33+forecast.ets.confint($A33,$B$8:$B$95,$A$8:$A$95,0.95,4,1,1),"")</f>
        <v/>
      </c>
    </row>
    <row r="34" customFormat="false" ht="15" hidden="false" customHeight="false" outlineLevel="0" collapsed="false">
      <c r="A34" s="16" t="n">
        <v>41821</v>
      </c>
      <c r="B34" s="17" t="str">
        <f aca="false">IFERROR(haverdata(Codes!$D$17,$A34),"")</f>
        <v/>
      </c>
      <c r="C34" s="18" t="str">
        <f aca="false">IFERROR(B34/B33-1,"")</f>
        <v/>
      </c>
      <c r="D34" s="18" t="str">
        <f aca="false">IFERROR(B34/B30-1,"")</f>
        <v/>
      </c>
      <c r="E34" s="19" t="str">
        <f aca="false">IFERROR(IF(B34="",IFERROR(GROWTH($B$8:$B$95,$A$8:$A$95,$A34),TREND($B$8:$B$95,$A$8:$A$95,$A34)),""),"")</f>
        <v/>
      </c>
      <c r="F34" s="19" t="str">
        <f aca="false">IFERROR(forecast.ets($A34,$B$8:$B$95,$A$8:$A$95,4,1,1),"")</f>
        <v/>
      </c>
      <c r="G34" s="19" t="str">
        <f aca="false">IFERROR(F34-forecast.ets.confint($A34,$B$8:$B$95,$A$8:$A$95,0.95,4,1,1),"")</f>
        <v/>
      </c>
      <c r="H34" s="19" t="str">
        <f aca="false">IFERROR(F34+forecast.ets.confint($A34,$B$8:$B$95,$A$8:$A$95,0.95,4,1,1),"")</f>
        <v/>
      </c>
    </row>
    <row r="35" customFormat="false" ht="15" hidden="false" customHeight="false" outlineLevel="0" collapsed="false">
      <c r="A35" s="21" t="n">
        <v>41913</v>
      </c>
      <c r="B35" s="22" t="str">
        <f aca="false">IFERROR(haverdata(Codes!$D$17,$A35),"")</f>
        <v/>
      </c>
      <c r="C35" s="23" t="str">
        <f aca="false">IFERROR(B35/B34-1,"")</f>
        <v/>
      </c>
      <c r="D35" s="23" t="str">
        <f aca="false">IFERROR(B35/B31-1,"")</f>
        <v/>
      </c>
      <c r="E35" s="24" t="str">
        <f aca="false">IFERROR(IF(B35="",IFERROR(GROWTH($B$8:$B$95,$A$8:$A$95,$A35),TREND($B$8:$B$95,$A$8:$A$95,$A35)),""),"")</f>
        <v/>
      </c>
      <c r="F35" s="24" t="str">
        <f aca="false">IFERROR(forecast.ets($A35,$B$8:$B$95,$A$8:$A$95,4,1,1),"")</f>
        <v/>
      </c>
      <c r="G35" s="24" t="str">
        <f aca="false">IFERROR(F35-forecast.ets.confint($A35,$B$8:$B$95,$A$8:$A$95,0.95,4,1,1),"")</f>
        <v/>
      </c>
      <c r="H35" s="24" t="str">
        <f aca="false">IFERROR(F35+forecast.ets.confint($A35,$B$8:$B$95,$A$8:$A$95,0.95,4,1,1),"")</f>
        <v/>
      </c>
    </row>
    <row r="36" customFormat="false" ht="15" hidden="false" customHeight="false" outlineLevel="0" collapsed="false">
      <c r="A36" s="16" t="n">
        <v>42005</v>
      </c>
      <c r="B36" s="17" t="str">
        <f aca="false">IFERROR(haverdata(Codes!$D$17,$A36),"")</f>
        <v/>
      </c>
      <c r="C36" s="18" t="str">
        <f aca="false">IFERROR(B36/B35-1,"")</f>
        <v/>
      </c>
      <c r="D36" s="18" t="str">
        <f aca="false">IFERROR(B36/B32-1,"")</f>
        <v/>
      </c>
      <c r="E36" s="19" t="str">
        <f aca="false">IFERROR(IF(B36="",IFERROR(GROWTH($B$8:$B$95,$A$8:$A$95,$A36),TREND($B$8:$B$95,$A$8:$A$95,$A36)),""),"")</f>
        <v/>
      </c>
      <c r="F36" s="19" t="str">
        <f aca="false">IFERROR(forecast.ets($A36,$B$8:$B$95,$A$8:$A$95,4,1,1),"")</f>
        <v/>
      </c>
      <c r="G36" s="19" t="str">
        <f aca="false">IFERROR(F36-forecast.ets.confint($A36,$B$8:$B$95,$A$8:$A$95,0.95,4,1,1),"")</f>
        <v/>
      </c>
      <c r="H36" s="19" t="str">
        <f aca="false">IFERROR(F36+forecast.ets.confint($A36,$B$8:$B$95,$A$8:$A$95,0.95,4,1,1),"")</f>
        <v/>
      </c>
    </row>
    <row r="37" customFormat="false" ht="15" hidden="false" customHeight="false" outlineLevel="0" collapsed="false">
      <c r="A37" s="21" t="n">
        <v>42095</v>
      </c>
      <c r="B37" s="22" t="str">
        <f aca="false">IFERROR(haverdata(Codes!$D$17,$A37),"")</f>
        <v/>
      </c>
      <c r="C37" s="23" t="str">
        <f aca="false">IFERROR(B37/B36-1,"")</f>
        <v/>
      </c>
      <c r="D37" s="23" t="str">
        <f aca="false">IFERROR(B37/B33-1,"")</f>
        <v/>
      </c>
      <c r="E37" s="24" t="str">
        <f aca="false">IFERROR(IF(B37="",IFERROR(GROWTH($B$8:$B$95,$A$8:$A$95,$A37),TREND($B$8:$B$95,$A$8:$A$95,$A37)),""),"")</f>
        <v/>
      </c>
      <c r="F37" s="24" t="str">
        <f aca="false">IFERROR(forecast.ets($A37,$B$8:$B$95,$A$8:$A$95,4,1,1),"")</f>
        <v/>
      </c>
      <c r="G37" s="24" t="str">
        <f aca="false">IFERROR(F37-forecast.ets.confint($A37,$B$8:$B$95,$A$8:$A$95,0.95,4,1,1),"")</f>
        <v/>
      </c>
      <c r="H37" s="24" t="str">
        <f aca="false">IFERROR(F37+forecast.ets.confint($A37,$B$8:$B$95,$A$8:$A$95,0.95,4,1,1),"")</f>
        <v/>
      </c>
    </row>
    <row r="38" customFormat="false" ht="15" hidden="false" customHeight="false" outlineLevel="0" collapsed="false">
      <c r="A38" s="16" t="n">
        <v>42186</v>
      </c>
      <c r="B38" s="17" t="str">
        <f aca="false">IFERROR(haverdata(Codes!$D$17,$A38),"")</f>
        <v/>
      </c>
      <c r="C38" s="18" t="str">
        <f aca="false">IFERROR(B38/B37-1,"")</f>
        <v/>
      </c>
      <c r="D38" s="18" t="str">
        <f aca="false">IFERROR(B38/B34-1,"")</f>
        <v/>
      </c>
      <c r="E38" s="19" t="str">
        <f aca="false">IFERROR(IF(B38="",IFERROR(GROWTH($B$8:$B$95,$A$8:$A$95,$A38),TREND($B$8:$B$95,$A$8:$A$95,$A38)),""),"")</f>
        <v/>
      </c>
      <c r="F38" s="19" t="str">
        <f aca="false">IFERROR(forecast.ets($A38,$B$8:$B$95,$A$8:$A$95,4,1,1),"")</f>
        <v/>
      </c>
      <c r="G38" s="19" t="str">
        <f aca="false">IFERROR(F38-forecast.ets.confint($A38,$B$8:$B$95,$A$8:$A$95,0.95,4,1,1),"")</f>
        <v/>
      </c>
      <c r="H38" s="19" t="str">
        <f aca="false">IFERROR(F38+forecast.ets.confint($A38,$B$8:$B$95,$A$8:$A$95,0.95,4,1,1),"")</f>
        <v/>
      </c>
    </row>
    <row r="39" customFormat="false" ht="15" hidden="false" customHeight="false" outlineLevel="0" collapsed="false">
      <c r="A39" s="21" t="n">
        <v>42278</v>
      </c>
      <c r="B39" s="22" t="str">
        <f aca="false">IFERROR(haverdata(Codes!$D$17,$A39),"")</f>
        <v/>
      </c>
      <c r="C39" s="23" t="str">
        <f aca="false">IFERROR(B39/B38-1,"")</f>
        <v/>
      </c>
      <c r="D39" s="23" t="str">
        <f aca="false">IFERROR(B39/B35-1,"")</f>
        <v/>
      </c>
      <c r="E39" s="24" t="str">
        <f aca="false">IFERROR(IF(B39="",IFERROR(GROWTH($B$8:$B$95,$A$8:$A$95,$A39),TREND($B$8:$B$95,$A$8:$A$95,$A39)),""),"")</f>
        <v/>
      </c>
      <c r="F39" s="24" t="str">
        <f aca="false">IFERROR(forecast.ets($A39,$B$8:$B$95,$A$8:$A$95,4,1,1),"")</f>
        <v/>
      </c>
      <c r="G39" s="24" t="str">
        <f aca="false">IFERROR(F39-forecast.ets.confint($A39,$B$8:$B$95,$A$8:$A$95,0.95,4,1,1),"")</f>
        <v/>
      </c>
      <c r="H39" s="24" t="str">
        <f aca="false">IFERROR(F39+forecast.ets.confint($A39,$B$8:$B$95,$A$8:$A$95,0.95,4,1,1),"")</f>
        <v/>
      </c>
    </row>
    <row r="40" customFormat="false" ht="15" hidden="false" customHeight="false" outlineLevel="0" collapsed="false">
      <c r="A40" s="16" t="n">
        <v>42370</v>
      </c>
      <c r="B40" s="17" t="str">
        <f aca="false">IFERROR(haverdata(Codes!$D$17,$A40),"")</f>
        <v/>
      </c>
      <c r="C40" s="18" t="str">
        <f aca="false">IFERROR(B40/B39-1,"")</f>
        <v/>
      </c>
      <c r="D40" s="18" t="str">
        <f aca="false">IFERROR(B40/B36-1,"")</f>
        <v/>
      </c>
      <c r="E40" s="19" t="str">
        <f aca="false">IFERROR(IF(B40="",IFERROR(GROWTH($B$8:$B$95,$A$8:$A$95,$A40),TREND($B$8:$B$95,$A$8:$A$95,$A40)),""),"")</f>
        <v/>
      </c>
      <c r="F40" s="19" t="str">
        <f aca="false">IFERROR(forecast.ets($A40,$B$8:$B$95,$A$8:$A$95,4,1,1),"")</f>
        <v/>
      </c>
      <c r="G40" s="19" t="str">
        <f aca="false">IFERROR(F40-forecast.ets.confint($A40,$B$8:$B$95,$A$8:$A$95,0.95,4,1,1),"")</f>
        <v/>
      </c>
      <c r="H40" s="19" t="str">
        <f aca="false">IFERROR(F40+forecast.ets.confint($A40,$B$8:$B$95,$A$8:$A$95,0.95,4,1,1),"")</f>
        <v/>
      </c>
    </row>
    <row r="41" customFormat="false" ht="15" hidden="false" customHeight="false" outlineLevel="0" collapsed="false">
      <c r="A41" s="21" t="n">
        <v>42461</v>
      </c>
      <c r="B41" s="22" t="str">
        <f aca="false">IFERROR(haverdata(Codes!$D$17,$A41),"")</f>
        <v/>
      </c>
      <c r="C41" s="23" t="str">
        <f aca="false">IFERROR(B41/B40-1,"")</f>
        <v/>
      </c>
      <c r="D41" s="23" t="str">
        <f aca="false">IFERROR(B41/B37-1,"")</f>
        <v/>
      </c>
      <c r="E41" s="24" t="str">
        <f aca="false">IFERROR(IF(B41="",IFERROR(GROWTH($B$8:$B$95,$A$8:$A$95,$A41),TREND($B$8:$B$95,$A$8:$A$95,$A41)),""),"")</f>
        <v/>
      </c>
      <c r="F41" s="24" t="str">
        <f aca="false">IFERROR(forecast.ets($A41,$B$8:$B$95,$A$8:$A$95,4,1,1),"")</f>
        <v/>
      </c>
      <c r="G41" s="24" t="str">
        <f aca="false">IFERROR(F41-forecast.ets.confint($A41,$B$8:$B$95,$A$8:$A$95,0.95,4,1,1),"")</f>
        <v/>
      </c>
      <c r="H41" s="24" t="str">
        <f aca="false">IFERROR(F41+forecast.ets.confint($A41,$B$8:$B$95,$A$8:$A$95,0.95,4,1,1),"")</f>
        <v/>
      </c>
    </row>
    <row r="42" customFormat="false" ht="15" hidden="false" customHeight="false" outlineLevel="0" collapsed="false">
      <c r="A42" s="16" t="n">
        <v>42552</v>
      </c>
      <c r="B42" s="17" t="str">
        <f aca="false">IFERROR(haverdata(Codes!$D$17,$A42),"")</f>
        <v/>
      </c>
      <c r="C42" s="18" t="str">
        <f aca="false">IFERROR(B42/B41-1,"")</f>
        <v/>
      </c>
      <c r="D42" s="18" t="str">
        <f aca="false">IFERROR(B42/B38-1,"")</f>
        <v/>
      </c>
      <c r="E42" s="19" t="str">
        <f aca="false">IFERROR(IF(B42="",IFERROR(GROWTH($B$8:$B$95,$A$8:$A$95,$A42),TREND($B$8:$B$95,$A$8:$A$95,$A42)),""),"")</f>
        <v/>
      </c>
      <c r="F42" s="19" t="str">
        <f aca="false">IFERROR(forecast.ets($A42,$B$8:$B$95,$A$8:$A$95,4,1,1),"")</f>
        <v/>
      </c>
      <c r="G42" s="19" t="str">
        <f aca="false">IFERROR(F42-forecast.ets.confint($A42,$B$8:$B$95,$A$8:$A$95,0.95,4,1,1),"")</f>
        <v/>
      </c>
      <c r="H42" s="19" t="str">
        <f aca="false">IFERROR(F42+forecast.ets.confint($A42,$B$8:$B$95,$A$8:$A$95,0.95,4,1,1),"")</f>
        <v/>
      </c>
    </row>
    <row r="43" customFormat="false" ht="15" hidden="false" customHeight="false" outlineLevel="0" collapsed="false">
      <c r="A43" s="21" t="n">
        <v>42644</v>
      </c>
      <c r="B43" s="22" t="str">
        <f aca="false">IFERROR(haverdata(Codes!$D$17,$A43),"")</f>
        <v/>
      </c>
      <c r="C43" s="23" t="str">
        <f aca="false">IFERROR(B43/B42-1,"")</f>
        <v/>
      </c>
      <c r="D43" s="23" t="str">
        <f aca="false">IFERROR(B43/B39-1,"")</f>
        <v/>
      </c>
      <c r="E43" s="24" t="str">
        <f aca="false">IFERROR(IF(B43="",IFERROR(GROWTH($B$8:$B$95,$A$8:$A$95,$A43),TREND($B$8:$B$95,$A$8:$A$95,$A43)),""),"")</f>
        <v/>
      </c>
      <c r="F43" s="24" t="str">
        <f aca="false">IFERROR(forecast.ets($A43,$B$8:$B$95,$A$8:$A$95,4,1,1),"")</f>
        <v/>
      </c>
      <c r="G43" s="24" t="str">
        <f aca="false">IFERROR(F43-forecast.ets.confint($A43,$B$8:$B$95,$A$8:$A$95,0.95,4,1,1),"")</f>
        <v/>
      </c>
      <c r="H43" s="24" t="str">
        <f aca="false">IFERROR(F43+forecast.ets.confint($A43,$B$8:$B$95,$A$8:$A$95,0.95,4,1,1),"")</f>
        <v/>
      </c>
    </row>
    <row r="44" customFormat="false" ht="15" hidden="false" customHeight="false" outlineLevel="0" collapsed="false">
      <c r="A44" s="16" t="n">
        <v>42736</v>
      </c>
      <c r="B44" s="17" t="str">
        <f aca="false">IFERROR(haverdata(Codes!$D$17,$A44),"")</f>
        <v/>
      </c>
      <c r="C44" s="18" t="str">
        <f aca="false">IFERROR(B44/B43-1,"")</f>
        <v/>
      </c>
      <c r="D44" s="18" t="str">
        <f aca="false">IFERROR(B44/B40-1,"")</f>
        <v/>
      </c>
      <c r="E44" s="19" t="str">
        <f aca="false">IFERROR(IF(B44="",IFERROR(GROWTH($B$8:$B$95,$A$8:$A$95,$A44),TREND($B$8:$B$95,$A$8:$A$95,$A44)),""),"")</f>
        <v/>
      </c>
      <c r="F44" s="19" t="str">
        <f aca="false">IFERROR(forecast.ets($A44,$B$8:$B$95,$A$8:$A$95,4,1,1),"")</f>
        <v/>
      </c>
      <c r="G44" s="19" t="str">
        <f aca="false">IFERROR(F44-forecast.ets.confint($A44,$B$8:$B$95,$A$8:$A$95,0.95,4,1,1),"")</f>
        <v/>
      </c>
      <c r="H44" s="19" t="str">
        <f aca="false">IFERROR(F44+forecast.ets.confint($A44,$B$8:$B$95,$A$8:$A$95,0.95,4,1,1),"")</f>
        <v/>
      </c>
    </row>
    <row r="45" customFormat="false" ht="15" hidden="false" customHeight="false" outlineLevel="0" collapsed="false">
      <c r="A45" s="21" t="n">
        <v>42826</v>
      </c>
      <c r="B45" s="22" t="str">
        <f aca="false">IFERROR(haverdata(Codes!$D$17,$A45),"")</f>
        <v/>
      </c>
      <c r="C45" s="23" t="str">
        <f aca="false">IFERROR(B45/B44-1,"")</f>
        <v/>
      </c>
      <c r="D45" s="23" t="str">
        <f aca="false">IFERROR(B45/B41-1,"")</f>
        <v/>
      </c>
      <c r="E45" s="24" t="str">
        <f aca="false">IFERROR(IF(B45="",IFERROR(GROWTH($B$8:$B$95,$A$8:$A$95,$A45),TREND($B$8:$B$95,$A$8:$A$95,$A45)),""),"")</f>
        <v/>
      </c>
      <c r="F45" s="24" t="str">
        <f aca="false">IFERROR(forecast.ets($A45,$B$8:$B$95,$A$8:$A$95,4,1,1),"")</f>
        <v/>
      </c>
      <c r="G45" s="24" t="str">
        <f aca="false">IFERROR(F45-forecast.ets.confint($A45,$B$8:$B$95,$A$8:$A$95,0.95,4,1,1),"")</f>
        <v/>
      </c>
      <c r="H45" s="24" t="str">
        <f aca="false">IFERROR(F45+forecast.ets.confint($A45,$B$8:$B$95,$A$8:$A$95,0.95,4,1,1),"")</f>
        <v/>
      </c>
    </row>
    <row r="46" customFormat="false" ht="15" hidden="false" customHeight="false" outlineLevel="0" collapsed="false">
      <c r="A46" s="16" t="n">
        <v>42917</v>
      </c>
      <c r="B46" s="17" t="str">
        <f aca="false">IFERROR(haverdata(Codes!$D$17,$A46),"")</f>
        <v/>
      </c>
      <c r="C46" s="18" t="str">
        <f aca="false">IFERROR(B46/B45-1,"")</f>
        <v/>
      </c>
      <c r="D46" s="18" t="str">
        <f aca="false">IFERROR(B46/B42-1,"")</f>
        <v/>
      </c>
      <c r="E46" s="19" t="str">
        <f aca="false">IFERROR(IF(B46="",IFERROR(GROWTH($B$8:$B$95,$A$8:$A$95,$A46),TREND($B$8:$B$95,$A$8:$A$95,$A46)),""),"")</f>
        <v/>
      </c>
      <c r="F46" s="19" t="str">
        <f aca="false">IFERROR(forecast.ets($A46,$B$8:$B$95,$A$8:$A$95,4,1,1),"")</f>
        <v/>
      </c>
      <c r="G46" s="19" t="str">
        <f aca="false">IFERROR(F46-forecast.ets.confint($A46,$B$8:$B$95,$A$8:$A$95,0.95,4,1,1),"")</f>
        <v/>
      </c>
      <c r="H46" s="19" t="str">
        <f aca="false">IFERROR(F46+forecast.ets.confint($A46,$B$8:$B$95,$A$8:$A$95,0.95,4,1,1),"")</f>
        <v/>
      </c>
    </row>
    <row r="47" customFormat="false" ht="15" hidden="false" customHeight="false" outlineLevel="0" collapsed="false">
      <c r="A47" s="21" t="n">
        <v>43009</v>
      </c>
      <c r="B47" s="22" t="str">
        <f aca="false">IFERROR(haverdata(Codes!$D$17,$A47),"")</f>
        <v/>
      </c>
      <c r="C47" s="23" t="str">
        <f aca="false">IFERROR(B47/B46-1,"")</f>
        <v/>
      </c>
      <c r="D47" s="23" t="str">
        <f aca="false">IFERROR(B47/B43-1,"")</f>
        <v/>
      </c>
      <c r="E47" s="24" t="str">
        <f aca="false">IFERROR(IF(B47="",IFERROR(GROWTH($B$8:$B$95,$A$8:$A$95,$A47),TREND($B$8:$B$95,$A$8:$A$95,$A47)),""),"")</f>
        <v/>
      </c>
      <c r="F47" s="24" t="str">
        <f aca="false">IFERROR(forecast.ets($A47,$B$8:$B$95,$A$8:$A$95,4,1,1),"")</f>
        <v/>
      </c>
      <c r="G47" s="24" t="str">
        <f aca="false">IFERROR(F47-forecast.ets.confint($A47,$B$8:$B$95,$A$8:$A$95,0.95,4,1,1),"")</f>
        <v/>
      </c>
      <c r="H47" s="24" t="str">
        <f aca="false">IFERROR(F47+forecast.ets.confint($A47,$B$8:$B$95,$A$8:$A$95,0.95,4,1,1),"")</f>
        <v/>
      </c>
    </row>
    <row r="48" customFormat="false" ht="15" hidden="false" customHeight="false" outlineLevel="0" collapsed="false">
      <c r="A48" s="16" t="n">
        <v>43101</v>
      </c>
      <c r="B48" s="17" t="str">
        <f aca="false">IFERROR(haverdata(Codes!$D$17,$A48),"")</f>
        <v/>
      </c>
      <c r="C48" s="18" t="str">
        <f aca="false">IFERROR(B48/B47-1,"")</f>
        <v/>
      </c>
      <c r="D48" s="18" t="str">
        <f aca="false">IFERROR(B48/B44-1,"")</f>
        <v/>
      </c>
      <c r="E48" s="19" t="str">
        <f aca="false">IFERROR(IF(B48="",IFERROR(GROWTH($B$8:$B$95,$A$8:$A$95,$A48),TREND($B$8:$B$95,$A$8:$A$95,$A48)),""),"")</f>
        <v/>
      </c>
      <c r="F48" s="19" t="str">
        <f aca="false">IFERROR(forecast.ets($A48,$B$8:$B$95,$A$8:$A$95,4,1,1),"")</f>
        <v/>
      </c>
      <c r="G48" s="19" t="str">
        <f aca="false">IFERROR(F48-forecast.ets.confint($A48,$B$8:$B$95,$A$8:$A$95,0.95,4,1,1),"")</f>
        <v/>
      </c>
      <c r="H48" s="19" t="str">
        <f aca="false">IFERROR(F48+forecast.ets.confint($A48,$B$8:$B$95,$A$8:$A$95,0.95,4,1,1),"")</f>
        <v/>
      </c>
    </row>
    <row r="49" customFormat="false" ht="15" hidden="false" customHeight="false" outlineLevel="0" collapsed="false">
      <c r="A49" s="21" t="n">
        <v>43191</v>
      </c>
      <c r="B49" s="22" t="str">
        <f aca="false">IFERROR(haverdata(Codes!$D$17,$A49),"")</f>
        <v/>
      </c>
      <c r="C49" s="23" t="str">
        <f aca="false">IFERROR(B49/B48-1,"")</f>
        <v/>
      </c>
      <c r="D49" s="23" t="str">
        <f aca="false">IFERROR(B49/B45-1,"")</f>
        <v/>
      </c>
      <c r="E49" s="24" t="str">
        <f aca="false">IFERROR(IF(B49="",IFERROR(GROWTH($B$8:$B$95,$A$8:$A$95,$A49),TREND($B$8:$B$95,$A$8:$A$95,$A49)),""),"")</f>
        <v/>
      </c>
      <c r="F49" s="24" t="str">
        <f aca="false">IFERROR(forecast.ets($A49,$B$8:$B$95,$A$8:$A$95,4,1,1),"")</f>
        <v/>
      </c>
      <c r="G49" s="24" t="str">
        <f aca="false">IFERROR(F49-forecast.ets.confint($A49,$B$8:$B$95,$A$8:$A$95,0.95,4,1,1),"")</f>
        <v/>
      </c>
      <c r="H49" s="24" t="str">
        <f aca="false">IFERROR(F49+forecast.ets.confint($A49,$B$8:$B$95,$A$8:$A$95,0.95,4,1,1),"")</f>
        <v/>
      </c>
    </row>
    <row r="50" customFormat="false" ht="15" hidden="false" customHeight="false" outlineLevel="0" collapsed="false">
      <c r="A50" s="16" t="n">
        <v>43282</v>
      </c>
      <c r="B50" s="17" t="str">
        <f aca="false">IFERROR(haverdata(Codes!$D$17,$A50),"")</f>
        <v/>
      </c>
      <c r="C50" s="18" t="str">
        <f aca="false">IFERROR(B50/B49-1,"")</f>
        <v/>
      </c>
      <c r="D50" s="18" t="str">
        <f aca="false">IFERROR(B50/B46-1,"")</f>
        <v/>
      </c>
      <c r="E50" s="19" t="str">
        <f aca="false">IFERROR(IF(B50="",IFERROR(GROWTH($B$8:$B$95,$A$8:$A$95,$A50),TREND($B$8:$B$95,$A$8:$A$95,$A50)),""),"")</f>
        <v/>
      </c>
      <c r="F50" s="19" t="str">
        <f aca="false">IFERROR(forecast.ets($A50,$B$8:$B$95,$A$8:$A$95,4,1,1),"")</f>
        <v/>
      </c>
      <c r="G50" s="19" t="str">
        <f aca="false">IFERROR(F50-forecast.ets.confint($A50,$B$8:$B$95,$A$8:$A$95,0.95,4,1,1),"")</f>
        <v/>
      </c>
      <c r="H50" s="19" t="str">
        <f aca="false">IFERROR(F50+forecast.ets.confint($A50,$B$8:$B$95,$A$8:$A$95,0.95,4,1,1),"")</f>
        <v/>
      </c>
    </row>
    <row r="51" customFormat="false" ht="15" hidden="false" customHeight="false" outlineLevel="0" collapsed="false">
      <c r="A51" s="21" t="n">
        <v>43374</v>
      </c>
      <c r="B51" s="22" t="str">
        <f aca="false">IFERROR(haverdata(Codes!$D$17,$A51),"")</f>
        <v/>
      </c>
      <c r="C51" s="23" t="str">
        <f aca="false">IFERROR(B51/B50-1,"")</f>
        <v/>
      </c>
      <c r="D51" s="23" t="str">
        <f aca="false">IFERROR(B51/B47-1,"")</f>
        <v/>
      </c>
      <c r="E51" s="24" t="str">
        <f aca="false">IFERROR(IF(B51="",IFERROR(GROWTH($B$8:$B$95,$A$8:$A$95,$A51),TREND($B$8:$B$95,$A$8:$A$95,$A51)),""),"")</f>
        <v/>
      </c>
      <c r="F51" s="24" t="str">
        <f aca="false">IFERROR(forecast.ets($A51,$B$8:$B$95,$A$8:$A$95,4,1,1),"")</f>
        <v/>
      </c>
      <c r="G51" s="24" t="str">
        <f aca="false">IFERROR(F51-forecast.ets.confint($A51,$B$8:$B$95,$A$8:$A$95,0.95,4,1,1),"")</f>
        <v/>
      </c>
      <c r="H51" s="24" t="str">
        <f aca="false">IFERROR(F51+forecast.ets.confint($A51,$B$8:$B$95,$A$8:$A$95,0.95,4,1,1),"")</f>
        <v/>
      </c>
    </row>
    <row r="52" customFormat="false" ht="15" hidden="false" customHeight="false" outlineLevel="0" collapsed="false">
      <c r="A52" s="16" t="n">
        <v>43466</v>
      </c>
      <c r="B52" s="17" t="str">
        <f aca="false">IFERROR(haverdata(Codes!$D$17,$A52),"")</f>
        <v/>
      </c>
      <c r="C52" s="18" t="str">
        <f aca="false">IFERROR(B52/B51-1,"")</f>
        <v/>
      </c>
      <c r="D52" s="18" t="str">
        <f aca="false">IFERROR(B52/B48-1,"")</f>
        <v/>
      </c>
      <c r="E52" s="19" t="str">
        <f aca="false">IFERROR(IF(B52="",IFERROR(GROWTH($B$8:$B$95,$A$8:$A$95,$A52),TREND($B$8:$B$95,$A$8:$A$95,$A52)),""),"")</f>
        <v/>
      </c>
      <c r="F52" s="19" t="str">
        <f aca="false">IFERROR(forecast.ets($A52,$B$8:$B$95,$A$8:$A$95,4,1,1),"")</f>
        <v/>
      </c>
      <c r="G52" s="19" t="str">
        <f aca="false">IFERROR(F52-forecast.ets.confint($A52,$B$8:$B$95,$A$8:$A$95,0.95,4,1,1),"")</f>
        <v/>
      </c>
      <c r="H52" s="19" t="str">
        <f aca="false">IFERROR(F52+forecast.ets.confint($A52,$B$8:$B$95,$A$8:$A$95,0.95,4,1,1),"")</f>
        <v/>
      </c>
    </row>
    <row r="53" customFormat="false" ht="15" hidden="false" customHeight="false" outlineLevel="0" collapsed="false">
      <c r="A53" s="21" t="n">
        <v>43556</v>
      </c>
      <c r="B53" s="22" t="str">
        <f aca="false">IFERROR(haverdata(Codes!$D$17,$A53),"")</f>
        <v/>
      </c>
      <c r="C53" s="23" t="str">
        <f aca="false">IFERROR(B53/B52-1,"")</f>
        <v/>
      </c>
      <c r="D53" s="23" t="str">
        <f aca="false">IFERROR(B53/B49-1,"")</f>
        <v/>
      </c>
      <c r="E53" s="24" t="str">
        <f aca="false">IFERROR(IF(B53="",IFERROR(GROWTH($B$8:$B$95,$A$8:$A$95,$A53),TREND($B$8:$B$95,$A$8:$A$95,$A53)),""),"")</f>
        <v/>
      </c>
      <c r="F53" s="24" t="str">
        <f aca="false">IFERROR(forecast.ets($A53,$B$8:$B$95,$A$8:$A$95,4,1,1),"")</f>
        <v/>
      </c>
      <c r="G53" s="24" t="str">
        <f aca="false">IFERROR(F53-forecast.ets.confint($A53,$B$8:$B$95,$A$8:$A$95,0.95,4,1,1),"")</f>
        <v/>
      </c>
      <c r="H53" s="24" t="str">
        <f aca="false">IFERROR(F53+forecast.ets.confint($A53,$B$8:$B$95,$A$8:$A$95,0.95,4,1,1),"")</f>
        <v/>
      </c>
    </row>
    <row r="54" customFormat="false" ht="15" hidden="false" customHeight="false" outlineLevel="0" collapsed="false">
      <c r="A54" s="16" t="n">
        <v>43647</v>
      </c>
      <c r="B54" s="17" t="str">
        <f aca="false">IFERROR(haverdata(Codes!$D$17,$A54),"")</f>
        <v/>
      </c>
      <c r="C54" s="18" t="str">
        <f aca="false">IFERROR(B54/B53-1,"")</f>
        <v/>
      </c>
      <c r="D54" s="18" t="str">
        <f aca="false">IFERROR(B54/B50-1,"")</f>
        <v/>
      </c>
      <c r="E54" s="19" t="str">
        <f aca="false">IFERROR(IF(B54="",IFERROR(GROWTH($B$8:$B$95,$A$8:$A$95,$A54),TREND($B$8:$B$95,$A$8:$A$95,$A54)),""),"")</f>
        <v/>
      </c>
      <c r="F54" s="19" t="str">
        <f aca="false">IFERROR(forecast.ets($A54,$B$8:$B$95,$A$8:$A$95,4,1,1),"")</f>
        <v/>
      </c>
      <c r="G54" s="19" t="str">
        <f aca="false">IFERROR(F54-forecast.ets.confint($A54,$B$8:$B$95,$A$8:$A$95,0.95,4,1,1),"")</f>
        <v/>
      </c>
      <c r="H54" s="19" t="str">
        <f aca="false">IFERROR(F54+forecast.ets.confint($A54,$B$8:$B$95,$A$8:$A$95,0.95,4,1,1),"")</f>
        <v/>
      </c>
    </row>
    <row r="55" customFormat="false" ht="15" hidden="false" customHeight="false" outlineLevel="0" collapsed="false">
      <c r="A55" s="21" t="n">
        <v>43739</v>
      </c>
      <c r="B55" s="22" t="str">
        <f aca="false">IFERROR(haverdata(Codes!$D$17,$A55),"")</f>
        <v/>
      </c>
      <c r="C55" s="23" t="str">
        <f aca="false">IFERROR(B55/B54-1,"")</f>
        <v/>
      </c>
      <c r="D55" s="23" t="str">
        <f aca="false">IFERROR(B55/B51-1,"")</f>
        <v/>
      </c>
      <c r="E55" s="24" t="str">
        <f aca="false">IFERROR(IF(B55="",IFERROR(GROWTH($B$8:$B$95,$A$8:$A$95,$A55),TREND($B$8:$B$95,$A$8:$A$95,$A55)),""),"")</f>
        <v/>
      </c>
      <c r="F55" s="24" t="str">
        <f aca="false">IFERROR(forecast.ets($A55,$B$8:$B$95,$A$8:$A$95,4,1,1),"")</f>
        <v/>
      </c>
      <c r="G55" s="24" t="str">
        <f aca="false">IFERROR(F55-forecast.ets.confint($A55,$B$8:$B$95,$A$8:$A$95,0.95,4,1,1),"")</f>
        <v/>
      </c>
      <c r="H55" s="24" t="str">
        <f aca="false">IFERROR(F55+forecast.ets.confint($A55,$B$8:$B$95,$A$8:$A$95,0.95,4,1,1),"")</f>
        <v/>
      </c>
    </row>
    <row r="56" customFormat="false" ht="15" hidden="false" customHeight="false" outlineLevel="0" collapsed="false">
      <c r="A56" s="16" t="n">
        <v>43831</v>
      </c>
      <c r="B56" s="17" t="str">
        <f aca="false">IFERROR(haverdata(Codes!$D$17,$A56),"")</f>
        <v/>
      </c>
      <c r="C56" s="18" t="str">
        <f aca="false">IFERROR(B56/B55-1,"")</f>
        <v/>
      </c>
      <c r="D56" s="18" t="str">
        <f aca="false">IFERROR(B56/B52-1,"")</f>
        <v/>
      </c>
      <c r="E56" s="19" t="str">
        <f aca="false">IFERROR(IF(B56="",IFERROR(GROWTH($B$8:$B$95,$A$8:$A$95,$A56),TREND($B$8:$B$95,$A$8:$A$95,$A56)),""),"")</f>
        <v/>
      </c>
      <c r="F56" s="19" t="str">
        <f aca="false">IFERROR(forecast.ets($A56,$B$8:$B$95,$A$8:$A$95,4,1,1),"")</f>
        <v/>
      </c>
      <c r="G56" s="19" t="str">
        <f aca="false">IFERROR(F56-forecast.ets.confint($A56,$B$8:$B$95,$A$8:$A$95,0.95,4,1,1),"")</f>
        <v/>
      </c>
      <c r="H56" s="19" t="str">
        <f aca="false">IFERROR(F56+forecast.ets.confint($A56,$B$8:$B$95,$A$8:$A$95,0.95,4,1,1),"")</f>
        <v/>
      </c>
    </row>
    <row r="57" customFormat="false" ht="15" hidden="false" customHeight="false" outlineLevel="0" collapsed="false">
      <c r="A57" s="21" t="n">
        <v>43922</v>
      </c>
      <c r="B57" s="22" t="str">
        <f aca="false">IFERROR(haverdata(Codes!$D$17,$A57),"")</f>
        <v/>
      </c>
      <c r="C57" s="23" t="str">
        <f aca="false">IFERROR(B57/B56-1,"")</f>
        <v/>
      </c>
      <c r="D57" s="23" t="str">
        <f aca="false">IFERROR(B57/B53-1,"")</f>
        <v/>
      </c>
      <c r="E57" s="24" t="str">
        <f aca="false">IFERROR(IF(B57="",IFERROR(GROWTH($B$8:$B$95,$A$8:$A$95,$A57),TREND($B$8:$B$95,$A$8:$A$95,$A57)),""),"")</f>
        <v/>
      </c>
      <c r="F57" s="24" t="str">
        <f aca="false">IFERROR(forecast.ets($A57,$B$8:$B$95,$A$8:$A$95,4,1,1),"")</f>
        <v/>
      </c>
      <c r="G57" s="24" t="str">
        <f aca="false">IFERROR(F57-forecast.ets.confint($A57,$B$8:$B$95,$A$8:$A$95,0.95,4,1,1),"")</f>
        <v/>
      </c>
      <c r="H57" s="24" t="str">
        <f aca="false">IFERROR(F57+forecast.ets.confint($A57,$B$8:$B$95,$A$8:$A$95,0.95,4,1,1),"")</f>
        <v/>
      </c>
    </row>
    <row r="58" customFormat="false" ht="15" hidden="false" customHeight="false" outlineLevel="0" collapsed="false">
      <c r="A58" s="16" t="n">
        <v>44013</v>
      </c>
      <c r="B58" s="17" t="str">
        <f aca="false">IFERROR(haverdata(Codes!$D$17,$A58),"")</f>
        <v/>
      </c>
      <c r="C58" s="18" t="str">
        <f aca="false">IFERROR(B58/B57-1,"")</f>
        <v/>
      </c>
      <c r="D58" s="18" t="str">
        <f aca="false">IFERROR(B58/B54-1,"")</f>
        <v/>
      </c>
      <c r="E58" s="19" t="str">
        <f aca="false">IFERROR(IF(B58="",IFERROR(GROWTH($B$8:$B$95,$A$8:$A$95,$A58),TREND($B$8:$B$95,$A$8:$A$95,$A58)),""),"")</f>
        <v/>
      </c>
      <c r="F58" s="19" t="str">
        <f aca="false">IFERROR(forecast.ets($A58,$B$8:$B$95,$A$8:$A$95,4,1,1),"")</f>
        <v/>
      </c>
      <c r="G58" s="19" t="str">
        <f aca="false">IFERROR(F58-forecast.ets.confint($A58,$B$8:$B$95,$A$8:$A$95,0.95,4,1,1),"")</f>
        <v/>
      </c>
      <c r="H58" s="19" t="str">
        <f aca="false">IFERROR(F58+forecast.ets.confint($A58,$B$8:$B$95,$A$8:$A$95,0.95,4,1,1),"")</f>
        <v/>
      </c>
    </row>
    <row r="59" customFormat="false" ht="15" hidden="false" customHeight="false" outlineLevel="0" collapsed="false">
      <c r="A59" s="21" t="n">
        <v>44105</v>
      </c>
      <c r="B59" s="22" t="str">
        <f aca="false">IFERROR(haverdata(Codes!$D$17,$A59),"")</f>
        <v/>
      </c>
      <c r="C59" s="23" t="str">
        <f aca="false">IFERROR(B59/B58-1,"")</f>
        <v/>
      </c>
      <c r="D59" s="23" t="str">
        <f aca="false">IFERROR(B59/B55-1,"")</f>
        <v/>
      </c>
      <c r="E59" s="24" t="str">
        <f aca="false">IFERROR(IF(B59="",IFERROR(GROWTH($B$8:$B$95,$A$8:$A$95,$A59),TREND($B$8:$B$95,$A$8:$A$95,$A59)),""),"")</f>
        <v/>
      </c>
      <c r="F59" s="24" t="str">
        <f aca="false">IFERROR(forecast.ets($A59,$B$8:$B$95,$A$8:$A$95,4,1,1),"")</f>
        <v/>
      </c>
      <c r="G59" s="24" t="str">
        <f aca="false">IFERROR(F59-forecast.ets.confint($A59,$B$8:$B$95,$A$8:$A$95,0.95,4,1,1),"")</f>
        <v/>
      </c>
      <c r="H59" s="24" t="str">
        <f aca="false">IFERROR(F59+forecast.ets.confint($A59,$B$8:$B$95,$A$8:$A$95,0.95,4,1,1),"")</f>
        <v/>
      </c>
    </row>
    <row r="60" customFormat="false" ht="15" hidden="false" customHeight="false" outlineLevel="0" collapsed="false">
      <c r="A60" s="16" t="n">
        <v>44197</v>
      </c>
      <c r="B60" s="17" t="str">
        <f aca="false">IFERROR(haverdata(Codes!$D$17,$A60),"")</f>
        <v/>
      </c>
      <c r="C60" s="18" t="str">
        <f aca="false">IFERROR(B60/B59-1,"")</f>
        <v/>
      </c>
      <c r="D60" s="18" t="str">
        <f aca="false">IFERROR(B60/B56-1,"")</f>
        <v/>
      </c>
      <c r="E60" s="19" t="str">
        <f aca="false">IFERROR(IF(B60="",IFERROR(GROWTH($B$8:$B$95,$A$8:$A$95,$A60),TREND($B$8:$B$95,$A$8:$A$95,$A60)),""),"")</f>
        <v/>
      </c>
      <c r="F60" s="19" t="str">
        <f aca="false">IFERROR(forecast.ets($A60,$B$8:$B$95,$A$8:$A$95,4,1,1),"")</f>
        <v/>
      </c>
      <c r="G60" s="19" t="str">
        <f aca="false">IFERROR(F60-forecast.ets.confint($A60,$B$8:$B$95,$A$8:$A$95,0.95,4,1,1),"")</f>
        <v/>
      </c>
      <c r="H60" s="19" t="str">
        <f aca="false">IFERROR(F60+forecast.ets.confint($A60,$B$8:$B$95,$A$8:$A$95,0.95,4,1,1),"")</f>
        <v/>
      </c>
    </row>
    <row r="61" customFormat="false" ht="15" hidden="false" customHeight="false" outlineLevel="0" collapsed="false">
      <c r="A61" s="21" t="n">
        <v>44287</v>
      </c>
      <c r="B61" s="22" t="str">
        <f aca="false">IFERROR(haverdata(Codes!$D$17,$A61),"")</f>
        <v/>
      </c>
      <c r="C61" s="23" t="str">
        <f aca="false">IFERROR(B61/B60-1,"")</f>
        <v/>
      </c>
      <c r="D61" s="23" t="str">
        <f aca="false">IFERROR(B61/B57-1,"")</f>
        <v/>
      </c>
      <c r="E61" s="24" t="str">
        <f aca="false">IFERROR(IF(B61="",IFERROR(GROWTH($B$8:$B$95,$A$8:$A$95,$A61),TREND($B$8:$B$95,$A$8:$A$95,$A61)),""),"")</f>
        <v/>
      </c>
      <c r="F61" s="24" t="str">
        <f aca="false">IFERROR(forecast.ets($A61,$B$8:$B$95,$A$8:$A$95,4,1,1),"")</f>
        <v/>
      </c>
      <c r="G61" s="24" t="str">
        <f aca="false">IFERROR(F61-forecast.ets.confint($A61,$B$8:$B$95,$A$8:$A$95,0.95,4,1,1),"")</f>
        <v/>
      </c>
      <c r="H61" s="24" t="str">
        <f aca="false">IFERROR(F61+forecast.ets.confint($A61,$B$8:$B$95,$A$8:$A$95,0.95,4,1,1),"")</f>
        <v/>
      </c>
    </row>
    <row r="62" customFormat="false" ht="15" hidden="false" customHeight="false" outlineLevel="0" collapsed="false">
      <c r="A62" s="16" t="n">
        <v>44378</v>
      </c>
      <c r="B62" s="17" t="str">
        <f aca="false">IFERROR(haverdata(Codes!$D$17,$A62),"")</f>
        <v/>
      </c>
      <c r="C62" s="18" t="str">
        <f aca="false">IFERROR(B62/B61-1,"")</f>
        <v/>
      </c>
      <c r="D62" s="18" t="str">
        <f aca="false">IFERROR(B62/B58-1,"")</f>
        <v/>
      </c>
      <c r="E62" s="19" t="str">
        <f aca="false">IFERROR(IF(B62="",IFERROR(GROWTH($B$8:$B$95,$A$8:$A$95,$A62),TREND($B$8:$B$95,$A$8:$A$95,$A62)),""),"")</f>
        <v/>
      </c>
      <c r="F62" s="19" t="str">
        <f aca="false">IFERROR(forecast.ets($A62,$B$8:$B$95,$A$8:$A$95,4,1,1),"")</f>
        <v/>
      </c>
      <c r="G62" s="19" t="str">
        <f aca="false">IFERROR(F62-forecast.ets.confint($A62,$B$8:$B$95,$A$8:$A$95,0.95,4,1,1),"")</f>
        <v/>
      </c>
      <c r="H62" s="19" t="str">
        <f aca="false">IFERROR(F62+forecast.ets.confint($A62,$B$8:$B$95,$A$8:$A$95,0.95,4,1,1),"")</f>
        <v/>
      </c>
    </row>
    <row r="63" customFormat="false" ht="15" hidden="false" customHeight="false" outlineLevel="0" collapsed="false">
      <c r="A63" s="21" t="n">
        <v>44470</v>
      </c>
      <c r="B63" s="22" t="str">
        <f aca="false">IFERROR(haverdata(Codes!$D$17,$A63),"")</f>
        <v/>
      </c>
      <c r="C63" s="23" t="str">
        <f aca="false">IFERROR(B63/B62-1,"")</f>
        <v/>
      </c>
      <c r="D63" s="23" t="str">
        <f aca="false">IFERROR(B63/B59-1,"")</f>
        <v/>
      </c>
      <c r="E63" s="24" t="str">
        <f aca="false">IFERROR(IF(B63="",IFERROR(GROWTH($B$8:$B$95,$A$8:$A$95,$A63),TREND($B$8:$B$95,$A$8:$A$95,$A63)),""),"")</f>
        <v/>
      </c>
      <c r="F63" s="24" t="str">
        <f aca="false">IFERROR(forecast.ets($A63,$B$8:$B$95,$A$8:$A$95,4,1,1),"")</f>
        <v/>
      </c>
      <c r="G63" s="24" t="str">
        <f aca="false">IFERROR(F63-forecast.ets.confint($A63,$B$8:$B$95,$A$8:$A$95,0.95,4,1,1),"")</f>
        <v/>
      </c>
      <c r="H63" s="24" t="str">
        <f aca="false">IFERROR(F63+forecast.ets.confint($A63,$B$8:$B$95,$A$8:$A$95,0.95,4,1,1),"")</f>
        <v/>
      </c>
    </row>
    <row r="64" customFormat="false" ht="15" hidden="false" customHeight="false" outlineLevel="0" collapsed="false">
      <c r="A64" s="16" t="n">
        <v>44562</v>
      </c>
      <c r="B64" s="17" t="str">
        <f aca="false">IFERROR(haverdata(Codes!$D$17,$A64),"")</f>
        <v/>
      </c>
      <c r="C64" s="18" t="str">
        <f aca="false">IFERROR(B64/B63-1,"")</f>
        <v/>
      </c>
      <c r="D64" s="18" t="str">
        <f aca="false">IFERROR(B64/B60-1,"")</f>
        <v/>
      </c>
      <c r="E64" s="19" t="str">
        <f aca="false">IFERROR(IF(B64="",IFERROR(GROWTH($B$8:$B$95,$A$8:$A$95,$A64),TREND($B$8:$B$95,$A$8:$A$95,$A64)),""),"")</f>
        <v/>
      </c>
      <c r="F64" s="19" t="str">
        <f aca="false">IFERROR(forecast.ets($A64,$B$8:$B$95,$A$8:$A$95,4,1,1),"")</f>
        <v/>
      </c>
      <c r="G64" s="19" t="str">
        <f aca="false">IFERROR(F64-forecast.ets.confint($A64,$B$8:$B$95,$A$8:$A$95,0.95,4,1,1),"")</f>
        <v/>
      </c>
      <c r="H64" s="19" t="str">
        <f aca="false">IFERROR(F64+forecast.ets.confint($A64,$B$8:$B$95,$A$8:$A$95,0.95,4,1,1),"")</f>
        <v/>
      </c>
    </row>
    <row r="65" customFormat="false" ht="15" hidden="false" customHeight="false" outlineLevel="0" collapsed="false">
      <c r="A65" s="21" t="n">
        <v>44652</v>
      </c>
      <c r="B65" s="22" t="str">
        <f aca="false">IFERROR(haverdata(Codes!$D$17,$A65),"")</f>
        <v/>
      </c>
      <c r="C65" s="23" t="str">
        <f aca="false">IFERROR(B65/B64-1,"")</f>
        <v/>
      </c>
      <c r="D65" s="23" t="str">
        <f aca="false">IFERROR(B65/B61-1,"")</f>
        <v/>
      </c>
      <c r="E65" s="24" t="str">
        <f aca="false">IFERROR(IF(B65="",IFERROR(GROWTH($B$8:$B$95,$A$8:$A$95,$A65),TREND($B$8:$B$95,$A$8:$A$95,$A65)),""),"")</f>
        <v/>
      </c>
      <c r="F65" s="24" t="str">
        <f aca="false">IFERROR(forecast.ets($A65,$B$8:$B$95,$A$8:$A$95,4,1,1),"")</f>
        <v/>
      </c>
      <c r="G65" s="24" t="str">
        <f aca="false">IFERROR(F65-forecast.ets.confint($A65,$B$8:$B$95,$A$8:$A$95,0.95,4,1,1),"")</f>
        <v/>
      </c>
      <c r="H65" s="24" t="str">
        <f aca="false">IFERROR(F65+forecast.ets.confint($A65,$B$8:$B$95,$A$8:$A$95,0.95,4,1,1),"")</f>
        <v/>
      </c>
    </row>
    <row r="66" customFormat="false" ht="15" hidden="false" customHeight="false" outlineLevel="0" collapsed="false">
      <c r="A66" s="16" t="n">
        <v>44743</v>
      </c>
      <c r="B66" s="17" t="str">
        <f aca="false">IFERROR(haverdata(Codes!$D$17,$A66),"")</f>
        <v/>
      </c>
      <c r="C66" s="18" t="str">
        <f aca="false">IFERROR(B66/B65-1,"")</f>
        <v/>
      </c>
      <c r="D66" s="18" t="str">
        <f aca="false">IFERROR(B66/B62-1,"")</f>
        <v/>
      </c>
      <c r="E66" s="19" t="str">
        <f aca="false">IFERROR(IF(B66="",IFERROR(GROWTH($B$8:$B$95,$A$8:$A$95,$A66),TREND($B$8:$B$95,$A$8:$A$95,$A66)),""),"")</f>
        <v/>
      </c>
      <c r="F66" s="19" t="str">
        <f aca="false">IFERROR(forecast.ets($A66,$B$8:$B$95,$A$8:$A$95,4,1,1),"")</f>
        <v/>
      </c>
      <c r="G66" s="19" t="str">
        <f aca="false">IFERROR(F66-forecast.ets.confint($A66,$B$8:$B$95,$A$8:$A$95,0.95,4,1,1),"")</f>
        <v/>
      </c>
      <c r="H66" s="19" t="str">
        <f aca="false">IFERROR(F66+forecast.ets.confint($A66,$B$8:$B$95,$A$8:$A$95,0.95,4,1,1),"")</f>
        <v/>
      </c>
    </row>
    <row r="67" customFormat="false" ht="15" hidden="false" customHeight="false" outlineLevel="0" collapsed="false">
      <c r="A67" s="21" t="n">
        <v>44835</v>
      </c>
      <c r="B67" s="22" t="str">
        <f aca="false">IFERROR(haverdata(Codes!$D$17,$A67),"")</f>
        <v/>
      </c>
      <c r="C67" s="23" t="str">
        <f aca="false">IFERROR(B67/B66-1,"")</f>
        <v/>
      </c>
      <c r="D67" s="23" t="str">
        <f aca="false">IFERROR(B67/B63-1,"")</f>
        <v/>
      </c>
      <c r="E67" s="24" t="str">
        <f aca="false">IFERROR(IF(B67="",IFERROR(GROWTH($B$8:$B$95,$A$8:$A$95,$A67),TREND($B$8:$B$95,$A$8:$A$95,$A67)),""),"")</f>
        <v/>
      </c>
      <c r="F67" s="24" t="str">
        <f aca="false">IFERROR(forecast.ets($A67,$B$8:$B$95,$A$8:$A$95,4,1,1),"")</f>
        <v/>
      </c>
      <c r="G67" s="24" t="str">
        <f aca="false">IFERROR(F67-forecast.ets.confint($A67,$B$8:$B$95,$A$8:$A$95,0.95,4,1,1),"")</f>
        <v/>
      </c>
      <c r="H67" s="24" t="str">
        <f aca="false">IFERROR(F67+forecast.ets.confint($A67,$B$8:$B$95,$A$8:$A$95,0.95,4,1,1),"")</f>
        <v/>
      </c>
    </row>
    <row r="68" customFormat="false" ht="15" hidden="false" customHeight="false" outlineLevel="0" collapsed="false">
      <c r="A68" s="16" t="n">
        <v>44927</v>
      </c>
      <c r="B68" s="17" t="str">
        <f aca="false">IFERROR(haverdata(Codes!$D$17,$A68),"")</f>
        <v/>
      </c>
      <c r="C68" s="18" t="str">
        <f aca="false">IFERROR(B68/B67-1,"")</f>
        <v/>
      </c>
      <c r="D68" s="18" t="str">
        <f aca="false">IFERROR(B68/B64-1,"")</f>
        <v/>
      </c>
      <c r="E68" s="19" t="str">
        <f aca="false">IFERROR(IF(B68="",IFERROR(GROWTH($B$8:$B$95,$A$8:$A$95,$A68),TREND($B$8:$B$95,$A$8:$A$95,$A68)),""),"")</f>
        <v/>
      </c>
      <c r="F68" s="19" t="str">
        <f aca="false">IFERROR(forecast.ets($A68,$B$8:$B$95,$A$8:$A$95,4,1,1),"")</f>
        <v/>
      </c>
      <c r="G68" s="19" t="str">
        <f aca="false">IFERROR(F68-forecast.ets.confint($A68,$B$8:$B$95,$A$8:$A$95,0.95,4,1,1),"")</f>
        <v/>
      </c>
      <c r="H68" s="19" t="str">
        <f aca="false">IFERROR(F68+forecast.ets.confint($A68,$B$8:$B$95,$A$8:$A$95,0.95,4,1,1),"")</f>
        <v/>
      </c>
    </row>
    <row r="69" customFormat="false" ht="15" hidden="false" customHeight="false" outlineLevel="0" collapsed="false">
      <c r="A69" s="21" t="n">
        <v>45017</v>
      </c>
      <c r="B69" s="22" t="str">
        <f aca="false">IFERROR(haverdata(Codes!$D$17,$A69),"")</f>
        <v/>
      </c>
      <c r="C69" s="23" t="str">
        <f aca="false">IFERROR(B69/B68-1,"")</f>
        <v/>
      </c>
      <c r="D69" s="23" t="str">
        <f aca="false">IFERROR(B69/B65-1,"")</f>
        <v/>
      </c>
      <c r="E69" s="24" t="str">
        <f aca="false">IFERROR(IF(B69="",IFERROR(GROWTH($B$8:$B$95,$A$8:$A$95,$A69),TREND($B$8:$B$95,$A$8:$A$95,$A69)),""),"")</f>
        <v/>
      </c>
      <c r="F69" s="24" t="str">
        <f aca="false">IFERROR(forecast.ets($A69,$B$8:$B$95,$A$8:$A$95,4,1,1),"")</f>
        <v/>
      </c>
      <c r="G69" s="24" t="str">
        <f aca="false">IFERROR(F69-forecast.ets.confint($A69,$B$8:$B$95,$A$8:$A$95,0.95,4,1,1),"")</f>
        <v/>
      </c>
      <c r="H69" s="24" t="str">
        <f aca="false">IFERROR(F69+forecast.ets.confint($A69,$B$8:$B$95,$A$8:$A$95,0.95,4,1,1),"")</f>
        <v/>
      </c>
    </row>
    <row r="70" customFormat="false" ht="15" hidden="false" customHeight="false" outlineLevel="0" collapsed="false">
      <c r="A70" s="16" t="n">
        <v>45108</v>
      </c>
      <c r="B70" s="17" t="str">
        <f aca="false">IFERROR(haverdata(Codes!$D$17,$A70),"")</f>
        <v/>
      </c>
      <c r="C70" s="18" t="str">
        <f aca="false">IFERROR(B70/B69-1,"")</f>
        <v/>
      </c>
      <c r="D70" s="18" t="str">
        <f aca="false">IFERROR(B70/B66-1,"")</f>
        <v/>
      </c>
      <c r="E70" s="19" t="str">
        <f aca="false">IFERROR(IF(B70="",IFERROR(GROWTH($B$8:$B$95,$A$8:$A$95,$A70),TREND($B$8:$B$95,$A$8:$A$95,$A70)),""),"")</f>
        <v/>
      </c>
      <c r="F70" s="19" t="str">
        <f aca="false">IFERROR(forecast.ets($A70,$B$8:$B$95,$A$8:$A$95,4,1,1),"")</f>
        <v/>
      </c>
      <c r="G70" s="19" t="str">
        <f aca="false">IFERROR(F70-forecast.ets.confint($A70,$B$8:$B$95,$A$8:$A$95,0.95,4,1,1),"")</f>
        <v/>
      </c>
      <c r="H70" s="19" t="str">
        <f aca="false">IFERROR(F70+forecast.ets.confint($A70,$B$8:$B$95,$A$8:$A$95,0.95,4,1,1),"")</f>
        <v/>
      </c>
    </row>
    <row r="71" customFormat="false" ht="15" hidden="false" customHeight="false" outlineLevel="0" collapsed="false">
      <c r="A71" s="21" t="n">
        <v>45200</v>
      </c>
      <c r="B71" s="22" t="str">
        <f aca="false">IFERROR(haverdata(Codes!$D$17,$A71),"")</f>
        <v/>
      </c>
      <c r="C71" s="23" t="str">
        <f aca="false">IFERROR(B71/B70-1,"")</f>
        <v/>
      </c>
      <c r="D71" s="23" t="str">
        <f aca="false">IFERROR(B71/B67-1,"")</f>
        <v/>
      </c>
      <c r="E71" s="24" t="str">
        <f aca="false">IFERROR(IF(B71="",IFERROR(GROWTH($B$8:$B$95,$A$8:$A$95,$A71),TREND($B$8:$B$95,$A$8:$A$95,$A71)),""),"")</f>
        <v/>
      </c>
      <c r="F71" s="24" t="str">
        <f aca="false">IFERROR(forecast.ets($A71,$B$8:$B$95,$A$8:$A$95,4,1,1),"")</f>
        <v/>
      </c>
      <c r="G71" s="24" t="str">
        <f aca="false">IFERROR(F71-forecast.ets.confint($A71,$B$8:$B$95,$A$8:$A$95,0.95,4,1,1),"")</f>
        <v/>
      </c>
      <c r="H71" s="24" t="str">
        <f aca="false">IFERROR(F71+forecast.ets.confint($A71,$B$8:$B$95,$A$8:$A$95,0.95,4,1,1),"")</f>
        <v/>
      </c>
    </row>
    <row r="72" customFormat="false" ht="15" hidden="false" customHeight="false" outlineLevel="0" collapsed="false">
      <c r="A72" s="16" t="n">
        <v>45292</v>
      </c>
      <c r="B72" s="17" t="str">
        <f aca="false">IFERROR(haverdata(Codes!$D$17,$A72),"")</f>
        <v/>
      </c>
      <c r="C72" s="18" t="str">
        <f aca="false">IFERROR(B72/B71-1,"")</f>
        <v/>
      </c>
      <c r="D72" s="18" t="str">
        <f aca="false">IFERROR(B72/B68-1,"")</f>
        <v/>
      </c>
      <c r="E72" s="19" t="str">
        <f aca="false">IFERROR(IF(B72="",IFERROR(GROWTH($B$8:$B$95,$A$8:$A$95,$A72),TREND($B$8:$B$95,$A$8:$A$95,$A72)),""),"")</f>
        <v/>
      </c>
      <c r="F72" s="19" t="str">
        <f aca="false">IFERROR(forecast.ets($A72,$B$8:$B$95,$A$8:$A$95,4,1,1),"")</f>
        <v/>
      </c>
      <c r="G72" s="19" t="str">
        <f aca="false">IFERROR(F72-forecast.ets.confint($A72,$B$8:$B$95,$A$8:$A$95,0.95,4,1,1),"")</f>
        <v/>
      </c>
      <c r="H72" s="19" t="str">
        <f aca="false">IFERROR(F72+forecast.ets.confint($A72,$B$8:$B$95,$A$8:$A$95,0.95,4,1,1),"")</f>
        <v/>
      </c>
    </row>
    <row r="73" customFormat="false" ht="15" hidden="false" customHeight="false" outlineLevel="0" collapsed="false">
      <c r="A73" s="21" t="n">
        <v>45383</v>
      </c>
      <c r="B73" s="22" t="str">
        <f aca="false">IFERROR(haverdata(Codes!$D$17,$A73),"")</f>
        <v/>
      </c>
      <c r="C73" s="23" t="str">
        <f aca="false">IFERROR(B73/B72-1,"")</f>
        <v/>
      </c>
      <c r="D73" s="23" t="str">
        <f aca="false">IFERROR(B73/B69-1,"")</f>
        <v/>
      </c>
      <c r="E73" s="24" t="str">
        <f aca="false">IFERROR(IF(B73="",IFERROR(GROWTH($B$8:$B$95,$A$8:$A$95,$A73),TREND($B$8:$B$95,$A$8:$A$95,$A73)),""),"")</f>
        <v/>
      </c>
      <c r="F73" s="24" t="str">
        <f aca="false">IFERROR(forecast.ets($A73,$B$8:$B$95,$A$8:$A$95,4,1,1),"")</f>
        <v/>
      </c>
      <c r="G73" s="24" t="str">
        <f aca="false">IFERROR(F73-forecast.ets.confint($A73,$B$8:$B$95,$A$8:$A$95,0.95,4,1,1),"")</f>
        <v/>
      </c>
      <c r="H73" s="24" t="str">
        <f aca="false">IFERROR(F73+forecast.ets.confint($A73,$B$8:$B$95,$A$8:$A$95,0.95,4,1,1),"")</f>
        <v/>
      </c>
    </row>
    <row r="74" customFormat="false" ht="15" hidden="false" customHeight="false" outlineLevel="0" collapsed="false">
      <c r="A74" s="16" t="n">
        <v>45474</v>
      </c>
      <c r="B74" s="17" t="str">
        <f aca="false">IFERROR(haverdata(Codes!$D$17,$A74),"")</f>
        <v/>
      </c>
      <c r="C74" s="18" t="str">
        <f aca="false">IFERROR(B74/B73-1,"")</f>
        <v/>
      </c>
      <c r="D74" s="18" t="str">
        <f aca="false">IFERROR(B74/B70-1,"")</f>
        <v/>
      </c>
      <c r="E74" s="19" t="str">
        <f aca="false">IFERROR(IF(B74="",IFERROR(GROWTH($B$8:$B$95,$A$8:$A$95,$A74),TREND($B$8:$B$95,$A$8:$A$95,$A74)),""),"")</f>
        <v/>
      </c>
      <c r="F74" s="19" t="str">
        <f aca="false">IFERROR(forecast.ets($A74,$B$8:$B$95,$A$8:$A$95,4,1,1),"")</f>
        <v/>
      </c>
      <c r="G74" s="19" t="str">
        <f aca="false">IFERROR(F74-forecast.ets.confint($A74,$B$8:$B$95,$A$8:$A$95,0.95,4,1,1),"")</f>
        <v/>
      </c>
      <c r="H74" s="19" t="str">
        <f aca="false">IFERROR(F74+forecast.ets.confint($A74,$B$8:$B$95,$A$8:$A$95,0.95,4,1,1),"")</f>
        <v/>
      </c>
    </row>
    <row r="75" customFormat="false" ht="15" hidden="false" customHeight="false" outlineLevel="0" collapsed="false">
      <c r="A75" s="21" t="n">
        <v>45566</v>
      </c>
      <c r="B75" s="22" t="str">
        <f aca="false">IFERROR(haverdata(Codes!$D$17,$A75),"")</f>
        <v/>
      </c>
      <c r="C75" s="23" t="str">
        <f aca="false">IFERROR(B75/B74-1,"")</f>
        <v/>
      </c>
      <c r="D75" s="23" t="str">
        <f aca="false">IFERROR(B75/B71-1,"")</f>
        <v/>
      </c>
      <c r="E75" s="24" t="str">
        <f aca="false">IFERROR(IF(B75="",IFERROR(GROWTH($B$8:$B$95,$A$8:$A$95,$A75),TREND($B$8:$B$95,$A$8:$A$95,$A75)),""),"")</f>
        <v/>
      </c>
      <c r="F75" s="24" t="str">
        <f aca="false">IFERROR(forecast.ets($A75,$B$8:$B$95,$A$8:$A$95,4,1,1),"")</f>
        <v/>
      </c>
      <c r="G75" s="24" t="str">
        <f aca="false">IFERROR(F75-forecast.ets.confint($A75,$B$8:$B$95,$A$8:$A$95,0.95,4,1,1),"")</f>
        <v/>
      </c>
      <c r="H75" s="24" t="str">
        <f aca="false">IFERROR(F75+forecast.ets.confint($A75,$B$8:$B$95,$A$8:$A$95,0.95,4,1,1),"")</f>
        <v/>
      </c>
    </row>
    <row r="76" customFormat="false" ht="15" hidden="false" customHeight="false" outlineLevel="0" collapsed="false">
      <c r="A76" s="16" t="n">
        <v>45658</v>
      </c>
      <c r="B76" s="17" t="str">
        <f aca="false">IFERROR(haverdata(Codes!$D$17,$A76),"")</f>
        <v/>
      </c>
      <c r="C76" s="18" t="str">
        <f aca="false">IFERROR(B76/B75-1,"")</f>
        <v/>
      </c>
      <c r="D76" s="18" t="str">
        <f aca="false">IFERROR(B76/B72-1,"")</f>
        <v/>
      </c>
      <c r="E76" s="19" t="str">
        <f aca="false">IFERROR(IF(B76="",IFERROR(GROWTH($B$8:$B$95,$A$8:$A$95,$A76),TREND($B$8:$B$95,$A$8:$A$95,$A76)),""),"")</f>
        <v/>
      </c>
      <c r="F76" s="19" t="str">
        <f aca="false">IFERROR(forecast.ets($A76,$B$8:$B$95,$A$8:$A$95,4,1,1),"")</f>
        <v/>
      </c>
      <c r="G76" s="19" t="str">
        <f aca="false">IFERROR(F76-forecast.ets.confint($A76,$B$8:$B$95,$A$8:$A$95,0.95,4,1,1),"")</f>
        <v/>
      </c>
      <c r="H76" s="19" t="str">
        <f aca="false">IFERROR(F76+forecast.ets.confint($A76,$B$8:$B$95,$A$8:$A$95,0.95,4,1,1),"")</f>
        <v/>
      </c>
    </row>
    <row r="77" customFormat="false" ht="15" hidden="false" customHeight="false" outlineLevel="0" collapsed="false">
      <c r="A77" s="21" t="n">
        <v>45748</v>
      </c>
      <c r="B77" s="22" t="str">
        <f aca="false">IFERROR(haverdata(Codes!$D$17,$A77),"")</f>
        <v/>
      </c>
      <c r="C77" s="23" t="str">
        <f aca="false">IFERROR(B77/B76-1,"")</f>
        <v/>
      </c>
      <c r="D77" s="23" t="str">
        <f aca="false">IFERROR(B77/B73-1,"")</f>
        <v/>
      </c>
      <c r="E77" s="24" t="str">
        <f aca="false">IFERROR(IF(B77="",IFERROR(GROWTH($B$8:$B$95,$A$8:$A$95,$A77),TREND($B$8:$B$95,$A$8:$A$95,$A77)),""),"")</f>
        <v/>
      </c>
      <c r="F77" s="24" t="str">
        <f aca="false">IFERROR(forecast.ets($A77,$B$8:$B$95,$A$8:$A$95,4,1,1),"")</f>
        <v/>
      </c>
      <c r="G77" s="24" t="str">
        <f aca="false">IFERROR(F77-forecast.ets.confint($A77,$B$8:$B$95,$A$8:$A$95,0.95,4,1,1),"")</f>
        <v/>
      </c>
      <c r="H77" s="24" t="str">
        <f aca="false">IFERROR(F77+forecast.ets.confint($A77,$B$8:$B$95,$A$8:$A$95,0.95,4,1,1),"")</f>
        <v/>
      </c>
    </row>
    <row r="78" customFormat="false" ht="15" hidden="false" customHeight="false" outlineLevel="0" collapsed="false">
      <c r="A78" s="16" t="n">
        <v>45839</v>
      </c>
      <c r="B78" s="17" t="str">
        <f aca="false">IFERROR(haverdata(Codes!$D$17,$A78),"")</f>
        <v/>
      </c>
      <c r="C78" s="18" t="str">
        <f aca="false">IFERROR(B78/B77-1,"")</f>
        <v/>
      </c>
      <c r="D78" s="18" t="str">
        <f aca="false">IFERROR(B78/B74-1,"")</f>
        <v/>
      </c>
      <c r="E78" s="19" t="str">
        <f aca="false">IFERROR(IF(B78="",IFERROR(GROWTH($B$8:$B$95,$A$8:$A$95,$A78),TREND($B$8:$B$95,$A$8:$A$95,$A78)),""),"")</f>
        <v/>
      </c>
      <c r="F78" s="19" t="str">
        <f aca="false">IFERROR(forecast.ets($A78,$B$8:$B$95,$A$8:$A$95,4,1,1),"")</f>
        <v/>
      </c>
      <c r="G78" s="19" t="str">
        <f aca="false">IFERROR(F78-forecast.ets.confint($A78,$B$8:$B$95,$A$8:$A$95,0.95,4,1,1),"")</f>
        <v/>
      </c>
      <c r="H78" s="19" t="str">
        <f aca="false">IFERROR(F78+forecast.ets.confint($A78,$B$8:$B$95,$A$8:$A$95,0.95,4,1,1),"")</f>
        <v/>
      </c>
    </row>
    <row r="79" customFormat="false" ht="15" hidden="false" customHeight="false" outlineLevel="0" collapsed="false">
      <c r="A79" s="21" t="n">
        <v>45931</v>
      </c>
      <c r="B79" s="22" t="str">
        <f aca="false">IFERROR(haverdata(Codes!$D$17,$A79),"")</f>
        <v/>
      </c>
      <c r="C79" s="23" t="str">
        <f aca="false">IFERROR(B79/B78-1,"")</f>
        <v/>
      </c>
      <c r="D79" s="23" t="str">
        <f aca="false">IFERROR(B79/B75-1,"")</f>
        <v/>
      </c>
      <c r="E79" s="24" t="str">
        <f aca="false">IFERROR(IF(B79="",IFERROR(GROWTH($B$8:$B$95,$A$8:$A$95,$A79),TREND($B$8:$B$95,$A$8:$A$95,$A79)),""),"")</f>
        <v/>
      </c>
      <c r="F79" s="24" t="str">
        <f aca="false">IFERROR(forecast.ets($A79,$B$8:$B$95,$A$8:$A$95,4,1,1),"")</f>
        <v/>
      </c>
      <c r="G79" s="24" t="str">
        <f aca="false">IFERROR(F79-forecast.ets.confint($A79,$B$8:$B$95,$A$8:$A$95,0.95,4,1,1),"")</f>
        <v/>
      </c>
      <c r="H79" s="24" t="str">
        <f aca="false">IFERROR(F79+forecast.ets.confint($A79,$B$8:$B$95,$A$8:$A$95,0.95,4,1,1),"")</f>
        <v/>
      </c>
    </row>
    <row r="80" customFormat="false" ht="15" hidden="false" customHeight="false" outlineLevel="0" collapsed="false">
      <c r="A80" s="16" t="n">
        <v>46023</v>
      </c>
      <c r="B80" s="17" t="str">
        <f aca="false">IFERROR(haverdata(Codes!$D$17,$A80),"")</f>
        <v/>
      </c>
      <c r="C80" s="18" t="str">
        <f aca="false">IFERROR(B80/B79-1,"")</f>
        <v/>
      </c>
      <c r="D80" s="18" t="str">
        <f aca="false">IFERROR(B80/B76-1,"")</f>
        <v/>
      </c>
      <c r="E80" s="19" t="str">
        <f aca="false">IFERROR(IF(B80="",IFERROR(GROWTH($B$8:$B$95,$A$8:$A$95,$A80),TREND($B$8:$B$95,$A$8:$A$95,$A80)),""),"")</f>
        <v/>
      </c>
      <c r="F80" s="19" t="str">
        <f aca="false">IFERROR(forecast.ets($A80,$B$8:$B$95,$A$8:$A$95,4,1,1),"")</f>
        <v/>
      </c>
      <c r="G80" s="19" t="str">
        <f aca="false">IFERROR(F80-forecast.ets.confint($A80,$B$8:$B$95,$A$8:$A$95,0.95,4,1,1),"")</f>
        <v/>
      </c>
      <c r="H80" s="19" t="str">
        <f aca="false">IFERROR(F80+forecast.ets.confint($A80,$B$8:$B$95,$A$8:$A$95,0.95,4,1,1),"")</f>
        <v/>
      </c>
    </row>
    <row r="81" customFormat="false" ht="15" hidden="false" customHeight="false" outlineLevel="0" collapsed="false">
      <c r="A81" s="21" t="n">
        <v>46113</v>
      </c>
      <c r="B81" s="22" t="str">
        <f aca="false">IFERROR(haverdata(Codes!$D$17,$A81),"")</f>
        <v/>
      </c>
      <c r="C81" s="23" t="str">
        <f aca="false">IFERROR(B81/B80-1,"")</f>
        <v/>
      </c>
      <c r="D81" s="23" t="str">
        <f aca="false">IFERROR(B81/B77-1,"")</f>
        <v/>
      </c>
      <c r="E81" s="24" t="str">
        <f aca="false">IFERROR(IF(B81="",IFERROR(GROWTH($B$8:$B$95,$A$8:$A$95,$A81),TREND($B$8:$B$95,$A$8:$A$95,$A81)),""),"")</f>
        <v/>
      </c>
      <c r="F81" s="24" t="str">
        <f aca="false">IFERROR(forecast.ets($A81,$B$8:$B$95,$A$8:$A$95,4,1,1),"")</f>
        <v/>
      </c>
      <c r="G81" s="24" t="str">
        <f aca="false">IFERROR(F81-forecast.ets.confint($A81,$B$8:$B$95,$A$8:$A$95,0.95,4,1,1),"")</f>
        <v/>
      </c>
      <c r="H81" s="24" t="str">
        <f aca="false">IFERROR(F81+forecast.ets.confint($A81,$B$8:$B$95,$A$8:$A$95,0.95,4,1,1),"")</f>
        <v/>
      </c>
    </row>
    <row r="82" customFormat="false" ht="15" hidden="false" customHeight="false" outlineLevel="0" collapsed="false">
      <c r="A82" s="16" t="n">
        <v>46204</v>
      </c>
      <c r="B82" s="17" t="str">
        <f aca="false">IFERROR(haverdata(Codes!$D$17,$A82),"")</f>
        <v/>
      </c>
      <c r="C82" s="18" t="str">
        <f aca="false">IFERROR(B82/B81-1,"")</f>
        <v/>
      </c>
      <c r="D82" s="18" t="str">
        <f aca="false">IFERROR(B82/B78-1,"")</f>
        <v/>
      </c>
      <c r="E82" s="19" t="str">
        <f aca="false">IFERROR(IF(B82="",IFERROR(GROWTH($B$8:$B$95,$A$8:$A$95,$A82),TREND($B$8:$B$95,$A$8:$A$95,$A82)),""),"")</f>
        <v/>
      </c>
      <c r="F82" s="19" t="str">
        <f aca="false">IFERROR(forecast.ets($A82,$B$8:$B$95,$A$8:$A$95,4,1,1),"")</f>
        <v/>
      </c>
      <c r="G82" s="19" t="str">
        <f aca="false">IFERROR(F82-forecast.ets.confint($A82,$B$8:$B$95,$A$8:$A$95,0.95,4,1,1),"")</f>
        <v/>
      </c>
      <c r="H82" s="19" t="str">
        <f aca="false">IFERROR(F82+forecast.ets.confint($A82,$B$8:$B$95,$A$8:$A$95,0.95,4,1,1),"")</f>
        <v/>
      </c>
    </row>
    <row r="83" customFormat="false" ht="15" hidden="false" customHeight="false" outlineLevel="0" collapsed="false">
      <c r="A83" s="21" t="n">
        <v>46296</v>
      </c>
      <c r="B83" s="22" t="str">
        <f aca="false">IFERROR(haverdata(Codes!$D$17,$A83),"")</f>
        <v/>
      </c>
      <c r="C83" s="23" t="str">
        <f aca="false">IFERROR(B83/B82-1,"")</f>
        <v/>
      </c>
      <c r="D83" s="23" t="str">
        <f aca="false">IFERROR(B83/B79-1,"")</f>
        <v/>
      </c>
      <c r="E83" s="24" t="str">
        <f aca="false">IFERROR(IF(B83="",IFERROR(GROWTH($B$8:$B$95,$A$8:$A$95,$A83),TREND($B$8:$B$95,$A$8:$A$95,$A83)),""),"")</f>
        <v/>
      </c>
      <c r="F83" s="24" t="str">
        <f aca="false">IFERROR(forecast.ets($A83,$B$8:$B$95,$A$8:$A$95,4,1,1),"")</f>
        <v/>
      </c>
      <c r="G83" s="24" t="str">
        <f aca="false">IFERROR(F83-forecast.ets.confint($A83,$B$8:$B$95,$A$8:$A$95,0.95,4,1,1),"")</f>
        <v/>
      </c>
      <c r="H83" s="24" t="str">
        <f aca="false">IFERROR(F83+forecast.ets.confint($A83,$B$8:$B$95,$A$8:$A$95,0.95,4,1,1),"")</f>
        <v/>
      </c>
    </row>
    <row r="84" customFormat="false" ht="15" hidden="false" customHeight="false" outlineLevel="0" collapsed="false">
      <c r="A84" s="16" t="n">
        <v>46388</v>
      </c>
      <c r="B84" s="17" t="str">
        <f aca="false">IFERROR(haverdata(Codes!$D$17,$A84),"")</f>
        <v/>
      </c>
      <c r="C84" s="18" t="str">
        <f aca="false">IFERROR(B84/B83-1,"")</f>
        <v/>
      </c>
      <c r="D84" s="18" t="str">
        <f aca="false">IFERROR(B84/B80-1,"")</f>
        <v/>
      </c>
      <c r="E84" s="19" t="str">
        <f aca="false">IFERROR(IF(B84="",IFERROR(GROWTH($B$8:$B$95,$A$8:$A$95,$A84),TREND($B$8:$B$95,$A$8:$A$95,$A84)),""),"")</f>
        <v/>
      </c>
      <c r="F84" s="19" t="str">
        <f aca="false">IFERROR(forecast.ets($A84,$B$8:$B$95,$A$8:$A$95,4,1,1),"")</f>
        <v/>
      </c>
      <c r="G84" s="19" t="str">
        <f aca="false">IFERROR(F84-forecast.ets.confint($A84,$B$8:$B$95,$A$8:$A$95,0.95,4,1,1),"")</f>
        <v/>
      </c>
      <c r="H84" s="19" t="str">
        <f aca="false">IFERROR(F84+forecast.ets.confint($A84,$B$8:$B$95,$A$8:$A$95,0.95,4,1,1),"")</f>
        <v/>
      </c>
    </row>
    <row r="85" customFormat="false" ht="15" hidden="false" customHeight="false" outlineLevel="0" collapsed="false">
      <c r="A85" s="21" t="n">
        <v>46478</v>
      </c>
      <c r="B85" s="22" t="str">
        <f aca="false">IFERROR(haverdata(Codes!$D$17,$A85),"")</f>
        <v/>
      </c>
      <c r="C85" s="23" t="str">
        <f aca="false">IFERROR(B85/B84-1,"")</f>
        <v/>
      </c>
      <c r="D85" s="23" t="str">
        <f aca="false">IFERROR(B85/B81-1,"")</f>
        <v/>
      </c>
      <c r="E85" s="24" t="str">
        <f aca="false">IFERROR(IF(B85="",IFERROR(GROWTH($B$8:$B$95,$A$8:$A$95,$A85),TREND($B$8:$B$95,$A$8:$A$95,$A85)),""),"")</f>
        <v/>
      </c>
      <c r="F85" s="24" t="str">
        <f aca="false">IFERROR(forecast.ets($A85,$B$8:$B$95,$A$8:$A$95,4,1,1),"")</f>
        <v/>
      </c>
      <c r="G85" s="24" t="str">
        <f aca="false">IFERROR(F85-forecast.ets.confint($A85,$B$8:$B$95,$A$8:$A$95,0.95,4,1,1),"")</f>
        <v/>
      </c>
      <c r="H85" s="24" t="str">
        <f aca="false">IFERROR(F85+forecast.ets.confint($A85,$B$8:$B$95,$A$8:$A$95,0.95,4,1,1),"")</f>
        <v/>
      </c>
    </row>
    <row r="86" customFormat="false" ht="15" hidden="false" customHeight="false" outlineLevel="0" collapsed="false">
      <c r="A86" s="16" t="n">
        <v>46569</v>
      </c>
      <c r="B86" s="17" t="str">
        <f aca="false">IFERROR(haverdata(Codes!$D$17,$A86),"")</f>
        <v/>
      </c>
      <c r="C86" s="18" t="str">
        <f aca="false">IFERROR(B86/B85-1,"")</f>
        <v/>
      </c>
      <c r="D86" s="18" t="str">
        <f aca="false">IFERROR(B86/B82-1,"")</f>
        <v/>
      </c>
      <c r="E86" s="19" t="str">
        <f aca="false">IFERROR(IF(B86="",IFERROR(GROWTH($B$8:$B$95,$A$8:$A$95,$A86),TREND($B$8:$B$95,$A$8:$A$95,$A86)),""),"")</f>
        <v/>
      </c>
      <c r="F86" s="19" t="str">
        <f aca="false">IFERROR(forecast.ets($A86,$B$8:$B$95,$A$8:$A$95,4,1,1),"")</f>
        <v/>
      </c>
      <c r="G86" s="19" t="str">
        <f aca="false">IFERROR(F86-forecast.ets.confint($A86,$B$8:$B$95,$A$8:$A$95,0.95,4,1,1),"")</f>
        <v/>
      </c>
      <c r="H86" s="19" t="str">
        <f aca="false">IFERROR(F86+forecast.ets.confint($A86,$B$8:$B$95,$A$8:$A$95,0.95,4,1,1),"")</f>
        <v/>
      </c>
    </row>
    <row r="87" customFormat="false" ht="15" hidden="false" customHeight="false" outlineLevel="0" collapsed="false">
      <c r="A87" s="21" t="n">
        <v>46661</v>
      </c>
      <c r="B87" s="22" t="str">
        <f aca="false">IFERROR(haverdata(Codes!$D$17,$A87),"")</f>
        <v/>
      </c>
      <c r="C87" s="23" t="str">
        <f aca="false">IFERROR(B87/B86-1,"")</f>
        <v/>
      </c>
      <c r="D87" s="23" t="str">
        <f aca="false">IFERROR(B87/B83-1,"")</f>
        <v/>
      </c>
      <c r="E87" s="24" t="str">
        <f aca="false">IFERROR(IF(B87="",IFERROR(GROWTH($B$8:$B$95,$A$8:$A$95,$A87),TREND($B$8:$B$95,$A$8:$A$95,$A87)),""),"")</f>
        <v/>
      </c>
      <c r="F87" s="24" t="str">
        <f aca="false">IFERROR(forecast.ets($A87,$B$8:$B$95,$A$8:$A$95,4,1,1),"")</f>
        <v/>
      </c>
      <c r="G87" s="24" t="str">
        <f aca="false">IFERROR(F87-forecast.ets.confint($A87,$B$8:$B$95,$A$8:$A$95,0.95,4,1,1),"")</f>
        <v/>
      </c>
      <c r="H87" s="24" t="str">
        <f aca="false">IFERROR(F87+forecast.ets.confint($A87,$B$8:$B$95,$A$8:$A$95,0.95,4,1,1),"")</f>
        <v/>
      </c>
    </row>
    <row r="88" customFormat="false" ht="15" hidden="false" customHeight="false" outlineLevel="0" collapsed="false">
      <c r="A88" s="16" t="n">
        <v>46753</v>
      </c>
      <c r="B88" s="17" t="str">
        <f aca="false">IFERROR(haverdata(Codes!$D$17,$A88),"")</f>
        <v/>
      </c>
      <c r="C88" s="18" t="str">
        <f aca="false">IFERROR(B88/B87-1,"")</f>
        <v/>
      </c>
      <c r="D88" s="18" t="str">
        <f aca="false">IFERROR(B88/B84-1,"")</f>
        <v/>
      </c>
      <c r="E88" s="19" t="str">
        <f aca="false">IFERROR(IF(B88="",IFERROR(GROWTH($B$8:$B$95,$A$8:$A$95,$A88),TREND($B$8:$B$95,$A$8:$A$95,$A88)),""),"")</f>
        <v/>
      </c>
      <c r="F88" s="19" t="str">
        <f aca="false">IFERROR(forecast.ets($A88,$B$8:$B$95,$A$8:$A$95,4,1,1),"")</f>
        <v/>
      </c>
      <c r="G88" s="19" t="str">
        <f aca="false">IFERROR(F88-forecast.ets.confint($A88,$B$8:$B$95,$A$8:$A$95,0.95,4,1,1),"")</f>
        <v/>
      </c>
      <c r="H88" s="19" t="str">
        <f aca="false">IFERROR(F88+forecast.ets.confint($A88,$B$8:$B$95,$A$8:$A$95,0.95,4,1,1),"")</f>
        <v/>
      </c>
    </row>
    <row r="89" customFormat="false" ht="15" hidden="false" customHeight="false" outlineLevel="0" collapsed="false">
      <c r="A89" s="21" t="n">
        <v>46844</v>
      </c>
      <c r="B89" s="22" t="str">
        <f aca="false">IFERROR(haverdata(Codes!$D$17,$A89),"")</f>
        <v/>
      </c>
      <c r="C89" s="23" t="str">
        <f aca="false">IFERROR(B89/B88-1,"")</f>
        <v/>
      </c>
      <c r="D89" s="23" t="str">
        <f aca="false">IFERROR(B89/B85-1,"")</f>
        <v/>
      </c>
      <c r="E89" s="24" t="str">
        <f aca="false">IFERROR(IF(B89="",IFERROR(GROWTH($B$8:$B$95,$A$8:$A$95,$A89),TREND($B$8:$B$95,$A$8:$A$95,$A89)),""),"")</f>
        <v/>
      </c>
      <c r="F89" s="24" t="str">
        <f aca="false">IFERROR(forecast.ets($A89,$B$8:$B$95,$A$8:$A$95,4,1,1),"")</f>
        <v/>
      </c>
      <c r="G89" s="24" t="str">
        <f aca="false">IFERROR(F89-forecast.ets.confint($A89,$B$8:$B$95,$A$8:$A$95,0.95,4,1,1),"")</f>
        <v/>
      </c>
      <c r="H89" s="24" t="str">
        <f aca="false">IFERROR(F89+forecast.ets.confint($A89,$B$8:$B$95,$A$8:$A$95,0.95,4,1,1),"")</f>
        <v/>
      </c>
    </row>
    <row r="90" customFormat="false" ht="15" hidden="false" customHeight="false" outlineLevel="0" collapsed="false">
      <c r="A90" s="16" t="n">
        <v>46935</v>
      </c>
      <c r="B90" s="17" t="str">
        <f aca="false">IFERROR(haverdata(Codes!$D$17,$A90),"")</f>
        <v/>
      </c>
      <c r="C90" s="18" t="str">
        <f aca="false">IFERROR(B90/B89-1,"")</f>
        <v/>
      </c>
      <c r="D90" s="18" t="str">
        <f aca="false">IFERROR(B90/B86-1,"")</f>
        <v/>
      </c>
      <c r="E90" s="19" t="str">
        <f aca="false">IFERROR(IF(B90="",IFERROR(GROWTH($B$8:$B$95,$A$8:$A$95,$A90),TREND($B$8:$B$95,$A$8:$A$95,$A90)),""),"")</f>
        <v/>
      </c>
      <c r="F90" s="19" t="str">
        <f aca="false">IFERROR(forecast.ets($A90,$B$8:$B$95,$A$8:$A$95,4,1,1),"")</f>
        <v/>
      </c>
      <c r="G90" s="19" t="str">
        <f aca="false">IFERROR(F90-forecast.ets.confint($A90,$B$8:$B$95,$A$8:$A$95,0.95,4,1,1),"")</f>
        <v/>
      </c>
      <c r="H90" s="19" t="str">
        <f aca="false">IFERROR(F90+forecast.ets.confint($A90,$B$8:$B$95,$A$8:$A$95,0.95,4,1,1),"")</f>
        <v/>
      </c>
    </row>
    <row r="91" customFormat="false" ht="15" hidden="false" customHeight="false" outlineLevel="0" collapsed="false">
      <c r="A91" s="21" t="n">
        <v>47027</v>
      </c>
      <c r="B91" s="22" t="str">
        <f aca="false">IFERROR(haverdata(Codes!$D$17,$A91),"")</f>
        <v/>
      </c>
      <c r="C91" s="23" t="str">
        <f aca="false">IFERROR(B91/B90-1,"")</f>
        <v/>
      </c>
      <c r="D91" s="23" t="str">
        <f aca="false">IFERROR(B91/B87-1,"")</f>
        <v/>
      </c>
      <c r="E91" s="24" t="str">
        <f aca="false">IFERROR(IF(B91="",IFERROR(GROWTH($B$8:$B$95,$A$8:$A$95,$A91),TREND($B$8:$B$95,$A$8:$A$95,$A91)),""),"")</f>
        <v/>
      </c>
      <c r="F91" s="24" t="str">
        <f aca="false">IFERROR(forecast.ets($A91,$B$8:$B$95,$A$8:$A$95,4,1,1),"")</f>
        <v/>
      </c>
      <c r="G91" s="24" t="str">
        <f aca="false">IFERROR(F91-forecast.ets.confint($A91,$B$8:$B$95,$A$8:$A$95,0.95,4,1,1),"")</f>
        <v/>
      </c>
      <c r="H91" s="24" t="str">
        <f aca="false">IFERROR(F91+forecast.ets.confint($A91,$B$8:$B$95,$A$8:$A$95,0.95,4,1,1),"")</f>
        <v/>
      </c>
    </row>
    <row r="92" customFormat="false" ht="15" hidden="false" customHeight="false" outlineLevel="0" collapsed="false">
      <c r="A92" s="16" t="n">
        <v>47119</v>
      </c>
      <c r="B92" s="17" t="str">
        <f aca="false">IFERROR(haverdata(Codes!$D$17,$A92),"")</f>
        <v/>
      </c>
      <c r="C92" s="18" t="str">
        <f aca="false">IFERROR(B92/B91-1,"")</f>
        <v/>
      </c>
      <c r="D92" s="18" t="str">
        <f aca="false">IFERROR(B92/B88-1,"")</f>
        <v/>
      </c>
      <c r="E92" s="19" t="str">
        <f aca="false">IFERROR(IF(B92="",IFERROR(GROWTH($B$8:$B$95,$A$8:$A$95,$A92),TREND($B$8:$B$95,$A$8:$A$95,$A92)),""),"")</f>
        <v/>
      </c>
      <c r="F92" s="19" t="str">
        <f aca="false">IFERROR(forecast.ets($A92,$B$8:$B$95,$A$8:$A$95,4,1,1),"")</f>
        <v/>
      </c>
      <c r="G92" s="19" t="str">
        <f aca="false">IFERROR(F92-forecast.ets.confint($A92,$B$8:$B$95,$A$8:$A$95,0.95,4,1,1),"")</f>
        <v/>
      </c>
      <c r="H92" s="19" t="str">
        <f aca="false">IFERROR(F92+forecast.ets.confint($A92,$B$8:$B$95,$A$8:$A$95,0.95,4,1,1),"")</f>
        <v/>
      </c>
    </row>
    <row r="93" customFormat="false" ht="15" hidden="false" customHeight="false" outlineLevel="0" collapsed="false">
      <c r="A93" s="21" t="n">
        <v>47209</v>
      </c>
      <c r="B93" s="22" t="str">
        <f aca="false">IFERROR(haverdata(Codes!$D$17,$A93),"")</f>
        <v/>
      </c>
      <c r="C93" s="23" t="str">
        <f aca="false">IFERROR(B93/B92-1,"")</f>
        <v/>
      </c>
      <c r="D93" s="23" t="str">
        <f aca="false">IFERROR(B93/B89-1,"")</f>
        <v/>
      </c>
      <c r="E93" s="24" t="str">
        <f aca="false">IFERROR(IF(B93="",IFERROR(GROWTH($B$8:$B$95,$A$8:$A$95,$A93),TREND($B$8:$B$95,$A$8:$A$95,$A93)),""),"")</f>
        <v/>
      </c>
      <c r="F93" s="24" t="str">
        <f aca="false">IFERROR(forecast.ets($A93,$B$8:$B$95,$A$8:$A$95,4,1,1),"")</f>
        <v/>
      </c>
      <c r="G93" s="24" t="str">
        <f aca="false">IFERROR(F93-forecast.ets.confint($A93,$B$8:$B$95,$A$8:$A$95,0.95,4,1,1),"")</f>
        <v/>
      </c>
      <c r="H93" s="24" t="str">
        <f aca="false">IFERROR(F93+forecast.ets.confint($A93,$B$8:$B$95,$A$8:$A$95,0.95,4,1,1),"")</f>
        <v/>
      </c>
    </row>
    <row r="94" customFormat="false" ht="15" hidden="false" customHeight="false" outlineLevel="0" collapsed="false">
      <c r="A94" s="16" t="n">
        <v>47300</v>
      </c>
      <c r="B94" s="17" t="str">
        <f aca="false">IFERROR(haverdata(Codes!$D$17,$A94),"")</f>
        <v/>
      </c>
      <c r="C94" s="18" t="str">
        <f aca="false">IFERROR(B94/B93-1,"")</f>
        <v/>
      </c>
      <c r="D94" s="18" t="str">
        <f aca="false">IFERROR(B94/B90-1,"")</f>
        <v/>
      </c>
      <c r="E94" s="19" t="str">
        <f aca="false">IFERROR(IF(B94="",IFERROR(GROWTH($B$8:$B$95,$A$8:$A$95,$A94),TREND($B$8:$B$95,$A$8:$A$95,$A94)),""),"")</f>
        <v/>
      </c>
      <c r="F94" s="19" t="str">
        <f aca="false">IFERROR(forecast.ets($A94,$B$8:$B$95,$A$8:$A$95,4,1,1),"")</f>
        <v/>
      </c>
      <c r="G94" s="19" t="str">
        <f aca="false">IFERROR(F94-forecast.ets.confint($A94,$B$8:$B$95,$A$8:$A$95,0.95,4,1,1),"")</f>
        <v/>
      </c>
      <c r="H94" s="19" t="str">
        <f aca="false">IFERROR(F94+forecast.ets.confint($A94,$B$8:$B$95,$A$8:$A$95,0.95,4,1,1),"")</f>
        <v/>
      </c>
    </row>
    <row r="95" customFormat="false" ht="15" hidden="false" customHeight="false" outlineLevel="0" collapsed="false">
      <c r="A95" s="21" t="n">
        <v>47392</v>
      </c>
      <c r="B95" s="22" t="str">
        <f aca="false">IFERROR(haverdata(Codes!$D$17,$A95),"")</f>
        <v/>
      </c>
      <c r="C95" s="23" t="str">
        <f aca="false">IFERROR(B95/B94-1,"")</f>
        <v/>
      </c>
      <c r="D95" s="23" t="str">
        <f aca="false">IFERROR(B95/B91-1,"")</f>
        <v/>
      </c>
      <c r="E95" s="24" t="str">
        <f aca="false">IFERROR(IF(B95="",IFERROR(GROWTH($B$8:$B$95,$A$8:$A$95,$A95),TREND($B$8:$B$95,$A$8:$A$95,$A95)),""),"")</f>
        <v/>
      </c>
      <c r="F95" s="24" t="str">
        <f aca="false">IFERROR(forecast.ets($A95,$B$8:$B$95,$A$8:$A$95,4,1,1),"")</f>
        <v/>
      </c>
      <c r="G95" s="24" t="str">
        <f aca="false">IFERROR(F95-forecast.ets.confint($A95,$B$8:$B$95,$A$8:$A$95,0.95,4,1,1),"")</f>
        <v/>
      </c>
      <c r="H95" s="24" t="str">
        <f aca="false">IFERROR(F95+forecast.ets.confint($A95,$B$8:$B$95,$A$8:$A$95,0.95,4,1,1),"")</f>
        <v/>
      </c>
    </row>
    <row r="100" customFormat="false" ht="21.75" hidden="false" customHeight="true" outlineLevel="0" collapsed="false">
      <c r="A100" s="13" t="str">
        <f aca="false">Codes!$B$18&amp;"   ["&amp;Codes!$D$18&amp;"]   "&amp;Codes!$F$18</f>
        <v>Net International Reserves   [RESNET@ARGEN]   USD Mn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customFormat="false" ht="15" hidden="false" customHeight="false" outlineLevel="0" collapsed="false">
      <c r="A101" s="4" t="s">
        <v>107</v>
      </c>
      <c r="B101" s="14" t="str">
        <f aca="false">Codes!$G$18</f>
        <v>last</v>
      </c>
      <c r="D101" s="4" t="s">
        <v>108</v>
      </c>
      <c r="E101" s="6" t="str">
        <f aca="false">Codes!$H$18</f>
        <v>BCRA NIR. [VERIFY]</v>
      </c>
      <c r="F101" s="6"/>
      <c r="G101" s="6"/>
      <c r="H101" s="6"/>
      <c r="I101" s="6"/>
      <c r="J101" s="6"/>
      <c r="K101" s="6"/>
      <c r="L101" s="6"/>
      <c r="M101" s="6"/>
    </row>
    <row r="102" customFormat="false" ht="18" hidden="false" customHeight="true" outlineLevel="0" collapsed="false">
      <c r="A102" s="15" t="s">
        <v>109</v>
      </c>
      <c r="B102" s="15"/>
      <c r="C102" s="15"/>
      <c r="D102" s="15"/>
      <c r="E102" s="15"/>
      <c r="F102" s="15"/>
      <c r="G102" s="15"/>
      <c r="H102" s="15"/>
      <c r="J102" s="15" t="s">
        <v>110</v>
      </c>
      <c r="K102" s="15"/>
      <c r="L102" s="15"/>
      <c r="M102" s="15"/>
    </row>
    <row r="103" customFormat="false" ht="15" hidden="false" customHeight="false" outlineLevel="0" collapsed="false">
      <c r="A103" s="7" t="s">
        <v>111</v>
      </c>
      <c r="B103" s="7" t="s">
        <v>112</v>
      </c>
      <c r="C103" s="7" t="s">
        <v>113</v>
      </c>
      <c r="D103" s="7" t="s">
        <v>114</v>
      </c>
      <c r="E103" s="7" t="s">
        <v>115</v>
      </c>
      <c r="F103" s="7" t="s">
        <v>116</v>
      </c>
      <c r="G103" s="7" t="s">
        <v>117</v>
      </c>
      <c r="H103" s="7" t="s">
        <v>118</v>
      </c>
      <c r="J103" s="7" t="s">
        <v>119</v>
      </c>
      <c r="K103" s="7" t="s">
        <v>112</v>
      </c>
      <c r="L103" s="7" t="s">
        <v>114</v>
      </c>
      <c r="M103" s="7" t="s">
        <v>120</v>
      </c>
    </row>
    <row r="104" customFormat="false" ht="15" hidden="false" customHeight="false" outlineLevel="0" collapsed="false">
      <c r="A104" s="16" t="n">
        <v>39448</v>
      </c>
      <c r="B104" s="17" t="str">
        <f aca="false">IFERROR(haverdata(Codes!$D$18,$A104),"")</f>
        <v/>
      </c>
      <c r="C104" s="18"/>
      <c r="D104" s="18"/>
      <c r="E104" s="19" t="str">
        <f aca="false">IFERROR(IF(B104="",IFERROR(GROWTH($B$104:$B$191,$A$104:$A$191,$A104),TREND($B$104:$B$191,$A$104:$A$191,$A104)),""),"")</f>
        <v/>
      </c>
      <c r="F104" s="19" t="str">
        <f aca="false">IFERROR(forecast.ets($A104,$B$104:$B$191,$A$104:$A$191,4,1,1),"")</f>
        <v/>
      </c>
      <c r="G104" s="19" t="str">
        <f aca="false">IFERROR(F104-forecast.ets.confint($A104,$B$104:$B$191,$A$104:$A$191,0.95,4,1,1),"")</f>
        <v/>
      </c>
      <c r="H104" s="19" t="str">
        <f aca="false">IFERROR(F104+forecast.ets.confint($A104,$B$104:$B$191,$A$104:$A$191,0.95,4,1,1),"")</f>
        <v/>
      </c>
      <c r="J104" s="20" t="n">
        <v>2008</v>
      </c>
      <c r="K104" s="19" t="str">
        <f aca="false">IFERROR(INDEX($B$104:$B$191,MATCH(DATE(J104,10,1),$A$104:$A$191,0)),"")</f>
        <v/>
      </c>
      <c r="L104" s="18"/>
      <c r="M104" s="19" t="str">
        <f aca="false">IFERROR(INDEX($F$104:$F$191,MATCH(DATE(J104,10,1),$A$104:$A$191,0)),"")</f>
        <v/>
      </c>
    </row>
    <row r="105" customFormat="false" ht="15" hidden="false" customHeight="false" outlineLevel="0" collapsed="false">
      <c r="A105" s="21" t="n">
        <v>39539</v>
      </c>
      <c r="B105" s="22" t="str">
        <f aca="false">IFERROR(haverdata(Codes!$D$18,$A105),"")</f>
        <v/>
      </c>
      <c r="C105" s="23" t="str">
        <f aca="false">IFERROR(B105/B104-1,"")</f>
        <v/>
      </c>
      <c r="D105" s="23"/>
      <c r="E105" s="24" t="str">
        <f aca="false">IFERROR(IF(B105="",IFERROR(GROWTH($B$104:$B$191,$A$104:$A$191,$A105),TREND($B$104:$B$191,$A$104:$A$191,$A105)),""),"")</f>
        <v/>
      </c>
      <c r="F105" s="24" t="str">
        <f aca="false">IFERROR(forecast.ets($A105,$B$104:$B$191,$A$104:$A$191,4,1,1),"")</f>
        <v/>
      </c>
      <c r="G105" s="24" t="str">
        <f aca="false">IFERROR(F105-forecast.ets.confint($A105,$B$104:$B$191,$A$104:$A$191,0.95,4,1,1),"")</f>
        <v/>
      </c>
      <c r="H105" s="24" t="str">
        <f aca="false">IFERROR(F105+forecast.ets.confint($A105,$B$104:$B$191,$A$104:$A$191,0.95,4,1,1),"")</f>
        <v/>
      </c>
      <c r="J105" s="25" t="n">
        <v>2009</v>
      </c>
      <c r="K105" s="24" t="str">
        <f aca="false">IFERROR(INDEX($B$104:$B$191,MATCH(DATE(J105,10,1),$A$104:$A$191,0)),"")</f>
        <v/>
      </c>
      <c r="L105" s="23" t="str">
        <f aca="false">IFERROR(K105/K104-1,"")</f>
        <v/>
      </c>
      <c r="M105" s="24" t="str">
        <f aca="false">IFERROR(INDEX($F$104:$F$191,MATCH(DATE(J105,10,1),$A$104:$A$191,0)),"")</f>
        <v/>
      </c>
    </row>
    <row r="106" customFormat="false" ht="15" hidden="false" customHeight="false" outlineLevel="0" collapsed="false">
      <c r="A106" s="16" t="n">
        <v>39630</v>
      </c>
      <c r="B106" s="17" t="str">
        <f aca="false">IFERROR(haverdata(Codes!$D$18,$A106),"")</f>
        <v/>
      </c>
      <c r="C106" s="18" t="str">
        <f aca="false">IFERROR(B106/B105-1,"")</f>
        <v/>
      </c>
      <c r="D106" s="18"/>
      <c r="E106" s="19" t="str">
        <f aca="false">IFERROR(IF(B106="",IFERROR(GROWTH($B$104:$B$191,$A$104:$A$191,$A106),TREND($B$104:$B$191,$A$104:$A$191,$A106)),""),"")</f>
        <v/>
      </c>
      <c r="F106" s="19" t="str">
        <f aca="false">IFERROR(forecast.ets($A106,$B$104:$B$191,$A$104:$A$191,4,1,1),"")</f>
        <v/>
      </c>
      <c r="G106" s="19" t="str">
        <f aca="false">IFERROR(F106-forecast.ets.confint($A106,$B$104:$B$191,$A$104:$A$191,0.95,4,1,1),"")</f>
        <v/>
      </c>
      <c r="H106" s="19" t="str">
        <f aca="false">IFERROR(F106+forecast.ets.confint($A106,$B$104:$B$191,$A$104:$A$191,0.95,4,1,1),"")</f>
        <v/>
      </c>
      <c r="J106" s="20" t="n">
        <v>2010</v>
      </c>
      <c r="K106" s="19" t="str">
        <f aca="false">IFERROR(INDEX($B$104:$B$191,MATCH(DATE(J106,10,1),$A$104:$A$191,0)),"")</f>
        <v/>
      </c>
      <c r="L106" s="18" t="str">
        <f aca="false">IFERROR(K106/K105-1,"")</f>
        <v/>
      </c>
      <c r="M106" s="19" t="str">
        <f aca="false">IFERROR(INDEX($F$104:$F$191,MATCH(DATE(J106,10,1),$A$104:$A$191,0)),"")</f>
        <v/>
      </c>
    </row>
    <row r="107" customFormat="false" ht="15" hidden="false" customHeight="false" outlineLevel="0" collapsed="false">
      <c r="A107" s="21" t="n">
        <v>39722</v>
      </c>
      <c r="B107" s="22" t="str">
        <f aca="false">IFERROR(haverdata(Codes!$D$18,$A107),"")</f>
        <v/>
      </c>
      <c r="C107" s="23" t="str">
        <f aca="false">IFERROR(B107/B106-1,"")</f>
        <v/>
      </c>
      <c r="D107" s="23"/>
      <c r="E107" s="24" t="str">
        <f aca="false">IFERROR(IF(B107="",IFERROR(GROWTH($B$104:$B$191,$A$104:$A$191,$A107),TREND($B$104:$B$191,$A$104:$A$191,$A107)),""),"")</f>
        <v/>
      </c>
      <c r="F107" s="24" t="str">
        <f aca="false">IFERROR(forecast.ets($A107,$B$104:$B$191,$A$104:$A$191,4,1,1),"")</f>
        <v/>
      </c>
      <c r="G107" s="24" t="str">
        <f aca="false">IFERROR(F107-forecast.ets.confint($A107,$B$104:$B$191,$A$104:$A$191,0.95,4,1,1),"")</f>
        <v/>
      </c>
      <c r="H107" s="24" t="str">
        <f aca="false">IFERROR(F107+forecast.ets.confint($A107,$B$104:$B$191,$A$104:$A$191,0.95,4,1,1),"")</f>
        <v/>
      </c>
      <c r="J107" s="25" t="n">
        <v>2011</v>
      </c>
      <c r="K107" s="24" t="str">
        <f aca="false">IFERROR(INDEX($B$104:$B$191,MATCH(DATE(J107,10,1),$A$104:$A$191,0)),"")</f>
        <v/>
      </c>
      <c r="L107" s="23" t="str">
        <f aca="false">IFERROR(K107/K106-1,"")</f>
        <v/>
      </c>
      <c r="M107" s="24" t="str">
        <f aca="false">IFERROR(INDEX($F$104:$F$191,MATCH(DATE(J107,10,1),$A$104:$A$191,0)),"")</f>
        <v/>
      </c>
    </row>
    <row r="108" customFormat="false" ht="15" hidden="false" customHeight="false" outlineLevel="0" collapsed="false">
      <c r="A108" s="16" t="n">
        <v>39814</v>
      </c>
      <c r="B108" s="17" t="str">
        <f aca="false">IFERROR(haverdata(Codes!$D$18,$A108),"")</f>
        <v/>
      </c>
      <c r="C108" s="18" t="str">
        <f aca="false">IFERROR(B108/B107-1,"")</f>
        <v/>
      </c>
      <c r="D108" s="18" t="str">
        <f aca="false">IFERROR(B108/B104-1,"")</f>
        <v/>
      </c>
      <c r="E108" s="19" t="str">
        <f aca="false">IFERROR(IF(B108="",IFERROR(GROWTH($B$104:$B$191,$A$104:$A$191,$A108),TREND($B$104:$B$191,$A$104:$A$191,$A108)),""),"")</f>
        <v/>
      </c>
      <c r="F108" s="19" t="str">
        <f aca="false">IFERROR(forecast.ets($A108,$B$104:$B$191,$A$104:$A$191,4,1,1),"")</f>
        <v/>
      </c>
      <c r="G108" s="19" t="str">
        <f aca="false">IFERROR(F108-forecast.ets.confint($A108,$B$104:$B$191,$A$104:$A$191,0.95,4,1,1),"")</f>
        <v/>
      </c>
      <c r="H108" s="19" t="str">
        <f aca="false">IFERROR(F108+forecast.ets.confint($A108,$B$104:$B$191,$A$104:$A$191,0.95,4,1,1),"")</f>
        <v/>
      </c>
      <c r="J108" s="20" t="n">
        <v>2012</v>
      </c>
      <c r="K108" s="19" t="str">
        <f aca="false">IFERROR(INDEX($B$104:$B$191,MATCH(DATE(J108,10,1),$A$104:$A$191,0)),"")</f>
        <v/>
      </c>
      <c r="L108" s="18" t="str">
        <f aca="false">IFERROR(K108/K107-1,"")</f>
        <v/>
      </c>
      <c r="M108" s="19" t="str">
        <f aca="false">IFERROR(INDEX($F$104:$F$191,MATCH(DATE(J108,10,1),$A$104:$A$191,0)),"")</f>
        <v/>
      </c>
    </row>
    <row r="109" customFormat="false" ht="15" hidden="false" customHeight="false" outlineLevel="0" collapsed="false">
      <c r="A109" s="21" t="n">
        <v>39904</v>
      </c>
      <c r="B109" s="22" t="str">
        <f aca="false">IFERROR(haverdata(Codes!$D$18,$A109),"")</f>
        <v/>
      </c>
      <c r="C109" s="23" t="str">
        <f aca="false">IFERROR(B109/B108-1,"")</f>
        <v/>
      </c>
      <c r="D109" s="23" t="str">
        <f aca="false">IFERROR(B109/B105-1,"")</f>
        <v/>
      </c>
      <c r="E109" s="24" t="str">
        <f aca="false">IFERROR(IF(B109="",IFERROR(GROWTH($B$104:$B$191,$A$104:$A$191,$A109),TREND($B$104:$B$191,$A$104:$A$191,$A109)),""),"")</f>
        <v/>
      </c>
      <c r="F109" s="24" t="str">
        <f aca="false">IFERROR(forecast.ets($A109,$B$104:$B$191,$A$104:$A$191,4,1,1),"")</f>
        <v/>
      </c>
      <c r="G109" s="24" t="str">
        <f aca="false">IFERROR(F109-forecast.ets.confint($A109,$B$104:$B$191,$A$104:$A$191,0.95,4,1,1),"")</f>
        <v/>
      </c>
      <c r="H109" s="24" t="str">
        <f aca="false">IFERROR(F109+forecast.ets.confint($A109,$B$104:$B$191,$A$104:$A$191,0.95,4,1,1),"")</f>
        <v/>
      </c>
      <c r="J109" s="25" t="n">
        <v>2013</v>
      </c>
      <c r="K109" s="24" t="str">
        <f aca="false">IFERROR(INDEX($B$104:$B$191,MATCH(DATE(J109,10,1),$A$104:$A$191,0)),"")</f>
        <v/>
      </c>
      <c r="L109" s="23" t="str">
        <f aca="false">IFERROR(K109/K108-1,"")</f>
        <v/>
      </c>
      <c r="M109" s="24" t="str">
        <f aca="false">IFERROR(INDEX($F$104:$F$191,MATCH(DATE(J109,10,1),$A$104:$A$191,0)),"")</f>
        <v/>
      </c>
    </row>
    <row r="110" customFormat="false" ht="15" hidden="false" customHeight="false" outlineLevel="0" collapsed="false">
      <c r="A110" s="16" t="n">
        <v>39995</v>
      </c>
      <c r="B110" s="17" t="str">
        <f aca="false">IFERROR(haverdata(Codes!$D$18,$A110),"")</f>
        <v/>
      </c>
      <c r="C110" s="18" t="str">
        <f aca="false">IFERROR(B110/B109-1,"")</f>
        <v/>
      </c>
      <c r="D110" s="18" t="str">
        <f aca="false">IFERROR(B110/B106-1,"")</f>
        <v/>
      </c>
      <c r="E110" s="19" t="str">
        <f aca="false">IFERROR(IF(B110="",IFERROR(GROWTH($B$104:$B$191,$A$104:$A$191,$A110),TREND($B$104:$B$191,$A$104:$A$191,$A110)),""),"")</f>
        <v/>
      </c>
      <c r="F110" s="19" t="str">
        <f aca="false">IFERROR(forecast.ets($A110,$B$104:$B$191,$A$104:$A$191,4,1,1),"")</f>
        <v/>
      </c>
      <c r="G110" s="19" t="str">
        <f aca="false">IFERROR(F110-forecast.ets.confint($A110,$B$104:$B$191,$A$104:$A$191,0.95,4,1,1),"")</f>
        <v/>
      </c>
      <c r="H110" s="19" t="str">
        <f aca="false">IFERROR(F110+forecast.ets.confint($A110,$B$104:$B$191,$A$104:$A$191,0.95,4,1,1),"")</f>
        <v/>
      </c>
      <c r="J110" s="20" t="n">
        <v>2014</v>
      </c>
      <c r="K110" s="19" t="str">
        <f aca="false">IFERROR(INDEX($B$104:$B$191,MATCH(DATE(J110,10,1),$A$104:$A$191,0)),"")</f>
        <v/>
      </c>
      <c r="L110" s="18" t="str">
        <f aca="false">IFERROR(K110/K109-1,"")</f>
        <v/>
      </c>
      <c r="M110" s="19" t="str">
        <f aca="false">IFERROR(INDEX($F$104:$F$191,MATCH(DATE(J110,10,1),$A$104:$A$191,0)),"")</f>
        <v/>
      </c>
    </row>
    <row r="111" customFormat="false" ht="15" hidden="false" customHeight="false" outlineLevel="0" collapsed="false">
      <c r="A111" s="21" t="n">
        <v>40087</v>
      </c>
      <c r="B111" s="22" t="str">
        <f aca="false">IFERROR(haverdata(Codes!$D$18,$A111),"")</f>
        <v/>
      </c>
      <c r="C111" s="23" t="str">
        <f aca="false">IFERROR(B111/B110-1,"")</f>
        <v/>
      </c>
      <c r="D111" s="23" t="str">
        <f aca="false">IFERROR(B111/B107-1,"")</f>
        <v/>
      </c>
      <c r="E111" s="24" t="str">
        <f aca="false">IFERROR(IF(B111="",IFERROR(GROWTH($B$104:$B$191,$A$104:$A$191,$A111),TREND($B$104:$B$191,$A$104:$A$191,$A111)),""),"")</f>
        <v/>
      </c>
      <c r="F111" s="24" t="str">
        <f aca="false">IFERROR(forecast.ets($A111,$B$104:$B$191,$A$104:$A$191,4,1,1),"")</f>
        <v/>
      </c>
      <c r="G111" s="24" t="str">
        <f aca="false">IFERROR(F111-forecast.ets.confint($A111,$B$104:$B$191,$A$104:$A$191,0.95,4,1,1),"")</f>
        <v/>
      </c>
      <c r="H111" s="24" t="str">
        <f aca="false">IFERROR(F111+forecast.ets.confint($A111,$B$104:$B$191,$A$104:$A$191,0.95,4,1,1),"")</f>
        <v/>
      </c>
      <c r="J111" s="25" t="n">
        <v>2015</v>
      </c>
      <c r="K111" s="24" t="str">
        <f aca="false">IFERROR(INDEX($B$104:$B$191,MATCH(DATE(J111,10,1),$A$104:$A$191,0)),"")</f>
        <v/>
      </c>
      <c r="L111" s="23" t="str">
        <f aca="false">IFERROR(K111/K110-1,"")</f>
        <v/>
      </c>
      <c r="M111" s="24" t="str">
        <f aca="false">IFERROR(INDEX($F$104:$F$191,MATCH(DATE(J111,10,1),$A$104:$A$191,0)),"")</f>
        <v/>
      </c>
    </row>
    <row r="112" customFormat="false" ht="15" hidden="false" customHeight="false" outlineLevel="0" collapsed="false">
      <c r="A112" s="16" t="n">
        <v>40179</v>
      </c>
      <c r="B112" s="17" t="str">
        <f aca="false">IFERROR(haverdata(Codes!$D$18,$A112),"")</f>
        <v/>
      </c>
      <c r="C112" s="18" t="str">
        <f aca="false">IFERROR(B112/B111-1,"")</f>
        <v/>
      </c>
      <c r="D112" s="18" t="str">
        <f aca="false">IFERROR(B112/B108-1,"")</f>
        <v/>
      </c>
      <c r="E112" s="19" t="str">
        <f aca="false">IFERROR(IF(B112="",IFERROR(GROWTH($B$104:$B$191,$A$104:$A$191,$A112),TREND($B$104:$B$191,$A$104:$A$191,$A112)),""),"")</f>
        <v/>
      </c>
      <c r="F112" s="19" t="str">
        <f aca="false">IFERROR(forecast.ets($A112,$B$104:$B$191,$A$104:$A$191,4,1,1),"")</f>
        <v/>
      </c>
      <c r="G112" s="19" t="str">
        <f aca="false">IFERROR(F112-forecast.ets.confint($A112,$B$104:$B$191,$A$104:$A$191,0.95,4,1,1),"")</f>
        <v/>
      </c>
      <c r="H112" s="19" t="str">
        <f aca="false">IFERROR(F112+forecast.ets.confint($A112,$B$104:$B$191,$A$104:$A$191,0.95,4,1,1),"")</f>
        <v/>
      </c>
      <c r="J112" s="20" t="n">
        <v>2016</v>
      </c>
      <c r="K112" s="19" t="str">
        <f aca="false">IFERROR(INDEX($B$104:$B$191,MATCH(DATE(J112,10,1),$A$104:$A$191,0)),"")</f>
        <v/>
      </c>
      <c r="L112" s="18" t="str">
        <f aca="false">IFERROR(K112/K111-1,"")</f>
        <v/>
      </c>
      <c r="M112" s="19" t="str">
        <f aca="false">IFERROR(INDEX($F$104:$F$191,MATCH(DATE(J112,10,1),$A$104:$A$191,0)),"")</f>
        <v/>
      </c>
    </row>
    <row r="113" customFormat="false" ht="15" hidden="false" customHeight="false" outlineLevel="0" collapsed="false">
      <c r="A113" s="21" t="n">
        <v>40269</v>
      </c>
      <c r="B113" s="22" t="str">
        <f aca="false">IFERROR(haverdata(Codes!$D$18,$A113),"")</f>
        <v/>
      </c>
      <c r="C113" s="23" t="str">
        <f aca="false">IFERROR(B113/B112-1,"")</f>
        <v/>
      </c>
      <c r="D113" s="23" t="str">
        <f aca="false">IFERROR(B113/B109-1,"")</f>
        <v/>
      </c>
      <c r="E113" s="24" t="str">
        <f aca="false">IFERROR(IF(B113="",IFERROR(GROWTH($B$104:$B$191,$A$104:$A$191,$A113),TREND($B$104:$B$191,$A$104:$A$191,$A113)),""),"")</f>
        <v/>
      </c>
      <c r="F113" s="24" t="str">
        <f aca="false">IFERROR(forecast.ets($A113,$B$104:$B$191,$A$104:$A$191,4,1,1),"")</f>
        <v/>
      </c>
      <c r="G113" s="24" t="str">
        <f aca="false">IFERROR(F113-forecast.ets.confint($A113,$B$104:$B$191,$A$104:$A$191,0.95,4,1,1),"")</f>
        <v/>
      </c>
      <c r="H113" s="24" t="str">
        <f aca="false">IFERROR(F113+forecast.ets.confint($A113,$B$104:$B$191,$A$104:$A$191,0.95,4,1,1),"")</f>
        <v/>
      </c>
      <c r="J113" s="25" t="n">
        <v>2017</v>
      </c>
      <c r="K113" s="24" t="str">
        <f aca="false">IFERROR(INDEX($B$104:$B$191,MATCH(DATE(J113,10,1),$A$104:$A$191,0)),"")</f>
        <v/>
      </c>
      <c r="L113" s="23" t="str">
        <f aca="false">IFERROR(K113/K112-1,"")</f>
        <v/>
      </c>
      <c r="M113" s="24" t="str">
        <f aca="false">IFERROR(INDEX($F$104:$F$191,MATCH(DATE(J113,10,1),$A$104:$A$191,0)),"")</f>
        <v/>
      </c>
    </row>
    <row r="114" customFormat="false" ht="15" hidden="false" customHeight="false" outlineLevel="0" collapsed="false">
      <c r="A114" s="16" t="n">
        <v>40360</v>
      </c>
      <c r="B114" s="17" t="str">
        <f aca="false">IFERROR(haverdata(Codes!$D$18,$A114),"")</f>
        <v/>
      </c>
      <c r="C114" s="18" t="str">
        <f aca="false">IFERROR(B114/B113-1,"")</f>
        <v/>
      </c>
      <c r="D114" s="18" t="str">
        <f aca="false">IFERROR(B114/B110-1,"")</f>
        <v/>
      </c>
      <c r="E114" s="19" t="str">
        <f aca="false">IFERROR(IF(B114="",IFERROR(GROWTH($B$104:$B$191,$A$104:$A$191,$A114),TREND($B$104:$B$191,$A$104:$A$191,$A114)),""),"")</f>
        <v/>
      </c>
      <c r="F114" s="19" t="str">
        <f aca="false">IFERROR(forecast.ets($A114,$B$104:$B$191,$A$104:$A$191,4,1,1),"")</f>
        <v/>
      </c>
      <c r="G114" s="19" t="str">
        <f aca="false">IFERROR(F114-forecast.ets.confint($A114,$B$104:$B$191,$A$104:$A$191,0.95,4,1,1),"")</f>
        <v/>
      </c>
      <c r="H114" s="19" t="str">
        <f aca="false">IFERROR(F114+forecast.ets.confint($A114,$B$104:$B$191,$A$104:$A$191,0.95,4,1,1),"")</f>
        <v/>
      </c>
      <c r="J114" s="20" t="n">
        <v>2018</v>
      </c>
      <c r="K114" s="19" t="str">
        <f aca="false">IFERROR(INDEX($B$104:$B$191,MATCH(DATE(J114,10,1),$A$104:$A$191,0)),"")</f>
        <v/>
      </c>
      <c r="L114" s="18" t="str">
        <f aca="false">IFERROR(K114/K113-1,"")</f>
        <v/>
      </c>
      <c r="M114" s="19" t="str">
        <f aca="false">IFERROR(INDEX($F$104:$F$191,MATCH(DATE(J114,10,1),$A$104:$A$191,0)),"")</f>
        <v/>
      </c>
    </row>
    <row r="115" customFormat="false" ht="15" hidden="false" customHeight="false" outlineLevel="0" collapsed="false">
      <c r="A115" s="21" t="n">
        <v>40452</v>
      </c>
      <c r="B115" s="22" t="str">
        <f aca="false">IFERROR(haverdata(Codes!$D$18,$A115),"")</f>
        <v/>
      </c>
      <c r="C115" s="23" t="str">
        <f aca="false">IFERROR(B115/B114-1,"")</f>
        <v/>
      </c>
      <c r="D115" s="23" t="str">
        <f aca="false">IFERROR(B115/B111-1,"")</f>
        <v/>
      </c>
      <c r="E115" s="24" t="str">
        <f aca="false">IFERROR(IF(B115="",IFERROR(GROWTH($B$104:$B$191,$A$104:$A$191,$A115),TREND($B$104:$B$191,$A$104:$A$191,$A115)),""),"")</f>
        <v/>
      </c>
      <c r="F115" s="24" t="str">
        <f aca="false">IFERROR(forecast.ets($A115,$B$104:$B$191,$A$104:$A$191,4,1,1),"")</f>
        <v/>
      </c>
      <c r="G115" s="24" t="str">
        <f aca="false">IFERROR(F115-forecast.ets.confint($A115,$B$104:$B$191,$A$104:$A$191,0.95,4,1,1),"")</f>
        <v/>
      </c>
      <c r="H115" s="24" t="str">
        <f aca="false">IFERROR(F115+forecast.ets.confint($A115,$B$104:$B$191,$A$104:$A$191,0.95,4,1,1),"")</f>
        <v/>
      </c>
      <c r="J115" s="25" t="n">
        <v>2019</v>
      </c>
      <c r="K115" s="24" t="str">
        <f aca="false">IFERROR(INDEX($B$104:$B$191,MATCH(DATE(J115,10,1),$A$104:$A$191,0)),"")</f>
        <v/>
      </c>
      <c r="L115" s="23" t="str">
        <f aca="false">IFERROR(K115/K114-1,"")</f>
        <v/>
      </c>
      <c r="M115" s="24" t="str">
        <f aca="false">IFERROR(INDEX($F$104:$F$191,MATCH(DATE(J115,10,1),$A$104:$A$191,0)),"")</f>
        <v/>
      </c>
    </row>
    <row r="116" customFormat="false" ht="15" hidden="false" customHeight="false" outlineLevel="0" collapsed="false">
      <c r="A116" s="16" t="n">
        <v>40544</v>
      </c>
      <c r="B116" s="17" t="str">
        <f aca="false">IFERROR(haverdata(Codes!$D$18,$A116),"")</f>
        <v/>
      </c>
      <c r="C116" s="18" t="str">
        <f aca="false">IFERROR(B116/B115-1,"")</f>
        <v/>
      </c>
      <c r="D116" s="18" t="str">
        <f aca="false">IFERROR(B116/B112-1,"")</f>
        <v/>
      </c>
      <c r="E116" s="19" t="str">
        <f aca="false">IFERROR(IF(B116="",IFERROR(GROWTH($B$104:$B$191,$A$104:$A$191,$A116),TREND($B$104:$B$191,$A$104:$A$191,$A116)),""),"")</f>
        <v/>
      </c>
      <c r="F116" s="19" t="str">
        <f aca="false">IFERROR(forecast.ets($A116,$B$104:$B$191,$A$104:$A$191,4,1,1),"")</f>
        <v/>
      </c>
      <c r="G116" s="19" t="str">
        <f aca="false">IFERROR(F116-forecast.ets.confint($A116,$B$104:$B$191,$A$104:$A$191,0.95,4,1,1),"")</f>
        <v/>
      </c>
      <c r="H116" s="19" t="str">
        <f aca="false">IFERROR(F116+forecast.ets.confint($A116,$B$104:$B$191,$A$104:$A$191,0.95,4,1,1),"")</f>
        <v/>
      </c>
      <c r="J116" s="20" t="n">
        <v>2020</v>
      </c>
      <c r="K116" s="19" t="str">
        <f aca="false">IFERROR(INDEX($B$104:$B$191,MATCH(DATE(J116,10,1),$A$104:$A$191,0)),"")</f>
        <v/>
      </c>
      <c r="L116" s="18" t="str">
        <f aca="false">IFERROR(K116/K115-1,"")</f>
        <v/>
      </c>
      <c r="M116" s="19" t="str">
        <f aca="false">IFERROR(INDEX($F$104:$F$191,MATCH(DATE(J116,10,1),$A$104:$A$191,0)),"")</f>
        <v/>
      </c>
    </row>
    <row r="117" customFormat="false" ht="15" hidden="false" customHeight="false" outlineLevel="0" collapsed="false">
      <c r="A117" s="21" t="n">
        <v>40634</v>
      </c>
      <c r="B117" s="22" t="str">
        <f aca="false">IFERROR(haverdata(Codes!$D$18,$A117),"")</f>
        <v/>
      </c>
      <c r="C117" s="23" t="str">
        <f aca="false">IFERROR(B117/B116-1,"")</f>
        <v/>
      </c>
      <c r="D117" s="23" t="str">
        <f aca="false">IFERROR(B117/B113-1,"")</f>
        <v/>
      </c>
      <c r="E117" s="24" t="str">
        <f aca="false">IFERROR(IF(B117="",IFERROR(GROWTH($B$104:$B$191,$A$104:$A$191,$A117),TREND($B$104:$B$191,$A$104:$A$191,$A117)),""),"")</f>
        <v/>
      </c>
      <c r="F117" s="24" t="str">
        <f aca="false">IFERROR(forecast.ets($A117,$B$104:$B$191,$A$104:$A$191,4,1,1),"")</f>
        <v/>
      </c>
      <c r="G117" s="24" t="str">
        <f aca="false">IFERROR(F117-forecast.ets.confint($A117,$B$104:$B$191,$A$104:$A$191,0.95,4,1,1),"")</f>
        <v/>
      </c>
      <c r="H117" s="24" t="str">
        <f aca="false">IFERROR(F117+forecast.ets.confint($A117,$B$104:$B$191,$A$104:$A$191,0.95,4,1,1),"")</f>
        <v/>
      </c>
      <c r="J117" s="25" t="n">
        <v>2021</v>
      </c>
      <c r="K117" s="24" t="str">
        <f aca="false">IFERROR(INDEX($B$104:$B$191,MATCH(DATE(J117,10,1),$A$104:$A$191,0)),"")</f>
        <v/>
      </c>
      <c r="L117" s="23" t="str">
        <f aca="false">IFERROR(K117/K116-1,"")</f>
        <v/>
      </c>
      <c r="M117" s="24" t="str">
        <f aca="false">IFERROR(INDEX($F$104:$F$191,MATCH(DATE(J117,10,1),$A$104:$A$191,0)),"")</f>
        <v/>
      </c>
    </row>
    <row r="118" customFormat="false" ht="15" hidden="false" customHeight="false" outlineLevel="0" collapsed="false">
      <c r="A118" s="16" t="n">
        <v>40725</v>
      </c>
      <c r="B118" s="17" t="str">
        <f aca="false">IFERROR(haverdata(Codes!$D$18,$A118),"")</f>
        <v/>
      </c>
      <c r="C118" s="18" t="str">
        <f aca="false">IFERROR(B118/B117-1,"")</f>
        <v/>
      </c>
      <c r="D118" s="18" t="str">
        <f aca="false">IFERROR(B118/B114-1,"")</f>
        <v/>
      </c>
      <c r="E118" s="19" t="str">
        <f aca="false">IFERROR(IF(B118="",IFERROR(GROWTH($B$104:$B$191,$A$104:$A$191,$A118),TREND($B$104:$B$191,$A$104:$A$191,$A118)),""),"")</f>
        <v/>
      </c>
      <c r="F118" s="19" t="str">
        <f aca="false">IFERROR(forecast.ets($A118,$B$104:$B$191,$A$104:$A$191,4,1,1),"")</f>
        <v/>
      </c>
      <c r="G118" s="19" t="str">
        <f aca="false">IFERROR(F118-forecast.ets.confint($A118,$B$104:$B$191,$A$104:$A$191,0.95,4,1,1),"")</f>
        <v/>
      </c>
      <c r="H118" s="19" t="str">
        <f aca="false">IFERROR(F118+forecast.ets.confint($A118,$B$104:$B$191,$A$104:$A$191,0.95,4,1,1),"")</f>
        <v/>
      </c>
      <c r="J118" s="20" t="n">
        <v>2022</v>
      </c>
      <c r="K118" s="19" t="str">
        <f aca="false">IFERROR(INDEX($B$104:$B$191,MATCH(DATE(J118,10,1),$A$104:$A$191,0)),"")</f>
        <v/>
      </c>
      <c r="L118" s="18" t="str">
        <f aca="false">IFERROR(K118/K117-1,"")</f>
        <v/>
      </c>
      <c r="M118" s="19" t="str">
        <f aca="false">IFERROR(INDEX($F$104:$F$191,MATCH(DATE(J118,10,1),$A$104:$A$191,0)),"")</f>
        <v/>
      </c>
    </row>
    <row r="119" customFormat="false" ht="15" hidden="false" customHeight="false" outlineLevel="0" collapsed="false">
      <c r="A119" s="21" t="n">
        <v>40817</v>
      </c>
      <c r="B119" s="22" t="str">
        <f aca="false">IFERROR(haverdata(Codes!$D$18,$A119),"")</f>
        <v/>
      </c>
      <c r="C119" s="23" t="str">
        <f aca="false">IFERROR(B119/B118-1,"")</f>
        <v/>
      </c>
      <c r="D119" s="23" t="str">
        <f aca="false">IFERROR(B119/B115-1,"")</f>
        <v/>
      </c>
      <c r="E119" s="24" t="str">
        <f aca="false">IFERROR(IF(B119="",IFERROR(GROWTH($B$104:$B$191,$A$104:$A$191,$A119),TREND($B$104:$B$191,$A$104:$A$191,$A119)),""),"")</f>
        <v/>
      </c>
      <c r="F119" s="24" t="str">
        <f aca="false">IFERROR(forecast.ets($A119,$B$104:$B$191,$A$104:$A$191,4,1,1),"")</f>
        <v/>
      </c>
      <c r="G119" s="24" t="str">
        <f aca="false">IFERROR(F119-forecast.ets.confint($A119,$B$104:$B$191,$A$104:$A$191,0.95,4,1,1),"")</f>
        <v/>
      </c>
      <c r="H119" s="24" t="str">
        <f aca="false">IFERROR(F119+forecast.ets.confint($A119,$B$104:$B$191,$A$104:$A$191,0.95,4,1,1),"")</f>
        <v/>
      </c>
      <c r="J119" s="25" t="n">
        <v>2023</v>
      </c>
      <c r="K119" s="24" t="str">
        <f aca="false">IFERROR(INDEX($B$104:$B$191,MATCH(DATE(J119,10,1),$A$104:$A$191,0)),"")</f>
        <v/>
      </c>
      <c r="L119" s="23" t="str">
        <f aca="false">IFERROR(K119/K118-1,"")</f>
        <v/>
      </c>
      <c r="M119" s="24" t="str">
        <f aca="false">IFERROR(INDEX($F$104:$F$191,MATCH(DATE(J119,10,1),$A$104:$A$191,0)),"")</f>
        <v/>
      </c>
    </row>
    <row r="120" customFormat="false" ht="15" hidden="false" customHeight="false" outlineLevel="0" collapsed="false">
      <c r="A120" s="16" t="n">
        <v>40909</v>
      </c>
      <c r="B120" s="17" t="str">
        <f aca="false">IFERROR(haverdata(Codes!$D$18,$A120),"")</f>
        <v/>
      </c>
      <c r="C120" s="18" t="str">
        <f aca="false">IFERROR(B120/B119-1,"")</f>
        <v/>
      </c>
      <c r="D120" s="18" t="str">
        <f aca="false">IFERROR(B120/B116-1,"")</f>
        <v/>
      </c>
      <c r="E120" s="19" t="str">
        <f aca="false">IFERROR(IF(B120="",IFERROR(GROWTH($B$104:$B$191,$A$104:$A$191,$A120),TREND($B$104:$B$191,$A$104:$A$191,$A120)),""),"")</f>
        <v/>
      </c>
      <c r="F120" s="19" t="str">
        <f aca="false">IFERROR(forecast.ets($A120,$B$104:$B$191,$A$104:$A$191,4,1,1),"")</f>
        <v/>
      </c>
      <c r="G120" s="19" t="str">
        <f aca="false">IFERROR(F120-forecast.ets.confint($A120,$B$104:$B$191,$A$104:$A$191,0.95,4,1,1),"")</f>
        <v/>
      </c>
      <c r="H120" s="19" t="str">
        <f aca="false">IFERROR(F120+forecast.ets.confint($A120,$B$104:$B$191,$A$104:$A$191,0.95,4,1,1),"")</f>
        <v/>
      </c>
      <c r="J120" s="20" t="n">
        <v>2024</v>
      </c>
      <c r="K120" s="19" t="str">
        <f aca="false">IFERROR(INDEX($B$104:$B$191,MATCH(DATE(J120,10,1),$A$104:$A$191,0)),"")</f>
        <v/>
      </c>
      <c r="L120" s="18" t="str">
        <f aca="false">IFERROR(K120/K119-1,"")</f>
        <v/>
      </c>
      <c r="M120" s="19" t="str">
        <f aca="false">IFERROR(INDEX($F$104:$F$191,MATCH(DATE(J120,10,1),$A$104:$A$191,0)),"")</f>
        <v/>
      </c>
    </row>
    <row r="121" customFormat="false" ht="15" hidden="false" customHeight="false" outlineLevel="0" collapsed="false">
      <c r="A121" s="21" t="n">
        <v>41000</v>
      </c>
      <c r="B121" s="22" t="str">
        <f aca="false">IFERROR(haverdata(Codes!$D$18,$A121),"")</f>
        <v/>
      </c>
      <c r="C121" s="23" t="str">
        <f aca="false">IFERROR(B121/B120-1,"")</f>
        <v/>
      </c>
      <c r="D121" s="23" t="str">
        <f aca="false">IFERROR(B121/B117-1,"")</f>
        <v/>
      </c>
      <c r="E121" s="24" t="str">
        <f aca="false">IFERROR(IF(B121="",IFERROR(GROWTH($B$104:$B$191,$A$104:$A$191,$A121),TREND($B$104:$B$191,$A$104:$A$191,$A121)),""),"")</f>
        <v/>
      </c>
      <c r="F121" s="24" t="str">
        <f aca="false">IFERROR(forecast.ets($A121,$B$104:$B$191,$A$104:$A$191,4,1,1),"")</f>
        <v/>
      </c>
      <c r="G121" s="24" t="str">
        <f aca="false">IFERROR(F121-forecast.ets.confint($A121,$B$104:$B$191,$A$104:$A$191,0.95,4,1,1),"")</f>
        <v/>
      </c>
      <c r="H121" s="24" t="str">
        <f aca="false">IFERROR(F121+forecast.ets.confint($A121,$B$104:$B$191,$A$104:$A$191,0.95,4,1,1),"")</f>
        <v/>
      </c>
      <c r="J121" s="25" t="n">
        <v>2025</v>
      </c>
      <c r="K121" s="24" t="str">
        <f aca="false">IFERROR(INDEX($B$104:$B$191,MATCH(DATE(J121,10,1),$A$104:$A$191,0)),"")</f>
        <v/>
      </c>
      <c r="L121" s="23" t="str">
        <f aca="false">IFERROR(K121/K120-1,"")</f>
        <v/>
      </c>
      <c r="M121" s="24" t="str">
        <f aca="false">IFERROR(INDEX($F$104:$F$191,MATCH(DATE(J121,10,1),$A$104:$A$191,0)),"")</f>
        <v/>
      </c>
    </row>
    <row r="122" customFormat="false" ht="15" hidden="false" customHeight="false" outlineLevel="0" collapsed="false">
      <c r="A122" s="16" t="n">
        <v>41091</v>
      </c>
      <c r="B122" s="17" t="str">
        <f aca="false">IFERROR(haverdata(Codes!$D$18,$A122),"")</f>
        <v/>
      </c>
      <c r="C122" s="18" t="str">
        <f aca="false">IFERROR(B122/B121-1,"")</f>
        <v/>
      </c>
      <c r="D122" s="18" t="str">
        <f aca="false">IFERROR(B122/B118-1,"")</f>
        <v/>
      </c>
      <c r="E122" s="19" t="str">
        <f aca="false">IFERROR(IF(B122="",IFERROR(GROWTH($B$104:$B$191,$A$104:$A$191,$A122),TREND($B$104:$B$191,$A$104:$A$191,$A122)),""),"")</f>
        <v/>
      </c>
      <c r="F122" s="19" t="str">
        <f aca="false">IFERROR(forecast.ets($A122,$B$104:$B$191,$A$104:$A$191,4,1,1),"")</f>
        <v/>
      </c>
      <c r="G122" s="19" t="str">
        <f aca="false">IFERROR(F122-forecast.ets.confint($A122,$B$104:$B$191,$A$104:$A$191,0.95,4,1,1),"")</f>
        <v/>
      </c>
      <c r="H122" s="19" t="str">
        <f aca="false">IFERROR(F122+forecast.ets.confint($A122,$B$104:$B$191,$A$104:$A$191,0.95,4,1,1),"")</f>
        <v/>
      </c>
      <c r="J122" s="20" t="n">
        <v>2026</v>
      </c>
      <c r="K122" s="19" t="str">
        <f aca="false">IFERROR(INDEX($B$104:$B$191,MATCH(DATE(J122,10,1),$A$104:$A$191,0)),"")</f>
        <v/>
      </c>
      <c r="L122" s="18" t="str">
        <f aca="false">IFERROR(K122/K121-1,"")</f>
        <v/>
      </c>
      <c r="M122" s="19" t="str">
        <f aca="false">IFERROR(INDEX($F$104:$F$191,MATCH(DATE(J122,10,1),$A$104:$A$191,0)),"")</f>
        <v/>
      </c>
    </row>
    <row r="123" customFormat="false" ht="15" hidden="false" customHeight="false" outlineLevel="0" collapsed="false">
      <c r="A123" s="21" t="n">
        <v>41183</v>
      </c>
      <c r="B123" s="22" t="str">
        <f aca="false">IFERROR(haverdata(Codes!$D$18,$A123),"")</f>
        <v/>
      </c>
      <c r="C123" s="23" t="str">
        <f aca="false">IFERROR(B123/B122-1,"")</f>
        <v/>
      </c>
      <c r="D123" s="23" t="str">
        <f aca="false">IFERROR(B123/B119-1,"")</f>
        <v/>
      </c>
      <c r="E123" s="24" t="str">
        <f aca="false">IFERROR(IF(B123="",IFERROR(GROWTH($B$104:$B$191,$A$104:$A$191,$A123),TREND($B$104:$B$191,$A$104:$A$191,$A123)),""),"")</f>
        <v/>
      </c>
      <c r="F123" s="24" t="str">
        <f aca="false">IFERROR(forecast.ets($A123,$B$104:$B$191,$A$104:$A$191,4,1,1),"")</f>
        <v/>
      </c>
      <c r="G123" s="24" t="str">
        <f aca="false">IFERROR(F123-forecast.ets.confint($A123,$B$104:$B$191,$A$104:$A$191,0.95,4,1,1),"")</f>
        <v/>
      </c>
      <c r="H123" s="24" t="str">
        <f aca="false">IFERROR(F123+forecast.ets.confint($A123,$B$104:$B$191,$A$104:$A$191,0.95,4,1,1),"")</f>
        <v/>
      </c>
      <c r="J123" s="25" t="n">
        <v>2027</v>
      </c>
      <c r="K123" s="24" t="str">
        <f aca="false">IFERROR(INDEX($B$104:$B$191,MATCH(DATE(J123,10,1),$A$104:$A$191,0)),"")</f>
        <v/>
      </c>
      <c r="L123" s="23" t="str">
        <f aca="false">IFERROR(K123/K122-1,"")</f>
        <v/>
      </c>
      <c r="M123" s="24" t="str">
        <f aca="false">IFERROR(INDEX($F$104:$F$191,MATCH(DATE(J123,10,1),$A$104:$A$191,0)),"")</f>
        <v/>
      </c>
    </row>
    <row r="124" customFormat="false" ht="15" hidden="false" customHeight="false" outlineLevel="0" collapsed="false">
      <c r="A124" s="16" t="n">
        <v>41275</v>
      </c>
      <c r="B124" s="17" t="str">
        <f aca="false">IFERROR(haverdata(Codes!$D$18,$A124),"")</f>
        <v/>
      </c>
      <c r="C124" s="18" t="str">
        <f aca="false">IFERROR(B124/B123-1,"")</f>
        <v/>
      </c>
      <c r="D124" s="18" t="str">
        <f aca="false">IFERROR(B124/B120-1,"")</f>
        <v/>
      </c>
      <c r="E124" s="19" t="str">
        <f aca="false">IFERROR(IF(B124="",IFERROR(GROWTH($B$104:$B$191,$A$104:$A$191,$A124),TREND($B$104:$B$191,$A$104:$A$191,$A124)),""),"")</f>
        <v/>
      </c>
      <c r="F124" s="19" t="str">
        <f aca="false">IFERROR(forecast.ets($A124,$B$104:$B$191,$A$104:$A$191,4,1,1),"")</f>
        <v/>
      </c>
      <c r="G124" s="19" t="str">
        <f aca="false">IFERROR(F124-forecast.ets.confint($A124,$B$104:$B$191,$A$104:$A$191,0.95,4,1,1),"")</f>
        <v/>
      </c>
      <c r="H124" s="19" t="str">
        <f aca="false">IFERROR(F124+forecast.ets.confint($A124,$B$104:$B$191,$A$104:$A$191,0.95,4,1,1),"")</f>
        <v/>
      </c>
      <c r="J124" s="20" t="n">
        <v>2028</v>
      </c>
      <c r="K124" s="19" t="str">
        <f aca="false">IFERROR(INDEX($B$104:$B$191,MATCH(DATE(J124,10,1),$A$104:$A$191,0)),"")</f>
        <v/>
      </c>
      <c r="L124" s="18" t="str">
        <f aca="false">IFERROR(K124/K123-1,"")</f>
        <v/>
      </c>
      <c r="M124" s="19" t="str">
        <f aca="false">IFERROR(INDEX($F$104:$F$191,MATCH(DATE(J124,10,1),$A$104:$A$191,0)),"")</f>
        <v/>
      </c>
    </row>
    <row r="125" customFormat="false" ht="15" hidden="false" customHeight="false" outlineLevel="0" collapsed="false">
      <c r="A125" s="21" t="n">
        <v>41365</v>
      </c>
      <c r="B125" s="22" t="str">
        <f aca="false">IFERROR(haverdata(Codes!$D$18,$A125),"")</f>
        <v/>
      </c>
      <c r="C125" s="23" t="str">
        <f aca="false">IFERROR(B125/B124-1,"")</f>
        <v/>
      </c>
      <c r="D125" s="23" t="str">
        <f aca="false">IFERROR(B125/B121-1,"")</f>
        <v/>
      </c>
      <c r="E125" s="24" t="str">
        <f aca="false">IFERROR(IF(B125="",IFERROR(GROWTH($B$104:$B$191,$A$104:$A$191,$A125),TREND($B$104:$B$191,$A$104:$A$191,$A125)),""),"")</f>
        <v/>
      </c>
      <c r="F125" s="24" t="str">
        <f aca="false">IFERROR(forecast.ets($A125,$B$104:$B$191,$A$104:$A$191,4,1,1),"")</f>
        <v/>
      </c>
      <c r="G125" s="24" t="str">
        <f aca="false">IFERROR(F125-forecast.ets.confint($A125,$B$104:$B$191,$A$104:$A$191,0.95,4,1,1),"")</f>
        <v/>
      </c>
      <c r="H125" s="24" t="str">
        <f aca="false">IFERROR(F125+forecast.ets.confint($A125,$B$104:$B$191,$A$104:$A$191,0.95,4,1,1),"")</f>
        <v/>
      </c>
      <c r="J125" s="25" t="n">
        <v>2029</v>
      </c>
      <c r="K125" s="24" t="str">
        <f aca="false">IFERROR(INDEX($B$104:$B$191,MATCH(DATE(J125,10,1),$A$104:$A$191,0)),"")</f>
        <v/>
      </c>
      <c r="L125" s="23" t="str">
        <f aca="false">IFERROR(K125/K124-1,"")</f>
        <v/>
      </c>
      <c r="M125" s="24" t="str">
        <f aca="false">IFERROR(INDEX($F$104:$F$191,MATCH(DATE(J125,10,1),$A$104:$A$191,0)),"")</f>
        <v/>
      </c>
    </row>
    <row r="126" customFormat="false" ht="15" hidden="false" customHeight="false" outlineLevel="0" collapsed="false">
      <c r="A126" s="16" t="n">
        <v>41456</v>
      </c>
      <c r="B126" s="17" t="str">
        <f aca="false">IFERROR(haverdata(Codes!$D$18,$A126),"")</f>
        <v/>
      </c>
      <c r="C126" s="18" t="str">
        <f aca="false">IFERROR(B126/B125-1,"")</f>
        <v/>
      </c>
      <c r="D126" s="18" t="str">
        <f aca="false">IFERROR(B126/B122-1,"")</f>
        <v/>
      </c>
      <c r="E126" s="19" t="str">
        <f aca="false">IFERROR(IF(B126="",IFERROR(GROWTH($B$104:$B$191,$A$104:$A$191,$A126),TREND($B$104:$B$191,$A$104:$A$191,$A126)),""),"")</f>
        <v/>
      </c>
      <c r="F126" s="19" t="str">
        <f aca="false">IFERROR(forecast.ets($A126,$B$104:$B$191,$A$104:$A$191,4,1,1),"")</f>
        <v/>
      </c>
      <c r="G126" s="19" t="str">
        <f aca="false">IFERROR(F126-forecast.ets.confint($A126,$B$104:$B$191,$A$104:$A$191,0.95,4,1,1),"")</f>
        <v/>
      </c>
      <c r="H126" s="19" t="str">
        <f aca="false">IFERROR(F126+forecast.ets.confint($A126,$B$104:$B$191,$A$104:$A$191,0.95,4,1,1),"")</f>
        <v/>
      </c>
    </row>
    <row r="127" customFormat="false" ht="15" hidden="false" customHeight="false" outlineLevel="0" collapsed="false">
      <c r="A127" s="21" t="n">
        <v>41548</v>
      </c>
      <c r="B127" s="22" t="str">
        <f aca="false">IFERROR(haverdata(Codes!$D$18,$A127),"")</f>
        <v/>
      </c>
      <c r="C127" s="23" t="str">
        <f aca="false">IFERROR(B127/B126-1,"")</f>
        <v/>
      </c>
      <c r="D127" s="23" t="str">
        <f aca="false">IFERROR(B127/B123-1,"")</f>
        <v/>
      </c>
      <c r="E127" s="24" t="str">
        <f aca="false">IFERROR(IF(B127="",IFERROR(GROWTH($B$104:$B$191,$A$104:$A$191,$A127),TREND($B$104:$B$191,$A$104:$A$191,$A127)),""),"")</f>
        <v/>
      </c>
      <c r="F127" s="24" t="str">
        <f aca="false">IFERROR(forecast.ets($A127,$B$104:$B$191,$A$104:$A$191,4,1,1),"")</f>
        <v/>
      </c>
      <c r="G127" s="24" t="str">
        <f aca="false">IFERROR(F127-forecast.ets.confint($A127,$B$104:$B$191,$A$104:$A$191,0.95,4,1,1),"")</f>
        <v/>
      </c>
      <c r="H127" s="24" t="str">
        <f aca="false">IFERROR(F127+forecast.ets.confint($A127,$B$104:$B$191,$A$104:$A$191,0.95,4,1,1),"")</f>
        <v/>
      </c>
    </row>
    <row r="128" customFormat="false" ht="15" hidden="false" customHeight="false" outlineLevel="0" collapsed="false">
      <c r="A128" s="16" t="n">
        <v>41640</v>
      </c>
      <c r="B128" s="17" t="str">
        <f aca="false">IFERROR(haverdata(Codes!$D$18,$A128),"")</f>
        <v/>
      </c>
      <c r="C128" s="18" t="str">
        <f aca="false">IFERROR(B128/B127-1,"")</f>
        <v/>
      </c>
      <c r="D128" s="18" t="str">
        <f aca="false">IFERROR(B128/B124-1,"")</f>
        <v/>
      </c>
      <c r="E128" s="19" t="str">
        <f aca="false">IFERROR(IF(B128="",IFERROR(GROWTH($B$104:$B$191,$A$104:$A$191,$A128),TREND($B$104:$B$191,$A$104:$A$191,$A128)),""),"")</f>
        <v/>
      </c>
      <c r="F128" s="19" t="str">
        <f aca="false">IFERROR(forecast.ets($A128,$B$104:$B$191,$A$104:$A$191,4,1,1),"")</f>
        <v/>
      </c>
      <c r="G128" s="19" t="str">
        <f aca="false">IFERROR(F128-forecast.ets.confint($A128,$B$104:$B$191,$A$104:$A$191,0.95,4,1,1),"")</f>
        <v/>
      </c>
      <c r="H128" s="19" t="str">
        <f aca="false">IFERROR(F128+forecast.ets.confint($A128,$B$104:$B$191,$A$104:$A$191,0.95,4,1,1),"")</f>
        <v/>
      </c>
    </row>
    <row r="129" customFormat="false" ht="15" hidden="false" customHeight="false" outlineLevel="0" collapsed="false">
      <c r="A129" s="21" t="n">
        <v>41730</v>
      </c>
      <c r="B129" s="22" t="str">
        <f aca="false">IFERROR(haverdata(Codes!$D$18,$A129),"")</f>
        <v/>
      </c>
      <c r="C129" s="23" t="str">
        <f aca="false">IFERROR(B129/B128-1,"")</f>
        <v/>
      </c>
      <c r="D129" s="23" t="str">
        <f aca="false">IFERROR(B129/B125-1,"")</f>
        <v/>
      </c>
      <c r="E129" s="24" t="str">
        <f aca="false">IFERROR(IF(B129="",IFERROR(GROWTH($B$104:$B$191,$A$104:$A$191,$A129),TREND($B$104:$B$191,$A$104:$A$191,$A129)),""),"")</f>
        <v/>
      </c>
      <c r="F129" s="24" t="str">
        <f aca="false">IFERROR(forecast.ets($A129,$B$104:$B$191,$A$104:$A$191,4,1,1),"")</f>
        <v/>
      </c>
      <c r="G129" s="24" t="str">
        <f aca="false">IFERROR(F129-forecast.ets.confint($A129,$B$104:$B$191,$A$104:$A$191,0.95,4,1,1),"")</f>
        <v/>
      </c>
      <c r="H129" s="24" t="str">
        <f aca="false">IFERROR(F129+forecast.ets.confint($A129,$B$104:$B$191,$A$104:$A$191,0.95,4,1,1),"")</f>
        <v/>
      </c>
    </row>
    <row r="130" customFormat="false" ht="15" hidden="false" customHeight="false" outlineLevel="0" collapsed="false">
      <c r="A130" s="16" t="n">
        <v>41821</v>
      </c>
      <c r="B130" s="17" t="str">
        <f aca="false">IFERROR(haverdata(Codes!$D$18,$A130),"")</f>
        <v/>
      </c>
      <c r="C130" s="18" t="str">
        <f aca="false">IFERROR(B130/B129-1,"")</f>
        <v/>
      </c>
      <c r="D130" s="18" t="str">
        <f aca="false">IFERROR(B130/B126-1,"")</f>
        <v/>
      </c>
      <c r="E130" s="19" t="str">
        <f aca="false">IFERROR(IF(B130="",IFERROR(GROWTH($B$104:$B$191,$A$104:$A$191,$A130),TREND($B$104:$B$191,$A$104:$A$191,$A130)),""),"")</f>
        <v/>
      </c>
      <c r="F130" s="19" t="str">
        <f aca="false">IFERROR(forecast.ets($A130,$B$104:$B$191,$A$104:$A$191,4,1,1),"")</f>
        <v/>
      </c>
      <c r="G130" s="19" t="str">
        <f aca="false">IFERROR(F130-forecast.ets.confint($A130,$B$104:$B$191,$A$104:$A$191,0.95,4,1,1),"")</f>
        <v/>
      </c>
      <c r="H130" s="19" t="str">
        <f aca="false">IFERROR(F130+forecast.ets.confint($A130,$B$104:$B$191,$A$104:$A$191,0.95,4,1,1),"")</f>
        <v/>
      </c>
    </row>
    <row r="131" customFormat="false" ht="15" hidden="false" customHeight="false" outlineLevel="0" collapsed="false">
      <c r="A131" s="21" t="n">
        <v>41913</v>
      </c>
      <c r="B131" s="22" t="str">
        <f aca="false">IFERROR(haverdata(Codes!$D$18,$A131),"")</f>
        <v/>
      </c>
      <c r="C131" s="23" t="str">
        <f aca="false">IFERROR(B131/B130-1,"")</f>
        <v/>
      </c>
      <c r="D131" s="23" t="str">
        <f aca="false">IFERROR(B131/B127-1,"")</f>
        <v/>
      </c>
      <c r="E131" s="24" t="str">
        <f aca="false">IFERROR(IF(B131="",IFERROR(GROWTH($B$104:$B$191,$A$104:$A$191,$A131),TREND($B$104:$B$191,$A$104:$A$191,$A131)),""),"")</f>
        <v/>
      </c>
      <c r="F131" s="24" t="str">
        <f aca="false">IFERROR(forecast.ets($A131,$B$104:$B$191,$A$104:$A$191,4,1,1),"")</f>
        <v/>
      </c>
      <c r="G131" s="24" t="str">
        <f aca="false">IFERROR(F131-forecast.ets.confint($A131,$B$104:$B$191,$A$104:$A$191,0.95,4,1,1),"")</f>
        <v/>
      </c>
      <c r="H131" s="24" t="str">
        <f aca="false">IFERROR(F131+forecast.ets.confint($A131,$B$104:$B$191,$A$104:$A$191,0.95,4,1,1),"")</f>
        <v/>
      </c>
    </row>
    <row r="132" customFormat="false" ht="15" hidden="false" customHeight="false" outlineLevel="0" collapsed="false">
      <c r="A132" s="16" t="n">
        <v>42005</v>
      </c>
      <c r="B132" s="17" t="str">
        <f aca="false">IFERROR(haverdata(Codes!$D$18,$A132),"")</f>
        <v/>
      </c>
      <c r="C132" s="18" t="str">
        <f aca="false">IFERROR(B132/B131-1,"")</f>
        <v/>
      </c>
      <c r="D132" s="18" t="str">
        <f aca="false">IFERROR(B132/B128-1,"")</f>
        <v/>
      </c>
      <c r="E132" s="19" t="str">
        <f aca="false">IFERROR(IF(B132="",IFERROR(GROWTH($B$104:$B$191,$A$104:$A$191,$A132),TREND($B$104:$B$191,$A$104:$A$191,$A132)),""),"")</f>
        <v/>
      </c>
      <c r="F132" s="19" t="str">
        <f aca="false">IFERROR(forecast.ets($A132,$B$104:$B$191,$A$104:$A$191,4,1,1),"")</f>
        <v/>
      </c>
      <c r="G132" s="19" t="str">
        <f aca="false">IFERROR(F132-forecast.ets.confint($A132,$B$104:$B$191,$A$104:$A$191,0.95,4,1,1),"")</f>
        <v/>
      </c>
      <c r="H132" s="19" t="str">
        <f aca="false">IFERROR(F132+forecast.ets.confint($A132,$B$104:$B$191,$A$104:$A$191,0.95,4,1,1),"")</f>
        <v/>
      </c>
    </row>
    <row r="133" customFormat="false" ht="15" hidden="false" customHeight="false" outlineLevel="0" collapsed="false">
      <c r="A133" s="21" t="n">
        <v>42095</v>
      </c>
      <c r="B133" s="22" t="str">
        <f aca="false">IFERROR(haverdata(Codes!$D$18,$A133),"")</f>
        <v/>
      </c>
      <c r="C133" s="23" t="str">
        <f aca="false">IFERROR(B133/B132-1,"")</f>
        <v/>
      </c>
      <c r="D133" s="23" t="str">
        <f aca="false">IFERROR(B133/B129-1,"")</f>
        <v/>
      </c>
      <c r="E133" s="24" t="str">
        <f aca="false">IFERROR(IF(B133="",IFERROR(GROWTH($B$104:$B$191,$A$104:$A$191,$A133),TREND($B$104:$B$191,$A$104:$A$191,$A133)),""),"")</f>
        <v/>
      </c>
      <c r="F133" s="24" t="str">
        <f aca="false">IFERROR(forecast.ets($A133,$B$104:$B$191,$A$104:$A$191,4,1,1),"")</f>
        <v/>
      </c>
      <c r="G133" s="24" t="str">
        <f aca="false">IFERROR(F133-forecast.ets.confint($A133,$B$104:$B$191,$A$104:$A$191,0.95,4,1,1),"")</f>
        <v/>
      </c>
      <c r="H133" s="24" t="str">
        <f aca="false">IFERROR(F133+forecast.ets.confint($A133,$B$104:$B$191,$A$104:$A$191,0.95,4,1,1),"")</f>
        <v/>
      </c>
    </row>
    <row r="134" customFormat="false" ht="15" hidden="false" customHeight="false" outlineLevel="0" collapsed="false">
      <c r="A134" s="16" t="n">
        <v>42186</v>
      </c>
      <c r="B134" s="17" t="str">
        <f aca="false">IFERROR(haverdata(Codes!$D$18,$A134),"")</f>
        <v/>
      </c>
      <c r="C134" s="18" t="str">
        <f aca="false">IFERROR(B134/B133-1,"")</f>
        <v/>
      </c>
      <c r="D134" s="18" t="str">
        <f aca="false">IFERROR(B134/B130-1,"")</f>
        <v/>
      </c>
      <c r="E134" s="19" t="str">
        <f aca="false">IFERROR(IF(B134="",IFERROR(GROWTH($B$104:$B$191,$A$104:$A$191,$A134),TREND($B$104:$B$191,$A$104:$A$191,$A134)),""),"")</f>
        <v/>
      </c>
      <c r="F134" s="19" t="str">
        <f aca="false">IFERROR(forecast.ets($A134,$B$104:$B$191,$A$104:$A$191,4,1,1),"")</f>
        <v/>
      </c>
      <c r="G134" s="19" t="str">
        <f aca="false">IFERROR(F134-forecast.ets.confint($A134,$B$104:$B$191,$A$104:$A$191,0.95,4,1,1),"")</f>
        <v/>
      </c>
      <c r="H134" s="19" t="str">
        <f aca="false">IFERROR(F134+forecast.ets.confint($A134,$B$104:$B$191,$A$104:$A$191,0.95,4,1,1),"")</f>
        <v/>
      </c>
    </row>
    <row r="135" customFormat="false" ht="15" hidden="false" customHeight="false" outlineLevel="0" collapsed="false">
      <c r="A135" s="21" t="n">
        <v>42278</v>
      </c>
      <c r="B135" s="22" t="str">
        <f aca="false">IFERROR(haverdata(Codes!$D$18,$A135),"")</f>
        <v/>
      </c>
      <c r="C135" s="23" t="str">
        <f aca="false">IFERROR(B135/B134-1,"")</f>
        <v/>
      </c>
      <c r="D135" s="23" t="str">
        <f aca="false">IFERROR(B135/B131-1,"")</f>
        <v/>
      </c>
      <c r="E135" s="24" t="str">
        <f aca="false">IFERROR(IF(B135="",IFERROR(GROWTH($B$104:$B$191,$A$104:$A$191,$A135),TREND($B$104:$B$191,$A$104:$A$191,$A135)),""),"")</f>
        <v/>
      </c>
      <c r="F135" s="24" t="str">
        <f aca="false">IFERROR(forecast.ets($A135,$B$104:$B$191,$A$104:$A$191,4,1,1),"")</f>
        <v/>
      </c>
      <c r="G135" s="24" t="str">
        <f aca="false">IFERROR(F135-forecast.ets.confint($A135,$B$104:$B$191,$A$104:$A$191,0.95,4,1,1),"")</f>
        <v/>
      </c>
      <c r="H135" s="24" t="str">
        <f aca="false">IFERROR(F135+forecast.ets.confint($A135,$B$104:$B$191,$A$104:$A$191,0.95,4,1,1),"")</f>
        <v/>
      </c>
    </row>
    <row r="136" customFormat="false" ht="15" hidden="false" customHeight="false" outlineLevel="0" collapsed="false">
      <c r="A136" s="16" t="n">
        <v>42370</v>
      </c>
      <c r="B136" s="17" t="str">
        <f aca="false">IFERROR(haverdata(Codes!$D$18,$A136),"")</f>
        <v/>
      </c>
      <c r="C136" s="18" t="str">
        <f aca="false">IFERROR(B136/B135-1,"")</f>
        <v/>
      </c>
      <c r="D136" s="18" t="str">
        <f aca="false">IFERROR(B136/B132-1,"")</f>
        <v/>
      </c>
      <c r="E136" s="19" t="str">
        <f aca="false">IFERROR(IF(B136="",IFERROR(GROWTH($B$104:$B$191,$A$104:$A$191,$A136),TREND($B$104:$B$191,$A$104:$A$191,$A136)),""),"")</f>
        <v/>
      </c>
      <c r="F136" s="19" t="str">
        <f aca="false">IFERROR(forecast.ets($A136,$B$104:$B$191,$A$104:$A$191,4,1,1),"")</f>
        <v/>
      </c>
      <c r="G136" s="19" t="str">
        <f aca="false">IFERROR(F136-forecast.ets.confint($A136,$B$104:$B$191,$A$104:$A$191,0.95,4,1,1),"")</f>
        <v/>
      </c>
      <c r="H136" s="19" t="str">
        <f aca="false">IFERROR(F136+forecast.ets.confint($A136,$B$104:$B$191,$A$104:$A$191,0.95,4,1,1),"")</f>
        <v/>
      </c>
    </row>
    <row r="137" customFormat="false" ht="15" hidden="false" customHeight="false" outlineLevel="0" collapsed="false">
      <c r="A137" s="21" t="n">
        <v>42461</v>
      </c>
      <c r="B137" s="22" t="str">
        <f aca="false">IFERROR(haverdata(Codes!$D$18,$A137),"")</f>
        <v/>
      </c>
      <c r="C137" s="23" t="str">
        <f aca="false">IFERROR(B137/B136-1,"")</f>
        <v/>
      </c>
      <c r="D137" s="23" t="str">
        <f aca="false">IFERROR(B137/B133-1,"")</f>
        <v/>
      </c>
      <c r="E137" s="24" t="str">
        <f aca="false">IFERROR(IF(B137="",IFERROR(GROWTH($B$104:$B$191,$A$104:$A$191,$A137),TREND($B$104:$B$191,$A$104:$A$191,$A137)),""),"")</f>
        <v/>
      </c>
      <c r="F137" s="24" t="str">
        <f aca="false">IFERROR(forecast.ets($A137,$B$104:$B$191,$A$104:$A$191,4,1,1),"")</f>
        <v/>
      </c>
      <c r="G137" s="24" t="str">
        <f aca="false">IFERROR(F137-forecast.ets.confint($A137,$B$104:$B$191,$A$104:$A$191,0.95,4,1,1),"")</f>
        <v/>
      </c>
      <c r="H137" s="24" t="str">
        <f aca="false">IFERROR(F137+forecast.ets.confint($A137,$B$104:$B$191,$A$104:$A$191,0.95,4,1,1),"")</f>
        <v/>
      </c>
    </row>
    <row r="138" customFormat="false" ht="15" hidden="false" customHeight="false" outlineLevel="0" collapsed="false">
      <c r="A138" s="16" t="n">
        <v>42552</v>
      </c>
      <c r="B138" s="17" t="str">
        <f aca="false">IFERROR(haverdata(Codes!$D$18,$A138),"")</f>
        <v/>
      </c>
      <c r="C138" s="18" t="str">
        <f aca="false">IFERROR(B138/B137-1,"")</f>
        <v/>
      </c>
      <c r="D138" s="18" t="str">
        <f aca="false">IFERROR(B138/B134-1,"")</f>
        <v/>
      </c>
      <c r="E138" s="19" t="str">
        <f aca="false">IFERROR(IF(B138="",IFERROR(GROWTH($B$104:$B$191,$A$104:$A$191,$A138),TREND($B$104:$B$191,$A$104:$A$191,$A138)),""),"")</f>
        <v/>
      </c>
      <c r="F138" s="19" t="str">
        <f aca="false">IFERROR(forecast.ets($A138,$B$104:$B$191,$A$104:$A$191,4,1,1),"")</f>
        <v/>
      </c>
      <c r="G138" s="19" t="str">
        <f aca="false">IFERROR(F138-forecast.ets.confint($A138,$B$104:$B$191,$A$104:$A$191,0.95,4,1,1),"")</f>
        <v/>
      </c>
      <c r="H138" s="19" t="str">
        <f aca="false">IFERROR(F138+forecast.ets.confint($A138,$B$104:$B$191,$A$104:$A$191,0.95,4,1,1),"")</f>
        <v/>
      </c>
    </row>
    <row r="139" customFormat="false" ht="15" hidden="false" customHeight="false" outlineLevel="0" collapsed="false">
      <c r="A139" s="21" t="n">
        <v>42644</v>
      </c>
      <c r="B139" s="22" t="str">
        <f aca="false">IFERROR(haverdata(Codes!$D$18,$A139),"")</f>
        <v/>
      </c>
      <c r="C139" s="23" t="str">
        <f aca="false">IFERROR(B139/B138-1,"")</f>
        <v/>
      </c>
      <c r="D139" s="23" t="str">
        <f aca="false">IFERROR(B139/B135-1,"")</f>
        <v/>
      </c>
      <c r="E139" s="24" t="str">
        <f aca="false">IFERROR(IF(B139="",IFERROR(GROWTH($B$104:$B$191,$A$104:$A$191,$A139),TREND($B$104:$B$191,$A$104:$A$191,$A139)),""),"")</f>
        <v/>
      </c>
      <c r="F139" s="24" t="str">
        <f aca="false">IFERROR(forecast.ets($A139,$B$104:$B$191,$A$104:$A$191,4,1,1),"")</f>
        <v/>
      </c>
      <c r="G139" s="24" t="str">
        <f aca="false">IFERROR(F139-forecast.ets.confint($A139,$B$104:$B$191,$A$104:$A$191,0.95,4,1,1),"")</f>
        <v/>
      </c>
      <c r="H139" s="24" t="str">
        <f aca="false">IFERROR(F139+forecast.ets.confint($A139,$B$104:$B$191,$A$104:$A$191,0.95,4,1,1),"")</f>
        <v/>
      </c>
    </row>
    <row r="140" customFormat="false" ht="15" hidden="false" customHeight="false" outlineLevel="0" collapsed="false">
      <c r="A140" s="16" t="n">
        <v>42736</v>
      </c>
      <c r="B140" s="17" t="str">
        <f aca="false">IFERROR(haverdata(Codes!$D$18,$A140),"")</f>
        <v/>
      </c>
      <c r="C140" s="18" t="str">
        <f aca="false">IFERROR(B140/B139-1,"")</f>
        <v/>
      </c>
      <c r="D140" s="18" t="str">
        <f aca="false">IFERROR(B140/B136-1,"")</f>
        <v/>
      </c>
      <c r="E140" s="19" t="str">
        <f aca="false">IFERROR(IF(B140="",IFERROR(GROWTH($B$104:$B$191,$A$104:$A$191,$A140),TREND($B$104:$B$191,$A$104:$A$191,$A140)),""),"")</f>
        <v/>
      </c>
      <c r="F140" s="19" t="str">
        <f aca="false">IFERROR(forecast.ets($A140,$B$104:$B$191,$A$104:$A$191,4,1,1),"")</f>
        <v/>
      </c>
      <c r="G140" s="19" t="str">
        <f aca="false">IFERROR(F140-forecast.ets.confint($A140,$B$104:$B$191,$A$104:$A$191,0.95,4,1,1),"")</f>
        <v/>
      </c>
      <c r="H140" s="19" t="str">
        <f aca="false">IFERROR(F140+forecast.ets.confint($A140,$B$104:$B$191,$A$104:$A$191,0.95,4,1,1),"")</f>
        <v/>
      </c>
    </row>
    <row r="141" customFormat="false" ht="15" hidden="false" customHeight="false" outlineLevel="0" collapsed="false">
      <c r="A141" s="21" t="n">
        <v>42826</v>
      </c>
      <c r="B141" s="22" t="str">
        <f aca="false">IFERROR(haverdata(Codes!$D$18,$A141),"")</f>
        <v/>
      </c>
      <c r="C141" s="23" t="str">
        <f aca="false">IFERROR(B141/B140-1,"")</f>
        <v/>
      </c>
      <c r="D141" s="23" t="str">
        <f aca="false">IFERROR(B141/B137-1,"")</f>
        <v/>
      </c>
      <c r="E141" s="24" t="str">
        <f aca="false">IFERROR(IF(B141="",IFERROR(GROWTH($B$104:$B$191,$A$104:$A$191,$A141),TREND($B$104:$B$191,$A$104:$A$191,$A141)),""),"")</f>
        <v/>
      </c>
      <c r="F141" s="24" t="str">
        <f aca="false">IFERROR(forecast.ets($A141,$B$104:$B$191,$A$104:$A$191,4,1,1),"")</f>
        <v/>
      </c>
      <c r="G141" s="24" t="str">
        <f aca="false">IFERROR(F141-forecast.ets.confint($A141,$B$104:$B$191,$A$104:$A$191,0.95,4,1,1),"")</f>
        <v/>
      </c>
      <c r="H141" s="24" t="str">
        <f aca="false">IFERROR(F141+forecast.ets.confint($A141,$B$104:$B$191,$A$104:$A$191,0.95,4,1,1),"")</f>
        <v/>
      </c>
    </row>
    <row r="142" customFormat="false" ht="15" hidden="false" customHeight="false" outlineLevel="0" collapsed="false">
      <c r="A142" s="16" t="n">
        <v>42917</v>
      </c>
      <c r="B142" s="17" t="str">
        <f aca="false">IFERROR(haverdata(Codes!$D$18,$A142),"")</f>
        <v/>
      </c>
      <c r="C142" s="18" t="str">
        <f aca="false">IFERROR(B142/B141-1,"")</f>
        <v/>
      </c>
      <c r="D142" s="18" t="str">
        <f aca="false">IFERROR(B142/B138-1,"")</f>
        <v/>
      </c>
      <c r="E142" s="19" t="str">
        <f aca="false">IFERROR(IF(B142="",IFERROR(GROWTH($B$104:$B$191,$A$104:$A$191,$A142),TREND($B$104:$B$191,$A$104:$A$191,$A142)),""),"")</f>
        <v/>
      </c>
      <c r="F142" s="19" t="str">
        <f aca="false">IFERROR(forecast.ets($A142,$B$104:$B$191,$A$104:$A$191,4,1,1),"")</f>
        <v/>
      </c>
      <c r="G142" s="19" t="str">
        <f aca="false">IFERROR(F142-forecast.ets.confint($A142,$B$104:$B$191,$A$104:$A$191,0.95,4,1,1),"")</f>
        <v/>
      </c>
      <c r="H142" s="19" t="str">
        <f aca="false">IFERROR(F142+forecast.ets.confint($A142,$B$104:$B$191,$A$104:$A$191,0.95,4,1,1),"")</f>
        <v/>
      </c>
    </row>
    <row r="143" customFormat="false" ht="15" hidden="false" customHeight="false" outlineLevel="0" collapsed="false">
      <c r="A143" s="21" t="n">
        <v>43009</v>
      </c>
      <c r="B143" s="22" t="str">
        <f aca="false">IFERROR(haverdata(Codes!$D$18,$A143),"")</f>
        <v/>
      </c>
      <c r="C143" s="23" t="str">
        <f aca="false">IFERROR(B143/B142-1,"")</f>
        <v/>
      </c>
      <c r="D143" s="23" t="str">
        <f aca="false">IFERROR(B143/B139-1,"")</f>
        <v/>
      </c>
      <c r="E143" s="24" t="str">
        <f aca="false">IFERROR(IF(B143="",IFERROR(GROWTH($B$104:$B$191,$A$104:$A$191,$A143),TREND($B$104:$B$191,$A$104:$A$191,$A143)),""),"")</f>
        <v/>
      </c>
      <c r="F143" s="24" t="str">
        <f aca="false">IFERROR(forecast.ets($A143,$B$104:$B$191,$A$104:$A$191,4,1,1),"")</f>
        <v/>
      </c>
      <c r="G143" s="24" t="str">
        <f aca="false">IFERROR(F143-forecast.ets.confint($A143,$B$104:$B$191,$A$104:$A$191,0.95,4,1,1),"")</f>
        <v/>
      </c>
      <c r="H143" s="24" t="str">
        <f aca="false">IFERROR(F143+forecast.ets.confint($A143,$B$104:$B$191,$A$104:$A$191,0.95,4,1,1),"")</f>
        <v/>
      </c>
    </row>
    <row r="144" customFormat="false" ht="15" hidden="false" customHeight="false" outlineLevel="0" collapsed="false">
      <c r="A144" s="16" t="n">
        <v>43101</v>
      </c>
      <c r="B144" s="17" t="str">
        <f aca="false">IFERROR(haverdata(Codes!$D$18,$A144),"")</f>
        <v/>
      </c>
      <c r="C144" s="18" t="str">
        <f aca="false">IFERROR(B144/B143-1,"")</f>
        <v/>
      </c>
      <c r="D144" s="18" t="str">
        <f aca="false">IFERROR(B144/B140-1,"")</f>
        <v/>
      </c>
      <c r="E144" s="19" t="str">
        <f aca="false">IFERROR(IF(B144="",IFERROR(GROWTH($B$104:$B$191,$A$104:$A$191,$A144),TREND($B$104:$B$191,$A$104:$A$191,$A144)),""),"")</f>
        <v/>
      </c>
      <c r="F144" s="19" t="str">
        <f aca="false">IFERROR(forecast.ets($A144,$B$104:$B$191,$A$104:$A$191,4,1,1),"")</f>
        <v/>
      </c>
      <c r="G144" s="19" t="str">
        <f aca="false">IFERROR(F144-forecast.ets.confint($A144,$B$104:$B$191,$A$104:$A$191,0.95,4,1,1),"")</f>
        <v/>
      </c>
      <c r="H144" s="19" t="str">
        <f aca="false">IFERROR(F144+forecast.ets.confint($A144,$B$104:$B$191,$A$104:$A$191,0.95,4,1,1),"")</f>
        <v/>
      </c>
    </row>
    <row r="145" customFormat="false" ht="15" hidden="false" customHeight="false" outlineLevel="0" collapsed="false">
      <c r="A145" s="21" t="n">
        <v>43191</v>
      </c>
      <c r="B145" s="22" t="str">
        <f aca="false">IFERROR(haverdata(Codes!$D$18,$A145),"")</f>
        <v/>
      </c>
      <c r="C145" s="23" t="str">
        <f aca="false">IFERROR(B145/B144-1,"")</f>
        <v/>
      </c>
      <c r="D145" s="23" t="str">
        <f aca="false">IFERROR(B145/B141-1,"")</f>
        <v/>
      </c>
      <c r="E145" s="24" t="str">
        <f aca="false">IFERROR(IF(B145="",IFERROR(GROWTH($B$104:$B$191,$A$104:$A$191,$A145),TREND($B$104:$B$191,$A$104:$A$191,$A145)),""),"")</f>
        <v/>
      </c>
      <c r="F145" s="24" t="str">
        <f aca="false">IFERROR(forecast.ets($A145,$B$104:$B$191,$A$104:$A$191,4,1,1),"")</f>
        <v/>
      </c>
      <c r="G145" s="24" t="str">
        <f aca="false">IFERROR(F145-forecast.ets.confint($A145,$B$104:$B$191,$A$104:$A$191,0.95,4,1,1),"")</f>
        <v/>
      </c>
      <c r="H145" s="24" t="str">
        <f aca="false">IFERROR(F145+forecast.ets.confint($A145,$B$104:$B$191,$A$104:$A$191,0.95,4,1,1),"")</f>
        <v/>
      </c>
    </row>
    <row r="146" customFormat="false" ht="15" hidden="false" customHeight="false" outlineLevel="0" collapsed="false">
      <c r="A146" s="16" t="n">
        <v>43282</v>
      </c>
      <c r="B146" s="17" t="str">
        <f aca="false">IFERROR(haverdata(Codes!$D$18,$A146),"")</f>
        <v/>
      </c>
      <c r="C146" s="18" t="str">
        <f aca="false">IFERROR(B146/B145-1,"")</f>
        <v/>
      </c>
      <c r="D146" s="18" t="str">
        <f aca="false">IFERROR(B146/B142-1,"")</f>
        <v/>
      </c>
      <c r="E146" s="19" t="str">
        <f aca="false">IFERROR(IF(B146="",IFERROR(GROWTH($B$104:$B$191,$A$104:$A$191,$A146),TREND($B$104:$B$191,$A$104:$A$191,$A146)),""),"")</f>
        <v/>
      </c>
      <c r="F146" s="19" t="str">
        <f aca="false">IFERROR(forecast.ets($A146,$B$104:$B$191,$A$104:$A$191,4,1,1),"")</f>
        <v/>
      </c>
      <c r="G146" s="19" t="str">
        <f aca="false">IFERROR(F146-forecast.ets.confint($A146,$B$104:$B$191,$A$104:$A$191,0.95,4,1,1),"")</f>
        <v/>
      </c>
      <c r="H146" s="19" t="str">
        <f aca="false">IFERROR(F146+forecast.ets.confint($A146,$B$104:$B$191,$A$104:$A$191,0.95,4,1,1),"")</f>
        <v/>
      </c>
    </row>
    <row r="147" customFormat="false" ht="15" hidden="false" customHeight="false" outlineLevel="0" collapsed="false">
      <c r="A147" s="21" t="n">
        <v>43374</v>
      </c>
      <c r="B147" s="22" t="str">
        <f aca="false">IFERROR(haverdata(Codes!$D$18,$A147),"")</f>
        <v/>
      </c>
      <c r="C147" s="23" t="str">
        <f aca="false">IFERROR(B147/B146-1,"")</f>
        <v/>
      </c>
      <c r="D147" s="23" t="str">
        <f aca="false">IFERROR(B147/B143-1,"")</f>
        <v/>
      </c>
      <c r="E147" s="24" t="str">
        <f aca="false">IFERROR(IF(B147="",IFERROR(GROWTH($B$104:$B$191,$A$104:$A$191,$A147),TREND($B$104:$B$191,$A$104:$A$191,$A147)),""),"")</f>
        <v/>
      </c>
      <c r="F147" s="24" t="str">
        <f aca="false">IFERROR(forecast.ets($A147,$B$104:$B$191,$A$104:$A$191,4,1,1),"")</f>
        <v/>
      </c>
      <c r="G147" s="24" t="str">
        <f aca="false">IFERROR(F147-forecast.ets.confint($A147,$B$104:$B$191,$A$104:$A$191,0.95,4,1,1),"")</f>
        <v/>
      </c>
      <c r="H147" s="24" t="str">
        <f aca="false">IFERROR(F147+forecast.ets.confint($A147,$B$104:$B$191,$A$104:$A$191,0.95,4,1,1),"")</f>
        <v/>
      </c>
    </row>
    <row r="148" customFormat="false" ht="15" hidden="false" customHeight="false" outlineLevel="0" collapsed="false">
      <c r="A148" s="16" t="n">
        <v>43466</v>
      </c>
      <c r="B148" s="17" t="str">
        <f aca="false">IFERROR(haverdata(Codes!$D$18,$A148),"")</f>
        <v/>
      </c>
      <c r="C148" s="18" t="str">
        <f aca="false">IFERROR(B148/B147-1,"")</f>
        <v/>
      </c>
      <c r="D148" s="18" t="str">
        <f aca="false">IFERROR(B148/B144-1,"")</f>
        <v/>
      </c>
      <c r="E148" s="19" t="str">
        <f aca="false">IFERROR(IF(B148="",IFERROR(GROWTH($B$104:$B$191,$A$104:$A$191,$A148),TREND($B$104:$B$191,$A$104:$A$191,$A148)),""),"")</f>
        <v/>
      </c>
      <c r="F148" s="19" t="str">
        <f aca="false">IFERROR(forecast.ets($A148,$B$104:$B$191,$A$104:$A$191,4,1,1),"")</f>
        <v/>
      </c>
      <c r="G148" s="19" t="str">
        <f aca="false">IFERROR(F148-forecast.ets.confint($A148,$B$104:$B$191,$A$104:$A$191,0.95,4,1,1),"")</f>
        <v/>
      </c>
      <c r="H148" s="19" t="str">
        <f aca="false">IFERROR(F148+forecast.ets.confint($A148,$B$104:$B$191,$A$104:$A$191,0.95,4,1,1),"")</f>
        <v/>
      </c>
    </row>
    <row r="149" customFormat="false" ht="15" hidden="false" customHeight="false" outlineLevel="0" collapsed="false">
      <c r="A149" s="21" t="n">
        <v>43556</v>
      </c>
      <c r="B149" s="22" t="str">
        <f aca="false">IFERROR(haverdata(Codes!$D$18,$A149),"")</f>
        <v/>
      </c>
      <c r="C149" s="23" t="str">
        <f aca="false">IFERROR(B149/B148-1,"")</f>
        <v/>
      </c>
      <c r="D149" s="23" t="str">
        <f aca="false">IFERROR(B149/B145-1,"")</f>
        <v/>
      </c>
      <c r="E149" s="24" t="str">
        <f aca="false">IFERROR(IF(B149="",IFERROR(GROWTH($B$104:$B$191,$A$104:$A$191,$A149),TREND($B$104:$B$191,$A$104:$A$191,$A149)),""),"")</f>
        <v/>
      </c>
      <c r="F149" s="24" t="str">
        <f aca="false">IFERROR(forecast.ets($A149,$B$104:$B$191,$A$104:$A$191,4,1,1),"")</f>
        <v/>
      </c>
      <c r="G149" s="24" t="str">
        <f aca="false">IFERROR(F149-forecast.ets.confint($A149,$B$104:$B$191,$A$104:$A$191,0.95,4,1,1),"")</f>
        <v/>
      </c>
      <c r="H149" s="24" t="str">
        <f aca="false">IFERROR(F149+forecast.ets.confint($A149,$B$104:$B$191,$A$104:$A$191,0.95,4,1,1),"")</f>
        <v/>
      </c>
    </row>
    <row r="150" customFormat="false" ht="15" hidden="false" customHeight="false" outlineLevel="0" collapsed="false">
      <c r="A150" s="16" t="n">
        <v>43647</v>
      </c>
      <c r="B150" s="17" t="str">
        <f aca="false">IFERROR(haverdata(Codes!$D$18,$A150),"")</f>
        <v/>
      </c>
      <c r="C150" s="18" t="str">
        <f aca="false">IFERROR(B150/B149-1,"")</f>
        <v/>
      </c>
      <c r="D150" s="18" t="str">
        <f aca="false">IFERROR(B150/B146-1,"")</f>
        <v/>
      </c>
      <c r="E150" s="19" t="str">
        <f aca="false">IFERROR(IF(B150="",IFERROR(GROWTH($B$104:$B$191,$A$104:$A$191,$A150),TREND($B$104:$B$191,$A$104:$A$191,$A150)),""),"")</f>
        <v/>
      </c>
      <c r="F150" s="19" t="str">
        <f aca="false">IFERROR(forecast.ets($A150,$B$104:$B$191,$A$104:$A$191,4,1,1),"")</f>
        <v/>
      </c>
      <c r="G150" s="19" t="str">
        <f aca="false">IFERROR(F150-forecast.ets.confint($A150,$B$104:$B$191,$A$104:$A$191,0.95,4,1,1),"")</f>
        <v/>
      </c>
      <c r="H150" s="19" t="str">
        <f aca="false">IFERROR(F150+forecast.ets.confint($A150,$B$104:$B$191,$A$104:$A$191,0.95,4,1,1),"")</f>
        <v/>
      </c>
    </row>
    <row r="151" customFormat="false" ht="15" hidden="false" customHeight="false" outlineLevel="0" collapsed="false">
      <c r="A151" s="21" t="n">
        <v>43739</v>
      </c>
      <c r="B151" s="22" t="str">
        <f aca="false">IFERROR(haverdata(Codes!$D$18,$A151),"")</f>
        <v/>
      </c>
      <c r="C151" s="23" t="str">
        <f aca="false">IFERROR(B151/B150-1,"")</f>
        <v/>
      </c>
      <c r="D151" s="23" t="str">
        <f aca="false">IFERROR(B151/B147-1,"")</f>
        <v/>
      </c>
      <c r="E151" s="24" t="str">
        <f aca="false">IFERROR(IF(B151="",IFERROR(GROWTH($B$104:$B$191,$A$104:$A$191,$A151),TREND($B$104:$B$191,$A$104:$A$191,$A151)),""),"")</f>
        <v/>
      </c>
      <c r="F151" s="24" t="str">
        <f aca="false">IFERROR(forecast.ets($A151,$B$104:$B$191,$A$104:$A$191,4,1,1),"")</f>
        <v/>
      </c>
      <c r="G151" s="24" t="str">
        <f aca="false">IFERROR(F151-forecast.ets.confint($A151,$B$104:$B$191,$A$104:$A$191,0.95,4,1,1),"")</f>
        <v/>
      </c>
      <c r="H151" s="24" t="str">
        <f aca="false">IFERROR(F151+forecast.ets.confint($A151,$B$104:$B$191,$A$104:$A$191,0.95,4,1,1),"")</f>
        <v/>
      </c>
    </row>
    <row r="152" customFormat="false" ht="15" hidden="false" customHeight="false" outlineLevel="0" collapsed="false">
      <c r="A152" s="16" t="n">
        <v>43831</v>
      </c>
      <c r="B152" s="17" t="str">
        <f aca="false">IFERROR(haverdata(Codes!$D$18,$A152),"")</f>
        <v/>
      </c>
      <c r="C152" s="18" t="str">
        <f aca="false">IFERROR(B152/B151-1,"")</f>
        <v/>
      </c>
      <c r="D152" s="18" t="str">
        <f aca="false">IFERROR(B152/B148-1,"")</f>
        <v/>
      </c>
      <c r="E152" s="19" t="str">
        <f aca="false">IFERROR(IF(B152="",IFERROR(GROWTH($B$104:$B$191,$A$104:$A$191,$A152),TREND($B$104:$B$191,$A$104:$A$191,$A152)),""),"")</f>
        <v/>
      </c>
      <c r="F152" s="19" t="str">
        <f aca="false">IFERROR(forecast.ets($A152,$B$104:$B$191,$A$104:$A$191,4,1,1),"")</f>
        <v/>
      </c>
      <c r="G152" s="19" t="str">
        <f aca="false">IFERROR(F152-forecast.ets.confint($A152,$B$104:$B$191,$A$104:$A$191,0.95,4,1,1),"")</f>
        <v/>
      </c>
      <c r="H152" s="19" t="str">
        <f aca="false">IFERROR(F152+forecast.ets.confint($A152,$B$104:$B$191,$A$104:$A$191,0.95,4,1,1),"")</f>
        <v/>
      </c>
    </row>
    <row r="153" customFormat="false" ht="15" hidden="false" customHeight="false" outlineLevel="0" collapsed="false">
      <c r="A153" s="21" t="n">
        <v>43922</v>
      </c>
      <c r="B153" s="22" t="str">
        <f aca="false">IFERROR(haverdata(Codes!$D$18,$A153),"")</f>
        <v/>
      </c>
      <c r="C153" s="23" t="str">
        <f aca="false">IFERROR(B153/B152-1,"")</f>
        <v/>
      </c>
      <c r="D153" s="23" t="str">
        <f aca="false">IFERROR(B153/B149-1,"")</f>
        <v/>
      </c>
      <c r="E153" s="24" t="str">
        <f aca="false">IFERROR(IF(B153="",IFERROR(GROWTH($B$104:$B$191,$A$104:$A$191,$A153),TREND($B$104:$B$191,$A$104:$A$191,$A153)),""),"")</f>
        <v/>
      </c>
      <c r="F153" s="24" t="str">
        <f aca="false">IFERROR(forecast.ets($A153,$B$104:$B$191,$A$104:$A$191,4,1,1),"")</f>
        <v/>
      </c>
      <c r="G153" s="24" t="str">
        <f aca="false">IFERROR(F153-forecast.ets.confint($A153,$B$104:$B$191,$A$104:$A$191,0.95,4,1,1),"")</f>
        <v/>
      </c>
      <c r="H153" s="24" t="str">
        <f aca="false">IFERROR(F153+forecast.ets.confint($A153,$B$104:$B$191,$A$104:$A$191,0.95,4,1,1),"")</f>
        <v/>
      </c>
    </row>
    <row r="154" customFormat="false" ht="15" hidden="false" customHeight="false" outlineLevel="0" collapsed="false">
      <c r="A154" s="16" t="n">
        <v>44013</v>
      </c>
      <c r="B154" s="17" t="str">
        <f aca="false">IFERROR(haverdata(Codes!$D$18,$A154),"")</f>
        <v/>
      </c>
      <c r="C154" s="18" t="str">
        <f aca="false">IFERROR(B154/B153-1,"")</f>
        <v/>
      </c>
      <c r="D154" s="18" t="str">
        <f aca="false">IFERROR(B154/B150-1,"")</f>
        <v/>
      </c>
      <c r="E154" s="19" t="str">
        <f aca="false">IFERROR(IF(B154="",IFERROR(GROWTH($B$104:$B$191,$A$104:$A$191,$A154),TREND($B$104:$B$191,$A$104:$A$191,$A154)),""),"")</f>
        <v/>
      </c>
      <c r="F154" s="19" t="str">
        <f aca="false">IFERROR(forecast.ets($A154,$B$104:$B$191,$A$104:$A$191,4,1,1),"")</f>
        <v/>
      </c>
      <c r="G154" s="19" t="str">
        <f aca="false">IFERROR(F154-forecast.ets.confint($A154,$B$104:$B$191,$A$104:$A$191,0.95,4,1,1),"")</f>
        <v/>
      </c>
      <c r="H154" s="19" t="str">
        <f aca="false">IFERROR(F154+forecast.ets.confint($A154,$B$104:$B$191,$A$104:$A$191,0.95,4,1,1),"")</f>
        <v/>
      </c>
    </row>
    <row r="155" customFormat="false" ht="15" hidden="false" customHeight="false" outlineLevel="0" collapsed="false">
      <c r="A155" s="21" t="n">
        <v>44105</v>
      </c>
      <c r="B155" s="22" t="str">
        <f aca="false">IFERROR(haverdata(Codes!$D$18,$A155),"")</f>
        <v/>
      </c>
      <c r="C155" s="23" t="str">
        <f aca="false">IFERROR(B155/B154-1,"")</f>
        <v/>
      </c>
      <c r="D155" s="23" t="str">
        <f aca="false">IFERROR(B155/B151-1,"")</f>
        <v/>
      </c>
      <c r="E155" s="24" t="str">
        <f aca="false">IFERROR(IF(B155="",IFERROR(GROWTH($B$104:$B$191,$A$104:$A$191,$A155),TREND($B$104:$B$191,$A$104:$A$191,$A155)),""),"")</f>
        <v/>
      </c>
      <c r="F155" s="24" t="str">
        <f aca="false">IFERROR(forecast.ets($A155,$B$104:$B$191,$A$104:$A$191,4,1,1),"")</f>
        <v/>
      </c>
      <c r="G155" s="24" t="str">
        <f aca="false">IFERROR(F155-forecast.ets.confint($A155,$B$104:$B$191,$A$104:$A$191,0.95,4,1,1),"")</f>
        <v/>
      </c>
      <c r="H155" s="24" t="str">
        <f aca="false">IFERROR(F155+forecast.ets.confint($A155,$B$104:$B$191,$A$104:$A$191,0.95,4,1,1),"")</f>
        <v/>
      </c>
    </row>
    <row r="156" customFormat="false" ht="15" hidden="false" customHeight="false" outlineLevel="0" collapsed="false">
      <c r="A156" s="16" t="n">
        <v>44197</v>
      </c>
      <c r="B156" s="17" t="str">
        <f aca="false">IFERROR(haverdata(Codes!$D$18,$A156),"")</f>
        <v/>
      </c>
      <c r="C156" s="18" t="str">
        <f aca="false">IFERROR(B156/B155-1,"")</f>
        <v/>
      </c>
      <c r="D156" s="18" t="str">
        <f aca="false">IFERROR(B156/B152-1,"")</f>
        <v/>
      </c>
      <c r="E156" s="19" t="str">
        <f aca="false">IFERROR(IF(B156="",IFERROR(GROWTH($B$104:$B$191,$A$104:$A$191,$A156),TREND($B$104:$B$191,$A$104:$A$191,$A156)),""),"")</f>
        <v/>
      </c>
      <c r="F156" s="19" t="str">
        <f aca="false">IFERROR(forecast.ets($A156,$B$104:$B$191,$A$104:$A$191,4,1,1),"")</f>
        <v/>
      </c>
      <c r="G156" s="19" t="str">
        <f aca="false">IFERROR(F156-forecast.ets.confint($A156,$B$104:$B$191,$A$104:$A$191,0.95,4,1,1),"")</f>
        <v/>
      </c>
      <c r="H156" s="19" t="str">
        <f aca="false">IFERROR(F156+forecast.ets.confint($A156,$B$104:$B$191,$A$104:$A$191,0.95,4,1,1),"")</f>
        <v/>
      </c>
    </row>
    <row r="157" customFormat="false" ht="15" hidden="false" customHeight="false" outlineLevel="0" collapsed="false">
      <c r="A157" s="21" t="n">
        <v>44287</v>
      </c>
      <c r="B157" s="22" t="str">
        <f aca="false">IFERROR(haverdata(Codes!$D$18,$A157),"")</f>
        <v/>
      </c>
      <c r="C157" s="23" t="str">
        <f aca="false">IFERROR(B157/B156-1,"")</f>
        <v/>
      </c>
      <c r="D157" s="23" t="str">
        <f aca="false">IFERROR(B157/B153-1,"")</f>
        <v/>
      </c>
      <c r="E157" s="24" t="str">
        <f aca="false">IFERROR(IF(B157="",IFERROR(GROWTH($B$104:$B$191,$A$104:$A$191,$A157),TREND($B$104:$B$191,$A$104:$A$191,$A157)),""),"")</f>
        <v/>
      </c>
      <c r="F157" s="24" t="str">
        <f aca="false">IFERROR(forecast.ets($A157,$B$104:$B$191,$A$104:$A$191,4,1,1),"")</f>
        <v/>
      </c>
      <c r="G157" s="24" t="str">
        <f aca="false">IFERROR(F157-forecast.ets.confint($A157,$B$104:$B$191,$A$104:$A$191,0.95,4,1,1),"")</f>
        <v/>
      </c>
      <c r="H157" s="24" t="str">
        <f aca="false">IFERROR(F157+forecast.ets.confint($A157,$B$104:$B$191,$A$104:$A$191,0.95,4,1,1),"")</f>
        <v/>
      </c>
    </row>
    <row r="158" customFormat="false" ht="15" hidden="false" customHeight="false" outlineLevel="0" collapsed="false">
      <c r="A158" s="16" t="n">
        <v>44378</v>
      </c>
      <c r="B158" s="17" t="str">
        <f aca="false">IFERROR(haverdata(Codes!$D$18,$A158),"")</f>
        <v/>
      </c>
      <c r="C158" s="18" t="str">
        <f aca="false">IFERROR(B158/B157-1,"")</f>
        <v/>
      </c>
      <c r="D158" s="18" t="str">
        <f aca="false">IFERROR(B158/B154-1,"")</f>
        <v/>
      </c>
      <c r="E158" s="19" t="str">
        <f aca="false">IFERROR(IF(B158="",IFERROR(GROWTH($B$104:$B$191,$A$104:$A$191,$A158),TREND($B$104:$B$191,$A$104:$A$191,$A158)),""),"")</f>
        <v/>
      </c>
      <c r="F158" s="19" t="str">
        <f aca="false">IFERROR(forecast.ets($A158,$B$104:$B$191,$A$104:$A$191,4,1,1),"")</f>
        <v/>
      </c>
      <c r="G158" s="19" t="str">
        <f aca="false">IFERROR(F158-forecast.ets.confint($A158,$B$104:$B$191,$A$104:$A$191,0.95,4,1,1),"")</f>
        <v/>
      </c>
      <c r="H158" s="19" t="str">
        <f aca="false">IFERROR(F158+forecast.ets.confint($A158,$B$104:$B$191,$A$104:$A$191,0.95,4,1,1),"")</f>
        <v/>
      </c>
    </row>
    <row r="159" customFormat="false" ht="15" hidden="false" customHeight="false" outlineLevel="0" collapsed="false">
      <c r="A159" s="21" t="n">
        <v>44470</v>
      </c>
      <c r="B159" s="22" t="str">
        <f aca="false">IFERROR(haverdata(Codes!$D$18,$A159),"")</f>
        <v/>
      </c>
      <c r="C159" s="23" t="str">
        <f aca="false">IFERROR(B159/B158-1,"")</f>
        <v/>
      </c>
      <c r="D159" s="23" t="str">
        <f aca="false">IFERROR(B159/B155-1,"")</f>
        <v/>
      </c>
      <c r="E159" s="24" t="str">
        <f aca="false">IFERROR(IF(B159="",IFERROR(GROWTH($B$104:$B$191,$A$104:$A$191,$A159),TREND($B$104:$B$191,$A$104:$A$191,$A159)),""),"")</f>
        <v/>
      </c>
      <c r="F159" s="24" t="str">
        <f aca="false">IFERROR(forecast.ets($A159,$B$104:$B$191,$A$104:$A$191,4,1,1),"")</f>
        <v/>
      </c>
      <c r="G159" s="24" t="str">
        <f aca="false">IFERROR(F159-forecast.ets.confint($A159,$B$104:$B$191,$A$104:$A$191,0.95,4,1,1),"")</f>
        <v/>
      </c>
      <c r="H159" s="24" t="str">
        <f aca="false">IFERROR(F159+forecast.ets.confint($A159,$B$104:$B$191,$A$104:$A$191,0.95,4,1,1),"")</f>
        <v/>
      </c>
    </row>
    <row r="160" customFormat="false" ht="15" hidden="false" customHeight="false" outlineLevel="0" collapsed="false">
      <c r="A160" s="16" t="n">
        <v>44562</v>
      </c>
      <c r="B160" s="17" t="str">
        <f aca="false">IFERROR(haverdata(Codes!$D$18,$A160),"")</f>
        <v/>
      </c>
      <c r="C160" s="18" t="str">
        <f aca="false">IFERROR(B160/B159-1,"")</f>
        <v/>
      </c>
      <c r="D160" s="18" t="str">
        <f aca="false">IFERROR(B160/B156-1,"")</f>
        <v/>
      </c>
      <c r="E160" s="19" t="str">
        <f aca="false">IFERROR(IF(B160="",IFERROR(GROWTH($B$104:$B$191,$A$104:$A$191,$A160),TREND($B$104:$B$191,$A$104:$A$191,$A160)),""),"")</f>
        <v/>
      </c>
      <c r="F160" s="19" t="str">
        <f aca="false">IFERROR(forecast.ets($A160,$B$104:$B$191,$A$104:$A$191,4,1,1),"")</f>
        <v/>
      </c>
      <c r="G160" s="19" t="str">
        <f aca="false">IFERROR(F160-forecast.ets.confint($A160,$B$104:$B$191,$A$104:$A$191,0.95,4,1,1),"")</f>
        <v/>
      </c>
      <c r="H160" s="19" t="str">
        <f aca="false">IFERROR(F160+forecast.ets.confint($A160,$B$104:$B$191,$A$104:$A$191,0.95,4,1,1),"")</f>
        <v/>
      </c>
    </row>
    <row r="161" customFormat="false" ht="15" hidden="false" customHeight="false" outlineLevel="0" collapsed="false">
      <c r="A161" s="21" t="n">
        <v>44652</v>
      </c>
      <c r="B161" s="22" t="str">
        <f aca="false">IFERROR(haverdata(Codes!$D$18,$A161),"")</f>
        <v/>
      </c>
      <c r="C161" s="23" t="str">
        <f aca="false">IFERROR(B161/B160-1,"")</f>
        <v/>
      </c>
      <c r="D161" s="23" t="str">
        <f aca="false">IFERROR(B161/B157-1,"")</f>
        <v/>
      </c>
      <c r="E161" s="24" t="str">
        <f aca="false">IFERROR(IF(B161="",IFERROR(GROWTH($B$104:$B$191,$A$104:$A$191,$A161),TREND($B$104:$B$191,$A$104:$A$191,$A161)),""),"")</f>
        <v/>
      </c>
      <c r="F161" s="24" t="str">
        <f aca="false">IFERROR(forecast.ets($A161,$B$104:$B$191,$A$104:$A$191,4,1,1),"")</f>
        <v/>
      </c>
      <c r="G161" s="24" t="str">
        <f aca="false">IFERROR(F161-forecast.ets.confint($A161,$B$104:$B$191,$A$104:$A$191,0.95,4,1,1),"")</f>
        <v/>
      </c>
      <c r="H161" s="24" t="str">
        <f aca="false">IFERROR(F161+forecast.ets.confint($A161,$B$104:$B$191,$A$104:$A$191,0.95,4,1,1),"")</f>
        <v/>
      </c>
    </row>
    <row r="162" customFormat="false" ht="15" hidden="false" customHeight="false" outlineLevel="0" collapsed="false">
      <c r="A162" s="16" t="n">
        <v>44743</v>
      </c>
      <c r="B162" s="17" t="str">
        <f aca="false">IFERROR(haverdata(Codes!$D$18,$A162),"")</f>
        <v/>
      </c>
      <c r="C162" s="18" t="str">
        <f aca="false">IFERROR(B162/B161-1,"")</f>
        <v/>
      </c>
      <c r="D162" s="18" t="str">
        <f aca="false">IFERROR(B162/B158-1,"")</f>
        <v/>
      </c>
      <c r="E162" s="19" t="str">
        <f aca="false">IFERROR(IF(B162="",IFERROR(GROWTH($B$104:$B$191,$A$104:$A$191,$A162),TREND($B$104:$B$191,$A$104:$A$191,$A162)),""),"")</f>
        <v/>
      </c>
      <c r="F162" s="19" t="str">
        <f aca="false">IFERROR(forecast.ets($A162,$B$104:$B$191,$A$104:$A$191,4,1,1),"")</f>
        <v/>
      </c>
      <c r="G162" s="19" t="str">
        <f aca="false">IFERROR(F162-forecast.ets.confint($A162,$B$104:$B$191,$A$104:$A$191,0.95,4,1,1),"")</f>
        <v/>
      </c>
      <c r="H162" s="19" t="str">
        <f aca="false">IFERROR(F162+forecast.ets.confint($A162,$B$104:$B$191,$A$104:$A$191,0.95,4,1,1),"")</f>
        <v/>
      </c>
    </row>
    <row r="163" customFormat="false" ht="15" hidden="false" customHeight="false" outlineLevel="0" collapsed="false">
      <c r="A163" s="21" t="n">
        <v>44835</v>
      </c>
      <c r="B163" s="22" t="str">
        <f aca="false">IFERROR(haverdata(Codes!$D$18,$A163),"")</f>
        <v/>
      </c>
      <c r="C163" s="23" t="str">
        <f aca="false">IFERROR(B163/B162-1,"")</f>
        <v/>
      </c>
      <c r="D163" s="23" t="str">
        <f aca="false">IFERROR(B163/B159-1,"")</f>
        <v/>
      </c>
      <c r="E163" s="24" t="str">
        <f aca="false">IFERROR(IF(B163="",IFERROR(GROWTH($B$104:$B$191,$A$104:$A$191,$A163),TREND($B$104:$B$191,$A$104:$A$191,$A163)),""),"")</f>
        <v/>
      </c>
      <c r="F163" s="24" t="str">
        <f aca="false">IFERROR(forecast.ets($A163,$B$104:$B$191,$A$104:$A$191,4,1,1),"")</f>
        <v/>
      </c>
      <c r="G163" s="24" t="str">
        <f aca="false">IFERROR(F163-forecast.ets.confint($A163,$B$104:$B$191,$A$104:$A$191,0.95,4,1,1),"")</f>
        <v/>
      </c>
      <c r="H163" s="24" t="str">
        <f aca="false">IFERROR(F163+forecast.ets.confint($A163,$B$104:$B$191,$A$104:$A$191,0.95,4,1,1),"")</f>
        <v/>
      </c>
    </row>
    <row r="164" customFormat="false" ht="15" hidden="false" customHeight="false" outlineLevel="0" collapsed="false">
      <c r="A164" s="16" t="n">
        <v>44927</v>
      </c>
      <c r="B164" s="17" t="str">
        <f aca="false">IFERROR(haverdata(Codes!$D$18,$A164),"")</f>
        <v/>
      </c>
      <c r="C164" s="18" t="str">
        <f aca="false">IFERROR(B164/B163-1,"")</f>
        <v/>
      </c>
      <c r="D164" s="18" t="str">
        <f aca="false">IFERROR(B164/B160-1,"")</f>
        <v/>
      </c>
      <c r="E164" s="19" t="str">
        <f aca="false">IFERROR(IF(B164="",IFERROR(GROWTH($B$104:$B$191,$A$104:$A$191,$A164),TREND($B$104:$B$191,$A$104:$A$191,$A164)),""),"")</f>
        <v/>
      </c>
      <c r="F164" s="19" t="str">
        <f aca="false">IFERROR(forecast.ets($A164,$B$104:$B$191,$A$104:$A$191,4,1,1),"")</f>
        <v/>
      </c>
      <c r="G164" s="19" t="str">
        <f aca="false">IFERROR(F164-forecast.ets.confint($A164,$B$104:$B$191,$A$104:$A$191,0.95,4,1,1),"")</f>
        <v/>
      </c>
      <c r="H164" s="19" t="str">
        <f aca="false">IFERROR(F164+forecast.ets.confint($A164,$B$104:$B$191,$A$104:$A$191,0.95,4,1,1),"")</f>
        <v/>
      </c>
    </row>
    <row r="165" customFormat="false" ht="15" hidden="false" customHeight="false" outlineLevel="0" collapsed="false">
      <c r="A165" s="21" t="n">
        <v>45017</v>
      </c>
      <c r="B165" s="22" t="str">
        <f aca="false">IFERROR(haverdata(Codes!$D$18,$A165),"")</f>
        <v/>
      </c>
      <c r="C165" s="23" t="str">
        <f aca="false">IFERROR(B165/B164-1,"")</f>
        <v/>
      </c>
      <c r="D165" s="23" t="str">
        <f aca="false">IFERROR(B165/B161-1,"")</f>
        <v/>
      </c>
      <c r="E165" s="24" t="str">
        <f aca="false">IFERROR(IF(B165="",IFERROR(GROWTH($B$104:$B$191,$A$104:$A$191,$A165),TREND($B$104:$B$191,$A$104:$A$191,$A165)),""),"")</f>
        <v/>
      </c>
      <c r="F165" s="24" t="str">
        <f aca="false">IFERROR(forecast.ets($A165,$B$104:$B$191,$A$104:$A$191,4,1,1),"")</f>
        <v/>
      </c>
      <c r="G165" s="24" t="str">
        <f aca="false">IFERROR(F165-forecast.ets.confint($A165,$B$104:$B$191,$A$104:$A$191,0.95,4,1,1),"")</f>
        <v/>
      </c>
      <c r="H165" s="24" t="str">
        <f aca="false">IFERROR(F165+forecast.ets.confint($A165,$B$104:$B$191,$A$104:$A$191,0.95,4,1,1),"")</f>
        <v/>
      </c>
    </row>
    <row r="166" customFormat="false" ht="15" hidden="false" customHeight="false" outlineLevel="0" collapsed="false">
      <c r="A166" s="16" t="n">
        <v>45108</v>
      </c>
      <c r="B166" s="17" t="str">
        <f aca="false">IFERROR(haverdata(Codes!$D$18,$A166),"")</f>
        <v/>
      </c>
      <c r="C166" s="18" t="str">
        <f aca="false">IFERROR(B166/B165-1,"")</f>
        <v/>
      </c>
      <c r="D166" s="18" t="str">
        <f aca="false">IFERROR(B166/B162-1,"")</f>
        <v/>
      </c>
      <c r="E166" s="19" t="str">
        <f aca="false">IFERROR(IF(B166="",IFERROR(GROWTH($B$104:$B$191,$A$104:$A$191,$A166),TREND($B$104:$B$191,$A$104:$A$191,$A166)),""),"")</f>
        <v/>
      </c>
      <c r="F166" s="19" t="str">
        <f aca="false">IFERROR(forecast.ets($A166,$B$104:$B$191,$A$104:$A$191,4,1,1),"")</f>
        <v/>
      </c>
      <c r="G166" s="19" t="str">
        <f aca="false">IFERROR(F166-forecast.ets.confint($A166,$B$104:$B$191,$A$104:$A$191,0.95,4,1,1),"")</f>
        <v/>
      </c>
      <c r="H166" s="19" t="str">
        <f aca="false">IFERROR(F166+forecast.ets.confint($A166,$B$104:$B$191,$A$104:$A$191,0.95,4,1,1),"")</f>
        <v/>
      </c>
    </row>
    <row r="167" customFormat="false" ht="15" hidden="false" customHeight="false" outlineLevel="0" collapsed="false">
      <c r="A167" s="21" t="n">
        <v>45200</v>
      </c>
      <c r="B167" s="22" t="str">
        <f aca="false">IFERROR(haverdata(Codes!$D$18,$A167),"")</f>
        <v/>
      </c>
      <c r="C167" s="23" t="str">
        <f aca="false">IFERROR(B167/B166-1,"")</f>
        <v/>
      </c>
      <c r="D167" s="23" t="str">
        <f aca="false">IFERROR(B167/B163-1,"")</f>
        <v/>
      </c>
      <c r="E167" s="24" t="str">
        <f aca="false">IFERROR(IF(B167="",IFERROR(GROWTH($B$104:$B$191,$A$104:$A$191,$A167),TREND($B$104:$B$191,$A$104:$A$191,$A167)),""),"")</f>
        <v/>
      </c>
      <c r="F167" s="24" t="str">
        <f aca="false">IFERROR(forecast.ets($A167,$B$104:$B$191,$A$104:$A$191,4,1,1),"")</f>
        <v/>
      </c>
      <c r="G167" s="24" t="str">
        <f aca="false">IFERROR(F167-forecast.ets.confint($A167,$B$104:$B$191,$A$104:$A$191,0.95,4,1,1),"")</f>
        <v/>
      </c>
      <c r="H167" s="24" t="str">
        <f aca="false">IFERROR(F167+forecast.ets.confint($A167,$B$104:$B$191,$A$104:$A$191,0.95,4,1,1),"")</f>
        <v/>
      </c>
    </row>
    <row r="168" customFormat="false" ht="15" hidden="false" customHeight="false" outlineLevel="0" collapsed="false">
      <c r="A168" s="16" t="n">
        <v>45292</v>
      </c>
      <c r="B168" s="17" t="str">
        <f aca="false">IFERROR(haverdata(Codes!$D$18,$A168),"")</f>
        <v/>
      </c>
      <c r="C168" s="18" t="str">
        <f aca="false">IFERROR(B168/B167-1,"")</f>
        <v/>
      </c>
      <c r="D168" s="18" t="str">
        <f aca="false">IFERROR(B168/B164-1,"")</f>
        <v/>
      </c>
      <c r="E168" s="19" t="str">
        <f aca="false">IFERROR(IF(B168="",IFERROR(GROWTH($B$104:$B$191,$A$104:$A$191,$A168),TREND($B$104:$B$191,$A$104:$A$191,$A168)),""),"")</f>
        <v/>
      </c>
      <c r="F168" s="19" t="str">
        <f aca="false">IFERROR(forecast.ets($A168,$B$104:$B$191,$A$104:$A$191,4,1,1),"")</f>
        <v/>
      </c>
      <c r="G168" s="19" t="str">
        <f aca="false">IFERROR(F168-forecast.ets.confint($A168,$B$104:$B$191,$A$104:$A$191,0.95,4,1,1),"")</f>
        <v/>
      </c>
      <c r="H168" s="19" t="str">
        <f aca="false">IFERROR(F168+forecast.ets.confint($A168,$B$104:$B$191,$A$104:$A$191,0.95,4,1,1),"")</f>
        <v/>
      </c>
    </row>
    <row r="169" customFormat="false" ht="15" hidden="false" customHeight="false" outlineLevel="0" collapsed="false">
      <c r="A169" s="21" t="n">
        <v>45383</v>
      </c>
      <c r="B169" s="22" t="str">
        <f aca="false">IFERROR(haverdata(Codes!$D$18,$A169),"")</f>
        <v/>
      </c>
      <c r="C169" s="23" t="str">
        <f aca="false">IFERROR(B169/B168-1,"")</f>
        <v/>
      </c>
      <c r="D169" s="23" t="str">
        <f aca="false">IFERROR(B169/B165-1,"")</f>
        <v/>
      </c>
      <c r="E169" s="24" t="str">
        <f aca="false">IFERROR(IF(B169="",IFERROR(GROWTH($B$104:$B$191,$A$104:$A$191,$A169),TREND($B$104:$B$191,$A$104:$A$191,$A169)),""),"")</f>
        <v/>
      </c>
      <c r="F169" s="24" t="str">
        <f aca="false">IFERROR(forecast.ets($A169,$B$104:$B$191,$A$104:$A$191,4,1,1),"")</f>
        <v/>
      </c>
      <c r="G169" s="24" t="str">
        <f aca="false">IFERROR(F169-forecast.ets.confint($A169,$B$104:$B$191,$A$104:$A$191,0.95,4,1,1),"")</f>
        <v/>
      </c>
      <c r="H169" s="24" t="str">
        <f aca="false">IFERROR(F169+forecast.ets.confint($A169,$B$104:$B$191,$A$104:$A$191,0.95,4,1,1),"")</f>
        <v/>
      </c>
    </row>
    <row r="170" customFormat="false" ht="15" hidden="false" customHeight="false" outlineLevel="0" collapsed="false">
      <c r="A170" s="16" t="n">
        <v>45474</v>
      </c>
      <c r="B170" s="17" t="str">
        <f aca="false">IFERROR(haverdata(Codes!$D$18,$A170),"")</f>
        <v/>
      </c>
      <c r="C170" s="18" t="str">
        <f aca="false">IFERROR(B170/B169-1,"")</f>
        <v/>
      </c>
      <c r="D170" s="18" t="str">
        <f aca="false">IFERROR(B170/B166-1,"")</f>
        <v/>
      </c>
      <c r="E170" s="19" t="str">
        <f aca="false">IFERROR(IF(B170="",IFERROR(GROWTH($B$104:$B$191,$A$104:$A$191,$A170),TREND($B$104:$B$191,$A$104:$A$191,$A170)),""),"")</f>
        <v/>
      </c>
      <c r="F170" s="19" t="str">
        <f aca="false">IFERROR(forecast.ets($A170,$B$104:$B$191,$A$104:$A$191,4,1,1),"")</f>
        <v/>
      </c>
      <c r="G170" s="19" t="str">
        <f aca="false">IFERROR(F170-forecast.ets.confint($A170,$B$104:$B$191,$A$104:$A$191,0.95,4,1,1),"")</f>
        <v/>
      </c>
      <c r="H170" s="19" t="str">
        <f aca="false">IFERROR(F170+forecast.ets.confint($A170,$B$104:$B$191,$A$104:$A$191,0.95,4,1,1),"")</f>
        <v/>
      </c>
    </row>
    <row r="171" customFormat="false" ht="15" hidden="false" customHeight="false" outlineLevel="0" collapsed="false">
      <c r="A171" s="21" t="n">
        <v>45566</v>
      </c>
      <c r="B171" s="22" t="str">
        <f aca="false">IFERROR(haverdata(Codes!$D$18,$A171),"")</f>
        <v/>
      </c>
      <c r="C171" s="23" t="str">
        <f aca="false">IFERROR(B171/B170-1,"")</f>
        <v/>
      </c>
      <c r="D171" s="23" t="str">
        <f aca="false">IFERROR(B171/B167-1,"")</f>
        <v/>
      </c>
      <c r="E171" s="24" t="str">
        <f aca="false">IFERROR(IF(B171="",IFERROR(GROWTH($B$104:$B$191,$A$104:$A$191,$A171),TREND($B$104:$B$191,$A$104:$A$191,$A171)),""),"")</f>
        <v/>
      </c>
      <c r="F171" s="24" t="str">
        <f aca="false">IFERROR(forecast.ets($A171,$B$104:$B$191,$A$104:$A$191,4,1,1),"")</f>
        <v/>
      </c>
      <c r="G171" s="24" t="str">
        <f aca="false">IFERROR(F171-forecast.ets.confint($A171,$B$104:$B$191,$A$104:$A$191,0.95,4,1,1),"")</f>
        <v/>
      </c>
      <c r="H171" s="24" t="str">
        <f aca="false">IFERROR(F171+forecast.ets.confint($A171,$B$104:$B$191,$A$104:$A$191,0.95,4,1,1),"")</f>
        <v/>
      </c>
    </row>
    <row r="172" customFormat="false" ht="15" hidden="false" customHeight="false" outlineLevel="0" collapsed="false">
      <c r="A172" s="16" t="n">
        <v>45658</v>
      </c>
      <c r="B172" s="17" t="str">
        <f aca="false">IFERROR(haverdata(Codes!$D$18,$A172),"")</f>
        <v/>
      </c>
      <c r="C172" s="18" t="str">
        <f aca="false">IFERROR(B172/B171-1,"")</f>
        <v/>
      </c>
      <c r="D172" s="18" t="str">
        <f aca="false">IFERROR(B172/B168-1,"")</f>
        <v/>
      </c>
      <c r="E172" s="19" t="str">
        <f aca="false">IFERROR(IF(B172="",IFERROR(GROWTH($B$104:$B$191,$A$104:$A$191,$A172),TREND($B$104:$B$191,$A$104:$A$191,$A172)),""),"")</f>
        <v/>
      </c>
      <c r="F172" s="19" t="str">
        <f aca="false">IFERROR(forecast.ets($A172,$B$104:$B$191,$A$104:$A$191,4,1,1),"")</f>
        <v/>
      </c>
      <c r="G172" s="19" t="str">
        <f aca="false">IFERROR(F172-forecast.ets.confint($A172,$B$104:$B$191,$A$104:$A$191,0.95,4,1,1),"")</f>
        <v/>
      </c>
      <c r="H172" s="19" t="str">
        <f aca="false">IFERROR(F172+forecast.ets.confint($A172,$B$104:$B$191,$A$104:$A$191,0.95,4,1,1),"")</f>
        <v/>
      </c>
    </row>
    <row r="173" customFormat="false" ht="15" hidden="false" customHeight="false" outlineLevel="0" collapsed="false">
      <c r="A173" s="21" t="n">
        <v>45748</v>
      </c>
      <c r="B173" s="22" t="str">
        <f aca="false">IFERROR(haverdata(Codes!$D$18,$A173),"")</f>
        <v/>
      </c>
      <c r="C173" s="23" t="str">
        <f aca="false">IFERROR(B173/B172-1,"")</f>
        <v/>
      </c>
      <c r="D173" s="23" t="str">
        <f aca="false">IFERROR(B173/B169-1,"")</f>
        <v/>
      </c>
      <c r="E173" s="24" t="str">
        <f aca="false">IFERROR(IF(B173="",IFERROR(GROWTH($B$104:$B$191,$A$104:$A$191,$A173),TREND($B$104:$B$191,$A$104:$A$191,$A173)),""),"")</f>
        <v/>
      </c>
      <c r="F173" s="24" t="str">
        <f aca="false">IFERROR(forecast.ets($A173,$B$104:$B$191,$A$104:$A$191,4,1,1),"")</f>
        <v/>
      </c>
      <c r="G173" s="24" t="str">
        <f aca="false">IFERROR(F173-forecast.ets.confint($A173,$B$104:$B$191,$A$104:$A$191,0.95,4,1,1),"")</f>
        <v/>
      </c>
      <c r="H173" s="24" t="str">
        <f aca="false">IFERROR(F173+forecast.ets.confint($A173,$B$104:$B$191,$A$104:$A$191,0.95,4,1,1),"")</f>
        <v/>
      </c>
    </row>
    <row r="174" customFormat="false" ht="15" hidden="false" customHeight="false" outlineLevel="0" collapsed="false">
      <c r="A174" s="16" t="n">
        <v>45839</v>
      </c>
      <c r="B174" s="17" t="str">
        <f aca="false">IFERROR(haverdata(Codes!$D$18,$A174),"")</f>
        <v/>
      </c>
      <c r="C174" s="18" t="str">
        <f aca="false">IFERROR(B174/B173-1,"")</f>
        <v/>
      </c>
      <c r="D174" s="18" t="str">
        <f aca="false">IFERROR(B174/B170-1,"")</f>
        <v/>
      </c>
      <c r="E174" s="19" t="str">
        <f aca="false">IFERROR(IF(B174="",IFERROR(GROWTH($B$104:$B$191,$A$104:$A$191,$A174),TREND($B$104:$B$191,$A$104:$A$191,$A174)),""),"")</f>
        <v/>
      </c>
      <c r="F174" s="19" t="str">
        <f aca="false">IFERROR(forecast.ets($A174,$B$104:$B$191,$A$104:$A$191,4,1,1),"")</f>
        <v/>
      </c>
      <c r="G174" s="19" t="str">
        <f aca="false">IFERROR(F174-forecast.ets.confint($A174,$B$104:$B$191,$A$104:$A$191,0.95,4,1,1),"")</f>
        <v/>
      </c>
      <c r="H174" s="19" t="str">
        <f aca="false">IFERROR(F174+forecast.ets.confint($A174,$B$104:$B$191,$A$104:$A$191,0.95,4,1,1),"")</f>
        <v/>
      </c>
    </row>
    <row r="175" customFormat="false" ht="15" hidden="false" customHeight="false" outlineLevel="0" collapsed="false">
      <c r="A175" s="21" t="n">
        <v>45931</v>
      </c>
      <c r="B175" s="22" t="str">
        <f aca="false">IFERROR(haverdata(Codes!$D$18,$A175),"")</f>
        <v/>
      </c>
      <c r="C175" s="23" t="str">
        <f aca="false">IFERROR(B175/B174-1,"")</f>
        <v/>
      </c>
      <c r="D175" s="23" t="str">
        <f aca="false">IFERROR(B175/B171-1,"")</f>
        <v/>
      </c>
      <c r="E175" s="24" t="str">
        <f aca="false">IFERROR(IF(B175="",IFERROR(GROWTH($B$104:$B$191,$A$104:$A$191,$A175),TREND($B$104:$B$191,$A$104:$A$191,$A175)),""),"")</f>
        <v/>
      </c>
      <c r="F175" s="24" t="str">
        <f aca="false">IFERROR(forecast.ets($A175,$B$104:$B$191,$A$104:$A$191,4,1,1),"")</f>
        <v/>
      </c>
      <c r="G175" s="24" t="str">
        <f aca="false">IFERROR(F175-forecast.ets.confint($A175,$B$104:$B$191,$A$104:$A$191,0.95,4,1,1),"")</f>
        <v/>
      </c>
      <c r="H175" s="24" t="str">
        <f aca="false">IFERROR(F175+forecast.ets.confint($A175,$B$104:$B$191,$A$104:$A$191,0.95,4,1,1),"")</f>
        <v/>
      </c>
    </row>
    <row r="176" customFormat="false" ht="15" hidden="false" customHeight="false" outlineLevel="0" collapsed="false">
      <c r="A176" s="16" t="n">
        <v>46023</v>
      </c>
      <c r="B176" s="17" t="str">
        <f aca="false">IFERROR(haverdata(Codes!$D$18,$A176),"")</f>
        <v/>
      </c>
      <c r="C176" s="18" t="str">
        <f aca="false">IFERROR(B176/B175-1,"")</f>
        <v/>
      </c>
      <c r="D176" s="18" t="str">
        <f aca="false">IFERROR(B176/B172-1,"")</f>
        <v/>
      </c>
      <c r="E176" s="19" t="str">
        <f aca="false">IFERROR(IF(B176="",IFERROR(GROWTH($B$104:$B$191,$A$104:$A$191,$A176),TREND($B$104:$B$191,$A$104:$A$191,$A176)),""),"")</f>
        <v/>
      </c>
      <c r="F176" s="19" t="str">
        <f aca="false">IFERROR(forecast.ets($A176,$B$104:$B$191,$A$104:$A$191,4,1,1),"")</f>
        <v/>
      </c>
      <c r="G176" s="19" t="str">
        <f aca="false">IFERROR(F176-forecast.ets.confint($A176,$B$104:$B$191,$A$104:$A$191,0.95,4,1,1),"")</f>
        <v/>
      </c>
      <c r="H176" s="19" t="str">
        <f aca="false">IFERROR(F176+forecast.ets.confint($A176,$B$104:$B$191,$A$104:$A$191,0.95,4,1,1),"")</f>
        <v/>
      </c>
    </row>
    <row r="177" customFormat="false" ht="15" hidden="false" customHeight="false" outlineLevel="0" collapsed="false">
      <c r="A177" s="21" t="n">
        <v>46113</v>
      </c>
      <c r="B177" s="22" t="str">
        <f aca="false">IFERROR(haverdata(Codes!$D$18,$A177),"")</f>
        <v/>
      </c>
      <c r="C177" s="23" t="str">
        <f aca="false">IFERROR(B177/B176-1,"")</f>
        <v/>
      </c>
      <c r="D177" s="23" t="str">
        <f aca="false">IFERROR(B177/B173-1,"")</f>
        <v/>
      </c>
      <c r="E177" s="24" t="str">
        <f aca="false">IFERROR(IF(B177="",IFERROR(GROWTH($B$104:$B$191,$A$104:$A$191,$A177),TREND($B$104:$B$191,$A$104:$A$191,$A177)),""),"")</f>
        <v/>
      </c>
      <c r="F177" s="24" t="str">
        <f aca="false">IFERROR(forecast.ets($A177,$B$104:$B$191,$A$104:$A$191,4,1,1),"")</f>
        <v/>
      </c>
      <c r="G177" s="24" t="str">
        <f aca="false">IFERROR(F177-forecast.ets.confint($A177,$B$104:$B$191,$A$104:$A$191,0.95,4,1,1),"")</f>
        <v/>
      </c>
      <c r="H177" s="24" t="str">
        <f aca="false">IFERROR(F177+forecast.ets.confint($A177,$B$104:$B$191,$A$104:$A$191,0.95,4,1,1),"")</f>
        <v/>
      </c>
    </row>
    <row r="178" customFormat="false" ht="15" hidden="false" customHeight="false" outlineLevel="0" collapsed="false">
      <c r="A178" s="16" t="n">
        <v>46204</v>
      </c>
      <c r="B178" s="17" t="str">
        <f aca="false">IFERROR(haverdata(Codes!$D$18,$A178),"")</f>
        <v/>
      </c>
      <c r="C178" s="18" t="str">
        <f aca="false">IFERROR(B178/B177-1,"")</f>
        <v/>
      </c>
      <c r="D178" s="18" t="str">
        <f aca="false">IFERROR(B178/B174-1,"")</f>
        <v/>
      </c>
      <c r="E178" s="19" t="str">
        <f aca="false">IFERROR(IF(B178="",IFERROR(GROWTH($B$104:$B$191,$A$104:$A$191,$A178),TREND($B$104:$B$191,$A$104:$A$191,$A178)),""),"")</f>
        <v/>
      </c>
      <c r="F178" s="19" t="str">
        <f aca="false">IFERROR(forecast.ets($A178,$B$104:$B$191,$A$104:$A$191,4,1,1),"")</f>
        <v/>
      </c>
      <c r="G178" s="19" t="str">
        <f aca="false">IFERROR(F178-forecast.ets.confint($A178,$B$104:$B$191,$A$104:$A$191,0.95,4,1,1),"")</f>
        <v/>
      </c>
      <c r="H178" s="19" t="str">
        <f aca="false">IFERROR(F178+forecast.ets.confint($A178,$B$104:$B$191,$A$104:$A$191,0.95,4,1,1),"")</f>
        <v/>
      </c>
    </row>
    <row r="179" customFormat="false" ht="15" hidden="false" customHeight="false" outlineLevel="0" collapsed="false">
      <c r="A179" s="21" t="n">
        <v>46296</v>
      </c>
      <c r="B179" s="22" t="str">
        <f aca="false">IFERROR(haverdata(Codes!$D$18,$A179),"")</f>
        <v/>
      </c>
      <c r="C179" s="23" t="str">
        <f aca="false">IFERROR(B179/B178-1,"")</f>
        <v/>
      </c>
      <c r="D179" s="23" t="str">
        <f aca="false">IFERROR(B179/B175-1,"")</f>
        <v/>
      </c>
      <c r="E179" s="24" t="str">
        <f aca="false">IFERROR(IF(B179="",IFERROR(GROWTH($B$104:$B$191,$A$104:$A$191,$A179),TREND($B$104:$B$191,$A$104:$A$191,$A179)),""),"")</f>
        <v/>
      </c>
      <c r="F179" s="24" t="str">
        <f aca="false">IFERROR(forecast.ets($A179,$B$104:$B$191,$A$104:$A$191,4,1,1),"")</f>
        <v/>
      </c>
      <c r="G179" s="24" t="str">
        <f aca="false">IFERROR(F179-forecast.ets.confint($A179,$B$104:$B$191,$A$104:$A$191,0.95,4,1,1),"")</f>
        <v/>
      </c>
      <c r="H179" s="24" t="str">
        <f aca="false">IFERROR(F179+forecast.ets.confint($A179,$B$104:$B$191,$A$104:$A$191,0.95,4,1,1),"")</f>
        <v/>
      </c>
    </row>
    <row r="180" customFormat="false" ht="15" hidden="false" customHeight="false" outlineLevel="0" collapsed="false">
      <c r="A180" s="16" t="n">
        <v>46388</v>
      </c>
      <c r="B180" s="17" t="str">
        <f aca="false">IFERROR(haverdata(Codes!$D$18,$A180),"")</f>
        <v/>
      </c>
      <c r="C180" s="18" t="str">
        <f aca="false">IFERROR(B180/B179-1,"")</f>
        <v/>
      </c>
      <c r="D180" s="18" t="str">
        <f aca="false">IFERROR(B180/B176-1,"")</f>
        <v/>
      </c>
      <c r="E180" s="19" t="str">
        <f aca="false">IFERROR(IF(B180="",IFERROR(GROWTH($B$104:$B$191,$A$104:$A$191,$A180),TREND($B$104:$B$191,$A$104:$A$191,$A180)),""),"")</f>
        <v/>
      </c>
      <c r="F180" s="19" t="str">
        <f aca="false">IFERROR(forecast.ets($A180,$B$104:$B$191,$A$104:$A$191,4,1,1),"")</f>
        <v/>
      </c>
      <c r="G180" s="19" t="str">
        <f aca="false">IFERROR(F180-forecast.ets.confint($A180,$B$104:$B$191,$A$104:$A$191,0.95,4,1,1),"")</f>
        <v/>
      </c>
      <c r="H180" s="19" t="str">
        <f aca="false">IFERROR(F180+forecast.ets.confint($A180,$B$104:$B$191,$A$104:$A$191,0.95,4,1,1),"")</f>
        <v/>
      </c>
    </row>
    <row r="181" customFormat="false" ht="15" hidden="false" customHeight="false" outlineLevel="0" collapsed="false">
      <c r="A181" s="21" t="n">
        <v>46478</v>
      </c>
      <c r="B181" s="22" t="str">
        <f aca="false">IFERROR(haverdata(Codes!$D$18,$A181),"")</f>
        <v/>
      </c>
      <c r="C181" s="23" t="str">
        <f aca="false">IFERROR(B181/B180-1,"")</f>
        <v/>
      </c>
      <c r="D181" s="23" t="str">
        <f aca="false">IFERROR(B181/B177-1,"")</f>
        <v/>
      </c>
      <c r="E181" s="24" t="str">
        <f aca="false">IFERROR(IF(B181="",IFERROR(GROWTH($B$104:$B$191,$A$104:$A$191,$A181),TREND($B$104:$B$191,$A$104:$A$191,$A181)),""),"")</f>
        <v/>
      </c>
      <c r="F181" s="24" t="str">
        <f aca="false">IFERROR(forecast.ets($A181,$B$104:$B$191,$A$104:$A$191,4,1,1),"")</f>
        <v/>
      </c>
      <c r="G181" s="24" t="str">
        <f aca="false">IFERROR(F181-forecast.ets.confint($A181,$B$104:$B$191,$A$104:$A$191,0.95,4,1,1),"")</f>
        <v/>
      </c>
      <c r="H181" s="24" t="str">
        <f aca="false">IFERROR(F181+forecast.ets.confint($A181,$B$104:$B$191,$A$104:$A$191,0.95,4,1,1),"")</f>
        <v/>
      </c>
    </row>
    <row r="182" customFormat="false" ht="15" hidden="false" customHeight="false" outlineLevel="0" collapsed="false">
      <c r="A182" s="16" t="n">
        <v>46569</v>
      </c>
      <c r="B182" s="17" t="str">
        <f aca="false">IFERROR(haverdata(Codes!$D$18,$A182),"")</f>
        <v/>
      </c>
      <c r="C182" s="18" t="str">
        <f aca="false">IFERROR(B182/B181-1,"")</f>
        <v/>
      </c>
      <c r="D182" s="18" t="str">
        <f aca="false">IFERROR(B182/B178-1,"")</f>
        <v/>
      </c>
      <c r="E182" s="19" t="str">
        <f aca="false">IFERROR(IF(B182="",IFERROR(GROWTH($B$104:$B$191,$A$104:$A$191,$A182),TREND($B$104:$B$191,$A$104:$A$191,$A182)),""),"")</f>
        <v/>
      </c>
      <c r="F182" s="19" t="str">
        <f aca="false">IFERROR(forecast.ets($A182,$B$104:$B$191,$A$104:$A$191,4,1,1),"")</f>
        <v/>
      </c>
      <c r="G182" s="19" t="str">
        <f aca="false">IFERROR(F182-forecast.ets.confint($A182,$B$104:$B$191,$A$104:$A$191,0.95,4,1,1),"")</f>
        <v/>
      </c>
      <c r="H182" s="19" t="str">
        <f aca="false">IFERROR(F182+forecast.ets.confint($A182,$B$104:$B$191,$A$104:$A$191,0.95,4,1,1),"")</f>
        <v/>
      </c>
    </row>
    <row r="183" customFormat="false" ht="15" hidden="false" customHeight="false" outlineLevel="0" collapsed="false">
      <c r="A183" s="21" t="n">
        <v>46661</v>
      </c>
      <c r="B183" s="22" t="str">
        <f aca="false">IFERROR(haverdata(Codes!$D$18,$A183),"")</f>
        <v/>
      </c>
      <c r="C183" s="23" t="str">
        <f aca="false">IFERROR(B183/B182-1,"")</f>
        <v/>
      </c>
      <c r="D183" s="23" t="str">
        <f aca="false">IFERROR(B183/B179-1,"")</f>
        <v/>
      </c>
      <c r="E183" s="24" t="str">
        <f aca="false">IFERROR(IF(B183="",IFERROR(GROWTH($B$104:$B$191,$A$104:$A$191,$A183),TREND($B$104:$B$191,$A$104:$A$191,$A183)),""),"")</f>
        <v/>
      </c>
      <c r="F183" s="24" t="str">
        <f aca="false">IFERROR(forecast.ets($A183,$B$104:$B$191,$A$104:$A$191,4,1,1),"")</f>
        <v/>
      </c>
      <c r="G183" s="24" t="str">
        <f aca="false">IFERROR(F183-forecast.ets.confint($A183,$B$104:$B$191,$A$104:$A$191,0.95,4,1,1),"")</f>
        <v/>
      </c>
      <c r="H183" s="24" t="str">
        <f aca="false">IFERROR(F183+forecast.ets.confint($A183,$B$104:$B$191,$A$104:$A$191,0.95,4,1,1),"")</f>
        <v/>
      </c>
    </row>
    <row r="184" customFormat="false" ht="15" hidden="false" customHeight="false" outlineLevel="0" collapsed="false">
      <c r="A184" s="16" t="n">
        <v>46753</v>
      </c>
      <c r="B184" s="17" t="str">
        <f aca="false">IFERROR(haverdata(Codes!$D$18,$A184),"")</f>
        <v/>
      </c>
      <c r="C184" s="18" t="str">
        <f aca="false">IFERROR(B184/B183-1,"")</f>
        <v/>
      </c>
      <c r="D184" s="18" t="str">
        <f aca="false">IFERROR(B184/B180-1,"")</f>
        <v/>
      </c>
      <c r="E184" s="19" t="str">
        <f aca="false">IFERROR(IF(B184="",IFERROR(GROWTH($B$104:$B$191,$A$104:$A$191,$A184),TREND($B$104:$B$191,$A$104:$A$191,$A184)),""),"")</f>
        <v/>
      </c>
      <c r="F184" s="19" t="str">
        <f aca="false">IFERROR(forecast.ets($A184,$B$104:$B$191,$A$104:$A$191,4,1,1),"")</f>
        <v/>
      </c>
      <c r="G184" s="19" t="str">
        <f aca="false">IFERROR(F184-forecast.ets.confint($A184,$B$104:$B$191,$A$104:$A$191,0.95,4,1,1),"")</f>
        <v/>
      </c>
      <c r="H184" s="19" t="str">
        <f aca="false">IFERROR(F184+forecast.ets.confint($A184,$B$104:$B$191,$A$104:$A$191,0.95,4,1,1),"")</f>
        <v/>
      </c>
    </row>
    <row r="185" customFormat="false" ht="15" hidden="false" customHeight="false" outlineLevel="0" collapsed="false">
      <c r="A185" s="21" t="n">
        <v>46844</v>
      </c>
      <c r="B185" s="22" t="str">
        <f aca="false">IFERROR(haverdata(Codes!$D$18,$A185),"")</f>
        <v/>
      </c>
      <c r="C185" s="23" t="str">
        <f aca="false">IFERROR(B185/B184-1,"")</f>
        <v/>
      </c>
      <c r="D185" s="23" t="str">
        <f aca="false">IFERROR(B185/B181-1,"")</f>
        <v/>
      </c>
      <c r="E185" s="24" t="str">
        <f aca="false">IFERROR(IF(B185="",IFERROR(GROWTH($B$104:$B$191,$A$104:$A$191,$A185),TREND($B$104:$B$191,$A$104:$A$191,$A185)),""),"")</f>
        <v/>
      </c>
      <c r="F185" s="24" t="str">
        <f aca="false">IFERROR(forecast.ets($A185,$B$104:$B$191,$A$104:$A$191,4,1,1),"")</f>
        <v/>
      </c>
      <c r="G185" s="24" t="str">
        <f aca="false">IFERROR(F185-forecast.ets.confint($A185,$B$104:$B$191,$A$104:$A$191,0.95,4,1,1),"")</f>
        <v/>
      </c>
      <c r="H185" s="24" t="str">
        <f aca="false">IFERROR(F185+forecast.ets.confint($A185,$B$104:$B$191,$A$104:$A$191,0.95,4,1,1),"")</f>
        <v/>
      </c>
    </row>
    <row r="186" customFormat="false" ht="15" hidden="false" customHeight="false" outlineLevel="0" collapsed="false">
      <c r="A186" s="16" t="n">
        <v>46935</v>
      </c>
      <c r="B186" s="17" t="str">
        <f aca="false">IFERROR(haverdata(Codes!$D$18,$A186),"")</f>
        <v/>
      </c>
      <c r="C186" s="18" t="str">
        <f aca="false">IFERROR(B186/B185-1,"")</f>
        <v/>
      </c>
      <c r="D186" s="18" t="str">
        <f aca="false">IFERROR(B186/B182-1,"")</f>
        <v/>
      </c>
      <c r="E186" s="19" t="str">
        <f aca="false">IFERROR(IF(B186="",IFERROR(GROWTH($B$104:$B$191,$A$104:$A$191,$A186),TREND($B$104:$B$191,$A$104:$A$191,$A186)),""),"")</f>
        <v/>
      </c>
      <c r="F186" s="19" t="str">
        <f aca="false">IFERROR(forecast.ets($A186,$B$104:$B$191,$A$104:$A$191,4,1,1),"")</f>
        <v/>
      </c>
      <c r="G186" s="19" t="str">
        <f aca="false">IFERROR(F186-forecast.ets.confint($A186,$B$104:$B$191,$A$104:$A$191,0.95,4,1,1),"")</f>
        <v/>
      </c>
      <c r="H186" s="19" t="str">
        <f aca="false">IFERROR(F186+forecast.ets.confint($A186,$B$104:$B$191,$A$104:$A$191,0.95,4,1,1),"")</f>
        <v/>
      </c>
    </row>
    <row r="187" customFormat="false" ht="15" hidden="false" customHeight="false" outlineLevel="0" collapsed="false">
      <c r="A187" s="21" t="n">
        <v>47027</v>
      </c>
      <c r="B187" s="22" t="str">
        <f aca="false">IFERROR(haverdata(Codes!$D$18,$A187),"")</f>
        <v/>
      </c>
      <c r="C187" s="23" t="str">
        <f aca="false">IFERROR(B187/B186-1,"")</f>
        <v/>
      </c>
      <c r="D187" s="23" t="str">
        <f aca="false">IFERROR(B187/B183-1,"")</f>
        <v/>
      </c>
      <c r="E187" s="24" t="str">
        <f aca="false">IFERROR(IF(B187="",IFERROR(GROWTH($B$104:$B$191,$A$104:$A$191,$A187),TREND($B$104:$B$191,$A$104:$A$191,$A187)),""),"")</f>
        <v/>
      </c>
      <c r="F187" s="24" t="str">
        <f aca="false">IFERROR(forecast.ets($A187,$B$104:$B$191,$A$104:$A$191,4,1,1),"")</f>
        <v/>
      </c>
      <c r="G187" s="24" t="str">
        <f aca="false">IFERROR(F187-forecast.ets.confint($A187,$B$104:$B$191,$A$104:$A$191,0.95,4,1,1),"")</f>
        <v/>
      </c>
      <c r="H187" s="24" t="str">
        <f aca="false">IFERROR(F187+forecast.ets.confint($A187,$B$104:$B$191,$A$104:$A$191,0.95,4,1,1),"")</f>
        <v/>
      </c>
    </row>
    <row r="188" customFormat="false" ht="15" hidden="false" customHeight="false" outlineLevel="0" collapsed="false">
      <c r="A188" s="16" t="n">
        <v>47119</v>
      </c>
      <c r="B188" s="17" t="str">
        <f aca="false">IFERROR(haverdata(Codes!$D$18,$A188),"")</f>
        <v/>
      </c>
      <c r="C188" s="18" t="str">
        <f aca="false">IFERROR(B188/B187-1,"")</f>
        <v/>
      </c>
      <c r="D188" s="18" t="str">
        <f aca="false">IFERROR(B188/B184-1,"")</f>
        <v/>
      </c>
      <c r="E188" s="19" t="str">
        <f aca="false">IFERROR(IF(B188="",IFERROR(GROWTH($B$104:$B$191,$A$104:$A$191,$A188),TREND($B$104:$B$191,$A$104:$A$191,$A188)),""),"")</f>
        <v/>
      </c>
      <c r="F188" s="19" t="str">
        <f aca="false">IFERROR(forecast.ets($A188,$B$104:$B$191,$A$104:$A$191,4,1,1),"")</f>
        <v/>
      </c>
      <c r="G188" s="19" t="str">
        <f aca="false">IFERROR(F188-forecast.ets.confint($A188,$B$104:$B$191,$A$104:$A$191,0.95,4,1,1),"")</f>
        <v/>
      </c>
      <c r="H188" s="19" t="str">
        <f aca="false">IFERROR(F188+forecast.ets.confint($A188,$B$104:$B$191,$A$104:$A$191,0.95,4,1,1),"")</f>
        <v/>
      </c>
    </row>
    <row r="189" customFormat="false" ht="15" hidden="false" customHeight="false" outlineLevel="0" collapsed="false">
      <c r="A189" s="21" t="n">
        <v>47209</v>
      </c>
      <c r="B189" s="22" t="str">
        <f aca="false">IFERROR(haverdata(Codes!$D$18,$A189),"")</f>
        <v/>
      </c>
      <c r="C189" s="23" t="str">
        <f aca="false">IFERROR(B189/B188-1,"")</f>
        <v/>
      </c>
      <c r="D189" s="23" t="str">
        <f aca="false">IFERROR(B189/B185-1,"")</f>
        <v/>
      </c>
      <c r="E189" s="24" t="str">
        <f aca="false">IFERROR(IF(B189="",IFERROR(GROWTH($B$104:$B$191,$A$104:$A$191,$A189),TREND($B$104:$B$191,$A$104:$A$191,$A189)),""),"")</f>
        <v/>
      </c>
      <c r="F189" s="24" t="str">
        <f aca="false">IFERROR(forecast.ets($A189,$B$104:$B$191,$A$104:$A$191,4,1,1),"")</f>
        <v/>
      </c>
      <c r="G189" s="24" t="str">
        <f aca="false">IFERROR(F189-forecast.ets.confint($A189,$B$104:$B$191,$A$104:$A$191,0.95,4,1,1),"")</f>
        <v/>
      </c>
      <c r="H189" s="24" t="str">
        <f aca="false">IFERROR(F189+forecast.ets.confint($A189,$B$104:$B$191,$A$104:$A$191,0.95,4,1,1),"")</f>
        <v/>
      </c>
    </row>
    <row r="190" customFormat="false" ht="15" hidden="false" customHeight="false" outlineLevel="0" collapsed="false">
      <c r="A190" s="16" t="n">
        <v>47300</v>
      </c>
      <c r="B190" s="17" t="str">
        <f aca="false">IFERROR(haverdata(Codes!$D$18,$A190),"")</f>
        <v/>
      </c>
      <c r="C190" s="18" t="str">
        <f aca="false">IFERROR(B190/B189-1,"")</f>
        <v/>
      </c>
      <c r="D190" s="18" t="str">
        <f aca="false">IFERROR(B190/B186-1,"")</f>
        <v/>
      </c>
      <c r="E190" s="19" t="str">
        <f aca="false">IFERROR(IF(B190="",IFERROR(GROWTH($B$104:$B$191,$A$104:$A$191,$A190),TREND($B$104:$B$191,$A$104:$A$191,$A190)),""),"")</f>
        <v/>
      </c>
      <c r="F190" s="19" t="str">
        <f aca="false">IFERROR(forecast.ets($A190,$B$104:$B$191,$A$104:$A$191,4,1,1),"")</f>
        <v/>
      </c>
      <c r="G190" s="19" t="str">
        <f aca="false">IFERROR(F190-forecast.ets.confint($A190,$B$104:$B$191,$A$104:$A$191,0.95,4,1,1),"")</f>
        <v/>
      </c>
      <c r="H190" s="19" t="str">
        <f aca="false">IFERROR(F190+forecast.ets.confint($A190,$B$104:$B$191,$A$104:$A$191,0.95,4,1,1),"")</f>
        <v/>
      </c>
    </row>
    <row r="191" customFormat="false" ht="15" hidden="false" customHeight="false" outlineLevel="0" collapsed="false">
      <c r="A191" s="21" t="n">
        <v>47392</v>
      </c>
      <c r="B191" s="22" t="str">
        <f aca="false">IFERROR(haverdata(Codes!$D$18,$A191),"")</f>
        <v/>
      </c>
      <c r="C191" s="23" t="str">
        <f aca="false">IFERROR(B191/B190-1,"")</f>
        <v/>
      </c>
      <c r="D191" s="23" t="str">
        <f aca="false">IFERROR(B191/B187-1,"")</f>
        <v/>
      </c>
      <c r="E191" s="24" t="str">
        <f aca="false">IFERROR(IF(B191="",IFERROR(GROWTH($B$104:$B$191,$A$104:$A$191,$A191),TREND($B$104:$B$191,$A$104:$A$191,$A191)),""),"")</f>
        <v/>
      </c>
      <c r="F191" s="24" t="str">
        <f aca="false">IFERROR(forecast.ets($A191,$B$104:$B$191,$A$104:$A$191,4,1,1),"")</f>
        <v/>
      </c>
      <c r="G191" s="24" t="str">
        <f aca="false">IFERROR(F191-forecast.ets.confint($A191,$B$104:$B$191,$A$104:$A$191,0.95,4,1,1),"")</f>
        <v/>
      </c>
      <c r="H191" s="24" t="str">
        <f aca="false">IFERROR(F191+forecast.ets.confint($A191,$B$104:$B$191,$A$104:$A$191,0.95,4,1,1),"")</f>
        <v/>
      </c>
    </row>
  </sheetData>
  <mergeCells count="9">
    <mergeCell ref="A2:O2"/>
    <mergeCell ref="A4:M4"/>
    <mergeCell ref="E5:M5"/>
    <mergeCell ref="A6:H6"/>
    <mergeCell ref="J6:M6"/>
    <mergeCell ref="A100:M100"/>
    <mergeCell ref="E101:M101"/>
    <mergeCell ref="A102:H102"/>
    <mergeCell ref="J102:M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2.0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6" t="s">
        <v>126</v>
      </c>
      <c r="B2" s="6"/>
      <c r="C2" s="6"/>
      <c r="D2" s="6"/>
      <c r="E2" s="6"/>
      <c r="F2" s="6"/>
      <c r="G2" s="6"/>
    </row>
    <row r="4" customFormat="false" ht="15" hidden="false" customHeight="false" outlineLevel="0" collapsed="false">
      <c r="A4" s="7" t="s">
        <v>30</v>
      </c>
      <c r="B4" s="7" t="s">
        <v>31</v>
      </c>
      <c r="C4" s="7" t="s">
        <v>127</v>
      </c>
      <c r="D4" s="7" t="s">
        <v>113</v>
      </c>
      <c r="E4" s="7" t="s">
        <v>114</v>
      </c>
      <c r="F4" s="7" t="s">
        <v>128</v>
      </c>
      <c r="G4" s="7" t="s">
        <v>129</v>
      </c>
    </row>
    <row r="5" customFormat="false" ht="15" hidden="false" customHeight="false" outlineLevel="0" collapsed="false">
      <c r="A5" s="8" t="s">
        <v>38</v>
      </c>
      <c r="B5" s="8" t="s">
        <v>39</v>
      </c>
      <c r="C5" s="26" t="str">
        <f aca="false">IFERROR(LOOKUP(2,1/(GDP!$B$8:$B$95&lt;&gt;""),GDP!$B$8:$B$95),"")</f>
        <v/>
      </c>
      <c r="D5" s="27" t="str">
        <f aca="false">IFERROR(LOOKUP(2,1/(GDP!$C$8:$C$95&lt;&gt;""),GDP!$C$8:$C$95),"")</f>
        <v/>
      </c>
      <c r="E5" s="27" t="str">
        <f aca="false">IFERROR(LOOKUP(2,1/(GDP!$D$8:$D$95&lt;&gt;""),GDP!$D$8:$D$95),"")</f>
        <v/>
      </c>
      <c r="F5" s="26" t="str">
        <f aca="false">IFERROR(GDP!$F$95,"")</f>
        <v/>
      </c>
      <c r="G5" s="28" t="str">
        <f aca="false">Codes!$D$5</f>
        <v>S213NGPC@LATAM</v>
      </c>
    </row>
    <row r="6" customFormat="false" ht="15" hidden="false" customHeight="false" outlineLevel="0" collapsed="false">
      <c r="A6" s="29" t="s">
        <v>38</v>
      </c>
      <c r="B6" s="29" t="s">
        <v>46</v>
      </c>
      <c r="C6" s="30" t="str">
        <f aca="false">IFERROR(LOOKUP(2,1/(GDP!$B$104:$B$191&lt;&gt;""),GDP!$B$104:$B$191),"")</f>
        <v/>
      </c>
      <c r="D6" s="31" t="str">
        <f aca="false">IFERROR(LOOKUP(2,1/(GDP!$C$104:$C$191&lt;&gt;""),GDP!$C$104:$C$191),"")</f>
        <v/>
      </c>
      <c r="E6" s="31" t="str">
        <f aca="false">IFERROR(LOOKUP(2,1/(GDP!$D$104:$D$191&lt;&gt;""),GDP!$D$104:$D$191),"")</f>
        <v/>
      </c>
      <c r="F6" s="30" t="str">
        <f aca="false">IFERROR(GDP!$F$191,"")</f>
        <v/>
      </c>
      <c r="G6" s="32" t="str">
        <f aca="false">Codes!$D$6</f>
        <v>S213NGDP@LATAM</v>
      </c>
    </row>
    <row r="7" customFormat="false" ht="15" hidden="false" customHeight="false" outlineLevel="0" collapsed="false">
      <c r="A7" s="8" t="s">
        <v>38</v>
      </c>
      <c r="B7" s="8" t="s">
        <v>51</v>
      </c>
      <c r="C7" s="26" t="str">
        <f aca="false">IFERROR(LOOKUP(2,1/(GDP!$B$200:$B$287&lt;&gt;""),GDP!$B$200:$B$287),"")</f>
        <v/>
      </c>
      <c r="D7" s="27" t="str">
        <f aca="false">IFERROR(LOOKUP(2,1/(GDP!$C$200:$C$287&lt;&gt;""),GDP!$C$200:$C$287),"")</f>
        <v/>
      </c>
      <c r="E7" s="27" t="str">
        <f aca="false">IFERROR(LOOKUP(2,1/(GDP!$D$200:$D$287&lt;&gt;""),GDP!$D$200:$D$287),"")</f>
        <v/>
      </c>
      <c r="F7" s="26" t="str">
        <f aca="false">IFERROR(GDP!$F$287,"")</f>
        <v/>
      </c>
      <c r="G7" s="28" t="str">
        <f aca="false">Codes!$D$7</f>
        <v>EMAE@ARGEN</v>
      </c>
    </row>
    <row r="8" customFormat="false" ht="15" hidden="false" customHeight="false" outlineLevel="0" collapsed="false">
      <c r="A8" s="29" t="s">
        <v>56</v>
      </c>
      <c r="B8" s="29" t="s">
        <v>57</v>
      </c>
      <c r="C8" s="30" t="str">
        <f aca="false">IFERROR(LOOKUP(2,1/(Inflation!$B$8:$B$95&lt;&gt;""),Inflation!$B$8:$B$95),"")</f>
        <v/>
      </c>
      <c r="D8" s="31" t="str">
        <f aca="false">IFERROR(LOOKUP(2,1/(Inflation!$C$8:$C$95&lt;&gt;""),Inflation!$C$8:$C$95),"")</f>
        <v/>
      </c>
      <c r="E8" s="31" t="str">
        <f aca="false">IFERROR(LOOKUP(2,1/(Inflation!$D$8:$D$95&lt;&gt;""),Inflation!$D$8:$D$95),"")</f>
        <v/>
      </c>
      <c r="F8" s="30" t="str">
        <f aca="false">IFERROR(Inflation!$F$95,"")</f>
        <v/>
      </c>
      <c r="G8" s="32" t="str">
        <f aca="false">Codes!$D$8</f>
        <v>IPCNAC@ARGEN</v>
      </c>
    </row>
    <row r="9" customFormat="false" ht="15" hidden="false" customHeight="false" outlineLevel="0" collapsed="false">
      <c r="A9" s="8" t="s">
        <v>56</v>
      </c>
      <c r="B9" s="8" t="s">
        <v>62</v>
      </c>
      <c r="C9" s="26" t="str">
        <f aca="false">IFERROR(LOOKUP(2,1/(Inflation!$B$104:$B$191&lt;&gt;""),Inflation!$B$104:$B$191),"")</f>
        <v/>
      </c>
      <c r="D9" s="27" t="str">
        <f aca="false">IFERROR(LOOKUP(2,1/(Inflation!$C$104:$C$191&lt;&gt;""),Inflation!$C$104:$C$191),"")</f>
        <v/>
      </c>
      <c r="E9" s="27" t="str">
        <f aca="false">IFERROR(LOOKUP(2,1/(Inflation!$D$104:$D$191&lt;&gt;""),Inflation!$D$104:$D$191),"")</f>
        <v/>
      </c>
      <c r="F9" s="26" t="str">
        <f aca="false">IFERROR(Inflation!$F$191,"")</f>
        <v/>
      </c>
      <c r="G9" s="28" t="str">
        <f aca="false">Codes!$D$9</f>
        <v>IPCCORE@ARGEN</v>
      </c>
    </row>
    <row r="10" customFormat="false" ht="15" hidden="false" customHeight="false" outlineLevel="0" collapsed="false">
      <c r="A10" s="29" t="s">
        <v>56</v>
      </c>
      <c r="B10" s="29" t="s">
        <v>66</v>
      </c>
      <c r="C10" s="30" t="str">
        <f aca="false">IFERROR(LOOKUP(2,1/(Inflation!$B$200:$B$287&lt;&gt;""),Inflation!$B$200:$B$287),"")</f>
        <v/>
      </c>
      <c r="D10" s="31" t="str">
        <f aca="false">IFERROR(LOOKUP(2,1/(Inflation!$C$200:$C$287&lt;&gt;""),Inflation!$C$200:$C$287),"")</f>
        <v/>
      </c>
      <c r="E10" s="31" t="str">
        <f aca="false">IFERROR(LOOKUP(2,1/(Inflation!$D$200:$D$287&lt;&gt;""),Inflation!$D$200:$D$287),"")</f>
        <v/>
      </c>
      <c r="F10" s="30" t="str">
        <f aca="false">IFERROR(Inflation!$F$287,"")</f>
        <v/>
      </c>
      <c r="G10" s="32" t="str">
        <f aca="false">Codes!$D$10</f>
        <v>IPIM@ARGEN</v>
      </c>
    </row>
    <row r="11" customFormat="false" ht="15" hidden="false" customHeight="false" outlineLevel="0" collapsed="false">
      <c r="A11" s="8" t="s">
        <v>69</v>
      </c>
      <c r="B11" s="8" t="s">
        <v>70</v>
      </c>
      <c r="C11" s="26" t="str">
        <f aca="false">IFERROR(LOOKUP(2,1/(Fiscal!$B$8:$B$95&lt;&gt;""),Fiscal!$B$8:$B$95),"")</f>
        <v/>
      </c>
      <c r="D11" s="27" t="str">
        <f aca="false">IFERROR(LOOKUP(2,1/(Fiscal!$C$8:$C$95&lt;&gt;""),Fiscal!$C$8:$C$95),"")</f>
        <v/>
      </c>
      <c r="E11" s="27" t="str">
        <f aca="false">IFERROR(LOOKUP(2,1/(Fiscal!$D$8:$D$95&lt;&gt;""),Fiscal!$D$8:$D$95),"")</f>
        <v/>
      </c>
      <c r="F11" s="26" t="str">
        <f aca="false">IFERROR(Fiscal!$F$95,"")</f>
        <v/>
      </c>
      <c r="G11" s="28" t="str">
        <f aca="false">Codes!$D$11</f>
        <v>SPNFBAL@ARGEN</v>
      </c>
    </row>
    <row r="12" customFormat="false" ht="15" hidden="false" customHeight="false" outlineLevel="0" collapsed="false">
      <c r="A12" s="29" t="s">
        <v>69</v>
      </c>
      <c r="B12" s="29" t="s">
        <v>75</v>
      </c>
      <c r="C12" s="30" t="str">
        <f aca="false">IFERROR(LOOKUP(2,1/(Fiscal!$B$104:$B$191&lt;&gt;""),Fiscal!$B$104:$B$191),"")</f>
        <v/>
      </c>
      <c r="D12" s="31" t="str">
        <f aca="false">IFERROR(LOOKUP(2,1/(Fiscal!$C$104:$C$191&lt;&gt;""),Fiscal!$C$104:$C$191),"")</f>
        <v/>
      </c>
      <c r="E12" s="31" t="str">
        <f aca="false">IFERROR(LOOKUP(2,1/(Fiscal!$D$104:$D$191&lt;&gt;""),Fiscal!$D$104:$D$191),"")</f>
        <v/>
      </c>
      <c r="F12" s="30" t="str">
        <f aca="false">IFERROR(Fiscal!$F$191,"")</f>
        <v/>
      </c>
      <c r="G12" s="32" t="str">
        <f aca="false">Codes!$D$12</f>
        <v>RECNAC@ARGEN</v>
      </c>
    </row>
    <row r="13" customFormat="false" ht="15" hidden="false" customHeight="false" outlineLevel="0" collapsed="false">
      <c r="A13" s="8" t="s">
        <v>69</v>
      </c>
      <c r="B13" s="8" t="s">
        <v>78</v>
      </c>
      <c r="C13" s="26" t="str">
        <f aca="false">IFERROR(LOOKUP(2,1/(Fiscal!$B$200:$B$287&lt;&gt;""),Fiscal!$B$200:$B$287),"")</f>
        <v/>
      </c>
      <c r="D13" s="27" t="str">
        <f aca="false">IFERROR(LOOKUP(2,1/(Fiscal!$C$200:$C$287&lt;&gt;""),Fiscal!$C$200:$C$287),"")</f>
        <v/>
      </c>
      <c r="E13" s="27" t="str">
        <f aca="false">IFERROR(LOOKUP(2,1/(Fiscal!$D$200:$D$287&lt;&gt;""),Fiscal!$D$200:$D$287),"")</f>
        <v/>
      </c>
      <c r="F13" s="26" t="str">
        <f aca="false">IFERROR(Fiscal!$F$287,"")</f>
        <v/>
      </c>
      <c r="G13" s="28" t="str">
        <f aca="false">Codes!$D$13</f>
        <v>DEUDPUB@ARGEN</v>
      </c>
    </row>
    <row r="14" customFormat="false" ht="15" hidden="false" customHeight="false" outlineLevel="0" collapsed="false">
      <c r="A14" s="29" t="s">
        <v>84</v>
      </c>
      <c r="B14" s="29" t="s">
        <v>85</v>
      </c>
      <c r="C14" s="30" t="str">
        <f aca="false">IFERROR(LOOKUP(2,1/(BoP!$B$8:$B$95&lt;&gt;""),BoP!$B$8:$B$95),"")</f>
        <v/>
      </c>
      <c r="D14" s="31" t="str">
        <f aca="false">IFERROR(LOOKUP(2,1/(BoP!$C$8:$C$95&lt;&gt;""),BoP!$C$8:$C$95),"")</f>
        <v/>
      </c>
      <c r="E14" s="31" t="str">
        <f aca="false">IFERROR(LOOKUP(2,1/(BoP!$D$8:$D$95&lt;&gt;""),BoP!$D$8:$D$95),"")</f>
        <v/>
      </c>
      <c r="F14" s="30" t="str">
        <f aca="false">IFERROR(BoP!$F$95,"")</f>
        <v/>
      </c>
      <c r="G14" s="32" t="str">
        <f aca="false">Codes!$D$14</f>
        <v>S213NCABA@LATAM</v>
      </c>
    </row>
    <row r="15" customFormat="false" ht="15" hidden="false" customHeight="false" outlineLevel="0" collapsed="false">
      <c r="A15" s="8" t="s">
        <v>84</v>
      </c>
      <c r="B15" s="8" t="s">
        <v>89</v>
      </c>
      <c r="C15" s="26" t="str">
        <f aca="false">IFERROR(LOOKUP(2,1/(BoP!$B$104:$B$191&lt;&gt;""),BoP!$B$104:$B$191),"")</f>
        <v/>
      </c>
      <c r="D15" s="27" t="str">
        <f aca="false">IFERROR(LOOKUP(2,1/(BoP!$C$104:$C$191&lt;&gt;""),BoP!$C$104:$C$191),"")</f>
        <v/>
      </c>
      <c r="E15" s="27" t="str">
        <f aca="false">IFERROR(LOOKUP(2,1/(BoP!$D$104:$D$191&lt;&gt;""),BoP!$D$104:$D$191),"")</f>
        <v/>
      </c>
      <c r="F15" s="26" t="str">
        <f aca="false">IFERROR(BoP!$F$191,"")</f>
        <v/>
      </c>
      <c r="G15" s="28" t="str">
        <f aca="false">Codes!$D$15</f>
        <v>EXPMP@ARGEN</v>
      </c>
    </row>
    <row r="16" customFormat="false" ht="15" hidden="false" customHeight="false" outlineLevel="0" collapsed="false">
      <c r="A16" s="29" t="s">
        <v>84</v>
      </c>
      <c r="B16" s="29" t="s">
        <v>93</v>
      </c>
      <c r="C16" s="30" t="str">
        <f aca="false">IFERROR(LOOKUP(2,1/(BoP!$B$200:$B$287&lt;&gt;""),BoP!$B$200:$B$287),"")</f>
        <v/>
      </c>
      <c r="D16" s="31" t="str">
        <f aca="false">IFERROR(LOOKUP(2,1/(BoP!$C$200:$C$287&lt;&gt;""),BoP!$C$200:$C$287),"")</f>
        <v/>
      </c>
      <c r="E16" s="31" t="str">
        <f aca="false">IFERROR(LOOKUP(2,1/(BoP!$D$200:$D$287&lt;&gt;""),BoP!$D$200:$D$287),"")</f>
        <v/>
      </c>
      <c r="F16" s="30" t="str">
        <f aca="false">IFERROR(BoP!$F$287,"")</f>
        <v/>
      </c>
      <c r="G16" s="32" t="str">
        <f aca="false">Codes!$D$16</f>
        <v>FDIANN@ARGEN</v>
      </c>
    </row>
    <row r="17" customFormat="false" ht="15" hidden="false" customHeight="false" outlineLevel="0" collapsed="false">
      <c r="A17" s="8" t="s">
        <v>96</v>
      </c>
      <c r="B17" s="8" t="s">
        <v>97</v>
      </c>
      <c r="C17" s="26" t="str">
        <f aca="false">IFERROR(LOOKUP(2,1/(Reserves!$B$8:$B$95&lt;&gt;""),Reserves!$B$8:$B$95),"")</f>
        <v/>
      </c>
      <c r="D17" s="27" t="str">
        <f aca="false">IFERROR(LOOKUP(2,1/(Reserves!$C$8:$C$95&lt;&gt;""),Reserves!$C$8:$C$95),"")</f>
        <v/>
      </c>
      <c r="E17" s="27" t="str">
        <f aca="false">IFERROR(LOOKUP(2,1/(Reserves!$D$8:$D$95&lt;&gt;""),Reserves!$D$8:$D$95),"")</f>
        <v/>
      </c>
      <c r="F17" s="26" t="str">
        <f aca="false">IFERROR(Reserves!$F$95,"")</f>
        <v/>
      </c>
      <c r="G17" s="28" t="str">
        <f aca="false">Codes!$D$17</f>
        <v>RESINT@ARGEN</v>
      </c>
    </row>
    <row r="18" customFormat="false" ht="15" hidden="false" customHeight="false" outlineLevel="0" collapsed="false">
      <c r="A18" s="29" t="s">
        <v>96</v>
      </c>
      <c r="B18" s="29" t="s">
        <v>101</v>
      </c>
      <c r="C18" s="30" t="str">
        <f aca="false">IFERROR(LOOKUP(2,1/(Reserves!$B$104:$B$191&lt;&gt;""),Reserves!$B$104:$B$191),"")</f>
        <v/>
      </c>
      <c r="D18" s="31" t="str">
        <f aca="false">IFERROR(LOOKUP(2,1/(Reserves!$C$104:$C$191&lt;&gt;""),Reserves!$C$104:$C$191),"")</f>
        <v/>
      </c>
      <c r="E18" s="31" t="str">
        <f aca="false">IFERROR(LOOKUP(2,1/(Reserves!$D$104:$D$191&lt;&gt;""),Reserves!$D$104:$D$191),"")</f>
        <v/>
      </c>
      <c r="F18" s="30" t="str">
        <f aca="false">IFERROR(Reserves!$F$191,"")</f>
        <v/>
      </c>
      <c r="G18" s="32" t="str">
        <f aca="false">Codes!$D$18</f>
        <v>RESNET@ARGEN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2026-05-03T16:04:49Z</dcterms:created>
  <dc:creator>openpyxl</dc:creator>
  <dc:description/>
  <dc:language>en-US</dc:language>
  <cp:lastModifiedBy/>
  <dcterms:modified xsi:type="dcterms:W3CDTF">2026-05-03T16:04:56Z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