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olors9.xml" ContentType="application/vnd.ms-office.chartcolorstyle+xml"/>
  <Override PartName="/xl/charts/style4.xml" ContentType="application/vnd.ms-office.chartstyle+xml"/>
  <Override PartName="/xl/charts/colors8.xml" ContentType="application/vnd.ms-office.chartcolorstyle+xml"/>
  <Override PartName="/xl/charts/style3.xml" ContentType="application/vnd.ms-office.chartstyle+xml"/>
  <Override PartName="/xl/charts/style2.xml" ContentType="application/vnd.ms-office.chartstyle+xml"/>
  <Override PartName="/xl/charts/style7.xml" ContentType="application/vnd.ms-office.chartstyle+xml"/>
  <Override PartName="/xl/charts/colors6.xml" ContentType="application/vnd.ms-office.chartcolorstyle+xml"/>
  <Override PartName="/xl/charts/style6.xml" ContentType="application/vnd.ms-office.chartstyle+xml"/>
  <Override PartName="/xl/charts/style14.xml" ContentType="application/vnd.ms-office.chartstyle+xml"/>
  <Override PartName="/xl/charts/chart4.xml" ContentType="application/vnd.openxmlformats-officedocument.drawingml.chart+xml"/>
  <Override PartName="/xl/charts/colors7.xml" ContentType="application/vnd.ms-office.chartcolorstyle+xml"/>
  <Override PartName="/xl/charts/chart11.xml" ContentType="application/vnd.openxmlformats-officedocument.drawingml.chart+xml"/>
  <Override PartName="/xl/charts/colors10.xml" ContentType="application/vnd.ms-office.chartcolorstyle+xml"/>
  <Override PartName="/xl/charts/colors12.xml" ContentType="application/vnd.ms-office.chartcolorstyle+xml"/>
  <Override PartName="/xl/charts/style11.xml" ContentType="application/vnd.ms-office.chartstyle+xml"/>
  <Override PartName="/xl/charts/style13.xml" ContentType="application/vnd.ms-office.chartstyle+xml"/>
  <Override PartName="/xl/charts/colors2.xml" ContentType="application/vnd.ms-office.chartcolorstyle+xml"/>
  <Override PartName="/xl/charts/chart9.xml" ContentType="application/vnd.openxmlformats-officedocument.drawingml.chart+xml"/>
  <Override PartName="/xl/charts/colors13.xml" ContentType="application/vnd.ms-office.chartcolorstyle+xml"/>
  <Override PartName="/xl/charts/colors5.xml" ContentType="application/vnd.ms-office.chartcolorstyle+xml"/>
  <Override PartName="/xl/charts/style8.xml" ContentType="application/vnd.ms-office.chartstyle+xml"/>
  <Override PartName="/xl/charts/chart14.xml" ContentType="application/vnd.openxmlformats-officedocument.drawingml.chart+xml"/>
  <Override PartName="/xl/charts/colors1.xml" ContentType="application/vnd.ms-office.chartcolorstyle+xml"/>
  <Override PartName="/xl/charts/colors3.xml" ContentType="application/vnd.ms-office.chartcolorstyle+xml"/>
  <Override PartName="/xl/charts/colors11.xml" ContentType="application/vnd.ms-office.chartcolorstyle+xml"/>
  <Override PartName="/xl/charts/chart13.xml" ContentType="application/vnd.openxmlformats-officedocument.drawingml.chart+xml"/>
  <Override PartName="/xl/charts/style10.xml" ContentType="application/vnd.ms-office.chartstyle+xml"/>
  <Override PartName="/xl/charts/colors14.xml" ContentType="application/vnd.ms-office.chartcolorstyle+xml"/>
  <Override PartName="/xl/charts/chart7.xml" ContentType="application/vnd.openxmlformats-officedocument.drawingml.chart+xml"/>
  <Override PartName="/xl/charts/style1.xml" ContentType="application/vnd.ms-office.chartstyle+xml"/>
  <Override PartName="/xl/charts/style9.xml" ContentType="application/vnd.ms-office.chartstyle+xml"/>
  <Override PartName="/xl/charts/chart3.xml" ContentType="application/vnd.openxmlformats-officedocument.drawingml.chart+xml"/>
  <Override PartName="/xl/charts/chart6.xml" ContentType="application/vnd.openxmlformats-officedocument.drawingml.chart+xml"/>
  <Override PartName="/xl/charts/chart5.xml" ContentType="application/vnd.openxmlformats-officedocument.drawingml.chart+xml"/>
  <Override PartName="/xl/charts/chart2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style12.xml" ContentType="application/vnd.ms-office.chartstyle+xml"/>
  <Override PartName="/xl/charts/colors4.xml" ContentType="application/vnd.ms-office.chartcolorstyle+xml"/>
  <Override PartName="/xl/charts/chart1.xml" ContentType="application/vnd.openxmlformats-officedocument.drawingml.chart+xml"/>
  <Override PartName="/xl/charts/chart10.xml" ContentType="application/vnd.openxmlformats-officedocument.drawingml.chart+xml"/>
  <Override PartName="/xl/charts/style5.xml" ContentType="application/vnd.ms-office.chart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dex" sheetId="2" state="visible" r:id="rId4"/>
    <sheet name="Data_Quarterly" sheetId="3" state="visible" r:id="rId5"/>
    <sheet name="Data_Monthly" sheetId="4" state="visible" r:id="rId6"/>
    <sheet name="GDP" sheetId="5" state="visible" r:id="rId7"/>
    <sheet name="Inflation" sheetId="6" state="visible" r:id="rId8"/>
    <sheet name="Fiscal" sheetId="7" state="visible" r:id="rId9"/>
    <sheet name="BoP" sheetId="8" state="visible" r:id="rId10"/>
    <sheet name="Reserves" sheetId="9" state="visible" r:id="rId11"/>
    <sheet name="Dashboard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<sst xmlns="http://schemas.openxmlformats.org/spreadsheetml/2006/main" count="497" uniqueCount="131">
  <si>
    <t xml:space="preserve">Macro Tracker — Argentina  (data-agnostic)</t>
  </si>
  <si>
    <t xml:space="preserve">You handle the data. The workbook handles the structure. Tell the Index tab where each series lives, and every category tab + the Dashboard come alive.</t>
  </si>
  <si>
    <t xml:space="preserve">Workflow</t>
  </si>
  <si>
    <t xml:space="preserve">1.</t>
  </si>
  <si>
    <t xml:space="preserve">Open Data_Quarterly and Data_Monthly. Paste your Haver downloads — values into any column you like, dates can stay where they are or you can replace them with the dates Haver gave you.</t>
  </si>
  <si>
    <t xml:space="preserve">2.</t>
  </si>
  <si>
    <t xml:space="preserve">Open the Index tab. For each indicator, fill in: Source Tab, Date Col, Value Col, First Row, Last Row, Aggregation. The defaults are sensible starting points — change them to match where you actually pasted the data.</t>
  </si>
  <si>
    <t xml:space="preserve">3.</t>
  </si>
  <si>
    <t xml:space="preserve">Look at any category tab (GDP, Inflation, Fiscal, BoP, Reserves). Each indicator block pulls from your data via the Index, computes QoQ/YoY, projects 2 years ahead, and updates its chart. Same for the Dashboard.</t>
  </si>
  <si>
    <t xml:space="preserve">4.</t>
  </si>
  <si>
    <t xml:space="preserve">Add a series? Add a row to Index, point it at your data. The category tab needs the row to exist when this script is run — re-run build_argentina.py to materialise a new block.</t>
  </si>
  <si>
    <t xml:space="preserve">How the binding works</t>
  </si>
  <si>
    <t xml:space="preserve">Index columns</t>
  </si>
  <si>
    <t xml:space="preserve">Source Tab + Date Col + Value Col + First Row + Last Row uniquely identify a series. The Index also computes two helper strings (Date Range, Value Range) that every formula in the workbook uses via INDIRECT.</t>
  </si>
  <si>
    <t xml:space="preserve">If you move data</t>
  </si>
  <si>
    <t xml:space="preserve">Just update Index. No formula edits anywhere else.</t>
  </si>
  <si>
    <t xml:space="preserve">Aggregation</t>
  </si>
  <si>
    <t xml:space="preserve">avg / sum / last — drives how monthly data rolls up to quarterly, and quarterly to annual. avg for prices and SAAR levels, sum for fiscal &amp; BoP flows, last for stocks.</t>
  </si>
  <si>
    <t xml:space="preserve">Forecasts</t>
  </si>
  <si>
    <t xml:space="preserve">ETS (Holt-Winters)</t>
  </si>
  <si>
    <t xml:space="preserve">Excel's FORECAST.ETS — exponential triple smoothing with auto seasonality. Confidence bands via FORECAST.ETS.CONFINT.</t>
  </si>
  <si>
    <t xml:space="preserve">Linear</t>
  </si>
  <si>
    <t xml:space="preserve">Excel's GROWTH (exponential) with TREND fallback for series that can be negative.</t>
  </si>
  <si>
    <t xml:space="preserve">Argentina caveat</t>
  </si>
  <si>
    <t xml:space="preserve">INDEC suspended/restated CPI 2007-15. Inflation forecasts on the full history will look strange. Trim the date range used in your Index First Row / Last Row to start post-2017 if you want cleaner ETS output.</t>
  </si>
  <si>
    <t xml:space="preserve">Files</t>
  </si>
  <si>
    <t xml:space="preserve">Argentina_Tracker.xlsx</t>
  </si>
  <si>
    <t xml:space="preserve">This workbook. Open it every day.</t>
  </si>
  <si>
    <t xml:space="preserve">build_argentina.py</t>
  </si>
  <si>
    <t xml:space="preserve">Regenerates the workbook layout. Re-run only when you add/remove indicators.</t>
  </si>
  <si>
    <t xml:space="preserve">Index — tell the workbook where each series lives</t>
  </si>
  <si>
    <t xml:space="preserve">Edit the yellow cells. The two right-most columns build the Excel range strings the rest of the workbook uses — leave them alone.</t>
  </si>
  <si>
    <t xml:space="preserve">Indicator</t>
  </si>
  <si>
    <t xml:space="preserve">Section</t>
  </si>
  <si>
    <t xml:space="preserve">Frequency</t>
  </si>
  <si>
    <t xml:space="preserve">Source Tab</t>
  </si>
  <si>
    <t xml:space="preserve">Date Col</t>
  </si>
  <si>
    <t xml:space="preserve">Value Col</t>
  </si>
  <si>
    <t xml:space="preserve">First Row</t>
  </si>
  <si>
    <t xml:space="preserve">Last Row</t>
  </si>
  <si>
    <t xml:space="preserve">Units</t>
  </si>
  <si>
    <t xml:space="preserve">Notes</t>
  </si>
  <si>
    <t xml:space="preserve">Date Range</t>
  </si>
  <si>
    <t xml:space="preserve">Value Range</t>
  </si>
  <si>
    <t xml:space="preserve">Real GDP (SA)</t>
  </si>
  <si>
    <t xml:space="preserve">GDP</t>
  </si>
  <si>
    <t xml:space="preserve">Q</t>
  </si>
  <si>
    <t xml:space="preserve">Data_Quarterly</t>
  </si>
  <si>
    <t xml:space="preserve">A</t>
  </si>
  <si>
    <t xml:space="preserve">B</t>
  </si>
  <si>
    <t xml:space="preserve">Mn 2004 ARS</t>
  </si>
  <si>
    <t xml:space="preserve">avg</t>
  </si>
  <si>
    <t xml:space="preserve">Nominal GDP</t>
  </si>
  <si>
    <t xml:space="preserve">C</t>
  </si>
  <si>
    <t xml:space="preserve">Mn ARS</t>
  </si>
  <si>
    <t xml:space="preserve">EMAE Activity Index</t>
  </si>
  <si>
    <t xml:space="preserve">M</t>
  </si>
  <si>
    <t xml:space="preserve">Data_Monthly</t>
  </si>
  <si>
    <t xml:space="preserve">Index 2004=100</t>
  </si>
  <si>
    <t xml:space="preserve">Monthly → quarterly via average.</t>
  </si>
  <si>
    <t xml:space="preserve">CPI National</t>
  </si>
  <si>
    <t xml:space="preserve">Inflation</t>
  </si>
  <si>
    <t xml:space="preserve">Index Dec-16=100</t>
  </si>
  <si>
    <t xml:space="preserve">INDEC IPC nacional. Pre-2017 series has structural breaks.</t>
  </si>
  <si>
    <t xml:space="preserve">Core CPI</t>
  </si>
  <si>
    <t xml:space="preserve">D</t>
  </si>
  <si>
    <t xml:space="preserve">Index</t>
  </si>
  <si>
    <t xml:space="preserve">Wholesale (IPIM)</t>
  </si>
  <si>
    <t xml:space="preserve">E</t>
  </si>
  <si>
    <t xml:space="preserve">Primary Fiscal Balance</t>
  </si>
  <si>
    <t xml:space="preserve">Fiscal</t>
  </si>
  <si>
    <t xml:space="preserve">F</t>
  </si>
  <si>
    <t xml:space="preserve">sum</t>
  </si>
  <si>
    <t xml:space="preserve">Monthly flow → quarterly sum.</t>
  </si>
  <si>
    <t xml:space="preserve">Federal Tax Revenue</t>
  </si>
  <si>
    <t xml:space="preserve">G</t>
  </si>
  <si>
    <t xml:space="preserve">Public Debt</t>
  </si>
  <si>
    <t xml:space="preserve">USD Mn</t>
  </si>
  <si>
    <t xml:space="preserve">last</t>
  </si>
  <si>
    <t xml:space="preserve">End-period stock.</t>
  </si>
  <si>
    <t xml:space="preserve">Current Account Balance</t>
  </si>
  <si>
    <t xml:space="preserve">BoP</t>
  </si>
  <si>
    <t xml:space="preserve">Trade Balance</t>
  </si>
  <si>
    <t xml:space="preserve">H</t>
  </si>
  <si>
    <t xml:space="preserve">Exports - imports.</t>
  </si>
  <si>
    <t xml:space="preserve">Foreign Direct Investment</t>
  </si>
  <si>
    <t xml:space="preserve">BCRA Intl Reserves</t>
  </si>
  <si>
    <t xml:space="preserve">Reserves</t>
  </si>
  <si>
    <t xml:space="preserve">I</t>
  </si>
  <si>
    <t xml:space="preserve">End of period.</t>
  </si>
  <si>
    <t xml:space="preserve">Net Intl Reserves</t>
  </si>
  <si>
    <t xml:space="preserve">J</t>
  </si>
  <si>
    <t xml:space="preserve">BCRA NIR.</t>
  </si>
  <si>
    <t xml:space="preserve">Quarterly Data — paste Haver values here</t>
  </si>
  <si>
    <t xml:space="preserve">(or change the Source Tab on Index to point somewhere else)</t>
  </si>
  <si>
    <t xml:space="preserve">Date</t>
  </si>
  <si>
    <t xml:space="preserve">Real GDP</t>
  </si>
  <si>
    <t xml:space="preserve">Current Account</t>
  </si>
  <si>
    <t xml:space="preserve">FDI</t>
  </si>
  <si>
    <t xml:space="preserve">Monthly Data — paste Haver values here</t>
  </si>
  <si>
    <t xml:space="preserve">EMAE</t>
  </si>
  <si>
    <t xml:space="preserve">IPIM</t>
  </si>
  <si>
    <t xml:space="preserve">BCRA Reserves</t>
  </si>
  <si>
    <t xml:space="preserve">Net Reserves</t>
  </si>
  <si>
    <t xml:space="preserve">GDP — Argentina</t>
  </si>
  <si>
    <t xml:space="preserve">Each block reads its source range from the Index tab — if it's empty, paste data and/or fix the Index binding.</t>
  </si>
  <si>
    <t xml:space="preserve">Aggregation:</t>
  </si>
  <si>
    <t xml:space="preserve">Source:</t>
  </si>
  <si>
    <t xml:space="preserve">Notes:</t>
  </si>
  <si>
    <t xml:space="preserve">Forecast inputs:</t>
  </si>
  <si>
    <t xml:space="preserve">Anchor =</t>
  </si>
  <si>
    <t xml:space="preserve">As of:</t>
  </si>
  <si>
    <t xml:space="preserve">YoY:</t>
  </si>
  <si>
    <t xml:space="preserve">Quarterly</t>
  </si>
  <si>
    <t xml:space="preserve">Annual</t>
  </si>
  <si>
    <t xml:space="preserve">Level</t>
  </si>
  <si>
    <t xml:space="preserve">QoQ %</t>
  </si>
  <si>
    <t xml:space="preserve">YoY %</t>
  </si>
  <si>
    <t xml:space="preserve">Trend Fcst</t>
  </si>
  <si>
    <t xml:space="preserve">Damped Fcst</t>
  </si>
  <si>
    <t xml:space="preserve">Year</t>
  </si>
  <si>
    <t xml:space="preserve">Forecast</t>
  </si>
  <si>
    <t xml:space="preserve">Inflation — Argentina</t>
  </si>
  <si>
    <t xml:space="preserve">Fiscal — Argentina</t>
  </si>
  <si>
    <t xml:space="preserve">BoP — Argentina</t>
  </si>
  <si>
    <t xml:space="preserve">Reserves — Argentina</t>
  </si>
  <si>
    <t xml:space="preserve">Dashboard — Latest reads &amp; 2y forecast (Argentina)</t>
  </si>
  <si>
    <t xml:space="preserve">Cross-sheet KPIs. Pulls latest non-blank value from each category tab's Level column.</t>
  </si>
  <si>
    <t xml:space="preserve">Latest value</t>
  </si>
  <si>
    <t xml:space="preserve">2y forecast</t>
  </si>
  <si>
    <t xml:space="preserve">Source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</si>
</sst>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mm\-yyyy"/>
    <numFmt numFmtId="166" formatCode="#,##0.00;\(#,##0.00\);\-"/>
    <numFmt numFmtId="167" formatCode="0.0%;\(0.0%\);\-"/>
    <numFmt numFmtId="168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Calibri"/>
      <family val="0"/>
      <charset val="1"/>
    </font>
    <font>
      <i val="true"/>
      <sz val="10"/>
      <color rgb="FF595959"/>
      <name val="Calibri"/>
      <family val="0"/>
      <charset val="1"/>
    </font>
    <font>
      <b val="true"/>
      <sz val="11"/>
      <color rgb="FF1F3864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11"/>
      <color rgb="FF0000FF"/>
      <name val="Calibri"/>
      <family val="0"/>
      <charset val="1"/>
    </font>
    <font>
      <sz val="10"/>
      <color rgb="FF008000"/>
      <name val="Calibri"/>
      <family val="0"/>
      <charset val="1"/>
    </font>
    <font>
      <b val="true"/>
      <sz val="13"/>
      <color rgb="FFFFFFFF"/>
      <name val="Calibri"/>
      <family val="0"/>
      <charset val="1"/>
    </font>
    <font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D9D9D9"/>
      </patternFill>
    </fill>
    <fill>
      <patternFill patternType="solid">
        <fgColor rgb="FF1F3864"/>
        <bgColor rgb="FF333333"/>
      </patternFill>
    </fill>
    <fill>
      <patternFill patternType="solid">
        <fgColor rgb="FFFFF2CC"/>
        <bgColor rgb="FFF7F9FC"/>
      </patternFill>
    </fill>
    <fill>
      <patternFill patternType="solid">
        <fgColor rgb="FFF7F9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2CC"/>
      <rgbColor rgb="FFF7F9FC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_rels/chart9.xml.rels><?xml version="1.0" encoding="UTF-8"?>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
</Relationships>
</file>

<file path=xl/charts/_rels/chart10.xml.rels><?xml version="1.0" encoding="UTF-8"?>
<Relationships xmlns="http://schemas.openxmlformats.org/package/2006/relationships"><Relationship Id="rId1" Type="http://schemas.microsoft.com/office/2011/relationships/chartStyle" Target="style10.xml"/><Relationship Id="rId2" Type="http://schemas.microsoft.com/office/2011/relationships/chartColorStyle" Target="colors10.xml"/>
</Relationships>
</file>

<file path=xl/charts/_rels/chart11.xml.rels><?xml version="1.0" encoding="UTF-8"?>
<Relationships xmlns="http://schemas.openxmlformats.org/package/2006/relationships"><Relationship Id="rId1" Type="http://schemas.microsoft.com/office/2011/relationships/chartStyle" Target="style11.xml"/><Relationship Id="rId2" Type="http://schemas.microsoft.com/office/2011/relationships/chartColorStyle" Target="colors11.xml"/>
</Relationships>
</file>

<file path=xl/charts/_rels/chart12.xml.rels><?xml version="1.0" encoding="UTF-8"?>
<Relationships xmlns="http://schemas.openxmlformats.org/package/2006/relationships"><Relationship Id="rId1" Type="http://schemas.microsoft.com/office/2011/relationships/chartStyle" Target="style12.xml"/><Relationship Id="rId2" Type="http://schemas.microsoft.com/office/2011/relationships/chartColorStyle" Target="colors12.xml"/>
</Relationships>
</file>

<file path=xl/charts/_rels/chart13.xml.rels><?xml version="1.0" encoding="UTF-8"?>
<Relationships xmlns="http://schemas.openxmlformats.org/package/2006/relationships"><Relationship Id="rId1" Type="http://schemas.microsoft.com/office/2011/relationships/chartStyle" Target="style13.xml"/><Relationship Id="rId2" Type="http://schemas.microsoft.com/office/2011/relationships/chartColorStyle" Target="colors13.xml"/>
</Relationships>
</file>

<file path=xl/charts/_rels/chart14.xml.rels><?xml version="1.0" encoding="UTF-8"?>
<Relationships xmlns="http://schemas.openxmlformats.org/package/2006/relationships"><Relationship Id="rId1" Type="http://schemas.microsoft.com/office/2011/relationships/chartStyle" Target="style14.xml"/><Relationship Id="rId2" Type="http://schemas.microsoft.com/office/2011/relationships/chartColorStyle" Target="colors14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GDP!B9</c:f>
              <c:strCache>
                <c:ptCount val="1"/>
                <c:pt idx="0">
                  <c:v>Level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GDP!$A$10:$A$101</c:f>
              <c:strCache>
                <c:ptCount val="92"/>
                <c:pt idx="0">
                  <c:v>Jan-2008</c:v>
                </c:pt>
                <c:pt idx="1">
                  <c:v>Apr-2008</c:v>
                </c:pt>
                <c:pt idx="2">
                  <c:v>Jul-2008</c:v>
                </c:pt>
                <c:pt idx="3">
                  <c:v>Oct-2008</c:v>
                </c:pt>
                <c:pt idx="4">
                  <c:v>Jan-2009</c:v>
                </c:pt>
                <c:pt idx="5">
                  <c:v>Apr-2009</c:v>
                </c:pt>
                <c:pt idx="6">
                  <c:v>Jul-2009</c:v>
                </c:pt>
                <c:pt idx="7">
                  <c:v>Oct-2009</c:v>
                </c:pt>
                <c:pt idx="8">
                  <c:v>Jan-2010</c:v>
                </c:pt>
                <c:pt idx="9">
                  <c:v>Apr-2010</c:v>
                </c:pt>
                <c:pt idx="10">
                  <c:v>Jul-2010</c:v>
                </c:pt>
                <c:pt idx="11">
                  <c:v>Oct-2010</c:v>
                </c:pt>
                <c:pt idx="12">
                  <c:v>Jan-2011</c:v>
                </c:pt>
                <c:pt idx="13">
                  <c:v>Apr-2011</c:v>
                </c:pt>
                <c:pt idx="14">
                  <c:v>Jul-2011</c:v>
                </c:pt>
                <c:pt idx="15">
                  <c:v>Oct-2011</c:v>
                </c:pt>
                <c:pt idx="16">
                  <c:v>Jan-2012</c:v>
                </c:pt>
                <c:pt idx="17">
                  <c:v>Apr-2012</c:v>
                </c:pt>
                <c:pt idx="18">
                  <c:v>Jul-2012</c:v>
                </c:pt>
                <c:pt idx="19">
                  <c:v>Oct-2012</c:v>
                </c:pt>
                <c:pt idx="20">
                  <c:v>Jan-2013</c:v>
                </c:pt>
                <c:pt idx="21">
                  <c:v>Apr-2013</c:v>
                </c:pt>
                <c:pt idx="22">
                  <c:v>Jul-2013</c:v>
                </c:pt>
                <c:pt idx="23">
                  <c:v>Oct-2013</c:v>
                </c:pt>
                <c:pt idx="24">
                  <c:v>Jan-2014</c:v>
                </c:pt>
                <c:pt idx="25">
                  <c:v>Apr-2014</c:v>
                </c:pt>
                <c:pt idx="26">
                  <c:v>Jul-2014</c:v>
                </c:pt>
                <c:pt idx="27">
                  <c:v>Oct-2014</c:v>
                </c:pt>
                <c:pt idx="28">
                  <c:v>Jan-2015</c:v>
                </c:pt>
                <c:pt idx="29">
                  <c:v>Apr-2015</c:v>
                </c:pt>
                <c:pt idx="30">
                  <c:v>Jul-2015</c:v>
                </c:pt>
                <c:pt idx="31">
                  <c:v>Oct-2015</c:v>
                </c:pt>
                <c:pt idx="32">
                  <c:v>Jan-2016</c:v>
                </c:pt>
                <c:pt idx="33">
                  <c:v>Apr-2016</c:v>
                </c:pt>
                <c:pt idx="34">
                  <c:v>Jul-2016</c:v>
                </c:pt>
                <c:pt idx="35">
                  <c:v>Oct-2016</c:v>
                </c:pt>
                <c:pt idx="36">
                  <c:v>Jan-2017</c:v>
                </c:pt>
                <c:pt idx="37">
                  <c:v>Apr-2017</c:v>
                </c:pt>
                <c:pt idx="38">
                  <c:v>Jul-2017</c:v>
                </c:pt>
                <c:pt idx="39">
                  <c:v>Oct-2017</c:v>
                </c:pt>
                <c:pt idx="40">
                  <c:v>Jan-2018</c:v>
                </c:pt>
                <c:pt idx="41">
                  <c:v>Apr-2018</c:v>
                </c:pt>
                <c:pt idx="42">
                  <c:v>Jul-2018</c:v>
                </c:pt>
                <c:pt idx="43">
                  <c:v>Oct-2018</c:v>
                </c:pt>
                <c:pt idx="44">
                  <c:v>Jan-2019</c:v>
                </c:pt>
                <c:pt idx="45">
                  <c:v>Apr-2019</c:v>
                </c:pt>
                <c:pt idx="46">
                  <c:v>Jul-2019</c:v>
                </c:pt>
                <c:pt idx="47">
                  <c:v>Oct-2019</c:v>
                </c:pt>
                <c:pt idx="48">
                  <c:v>Jan-2020</c:v>
                </c:pt>
                <c:pt idx="49">
                  <c:v>Apr-2020</c:v>
                </c:pt>
                <c:pt idx="50">
                  <c:v>Jul-2020</c:v>
                </c:pt>
                <c:pt idx="51">
                  <c:v>Oct-2020</c:v>
                </c:pt>
                <c:pt idx="52">
                  <c:v>Jan-2021</c:v>
                </c:pt>
                <c:pt idx="53">
                  <c:v>Apr-2021</c:v>
                </c:pt>
                <c:pt idx="54">
                  <c:v>Jul-2021</c:v>
                </c:pt>
                <c:pt idx="55">
                  <c:v>Oct-2021</c:v>
                </c:pt>
                <c:pt idx="56">
                  <c:v>Jan-2022</c:v>
                </c:pt>
                <c:pt idx="57">
                  <c:v>Apr-2022</c:v>
                </c:pt>
                <c:pt idx="58">
                  <c:v>Jul-2022</c:v>
                </c:pt>
                <c:pt idx="59">
                  <c:v>Oct-2022</c:v>
                </c:pt>
                <c:pt idx="60">
                  <c:v>Jan-2023</c:v>
                </c:pt>
                <c:pt idx="61">
                  <c:v>Apr-2023</c:v>
                </c:pt>
                <c:pt idx="62">
                  <c:v>Jul-2023</c:v>
                </c:pt>
                <c:pt idx="63">
                  <c:v>Oct-2023</c:v>
                </c:pt>
                <c:pt idx="64">
                  <c:v>Jan-2024</c:v>
                </c:pt>
                <c:pt idx="65">
                  <c:v>Apr-2024</c:v>
                </c:pt>
                <c:pt idx="66">
                  <c:v>Jul-2024</c:v>
                </c:pt>
                <c:pt idx="67">
                  <c:v>Oct-2024</c:v>
                </c:pt>
                <c:pt idx="68">
                  <c:v>Jan-2025</c:v>
                </c:pt>
                <c:pt idx="69">
                  <c:v>Apr-2025</c:v>
                </c:pt>
                <c:pt idx="70">
                  <c:v>Jul-2025</c:v>
                </c:pt>
                <c:pt idx="71">
                  <c:v>Oct-2025</c:v>
                </c:pt>
                <c:pt idx="72">
                  <c:v>Jan-2026</c:v>
                </c:pt>
                <c:pt idx="73">
                  <c:v>Apr-2026</c:v>
                </c:pt>
                <c:pt idx="74">
                  <c:v>Jul-2026</c:v>
                </c:pt>
                <c:pt idx="75">
                  <c:v>Oct-2026</c:v>
                </c:pt>
                <c:pt idx="76">
                  <c:v>Jan-2027</c:v>
                </c:pt>
                <c:pt idx="77">
                  <c:v>Apr-2027</c:v>
                </c:pt>
                <c:pt idx="78">
                  <c:v>Jul-2027</c:v>
                </c:pt>
                <c:pt idx="79">
                  <c:v>Oct-2027</c:v>
                </c:pt>
                <c:pt idx="80">
                  <c:v>Jan-2028</c:v>
                </c:pt>
                <c:pt idx="81">
                  <c:v>Apr-2028</c:v>
                </c:pt>
                <c:pt idx="82">
                  <c:v>Jul-2028</c:v>
                </c:pt>
                <c:pt idx="83">
                  <c:v>Oct-2028</c:v>
                </c:pt>
                <c:pt idx="84">
                  <c:v>Jan-2029</c:v>
                </c:pt>
                <c:pt idx="85">
                  <c:v>Apr-2029</c:v>
                </c:pt>
                <c:pt idx="86">
                  <c:v>Jul-2029</c:v>
                </c:pt>
                <c:pt idx="87">
                  <c:v>Oct-2029</c:v>
                </c:pt>
                <c:pt idx="88">
                  <c:v>Jan-2030</c:v>
                </c:pt>
                <c:pt idx="89">
                  <c:v>Apr-2030</c:v>
                </c:pt>
                <c:pt idx="90">
                  <c:v>Jul-2030</c:v>
                </c:pt>
                <c:pt idx="91">
                  <c:v>Oct-2030</c:v>
                </c:pt>
              </c:strCache>
            </c:strRef>
          </c:cat>
          <c:val>
            <c:numRef>
              <c:f>GDP!$B$10:$B$101</c:f>
              <c:numCache>
                <c:formatCode>General</c:formatCode>
                <c:ptCount val="92"/>
              </c:numCache>
            </c:numRef>
          </c:val>
          <c:smooth val="1"/>
        </c:ser>
        <c:ser>
          <c:idx val="1"/>
          <c:order val="1"/>
          <c:tx>
            <c:strRef>
              <c:f>GDP!E9</c:f>
              <c:strCache>
                <c:ptCount val="1"/>
                <c:pt idx="0">
                  <c:v>Trend Fcst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GDP!$A$10:$A$101</c:f>
              <c:strCache>
                <c:ptCount val="92"/>
                <c:pt idx="0">
                  <c:v>Jan-2008</c:v>
                </c:pt>
                <c:pt idx="1">
                  <c:v>Apr-2008</c:v>
                </c:pt>
                <c:pt idx="2">
                  <c:v>Jul-2008</c:v>
                </c:pt>
                <c:pt idx="3">
                  <c:v>Oct-2008</c:v>
                </c:pt>
                <c:pt idx="4">
                  <c:v>Jan-2009</c:v>
                </c:pt>
                <c:pt idx="5">
                  <c:v>Apr-2009</c:v>
                </c:pt>
                <c:pt idx="6">
                  <c:v>Jul-2009</c:v>
                </c:pt>
                <c:pt idx="7">
                  <c:v>Oct-2009</c:v>
                </c:pt>
                <c:pt idx="8">
                  <c:v>Jan-2010</c:v>
                </c:pt>
                <c:pt idx="9">
                  <c:v>Apr-2010</c:v>
                </c:pt>
                <c:pt idx="10">
                  <c:v>Jul-2010</c:v>
                </c:pt>
                <c:pt idx="11">
                  <c:v>Oct-2010</c:v>
                </c:pt>
                <c:pt idx="12">
                  <c:v>Jan-2011</c:v>
                </c:pt>
                <c:pt idx="13">
                  <c:v>Apr-2011</c:v>
                </c:pt>
                <c:pt idx="14">
                  <c:v>Jul-2011</c:v>
                </c:pt>
                <c:pt idx="15">
                  <c:v>Oct-2011</c:v>
                </c:pt>
                <c:pt idx="16">
                  <c:v>Jan-2012</c:v>
                </c:pt>
                <c:pt idx="17">
                  <c:v>Apr-2012</c:v>
                </c:pt>
                <c:pt idx="18">
                  <c:v>Jul-2012</c:v>
                </c:pt>
                <c:pt idx="19">
                  <c:v>Oct-2012</c:v>
                </c:pt>
                <c:pt idx="20">
                  <c:v>Jan-2013</c:v>
                </c:pt>
                <c:pt idx="21">
                  <c:v>Apr-2013</c:v>
                </c:pt>
                <c:pt idx="22">
                  <c:v>Jul-2013</c:v>
                </c:pt>
                <c:pt idx="23">
                  <c:v>Oct-2013</c:v>
                </c:pt>
                <c:pt idx="24">
                  <c:v>Jan-2014</c:v>
                </c:pt>
                <c:pt idx="25">
                  <c:v>Apr-2014</c:v>
                </c:pt>
                <c:pt idx="26">
                  <c:v>Jul-2014</c:v>
                </c:pt>
                <c:pt idx="27">
                  <c:v>Oct-2014</c:v>
                </c:pt>
                <c:pt idx="28">
                  <c:v>Jan-2015</c:v>
                </c:pt>
                <c:pt idx="29">
                  <c:v>Apr-2015</c:v>
                </c:pt>
                <c:pt idx="30">
                  <c:v>Jul-2015</c:v>
                </c:pt>
                <c:pt idx="31">
                  <c:v>Oct-2015</c:v>
                </c:pt>
                <c:pt idx="32">
                  <c:v>Jan-2016</c:v>
                </c:pt>
                <c:pt idx="33">
                  <c:v>Apr-2016</c:v>
                </c:pt>
                <c:pt idx="34">
                  <c:v>Jul-2016</c:v>
                </c:pt>
                <c:pt idx="35">
                  <c:v>Oct-2016</c:v>
                </c:pt>
                <c:pt idx="36">
                  <c:v>Jan-2017</c:v>
                </c:pt>
                <c:pt idx="37">
                  <c:v>Apr-2017</c:v>
                </c:pt>
                <c:pt idx="38">
                  <c:v>Jul-2017</c:v>
                </c:pt>
                <c:pt idx="39">
                  <c:v>Oct-2017</c:v>
                </c:pt>
                <c:pt idx="40">
                  <c:v>Jan-2018</c:v>
                </c:pt>
                <c:pt idx="41">
                  <c:v>Apr-2018</c:v>
                </c:pt>
                <c:pt idx="42">
                  <c:v>Jul-2018</c:v>
                </c:pt>
                <c:pt idx="43">
                  <c:v>Oct-2018</c:v>
                </c:pt>
                <c:pt idx="44">
                  <c:v>Jan-2019</c:v>
                </c:pt>
                <c:pt idx="45">
                  <c:v>Apr-2019</c:v>
                </c:pt>
                <c:pt idx="46">
                  <c:v>Jul-2019</c:v>
                </c:pt>
                <c:pt idx="47">
                  <c:v>Oct-2019</c:v>
                </c:pt>
                <c:pt idx="48">
                  <c:v>Jan-2020</c:v>
                </c:pt>
                <c:pt idx="49">
                  <c:v>Apr-2020</c:v>
                </c:pt>
                <c:pt idx="50">
                  <c:v>Jul-2020</c:v>
                </c:pt>
                <c:pt idx="51">
                  <c:v>Oct-2020</c:v>
                </c:pt>
                <c:pt idx="52">
                  <c:v>Jan-2021</c:v>
                </c:pt>
                <c:pt idx="53">
                  <c:v>Apr-2021</c:v>
                </c:pt>
                <c:pt idx="54">
                  <c:v>Jul-2021</c:v>
                </c:pt>
                <c:pt idx="55">
                  <c:v>Oct-2021</c:v>
                </c:pt>
                <c:pt idx="56">
                  <c:v>Jan-2022</c:v>
                </c:pt>
                <c:pt idx="57">
                  <c:v>Apr-2022</c:v>
                </c:pt>
                <c:pt idx="58">
                  <c:v>Jul-2022</c:v>
                </c:pt>
                <c:pt idx="59">
                  <c:v>Oct-2022</c:v>
                </c:pt>
                <c:pt idx="60">
                  <c:v>Jan-2023</c:v>
                </c:pt>
                <c:pt idx="61">
                  <c:v>Apr-2023</c:v>
                </c:pt>
                <c:pt idx="62">
                  <c:v>Jul-2023</c:v>
                </c:pt>
                <c:pt idx="63">
                  <c:v>Oct-2023</c:v>
                </c:pt>
                <c:pt idx="64">
                  <c:v>Jan-2024</c:v>
                </c:pt>
                <c:pt idx="65">
                  <c:v>Apr-2024</c:v>
                </c:pt>
                <c:pt idx="66">
                  <c:v>Jul-2024</c:v>
                </c:pt>
                <c:pt idx="67">
                  <c:v>Oct-2024</c:v>
                </c:pt>
                <c:pt idx="68">
                  <c:v>Jan-2025</c:v>
                </c:pt>
                <c:pt idx="69">
                  <c:v>Apr-2025</c:v>
                </c:pt>
                <c:pt idx="70">
                  <c:v>Jul-2025</c:v>
                </c:pt>
                <c:pt idx="71">
                  <c:v>Oct-2025</c:v>
                </c:pt>
                <c:pt idx="72">
                  <c:v>Jan-2026</c:v>
                </c:pt>
                <c:pt idx="73">
                  <c:v>Apr-2026</c:v>
                </c:pt>
                <c:pt idx="74">
                  <c:v>Jul-2026</c:v>
                </c:pt>
                <c:pt idx="75">
                  <c:v>Oct-2026</c:v>
                </c:pt>
                <c:pt idx="76">
                  <c:v>Jan-2027</c:v>
                </c:pt>
                <c:pt idx="77">
                  <c:v>Apr-2027</c:v>
                </c:pt>
                <c:pt idx="78">
                  <c:v>Jul-2027</c:v>
                </c:pt>
                <c:pt idx="79">
                  <c:v>Oct-2027</c:v>
                </c:pt>
                <c:pt idx="80">
                  <c:v>Jan-2028</c:v>
                </c:pt>
                <c:pt idx="81">
                  <c:v>Apr-2028</c:v>
                </c:pt>
                <c:pt idx="82">
                  <c:v>Jul-2028</c:v>
                </c:pt>
                <c:pt idx="83">
                  <c:v>Oct-2028</c:v>
                </c:pt>
                <c:pt idx="84">
                  <c:v>Jan-2029</c:v>
                </c:pt>
                <c:pt idx="85">
                  <c:v>Apr-2029</c:v>
                </c:pt>
                <c:pt idx="86">
                  <c:v>Jul-2029</c:v>
                </c:pt>
                <c:pt idx="87">
                  <c:v>Oct-2029</c:v>
                </c:pt>
                <c:pt idx="88">
                  <c:v>Jan-2030</c:v>
                </c:pt>
                <c:pt idx="89">
                  <c:v>Apr-2030</c:v>
                </c:pt>
                <c:pt idx="90">
                  <c:v>Jul-2030</c:v>
                </c:pt>
                <c:pt idx="91">
                  <c:v>Oct-2030</c:v>
                </c:pt>
              </c:strCache>
            </c:strRef>
          </c:cat>
          <c:val>
            <c:numRef>
              <c:f>GDP!$E$10:$E$101</c:f>
              <c:numCache>
                <c:formatCode>General</c:formatCode>
                <c:ptCount val="92"/>
              </c:numCache>
            </c:numRef>
          </c:val>
          <c:smooth val="1"/>
        </c:ser>
        <c:ser>
          <c:idx val="2"/>
          <c:order val="2"/>
          <c:tx>
            <c:strRef>
              <c:f>GDP!F9</c:f>
              <c:strCache>
                <c:ptCount val="1"/>
                <c:pt idx="0">
                  <c:v>Damped Fcst</c:v>
                </c:pt>
              </c:strCache>
            </c:strRef>
          </c:tx>
          <c:spPr>
            <a:solidFill>
              <a:srgbClr val="98B855"/>
            </a:solidFill>
            <a:ln w="12600">
              <a:solidFill>
                <a:srgbClr val="98B855"/>
              </a:solidFill>
              <a:prstDash val="sys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sys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GDP!$A$10:$A$101</c:f>
              <c:strCache>
                <c:ptCount val="92"/>
                <c:pt idx="0">
                  <c:v>Jan-2008</c:v>
                </c:pt>
                <c:pt idx="1">
                  <c:v>Apr-2008</c:v>
                </c:pt>
                <c:pt idx="2">
                  <c:v>Jul-2008</c:v>
                </c:pt>
                <c:pt idx="3">
                  <c:v>Oct-2008</c:v>
                </c:pt>
                <c:pt idx="4">
                  <c:v>Jan-2009</c:v>
                </c:pt>
                <c:pt idx="5">
                  <c:v>Apr-2009</c:v>
                </c:pt>
                <c:pt idx="6">
                  <c:v>Jul-2009</c:v>
                </c:pt>
                <c:pt idx="7">
                  <c:v>Oct-2009</c:v>
                </c:pt>
                <c:pt idx="8">
                  <c:v>Jan-2010</c:v>
                </c:pt>
                <c:pt idx="9">
                  <c:v>Apr-2010</c:v>
                </c:pt>
                <c:pt idx="10">
                  <c:v>Jul-2010</c:v>
                </c:pt>
                <c:pt idx="11">
                  <c:v>Oct-2010</c:v>
                </c:pt>
                <c:pt idx="12">
                  <c:v>Jan-2011</c:v>
                </c:pt>
                <c:pt idx="13">
                  <c:v>Apr-2011</c:v>
                </c:pt>
                <c:pt idx="14">
                  <c:v>Jul-2011</c:v>
                </c:pt>
                <c:pt idx="15">
                  <c:v>Oct-2011</c:v>
                </c:pt>
                <c:pt idx="16">
                  <c:v>Jan-2012</c:v>
                </c:pt>
                <c:pt idx="17">
                  <c:v>Apr-2012</c:v>
                </c:pt>
                <c:pt idx="18">
                  <c:v>Jul-2012</c:v>
                </c:pt>
                <c:pt idx="19">
                  <c:v>Oct-2012</c:v>
                </c:pt>
                <c:pt idx="20">
                  <c:v>Jan-2013</c:v>
                </c:pt>
                <c:pt idx="21">
                  <c:v>Apr-2013</c:v>
                </c:pt>
                <c:pt idx="22">
                  <c:v>Jul-2013</c:v>
                </c:pt>
                <c:pt idx="23">
                  <c:v>Oct-2013</c:v>
                </c:pt>
                <c:pt idx="24">
                  <c:v>Jan-2014</c:v>
                </c:pt>
                <c:pt idx="25">
                  <c:v>Apr-2014</c:v>
                </c:pt>
                <c:pt idx="26">
                  <c:v>Jul-2014</c:v>
                </c:pt>
                <c:pt idx="27">
                  <c:v>Oct-2014</c:v>
                </c:pt>
                <c:pt idx="28">
                  <c:v>Jan-2015</c:v>
                </c:pt>
                <c:pt idx="29">
                  <c:v>Apr-2015</c:v>
                </c:pt>
                <c:pt idx="30">
                  <c:v>Jul-2015</c:v>
                </c:pt>
                <c:pt idx="31">
                  <c:v>Oct-2015</c:v>
                </c:pt>
                <c:pt idx="32">
                  <c:v>Jan-2016</c:v>
                </c:pt>
                <c:pt idx="33">
                  <c:v>Apr-2016</c:v>
                </c:pt>
                <c:pt idx="34">
                  <c:v>Jul-2016</c:v>
                </c:pt>
                <c:pt idx="35">
                  <c:v>Oct-2016</c:v>
                </c:pt>
                <c:pt idx="36">
                  <c:v>Jan-2017</c:v>
                </c:pt>
                <c:pt idx="37">
                  <c:v>Apr-2017</c:v>
                </c:pt>
                <c:pt idx="38">
                  <c:v>Jul-2017</c:v>
                </c:pt>
                <c:pt idx="39">
                  <c:v>Oct-2017</c:v>
                </c:pt>
                <c:pt idx="40">
                  <c:v>Jan-2018</c:v>
                </c:pt>
                <c:pt idx="41">
                  <c:v>Apr-2018</c:v>
                </c:pt>
                <c:pt idx="42">
                  <c:v>Jul-2018</c:v>
                </c:pt>
                <c:pt idx="43">
                  <c:v>Oct-2018</c:v>
                </c:pt>
                <c:pt idx="44">
                  <c:v>Jan-2019</c:v>
                </c:pt>
                <c:pt idx="45">
                  <c:v>Apr-2019</c:v>
                </c:pt>
                <c:pt idx="46">
                  <c:v>Jul-2019</c:v>
                </c:pt>
                <c:pt idx="47">
                  <c:v>Oct-2019</c:v>
                </c:pt>
                <c:pt idx="48">
                  <c:v>Jan-2020</c:v>
                </c:pt>
                <c:pt idx="49">
                  <c:v>Apr-2020</c:v>
                </c:pt>
                <c:pt idx="50">
                  <c:v>Jul-2020</c:v>
                </c:pt>
                <c:pt idx="51">
                  <c:v>Oct-2020</c:v>
                </c:pt>
                <c:pt idx="52">
                  <c:v>Jan-2021</c:v>
                </c:pt>
                <c:pt idx="53">
                  <c:v>Apr-2021</c:v>
                </c:pt>
                <c:pt idx="54">
                  <c:v>Jul-2021</c:v>
                </c:pt>
                <c:pt idx="55">
                  <c:v>Oct-2021</c:v>
                </c:pt>
                <c:pt idx="56">
                  <c:v>Jan-2022</c:v>
                </c:pt>
                <c:pt idx="57">
                  <c:v>Apr-2022</c:v>
                </c:pt>
                <c:pt idx="58">
                  <c:v>Jul-2022</c:v>
                </c:pt>
                <c:pt idx="59">
                  <c:v>Oct-2022</c:v>
                </c:pt>
                <c:pt idx="60">
                  <c:v>Jan-2023</c:v>
                </c:pt>
                <c:pt idx="61">
                  <c:v>Apr-2023</c:v>
                </c:pt>
                <c:pt idx="62">
                  <c:v>Jul-2023</c:v>
                </c:pt>
                <c:pt idx="63">
                  <c:v>Oct-2023</c:v>
                </c:pt>
                <c:pt idx="64">
                  <c:v>Jan-2024</c:v>
                </c:pt>
                <c:pt idx="65">
                  <c:v>Apr-2024</c:v>
                </c:pt>
                <c:pt idx="66">
                  <c:v>Jul-2024</c:v>
                </c:pt>
                <c:pt idx="67">
                  <c:v>Oct-2024</c:v>
                </c:pt>
                <c:pt idx="68">
                  <c:v>Jan-2025</c:v>
                </c:pt>
                <c:pt idx="69">
                  <c:v>Apr-2025</c:v>
                </c:pt>
                <c:pt idx="70">
                  <c:v>Jul-2025</c:v>
                </c:pt>
                <c:pt idx="71">
                  <c:v>Oct-2025</c:v>
                </c:pt>
                <c:pt idx="72">
                  <c:v>Jan-2026</c:v>
                </c:pt>
                <c:pt idx="73">
                  <c:v>Apr-2026</c:v>
                </c:pt>
                <c:pt idx="74">
                  <c:v>Jul-2026</c:v>
                </c:pt>
                <c:pt idx="75">
                  <c:v>Oct-2026</c:v>
                </c:pt>
                <c:pt idx="76">
                  <c:v>Jan-2027</c:v>
                </c:pt>
                <c:pt idx="77">
                  <c:v>Apr-2027</c:v>
                </c:pt>
                <c:pt idx="78">
                  <c:v>Jul-2027</c:v>
                </c:pt>
                <c:pt idx="79">
                  <c:v>Oct-2027</c:v>
                </c:pt>
                <c:pt idx="80">
                  <c:v>Jan-2028</c:v>
                </c:pt>
                <c:pt idx="81">
                  <c:v>Apr-2028</c:v>
                </c:pt>
                <c:pt idx="82">
                  <c:v>Jul-2028</c:v>
                </c:pt>
                <c:pt idx="83">
                  <c:v>Oct-2028</c:v>
                </c:pt>
                <c:pt idx="84">
                  <c:v>Jan-2029</c:v>
                </c:pt>
                <c:pt idx="85">
                  <c:v>Apr-2029</c:v>
                </c:pt>
                <c:pt idx="86">
                  <c:v>Jul-2029</c:v>
                </c:pt>
                <c:pt idx="87">
                  <c:v>Oct-2029</c:v>
                </c:pt>
                <c:pt idx="88">
                  <c:v>Jan-2030</c:v>
                </c:pt>
                <c:pt idx="89">
                  <c:v>Apr-2030</c:v>
                </c:pt>
                <c:pt idx="90">
                  <c:v>Jul-2030</c:v>
                </c:pt>
                <c:pt idx="91">
                  <c:v>Oct-2030</c:v>
                </c:pt>
              </c:strCache>
            </c:strRef>
          </c:cat>
          <c:val>
            <c:numRef>
              <c:f>GDP!$F$10:$F$101</c:f>
              <c:numCache>
                <c:formatCode>General</c:formatCode>
                <c:ptCount val="92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4325481"/>
        <c:axId val="8856817"/>
      </c:lineChart>
      <c:catAx>
        <c:axId val="34325481"/>
        <c:scaling>
          <c:orientation val="minMax"/>
        </c:scaling>
        <c:delete val="0"/>
        <c:axPos val="b"/>
        <c:numFmt formatCode="mmm\-yy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856817"/>
        <c:crosses val="autoZero"/>
        <c:auto val="1"/>
        <c:lblAlgn val="ctr"/>
        <c:lblOffset val="100"/>
        <c:noMultiLvlLbl val="0"/>
      </c:catAx>
      <c:valAx>
        <c:axId val="885681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432548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GDP!B110</c:f>
              <c:strCache>
                <c:ptCount val="1"/>
                <c:pt idx="0">
                  <c:v>Level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GDP!$A$111:$A$202</c:f>
              <c:strCache>
                <c:ptCount val="92"/>
                <c:pt idx="0">
                  <c:v>Jan-2008</c:v>
                </c:pt>
                <c:pt idx="1">
                  <c:v>Apr-2008</c:v>
                </c:pt>
                <c:pt idx="2">
                  <c:v>Jul-2008</c:v>
                </c:pt>
                <c:pt idx="3">
                  <c:v>Oct-2008</c:v>
                </c:pt>
                <c:pt idx="4">
                  <c:v>Jan-2009</c:v>
                </c:pt>
                <c:pt idx="5">
                  <c:v>Apr-2009</c:v>
                </c:pt>
                <c:pt idx="6">
                  <c:v>Jul-2009</c:v>
                </c:pt>
                <c:pt idx="7">
                  <c:v>Oct-2009</c:v>
                </c:pt>
                <c:pt idx="8">
                  <c:v>Jan-2010</c:v>
                </c:pt>
                <c:pt idx="9">
                  <c:v>Apr-2010</c:v>
                </c:pt>
                <c:pt idx="10">
                  <c:v>Jul-2010</c:v>
                </c:pt>
                <c:pt idx="11">
                  <c:v>Oct-2010</c:v>
                </c:pt>
                <c:pt idx="12">
                  <c:v>Jan-2011</c:v>
                </c:pt>
                <c:pt idx="13">
                  <c:v>Apr-2011</c:v>
                </c:pt>
                <c:pt idx="14">
                  <c:v>Jul-2011</c:v>
                </c:pt>
                <c:pt idx="15">
                  <c:v>Oct-2011</c:v>
                </c:pt>
                <c:pt idx="16">
                  <c:v>Jan-2012</c:v>
                </c:pt>
                <c:pt idx="17">
                  <c:v>Apr-2012</c:v>
                </c:pt>
                <c:pt idx="18">
                  <c:v>Jul-2012</c:v>
                </c:pt>
                <c:pt idx="19">
                  <c:v>Oct-2012</c:v>
                </c:pt>
                <c:pt idx="20">
                  <c:v>Jan-2013</c:v>
                </c:pt>
                <c:pt idx="21">
                  <c:v>Apr-2013</c:v>
                </c:pt>
                <c:pt idx="22">
                  <c:v>Jul-2013</c:v>
                </c:pt>
                <c:pt idx="23">
                  <c:v>Oct-2013</c:v>
                </c:pt>
                <c:pt idx="24">
                  <c:v>Jan-2014</c:v>
                </c:pt>
                <c:pt idx="25">
                  <c:v>Apr-2014</c:v>
                </c:pt>
                <c:pt idx="26">
                  <c:v>Jul-2014</c:v>
                </c:pt>
                <c:pt idx="27">
                  <c:v>Oct-2014</c:v>
                </c:pt>
                <c:pt idx="28">
                  <c:v>Jan-2015</c:v>
                </c:pt>
                <c:pt idx="29">
                  <c:v>Apr-2015</c:v>
                </c:pt>
                <c:pt idx="30">
                  <c:v>Jul-2015</c:v>
                </c:pt>
                <c:pt idx="31">
                  <c:v>Oct-2015</c:v>
                </c:pt>
                <c:pt idx="32">
                  <c:v>Jan-2016</c:v>
                </c:pt>
                <c:pt idx="33">
                  <c:v>Apr-2016</c:v>
                </c:pt>
                <c:pt idx="34">
                  <c:v>Jul-2016</c:v>
                </c:pt>
                <c:pt idx="35">
                  <c:v>Oct-2016</c:v>
                </c:pt>
                <c:pt idx="36">
                  <c:v>Jan-2017</c:v>
                </c:pt>
                <c:pt idx="37">
                  <c:v>Apr-2017</c:v>
                </c:pt>
                <c:pt idx="38">
                  <c:v>Jul-2017</c:v>
                </c:pt>
                <c:pt idx="39">
                  <c:v>Oct-2017</c:v>
                </c:pt>
                <c:pt idx="40">
                  <c:v>Jan-2018</c:v>
                </c:pt>
                <c:pt idx="41">
                  <c:v>Apr-2018</c:v>
                </c:pt>
                <c:pt idx="42">
                  <c:v>Jul-2018</c:v>
                </c:pt>
                <c:pt idx="43">
                  <c:v>Oct-2018</c:v>
                </c:pt>
                <c:pt idx="44">
                  <c:v>Jan-2019</c:v>
                </c:pt>
                <c:pt idx="45">
                  <c:v>Apr-2019</c:v>
                </c:pt>
                <c:pt idx="46">
                  <c:v>Jul-2019</c:v>
                </c:pt>
                <c:pt idx="47">
                  <c:v>Oct-2019</c:v>
                </c:pt>
                <c:pt idx="48">
                  <c:v>Jan-2020</c:v>
                </c:pt>
                <c:pt idx="49">
                  <c:v>Apr-2020</c:v>
                </c:pt>
                <c:pt idx="50">
                  <c:v>Jul-2020</c:v>
                </c:pt>
                <c:pt idx="51">
                  <c:v>Oct-2020</c:v>
                </c:pt>
                <c:pt idx="52">
                  <c:v>Jan-2021</c:v>
                </c:pt>
                <c:pt idx="53">
                  <c:v>Apr-2021</c:v>
                </c:pt>
                <c:pt idx="54">
                  <c:v>Jul-2021</c:v>
                </c:pt>
                <c:pt idx="55">
                  <c:v>Oct-2021</c:v>
                </c:pt>
                <c:pt idx="56">
                  <c:v>Jan-2022</c:v>
                </c:pt>
                <c:pt idx="57">
                  <c:v>Apr-2022</c:v>
                </c:pt>
                <c:pt idx="58">
                  <c:v>Jul-2022</c:v>
                </c:pt>
                <c:pt idx="59">
                  <c:v>Oct-2022</c:v>
                </c:pt>
                <c:pt idx="60">
                  <c:v>Jan-2023</c:v>
                </c:pt>
                <c:pt idx="61">
                  <c:v>Apr-2023</c:v>
                </c:pt>
                <c:pt idx="62">
                  <c:v>Jul-2023</c:v>
                </c:pt>
                <c:pt idx="63">
                  <c:v>Oct-2023</c:v>
                </c:pt>
                <c:pt idx="64">
                  <c:v>Jan-2024</c:v>
                </c:pt>
                <c:pt idx="65">
                  <c:v>Apr-2024</c:v>
                </c:pt>
                <c:pt idx="66">
                  <c:v>Jul-2024</c:v>
                </c:pt>
                <c:pt idx="67">
                  <c:v>Oct-2024</c:v>
                </c:pt>
                <c:pt idx="68">
                  <c:v>Jan-2025</c:v>
                </c:pt>
                <c:pt idx="69">
                  <c:v>Apr-2025</c:v>
                </c:pt>
                <c:pt idx="70">
                  <c:v>Jul-2025</c:v>
                </c:pt>
                <c:pt idx="71">
                  <c:v>Oct-2025</c:v>
                </c:pt>
                <c:pt idx="72">
                  <c:v>Jan-2026</c:v>
                </c:pt>
                <c:pt idx="73">
                  <c:v>Apr-2026</c:v>
                </c:pt>
                <c:pt idx="74">
                  <c:v>Jul-2026</c:v>
                </c:pt>
                <c:pt idx="75">
                  <c:v>Oct-2026</c:v>
                </c:pt>
                <c:pt idx="76">
                  <c:v>Jan-2027</c:v>
                </c:pt>
                <c:pt idx="77">
                  <c:v>Apr-2027</c:v>
                </c:pt>
                <c:pt idx="78">
                  <c:v>Jul-2027</c:v>
                </c:pt>
                <c:pt idx="79">
                  <c:v>Oct-2027</c:v>
                </c:pt>
                <c:pt idx="80">
                  <c:v>Jan-2028</c:v>
                </c:pt>
                <c:pt idx="81">
                  <c:v>Apr-2028</c:v>
                </c:pt>
                <c:pt idx="82">
                  <c:v>Jul-2028</c:v>
                </c:pt>
                <c:pt idx="83">
                  <c:v>Oct-2028</c:v>
                </c:pt>
                <c:pt idx="84">
                  <c:v>Jan-2029</c:v>
                </c:pt>
                <c:pt idx="85">
                  <c:v>Apr-2029</c:v>
                </c:pt>
                <c:pt idx="86">
                  <c:v>Jul-2029</c:v>
                </c:pt>
                <c:pt idx="87">
                  <c:v>Oct-2029</c:v>
                </c:pt>
                <c:pt idx="88">
                  <c:v>Jan-2030</c:v>
                </c:pt>
                <c:pt idx="89">
                  <c:v>Apr-2030</c:v>
                </c:pt>
                <c:pt idx="90">
                  <c:v>Jul-2030</c:v>
                </c:pt>
                <c:pt idx="91">
                  <c:v>Oct-2030</c:v>
                </c:pt>
              </c:strCache>
            </c:strRef>
          </c:cat>
          <c:val>
            <c:numRef>
              <c:f>GDP!$B$111:$B$202</c:f>
              <c:numCache>
                <c:formatCode>General</c:formatCode>
                <c:ptCount val="92"/>
              </c:numCache>
            </c:numRef>
          </c:val>
          <c:smooth val="1"/>
        </c:ser>
        <c:ser>
          <c:idx val="1"/>
          <c:order val="1"/>
          <c:tx>
            <c:strRef>
              <c:f>GDP!E110</c:f>
              <c:strCache>
                <c:ptCount val="1"/>
                <c:pt idx="0">
                  <c:v>Trend Fcst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GDP!$A$111:$A$202</c:f>
              <c:strCache>
                <c:ptCount val="92"/>
                <c:pt idx="0">
                  <c:v>Jan-2008</c:v>
                </c:pt>
                <c:pt idx="1">
                  <c:v>Apr-2008</c:v>
                </c:pt>
                <c:pt idx="2">
                  <c:v>Jul-2008</c:v>
                </c:pt>
                <c:pt idx="3">
                  <c:v>Oct-2008</c:v>
                </c:pt>
                <c:pt idx="4">
                  <c:v>Jan-2009</c:v>
                </c:pt>
                <c:pt idx="5">
                  <c:v>Apr-2009</c:v>
                </c:pt>
                <c:pt idx="6">
                  <c:v>Jul-2009</c:v>
                </c:pt>
                <c:pt idx="7">
                  <c:v>Oct-2009</c:v>
                </c:pt>
                <c:pt idx="8">
                  <c:v>Jan-2010</c:v>
                </c:pt>
                <c:pt idx="9">
                  <c:v>Apr-2010</c:v>
                </c:pt>
                <c:pt idx="10">
                  <c:v>Jul-2010</c:v>
                </c:pt>
                <c:pt idx="11">
                  <c:v>Oct-2010</c:v>
                </c:pt>
                <c:pt idx="12">
                  <c:v>Jan-2011</c:v>
                </c:pt>
                <c:pt idx="13">
                  <c:v>Apr-2011</c:v>
                </c:pt>
                <c:pt idx="14">
                  <c:v>Jul-2011</c:v>
                </c:pt>
                <c:pt idx="15">
                  <c:v>Oct-2011</c:v>
                </c:pt>
                <c:pt idx="16">
                  <c:v>Jan-2012</c:v>
                </c:pt>
                <c:pt idx="17">
                  <c:v>Apr-2012</c:v>
                </c:pt>
                <c:pt idx="18">
                  <c:v>Jul-2012</c:v>
                </c:pt>
                <c:pt idx="19">
                  <c:v>Oct-2012</c:v>
                </c:pt>
                <c:pt idx="20">
                  <c:v>Jan-2013</c:v>
                </c:pt>
                <c:pt idx="21">
                  <c:v>Apr-2013</c:v>
                </c:pt>
                <c:pt idx="22">
                  <c:v>Jul-2013</c:v>
                </c:pt>
                <c:pt idx="23">
                  <c:v>Oct-2013</c:v>
                </c:pt>
                <c:pt idx="24">
                  <c:v>Jan-2014</c:v>
                </c:pt>
                <c:pt idx="25">
                  <c:v>Apr-2014</c:v>
                </c:pt>
                <c:pt idx="26">
                  <c:v>Jul-2014</c:v>
                </c:pt>
                <c:pt idx="27">
                  <c:v>Oct-2014</c:v>
                </c:pt>
                <c:pt idx="28">
                  <c:v>Jan-2015</c:v>
                </c:pt>
                <c:pt idx="29">
                  <c:v>Apr-2015</c:v>
                </c:pt>
                <c:pt idx="30">
                  <c:v>Jul-2015</c:v>
                </c:pt>
                <c:pt idx="31">
                  <c:v>Oct-2015</c:v>
                </c:pt>
                <c:pt idx="32">
                  <c:v>Jan-2016</c:v>
                </c:pt>
                <c:pt idx="33">
                  <c:v>Apr-2016</c:v>
                </c:pt>
                <c:pt idx="34">
                  <c:v>Jul-2016</c:v>
                </c:pt>
                <c:pt idx="35">
                  <c:v>Oct-2016</c:v>
                </c:pt>
                <c:pt idx="36">
                  <c:v>Jan-2017</c:v>
                </c:pt>
                <c:pt idx="37">
                  <c:v>Apr-2017</c:v>
                </c:pt>
                <c:pt idx="38">
                  <c:v>Jul-2017</c:v>
                </c:pt>
                <c:pt idx="39">
                  <c:v>Oct-2017</c:v>
                </c:pt>
                <c:pt idx="40">
                  <c:v>Jan-2018</c:v>
                </c:pt>
                <c:pt idx="41">
                  <c:v>Apr-2018</c:v>
                </c:pt>
                <c:pt idx="42">
                  <c:v>Jul-2018</c:v>
                </c:pt>
                <c:pt idx="43">
                  <c:v>Oct-2018</c:v>
                </c:pt>
                <c:pt idx="44">
                  <c:v>Jan-2019</c:v>
                </c:pt>
                <c:pt idx="45">
                  <c:v>Apr-2019</c:v>
                </c:pt>
                <c:pt idx="46">
                  <c:v>Jul-2019</c:v>
                </c:pt>
                <c:pt idx="47">
                  <c:v>Oct-2019</c:v>
                </c:pt>
                <c:pt idx="48">
                  <c:v>Jan-2020</c:v>
                </c:pt>
                <c:pt idx="49">
                  <c:v>Apr-2020</c:v>
                </c:pt>
                <c:pt idx="50">
                  <c:v>Jul-2020</c:v>
                </c:pt>
                <c:pt idx="51">
                  <c:v>Oct-2020</c:v>
                </c:pt>
                <c:pt idx="52">
                  <c:v>Jan-2021</c:v>
                </c:pt>
                <c:pt idx="53">
                  <c:v>Apr-2021</c:v>
                </c:pt>
                <c:pt idx="54">
                  <c:v>Jul-2021</c:v>
                </c:pt>
                <c:pt idx="55">
                  <c:v>Oct-2021</c:v>
                </c:pt>
                <c:pt idx="56">
                  <c:v>Jan-2022</c:v>
                </c:pt>
                <c:pt idx="57">
                  <c:v>Apr-2022</c:v>
                </c:pt>
                <c:pt idx="58">
                  <c:v>Jul-2022</c:v>
                </c:pt>
                <c:pt idx="59">
                  <c:v>Oct-2022</c:v>
                </c:pt>
                <c:pt idx="60">
                  <c:v>Jan-2023</c:v>
                </c:pt>
                <c:pt idx="61">
                  <c:v>Apr-2023</c:v>
                </c:pt>
                <c:pt idx="62">
                  <c:v>Jul-2023</c:v>
                </c:pt>
                <c:pt idx="63">
                  <c:v>Oct-2023</c:v>
                </c:pt>
                <c:pt idx="64">
                  <c:v>Jan-2024</c:v>
                </c:pt>
                <c:pt idx="65">
                  <c:v>Apr-2024</c:v>
                </c:pt>
                <c:pt idx="66">
                  <c:v>Jul-2024</c:v>
                </c:pt>
                <c:pt idx="67">
                  <c:v>Oct-2024</c:v>
                </c:pt>
                <c:pt idx="68">
                  <c:v>Jan-2025</c:v>
                </c:pt>
                <c:pt idx="69">
                  <c:v>Apr-2025</c:v>
                </c:pt>
                <c:pt idx="70">
                  <c:v>Jul-2025</c:v>
                </c:pt>
                <c:pt idx="71">
                  <c:v>Oct-2025</c:v>
                </c:pt>
                <c:pt idx="72">
                  <c:v>Jan-2026</c:v>
                </c:pt>
                <c:pt idx="73">
                  <c:v>Apr-2026</c:v>
                </c:pt>
                <c:pt idx="74">
                  <c:v>Jul-2026</c:v>
                </c:pt>
                <c:pt idx="75">
                  <c:v>Oct-2026</c:v>
                </c:pt>
                <c:pt idx="76">
                  <c:v>Jan-2027</c:v>
                </c:pt>
                <c:pt idx="77">
                  <c:v>Apr-2027</c:v>
                </c:pt>
                <c:pt idx="78">
                  <c:v>Jul-2027</c:v>
                </c:pt>
                <c:pt idx="79">
                  <c:v>Oct-2027</c:v>
                </c:pt>
                <c:pt idx="80">
                  <c:v>Jan-2028</c:v>
                </c:pt>
                <c:pt idx="81">
                  <c:v>Apr-2028</c:v>
                </c:pt>
                <c:pt idx="82">
                  <c:v>Jul-2028</c:v>
                </c:pt>
                <c:pt idx="83">
                  <c:v>Oct-2028</c:v>
                </c:pt>
                <c:pt idx="84">
                  <c:v>Jan-2029</c:v>
                </c:pt>
                <c:pt idx="85">
                  <c:v>Apr-2029</c:v>
                </c:pt>
                <c:pt idx="86">
                  <c:v>Jul-2029</c:v>
                </c:pt>
                <c:pt idx="87">
                  <c:v>Oct-2029</c:v>
                </c:pt>
                <c:pt idx="88">
                  <c:v>Jan-2030</c:v>
                </c:pt>
                <c:pt idx="89">
                  <c:v>Apr-2030</c:v>
                </c:pt>
                <c:pt idx="90">
                  <c:v>Jul-2030</c:v>
                </c:pt>
                <c:pt idx="91">
                  <c:v>Oct-2030</c:v>
                </c:pt>
              </c:strCache>
            </c:strRef>
          </c:cat>
          <c:val>
            <c:numRef>
              <c:f>GDP!$E$111:$E$202</c:f>
              <c:numCache>
                <c:formatCode>General</c:formatCode>
                <c:ptCount val="92"/>
              </c:numCache>
            </c:numRef>
          </c:val>
          <c:smooth val="1"/>
        </c:ser>
        <c:ser>
          <c:idx val="2"/>
          <c:order val="2"/>
          <c:tx>
            <c:strRef>
              <c:f>GDP!F110</c:f>
              <c:strCache>
                <c:ptCount val="1"/>
                <c:pt idx="0">
                  <c:v>Damped Fcst</c:v>
                </c:pt>
              </c:strCache>
            </c:strRef>
          </c:tx>
          <c:spPr>
            <a:solidFill>
              <a:srgbClr val="98B855"/>
            </a:solidFill>
            <a:ln w="12600">
              <a:solidFill>
                <a:srgbClr val="98B855"/>
              </a:solidFill>
              <a:prstDash val="sys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sys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GDP!$A$111:$A$202</c:f>
              <c:strCache>
                <c:ptCount val="92"/>
                <c:pt idx="0">
                  <c:v>Jan-2008</c:v>
                </c:pt>
                <c:pt idx="1">
                  <c:v>Apr-2008</c:v>
                </c:pt>
                <c:pt idx="2">
                  <c:v>Jul-2008</c:v>
                </c:pt>
                <c:pt idx="3">
                  <c:v>Oct-2008</c:v>
                </c:pt>
                <c:pt idx="4">
                  <c:v>Jan-2009</c:v>
                </c:pt>
                <c:pt idx="5">
                  <c:v>Apr-2009</c:v>
                </c:pt>
                <c:pt idx="6">
                  <c:v>Jul-2009</c:v>
                </c:pt>
                <c:pt idx="7">
                  <c:v>Oct-2009</c:v>
                </c:pt>
                <c:pt idx="8">
                  <c:v>Jan-2010</c:v>
                </c:pt>
                <c:pt idx="9">
                  <c:v>Apr-2010</c:v>
                </c:pt>
                <c:pt idx="10">
                  <c:v>Jul-2010</c:v>
                </c:pt>
                <c:pt idx="11">
                  <c:v>Oct-2010</c:v>
                </c:pt>
                <c:pt idx="12">
                  <c:v>Jan-2011</c:v>
                </c:pt>
                <c:pt idx="13">
                  <c:v>Apr-2011</c:v>
                </c:pt>
                <c:pt idx="14">
                  <c:v>Jul-2011</c:v>
                </c:pt>
                <c:pt idx="15">
                  <c:v>Oct-2011</c:v>
                </c:pt>
                <c:pt idx="16">
                  <c:v>Jan-2012</c:v>
                </c:pt>
                <c:pt idx="17">
                  <c:v>Apr-2012</c:v>
                </c:pt>
                <c:pt idx="18">
                  <c:v>Jul-2012</c:v>
                </c:pt>
                <c:pt idx="19">
                  <c:v>Oct-2012</c:v>
                </c:pt>
                <c:pt idx="20">
                  <c:v>Jan-2013</c:v>
                </c:pt>
                <c:pt idx="21">
                  <c:v>Apr-2013</c:v>
                </c:pt>
                <c:pt idx="22">
                  <c:v>Jul-2013</c:v>
                </c:pt>
                <c:pt idx="23">
                  <c:v>Oct-2013</c:v>
                </c:pt>
                <c:pt idx="24">
                  <c:v>Jan-2014</c:v>
                </c:pt>
                <c:pt idx="25">
                  <c:v>Apr-2014</c:v>
                </c:pt>
                <c:pt idx="26">
                  <c:v>Jul-2014</c:v>
                </c:pt>
                <c:pt idx="27">
                  <c:v>Oct-2014</c:v>
                </c:pt>
                <c:pt idx="28">
                  <c:v>Jan-2015</c:v>
                </c:pt>
                <c:pt idx="29">
                  <c:v>Apr-2015</c:v>
                </c:pt>
                <c:pt idx="30">
                  <c:v>Jul-2015</c:v>
                </c:pt>
                <c:pt idx="31">
                  <c:v>Oct-2015</c:v>
                </c:pt>
                <c:pt idx="32">
                  <c:v>Jan-2016</c:v>
                </c:pt>
                <c:pt idx="33">
                  <c:v>Apr-2016</c:v>
                </c:pt>
                <c:pt idx="34">
                  <c:v>Jul-2016</c:v>
                </c:pt>
                <c:pt idx="35">
                  <c:v>Oct-2016</c:v>
                </c:pt>
                <c:pt idx="36">
                  <c:v>Jan-2017</c:v>
                </c:pt>
                <c:pt idx="37">
                  <c:v>Apr-2017</c:v>
                </c:pt>
                <c:pt idx="38">
                  <c:v>Jul-2017</c:v>
                </c:pt>
                <c:pt idx="39">
                  <c:v>Oct-2017</c:v>
                </c:pt>
                <c:pt idx="40">
                  <c:v>Jan-2018</c:v>
                </c:pt>
                <c:pt idx="41">
                  <c:v>Apr-2018</c:v>
                </c:pt>
                <c:pt idx="42">
                  <c:v>Jul-2018</c:v>
                </c:pt>
                <c:pt idx="43">
                  <c:v>Oct-2018</c:v>
                </c:pt>
                <c:pt idx="44">
                  <c:v>Jan-2019</c:v>
                </c:pt>
                <c:pt idx="45">
                  <c:v>Apr-2019</c:v>
                </c:pt>
                <c:pt idx="46">
                  <c:v>Jul-2019</c:v>
                </c:pt>
                <c:pt idx="47">
                  <c:v>Oct-2019</c:v>
                </c:pt>
                <c:pt idx="48">
                  <c:v>Jan-2020</c:v>
                </c:pt>
                <c:pt idx="49">
                  <c:v>Apr-2020</c:v>
                </c:pt>
                <c:pt idx="50">
                  <c:v>Jul-2020</c:v>
                </c:pt>
                <c:pt idx="51">
                  <c:v>Oct-2020</c:v>
                </c:pt>
                <c:pt idx="52">
                  <c:v>Jan-2021</c:v>
                </c:pt>
                <c:pt idx="53">
                  <c:v>Apr-2021</c:v>
                </c:pt>
                <c:pt idx="54">
                  <c:v>Jul-2021</c:v>
                </c:pt>
                <c:pt idx="55">
                  <c:v>Oct-2021</c:v>
                </c:pt>
                <c:pt idx="56">
                  <c:v>Jan-2022</c:v>
                </c:pt>
                <c:pt idx="57">
                  <c:v>Apr-2022</c:v>
                </c:pt>
                <c:pt idx="58">
                  <c:v>Jul-2022</c:v>
                </c:pt>
                <c:pt idx="59">
                  <c:v>Oct-2022</c:v>
                </c:pt>
                <c:pt idx="60">
                  <c:v>Jan-2023</c:v>
                </c:pt>
                <c:pt idx="61">
                  <c:v>Apr-2023</c:v>
                </c:pt>
                <c:pt idx="62">
                  <c:v>Jul-2023</c:v>
                </c:pt>
                <c:pt idx="63">
                  <c:v>Oct-2023</c:v>
                </c:pt>
                <c:pt idx="64">
                  <c:v>Jan-2024</c:v>
                </c:pt>
                <c:pt idx="65">
                  <c:v>Apr-2024</c:v>
                </c:pt>
                <c:pt idx="66">
                  <c:v>Jul-2024</c:v>
                </c:pt>
                <c:pt idx="67">
                  <c:v>Oct-2024</c:v>
                </c:pt>
                <c:pt idx="68">
                  <c:v>Jan-2025</c:v>
                </c:pt>
                <c:pt idx="69">
                  <c:v>Apr-2025</c:v>
                </c:pt>
                <c:pt idx="70">
                  <c:v>Jul-2025</c:v>
                </c:pt>
                <c:pt idx="71">
                  <c:v>Oct-2025</c:v>
                </c:pt>
                <c:pt idx="72">
                  <c:v>Jan-2026</c:v>
                </c:pt>
                <c:pt idx="73">
                  <c:v>Apr-2026</c:v>
                </c:pt>
                <c:pt idx="74">
                  <c:v>Jul-2026</c:v>
                </c:pt>
                <c:pt idx="75">
                  <c:v>Oct-2026</c:v>
                </c:pt>
                <c:pt idx="76">
                  <c:v>Jan-2027</c:v>
                </c:pt>
                <c:pt idx="77">
                  <c:v>Apr-2027</c:v>
                </c:pt>
                <c:pt idx="78">
                  <c:v>Jul-2027</c:v>
                </c:pt>
                <c:pt idx="79">
                  <c:v>Oct-2027</c:v>
                </c:pt>
                <c:pt idx="80">
                  <c:v>Jan-2028</c:v>
                </c:pt>
                <c:pt idx="81">
                  <c:v>Apr-2028</c:v>
                </c:pt>
                <c:pt idx="82">
                  <c:v>Jul-2028</c:v>
                </c:pt>
                <c:pt idx="83">
                  <c:v>Oct-2028</c:v>
                </c:pt>
                <c:pt idx="84">
                  <c:v>Jan-2029</c:v>
                </c:pt>
                <c:pt idx="85">
                  <c:v>Apr-2029</c:v>
                </c:pt>
                <c:pt idx="86">
                  <c:v>Jul-2029</c:v>
                </c:pt>
                <c:pt idx="87">
                  <c:v>Oct-2029</c:v>
                </c:pt>
                <c:pt idx="88">
                  <c:v>Jan-2030</c:v>
                </c:pt>
                <c:pt idx="89">
                  <c:v>Apr-2030</c:v>
                </c:pt>
                <c:pt idx="90">
                  <c:v>Jul-2030</c:v>
                </c:pt>
                <c:pt idx="91">
                  <c:v>Oct-2030</c:v>
                </c:pt>
              </c:strCache>
            </c:strRef>
          </c:cat>
          <c:val>
            <c:numRef>
              <c:f>GDP!$F$111:$F$202</c:f>
              <c:numCache>
                <c:formatCode>General</c:formatCode>
                <c:ptCount val="92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6357616"/>
        <c:axId val="167048"/>
      </c:lineChart>
      <c:catAx>
        <c:axId val="86357616"/>
        <c:scaling>
          <c:orientation val="minMax"/>
        </c:scaling>
        <c:delete val="0"/>
        <c:axPos val="b"/>
        <c:numFmt formatCode="mmm\-yy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67048"/>
        <c:crosses val="autoZero"/>
        <c:auto val="1"/>
        <c:lblAlgn val="ctr"/>
        <c:lblOffset val="100"/>
        <c:noMultiLvlLbl val="0"/>
      </c:catAx>
      <c:valAx>
        <c:axId val="16704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635761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GDP!B211</c:f>
              <c:strCache>
                <c:ptCount val="1"/>
                <c:pt idx="0">
                  <c:v>Level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GDP!$A$212:$A$303</c:f>
              <c:strCache>
                <c:ptCount val="92"/>
                <c:pt idx="0">
                  <c:v>Jan-2008</c:v>
                </c:pt>
                <c:pt idx="1">
                  <c:v>Apr-2008</c:v>
                </c:pt>
                <c:pt idx="2">
                  <c:v>Jul-2008</c:v>
                </c:pt>
                <c:pt idx="3">
                  <c:v>Oct-2008</c:v>
                </c:pt>
                <c:pt idx="4">
                  <c:v>Jan-2009</c:v>
                </c:pt>
                <c:pt idx="5">
                  <c:v>Apr-2009</c:v>
                </c:pt>
                <c:pt idx="6">
                  <c:v>Jul-2009</c:v>
                </c:pt>
                <c:pt idx="7">
                  <c:v>Oct-2009</c:v>
                </c:pt>
                <c:pt idx="8">
                  <c:v>Jan-2010</c:v>
                </c:pt>
                <c:pt idx="9">
                  <c:v>Apr-2010</c:v>
                </c:pt>
                <c:pt idx="10">
                  <c:v>Jul-2010</c:v>
                </c:pt>
                <c:pt idx="11">
                  <c:v>Oct-2010</c:v>
                </c:pt>
                <c:pt idx="12">
                  <c:v>Jan-2011</c:v>
                </c:pt>
                <c:pt idx="13">
                  <c:v>Apr-2011</c:v>
                </c:pt>
                <c:pt idx="14">
                  <c:v>Jul-2011</c:v>
                </c:pt>
                <c:pt idx="15">
                  <c:v>Oct-2011</c:v>
                </c:pt>
                <c:pt idx="16">
                  <c:v>Jan-2012</c:v>
                </c:pt>
                <c:pt idx="17">
                  <c:v>Apr-2012</c:v>
                </c:pt>
                <c:pt idx="18">
                  <c:v>Jul-2012</c:v>
                </c:pt>
                <c:pt idx="19">
                  <c:v>Oct-2012</c:v>
                </c:pt>
                <c:pt idx="20">
                  <c:v>Jan-2013</c:v>
                </c:pt>
                <c:pt idx="21">
                  <c:v>Apr-2013</c:v>
                </c:pt>
                <c:pt idx="22">
                  <c:v>Jul-2013</c:v>
                </c:pt>
                <c:pt idx="23">
                  <c:v>Oct-2013</c:v>
                </c:pt>
                <c:pt idx="24">
                  <c:v>Jan-2014</c:v>
                </c:pt>
                <c:pt idx="25">
                  <c:v>Apr-2014</c:v>
                </c:pt>
                <c:pt idx="26">
                  <c:v>Jul-2014</c:v>
                </c:pt>
                <c:pt idx="27">
                  <c:v>Oct-2014</c:v>
                </c:pt>
                <c:pt idx="28">
                  <c:v>Jan-2015</c:v>
                </c:pt>
                <c:pt idx="29">
                  <c:v>Apr-2015</c:v>
                </c:pt>
                <c:pt idx="30">
                  <c:v>Jul-2015</c:v>
                </c:pt>
                <c:pt idx="31">
                  <c:v>Oct-2015</c:v>
                </c:pt>
                <c:pt idx="32">
                  <c:v>Jan-2016</c:v>
                </c:pt>
                <c:pt idx="33">
                  <c:v>Apr-2016</c:v>
                </c:pt>
                <c:pt idx="34">
                  <c:v>Jul-2016</c:v>
                </c:pt>
                <c:pt idx="35">
                  <c:v>Oct-2016</c:v>
                </c:pt>
                <c:pt idx="36">
                  <c:v>Jan-2017</c:v>
                </c:pt>
                <c:pt idx="37">
                  <c:v>Apr-2017</c:v>
                </c:pt>
                <c:pt idx="38">
                  <c:v>Jul-2017</c:v>
                </c:pt>
                <c:pt idx="39">
                  <c:v>Oct-2017</c:v>
                </c:pt>
                <c:pt idx="40">
                  <c:v>Jan-2018</c:v>
                </c:pt>
                <c:pt idx="41">
                  <c:v>Apr-2018</c:v>
                </c:pt>
                <c:pt idx="42">
                  <c:v>Jul-2018</c:v>
                </c:pt>
                <c:pt idx="43">
                  <c:v>Oct-2018</c:v>
                </c:pt>
                <c:pt idx="44">
                  <c:v>Jan-2019</c:v>
                </c:pt>
                <c:pt idx="45">
                  <c:v>Apr-2019</c:v>
                </c:pt>
                <c:pt idx="46">
                  <c:v>Jul-2019</c:v>
                </c:pt>
                <c:pt idx="47">
                  <c:v>Oct-2019</c:v>
                </c:pt>
                <c:pt idx="48">
                  <c:v>Jan-2020</c:v>
                </c:pt>
                <c:pt idx="49">
                  <c:v>Apr-2020</c:v>
                </c:pt>
                <c:pt idx="50">
                  <c:v>Jul-2020</c:v>
                </c:pt>
                <c:pt idx="51">
                  <c:v>Oct-2020</c:v>
                </c:pt>
                <c:pt idx="52">
                  <c:v>Jan-2021</c:v>
                </c:pt>
                <c:pt idx="53">
                  <c:v>Apr-2021</c:v>
                </c:pt>
                <c:pt idx="54">
                  <c:v>Jul-2021</c:v>
                </c:pt>
                <c:pt idx="55">
                  <c:v>Oct-2021</c:v>
                </c:pt>
                <c:pt idx="56">
                  <c:v>Jan-2022</c:v>
                </c:pt>
                <c:pt idx="57">
                  <c:v>Apr-2022</c:v>
                </c:pt>
                <c:pt idx="58">
                  <c:v>Jul-2022</c:v>
                </c:pt>
                <c:pt idx="59">
                  <c:v>Oct-2022</c:v>
                </c:pt>
                <c:pt idx="60">
                  <c:v>Jan-2023</c:v>
                </c:pt>
                <c:pt idx="61">
                  <c:v>Apr-2023</c:v>
                </c:pt>
                <c:pt idx="62">
                  <c:v>Jul-2023</c:v>
                </c:pt>
                <c:pt idx="63">
                  <c:v>Oct-2023</c:v>
                </c:pt>
                <c:pt idx="64">
                  <c:v>Jan-2024</c:v>
                </c:pt>
                <c:pt idx="65">
                  <c:v>Apr-2024</c:v>
                </c:pt>
                <c:pt idx="66">
                  <c:v>Jul-2024</c:v>
                </c:pt>
                <c:pt idx="67">
                  <c:v>Oct-2024</c:v>
                </c:pt>
                <c:pt idx="68">
                  <c:v>Jan-2025</c:v>
                </c:pt>
                <c:pt idx="69">
                  <c:v>Apr-2025</c:v>
                </c:pt>
                <c:pt idx="70">
                  <c:v>Jul-2025</c:v>
                </c:pt>
                <c:pt idx="71">
                  <c:v>Oct-2025</c:v>
                </c:pt>
                <c:pt idx="72">
                  <c:v>Jan-2026</c:v>
                </c:pt>
                <c:pt idx="73">
                  <c:v>Apr-2026</c:v>
                </c:pt>
                <c:pt idx="74">
                  <c:v>Jul-2026</c:v>
                </c:pt>
                <c:pt idx="75">
                  <c:v>Oct-2026</c:v>
                </c:pt>
                <c:pt idx="76">
                  <c:v>Jan-2027</c:v>
                </c:pt>
                <c:pt idx="77">
                  <c:v>Apr-2027</c:v>
                </c:pt>
                <c:pt idx="78">
                  <c:v>Jul-2027</c:v>
                </c:pt>
                <c:pt idx="79">
                  <c:v>Oct-2027</c:v>
                </c:pt>
                <c:pt idx="80">
                  <c:v>Jan-2028</c:v>
                </c:pt>
                <c:pt idx="81">
                  <c:v>Apr-2028</c:v>
                </c:pt>
                <c:pt idx="82">
                  <c:v>Jul-2028</c:v>
                </c:pt>
                <c:pt idx="83">
                  <c:v>Oct-2028</c:v>
                </c:pt>
                <c:pt idx="84">
                  <c:v>Jan-2029</c:v>
                </c:pt>
                <c:pt idx="85">
                  <c:v>Apr-2029</c:v>
                </c:pt>
                <c:pt idx="86">
                  <c:v>Jul-2029</c:v>
                </c:pt>
                <c:pt idx="87">
                  <c:v>Oct-2029</c:v>
                </c:pt>
                <c:pt idx="88">
                  <c:v>Jan-2030</c:v>
                </c:pt>
                <c:pt idx="89">
                  <c:v>Apr-2030</c:v>
                </c:pt>
                <c:pt idx="90">
                  <c:v>Jul-2030</c:v>
                </c:pt>
                <c:pt idx="91">
                  <c:v>Oct-2030</c:v>
                </c:pt>
              </c:strCache>
            </c:strRef>
          </c:cat>
          <c:val>
            <c:numRef>
              <c:f>GDP!$B$212:$B$303</c:f>
              <c:numCache>
                <c:formatCode>General</c:formatCode>
                <c:ptCount val="92"/>
              </c:numCache>
            </c:numRef>
          </c:val>
          <c:smooth val="1"/>
        </c:ser>
        <c:ser>
          <c:idx val="1"/>
          <c:order val="1"/>
          <c:tx>
            <c:strRef>
              <c:f>GDP!E211</c:f>
              <c:strCache>
                <c:ptCount val="1"/>
                <c:pt idx="0">
                  <c:v>Trend Fcst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GDP!$A$212:$A$303</c:f>
              <c:strCache>
                <c:ptCount val="92"/>
                <c:pt idx="0">
                  <c:v>Jan-2008</c:v>
                </c:pt>
                <c:pt idx="1">
                  <c:v>Apr-2008</c:v>
                </c:pt>
                <c:pt idx="2">
                  <c:v>Jul-2008</c:v>
                </c:pt>
                <c:pt idx="3">
                  <c:v>Oct-2008</c:v>
                </c:pt>
                <c:pt idx="4">
                  <c:v>Jan-2009</c:v>
                </c:pt>
                <c:pt idx="5">
                  <c:v>Apr-2009</c:v>
                </c:pt>
                <c:pt idx="6">
                  <c:v>Jul-2009</c:v>
                </c:pt>
                <c:pt idx="7">
                  <c:v>Oct-2009</c:v>
                </c:pt>
                <c:pt idx="8">
                  <c:v>Jan-2010</c:v>
                </c:pt>
                <c:pt idx="9">
                  <c:v>Apr-2010</c:v>
                </c:pt>
                <c:pt idx="10">
                  <c:v>Jul-2010</c:v>
                </c:pt>
                <c:pt idx="11">
                  <c:v>Oct-2010</c:v>
                </c:pt>
                <c:pt idx="12">
                  <c:v>Jan-2011</c:v>
                </c:pt>
                <c:pt idx="13">
                  <c:v>Apr-2011</c:v>
                </c:pt>
                <c:pt idx="14">
                  <c:v>Jul-2011</c:v>
                </c:pt>
                <c:pt idx="15">
                  <c:v>Oct-2011</c:v>
                </c:pt>
                <c:pt idx="16">
                  <c:v>Jan-2012</c:v>
                </c:pt>
                <c:pt idx="17">
                  <c:v>Apr-2012</c:v>
                </c:pt>
                <c:pt idx="18">
                  <c:v>Jul-2012</c:v>
                </c:pt>
                <c:pt idx="19">
                  <c:v>Oct-2012</c:v>
                </c:pt>
                <c:pt idx="20">
                  <c:v>Jan-2013</c:v>
                </c:pt>
                <c:pt idx="21">
                  <c:v>Apr-2013</c:v>
                </c:pt>
                <c:pt idx="22">
                  <c:v>Jul-2013</c:v>
                </c:pt>
                <c:pt idx="23">
                  <c:v>Oct-2013</c:v>
                </c:pt>
                <c:pt idx="24">
                  <c:v>Jan-2014</c:v>
                </c:pt>
                <c:pt idx="25">
                  <c:v>Apr-2014</c:v>
                </c:pt>
                <c:pt idx="26">
                  <c:v>Jul-2014</c:v>
                </c:pt>
                <c:pt idx="27">
                  <c:v>Oct-2014</c:v>
                </c:pt>
                <c:pt idx="28">
                  <c:v>Jan-2015</c:v>
                </c:pt>
                <c:pt idx="29">
                  <c:v>Apr-2015</c:v>
                </c:pt>
                <c:pt idx="30">
                  <c:v>Jul-2015</c:v>
                </c:pt>
                <c:pt idx="31">
                  <c:v>Oct-2015</c:v>
                </c:pt>
                <c:pt idx="32">
                  <c:v>Jan-2016</c:v>
                </c:pt>
                <c:pt idx="33">
                  <c:v>Apr-2016</c:v>
                </c:pt>
                <c:pt idx="34">
                  <c:v>Jul-2016</c:v>
                </c:pt>
                <c:pt idx="35">
                  <c:v>Oct-2016</c:v>
                </c:pt>
                <c:pt idx="36">
                  <c:v>Jan-2017</c:v>
                </c:pt>
                <c:pt idx="37">
                  <c:v>Apr-2017</c:v>
                </c:pt>
                <c:pt idx="38">
                  <c:v>Jul-2017</c:v>
                </c:pt>
                <c:pt idx="39">
                  <c:v>Oct-2017</c:v>
                </c:pt>
                <c:pt idx="40">
                  <c:v>Jan-2018</c:v>
                </c:pt>
                <c:pt idx="41">
                  <c:v>Apr-2018</c:v>
                </c:pt>
                <c:pt idx="42">
                  <c:v>Jul-2018</c:v>
                </c:pt>
                <c:pt idx="43">
                  <c:v>Oct-2018</c:v>
                </c:pt>
                <c:pt idx="44">
                  <c:v>Jan-2019</c:v>
                </c:pt>
                <c:pt idx="45">
                  <c:v>Apr-2019</c:v>
                </c:pt>
                <c:pt idx="46">
                  <c:v>Jul-2019</c:v>
                </c:pt>
                <c:pt idx="47">
                  <c:v>Oct-2019</c:v>
                </c:pt>
                <c:pt idx="48">
                  <c:v>Jan-2020</c:v>
                </c:pt>
                <c:pt idx="49">
                  <c:v>Apr-2020</c:v>
                </c:pt>
                <c:pt idx="50">
                  <c:v>Jul-2020</c:v>
                </c:pt>
                <c:pt idx="51">
                  <c:v>Oct-2020</c:v>
                </c:pt>
                <c:pt idx="52">
                  <c:v>Jan-2021</c:v>
                </c:pt>
                <c:pt idx="53">
                  <c:v>Apr-2021</c:v>
                </c:pt>
                <c:pt idx="54">
                  <c:v>Jul-2021</c:v>
                </c:pt>
                <c:pt idx="55">
                  <c:v>Oct-2021</c:v>
                </c:pt>
                <c:pt idx="56">
                  <c:v>Jan-2022</c:v>
                </c:pt>
                <c:pt idx="57">
                  <c:v>Apr-2022</c:v>
                </c:pt>
                <c:pt idx="58">
                  <c:v>Jul-2022</c:v>
                </c:pt>
                <c:pt idx="59">
                  <c:v>Oct-2022</c:v>
                </c:pt>
                <c:pt idx="60">
                  <c:v>Jan-2023</c:v>
                </c:pt>
                <c:pt idx="61">
                  <c:v>Apr-2023</c:v>
                </c:pt>
                <c:pt idx="62">
                  <c:v>Jul-2023</c:v>
                </c:pt>
                <c:pt idx="63">
                  <c:v>Oct-2023</c:v>
                </c:pt>
                <c:pt idx="64">
                  <c:v>Jan-2024</c:v>
                </c:pt>
                <c:pt idx="65">
                  <c:v>Apr-2024</c:v>
                </c:pt>
                <c:pt idx="66">
                  <c:v>Jul-2024</c:v>
                </c:pt>
                <c:pt idx="67">
                  <c:v>Oct-2024</c:v>
                </c:pt>
                <c:pt idx="68">
                  <c:v>Jan-2025</c:v>
                </c:pt>
                <c:pt idx="69">
                  <c:v>Apr-2025</c:v>
                </c:pt>
                <c:pt idx="70">
                  <c:v>Jul-2025</c:v>
                </c:pt>
                <c:pt idx="71">
                  <c:v>Oct-2025</c:v>
                </c:pt>
                <c:pt idx="72">
                  <c:v>Jan-2026</c:v>
                </c:pt>
                <c:pt idx="73">
                  <c:v>Apr-2026</c:v>
                </c:pt>
                <c:pt idx="74">
                  <c:v>Jul-2026</c:v>
                </c:pt>
                <c:pt idx="75">
                  <c:v>Oct-2026</c:v>
                </c:pt>
                <c:pt idx="76">
                  <c:v>Jan-2027</c:v>
                </c:pt>
                <c:pt idx="77">
                  <c:v>Apr-2027</c:v>
                </c:pt>
                <c:pt idx="78">
                  <c:v>Jul-2027</c:v>
                </c:pt>
                <c:pt idx="79">
                  <c:v>Oct-2027</c:v>
                </c:pt>
                <c:pt idx="80">
                  <c:v>Jan-2028</c:v>
                </c:pt>
                <c:pt idx="81">
                  <c:v>Apr-2028</c:v>
                </c:pt>
                <c:pt idx="82">
                  <c:v>Jul-2028</c:v>
                </c:pt>
                <c:pt idx="83">
                  <c:v>Oct-2028</c:v>
                </c:pt>
                <c:pt idx="84">
                  <c:v>Jan-2029</c:v>
                </c:pt>
                <c:pt idx="85">
                  <c:v>Apr-2029</c:v>
                </c:pt>
                <c:pt idx="86">
                  <c:v>Jul-2029</c:v>
                </c:pt>
                <c:pt idx="87">
                  <c:v>Oct-2029</c:v>
                </c:pt>
                <c:pt idx="88">
                  <c:v>Jan-2030</c:v>
                </c:pt>
                <c:pt idx="89">
                  <c:v>Apr-2030</c:v>
                </c:pt>
                <c:pt idx="90">
                  <c:v>Jul-2030</c:v>
                </c:pt>
                <c:pt idx="91">
                  <c:v>Oct-2030</c:v>
                </c:pt>
              </c:strCache>
            </c:strRef>
          </c:cat>
          <c:val>
            <c:numRef>
              <c:f>GDP!$E$212:$E$303</c:f>
              <c:numCache>
                <c:formatCode>General</c:formatCode>
                <c:ptCount val="92"/>
              </c:numCache>
            </c:numRef>
          </c:val>
          <c:smooth val="1"/>
        </c:ser>
        <c:ser>
          <c:idx val="2"/>
          <c:order val="2"/>
          <c:tx>
            <c:strRef>
              <c:f>GDP!F211</c:f>
              <c:strCache>
                <c:ptCount val="1"/>
                <c:pt idx="0">
                  <c:v>Damped Fcst</c:v>
                </c:pt>
              </c:strCache>
            </c:strRef>
          </c:tx>
          <c:spPr>
            <a:solidFill>
              <a:srgbClr val="98B855"/>
            </a:solidFill>
            <a:ln w="12600">
              <a:solidFill>
                <a:srgbClr val="98B855"/>
              </a:solidFill>
              <a:prstDash val="sys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sys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GDP!$A$212:$A$303</c:f>
              <c:strCache>
                <c:ptCount val="92"/>
                <c:pt idx="0">
                  <c:v>Jan-2008</c:v>
                </c:pt>
                <c:pt idx="1">
                  <c:v>Apr-2008</c:v>
                </c:pt>
                <c:pt idx="2">
                  <c:v>Jul-2008</c:v>
                </c:pt>
                <c:pt idx="3">
                  <c:v>Oct-2008</c:v>
                </c:pt>
                <c:pt idx="4">
                  <c:v>Jan-2009</c:v>
                </c:pt>
                <c:pt idx="5">
                  <c:v>Apr-2009</c:v>
                </c:pt>
                <c:pt idx="6">
                  <c:v>Jul-2009</c:v>
                </c:pt>
                <c:pt idx="7">
                  <c:v>Oct-2009</c:v>
                </c:pt>
                <c:pt idx="8">
                  <c:v>Jan-2010</c:v>
                </c:pt>
                <c:pt idx="9">
                  <c:v>Apr-2010</c:v>
                </c:pt>
                <c:pt idx="10">
                  <c:v>Jul-2010</c:v>
                </c:pt>
                <c:pt idx="11">
                  <c:v>Oct-2010</c:v>
                </c:pt>
                <c:pt idx="12">
                  <c:v>Jan-2011</c:v>
                </c:pt>
                <c:pt idx="13">
                  <c:v>Apr-2011</c:v>
                </c:pt>
                <c:pt idx="14">
                  <c:v>Jul-2011</c:v>
                </c:pt>
                <c:pt idx="15">
                  <c:v>Oct-2011</c:v>
                </c:pt>
                <c:pt idx="16">
                  <c:v>Jan-2012</c:v>
                </c:pt>
                <c:pt idx="17">
                  <c:v>Apr-2012</c:v>
                </c:pt>
                <c:pt idx="18">
                  <c:v>Jul-2012</c:v>
                </c:pt>
                <c:pt idx="19">
                  <c:v>Oct-2012</c:v>
                </c:pt>
                <c:pt idx="20">
                  <c:v>Jan-2013</c:v>
                </c:pt>
                <c:pt idx="21">
                  <c:v>Apr-2013</c:v>
                </c:pt>
                <c:pt idx="22">
                  <c:v>Jul-2013</c:v>
                </c:pt>
                <c:pt idx="23">
                  <c:v>Oct-2013</c:v>
                </c:pt>
                <c:pt idx="24">
                  <c:v>Jan-2014</c:v>
                </c:pt>
                <c:pt idx="25">
                  <c:v>Apr-2014</c:v>
                </c:pt>
                <c:pt idx="26">
                  <c:v>Jul-2014</c:v>
                </c:pt>
                <c:pt idx="27">
                  <c:v>Oct-2014</c:v>
                </c:pt>
                <c:pt idx="28">
                  <c:v>Jan-2015</c:v>
                </c:pt>
                <c:pt idx="29">
                  <c:v>Apr-2015</c:v>
                </c:pt>
                <c:pt idx="30">
                  <c:v>Jul-2015</c:v>
                </c:pt>
                <c:pt idx="31">
                  <c:v>Oct-2015</c:v>
                </c:pt>
                <c:pt idx="32">
                  <c:v>Jan-2016</c:v>
                </c:pt>
                <c:pt idx="33">
                  <c:v>Apr-2016</c:v>
                </c:pt>
                <c:pt idx="34">
                  <c:v>Jul-2016</c:v>
                </c:pt>
                <c:pt idx="35">
                  <c:v>Oct-2016</c:v>
                </c:pt>
                <c:pt idx="36">
                  <c:v>Jan-2017</c:v>
                </c:pt>
                <c:pt idx="37">
                  <c:v>Apr-2017</c:v>
                </c:pt>
                <c:pt idx="38">
                  <c:v>Jul-2017</c:v>
                </c:pt>
                <c:pt idx="39">
                  <c:v>Oct-2017</c:v>
                </c:pt>
                <c:pt idx="40">
                  <c:v>Jan-2018</c:v>
                </c:pt>
                <c:pt idx="41">
                  <c:v>Apr-2018</c:v>
                </c:pt>
                <c:pt idx="42">
                  <c:v>Jul-2018</c:v>
                </c:pt>
                <c:pt idx="43">
                  <c:v>Oct-2018</c:v>
                </c:pt>
                <c:pt idx="44">
                  <c:v>Jan-2019</c:v>
                </c:pt>
                <c:pt idx="45">
                  <c:v>Apr-2019</c:v>
                </c:pt>
                <c:pt idx="46">
                  <c:v>Jul-2019</c:v>
                </c:pt>
                <c:pt idx="47">
                  <c:v>Oct-2019</c:v>
                </c:pt>
                <c:pt idx="48">
                  <c:v>Jan-2020</c:v>
                </c:pt>
                <c:pt idx="49">
                  <c:v>Apr-2020</c:v>
                </c:pt>
                <c:pt idx="50">
                  <c:v>Jul-2020</c:v>
                </c:pt>
                <c:pt idx="51">
                  <c:v>Oct-2020</c:v>
                </c:pt>
                <c:pt idx="52">
                  <c:v>Jan-2021</c:v>
                </c:pt>
                <c:pt idx="53">
                  <c:v>Apr-2021</c:v>
                </c:pt>
                <c:pt idx="54">
                  <c:v>Jul-2021</c:v>
                </c:pt>
                <c:pt idx="55">
                  <c:v>Oct-2021</c:v>
                </c:pt>
                <c:pt idx="56">
                  <c:v>Jan-2022</c:v>
                </c:pt>
                <c:pt idx="57">
                  <c:v>Apr-2022</c:v>
                </c:pt>
                <c:pt idx="58">
                  <c:v>Jul-2022</c:v>
                </c:pt>
                <c:pt idx="59">
                  <c:v>Oct-2022</c:v>
                </c:pt>
                <c:pt idx="60">
                  <c:v>Jan-2023</c:v>
                </c:pt>
                <c:pt idx="61">
                  <c:v>Apr-2023</c:v>
                </c:pt>
                <c:pt idx="62">
                  <c:v>Jul-2023</c:v>
                </c:pt>
                <c:pt idx="63">
                  <c:v>Oct-2023</c:v>
                </c:pt>
                <c:pt idx="64">
                  <c:v>Jan-2024</c:v>
                </c:pt>
                <c:pt idx="65">
                  <c:v>Apr-2024</c:v>
                </c:pt>
                <c:pt idx="66">
                  <c:v>Jul-2024</c:v>
                </c:pt>
                <c:pt idx="67">
                  <c:v>Oct-2024</c:v>
                </c:pt>
                <c:pt idx="68">
                  <c:v>Jan-2025</c:v>
                </c:pt>
                <c:pt idx="69">
                  <c:v>Apr-2025</c:v>
                </c:pt>
                <c:pt idx="70">
                  <c:v>Jul-2025</c:v>
                </c:pt>
                <c:pt idx="71">
                  <c:v>Oct-2025</c:v>
                </c:pt>
                <c:pt idx="72">
                  <c:v>Jan-2026</c:v>
                </c:pt>
                <c:pt idx="73">
                  <c:v>Apr-2026</c:v>
                </c:pt>
                <c:pt idx="74">
                  <c:v>Jul-2026</c:v>
                </c:pt>
                <c:pt idx="75">
                  <c:v>Oct-2026</c:v>
                </c:pt>
                <c:pt idx="76">
                  <c:v>Jan-2027</c:v>
                </c:pt>
                <c:pt idx="77">
                  <c:v>Apr-2027</c:v>
                </c:pt>
                <c:pt idx="78">
                  <c:v>Jul-2027</c:v>
                </c:pt>
                <c:pt idx="79">
                  <c:v>Oct-2027</c:v>
                </c:pt>
                <c:pt idx="80">
                  <c:v>Jan-2028</c:v>
                </c:pt>
                <c:pt idx="81">
                  <c:v>Apr-2028</c:v>
                </c:pt>
                <c:pt idx="82">
                  <c:v>Jul-2028</c:v>
                </c:pt>
                <c:pt idx="83">
                  <c:v>Oct-2028</c:v>
                </c:pt>
                <c:pt idx="84">
                  <c:v>Jan-2029</c:v>
                </c:pt>
                <c:pt idx="85">
                  <c:v>Apr-2029</c:v>
                </c:pt>
                <c:pt idx="86">
                  <c:v>Jul-2029</c:v>
                </c:pt>
                <c:pt idx="87">
                  <c:v>Oct-2029</c:v>
                </c:pt>
                <c:pt idx="88">
                  <c:v>Jan-2030</c:v>
                </c:pt>
                <c:pt idx="89">
                  <c:v>Apr-2030</c:v>
                </c:pt>
                <c:pt idx="90">
                  <c:v>Jul-2030</c:v>
                </c:pt>
                <c:pt idx="91">
                  <c:v>Oct-2030</c:v>
                </c:pt>
              </c:strCache>
            </c:strRef>
          </c:cat>
          <c:val>
            <c:numRef>
              <c:f>GDP!$F$212:$F$303</c:f>
              <c:numCache>
                <c:formatCode>General</c:formatCode>
                <c:ptCount val="92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8442401"/>
        <c:axId val="6865602"/>
      </c:lineChart>
      <c:catAx>
        <c:axId val="48442401"/>
        <c:scaling>
          <c:orientation val="minMax"/>
        </c:scaling>
        <c:delete val="0"/>
        <c:axPos val="b"/>
        <c:numFmt formatCode="mmm\-yy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865602"/>
        <c:crosses val="autoZero"/>
        <c:auto val="1"/>
        <c:lblAlgn val="ctr"/>
        <c:lblOffset val="100"/>
        <c:noMultiLvlLbl val="0"/>
      </c:catAx>
      <c:valAx>
        <c:axId val="68656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844240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Inflation!B9</c:f>
              <c:strCache>
                <c:ptCount val="1"/>
                <c:pt idx="0">
                  <c:v>Level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Inflation!$A$10:$A$101</c:f>
              <c:strCache>
                <c:ptCount val="92"/>
                <c:pt idx="0">
                  <c:v>Jan-2008</c:v>
                </c:pt>
                <c:pt idx="1">
                  <c:v>Apr-2008</c:v>
                </c:pt>
                <c:pt idx="2">
                  <c:v>Jul-2008</c:v>
                </c:pt>
                <c:pt idx="3">
                  <c:v>Oct-2008</c:v>
                </c:pt>
                <c:pt idx="4">
                  <c:v>Jan-2009</c:v>
                </c:pt>
                <c:pt idx="5">
                  <c:v>Apr-2009</c:v>
                </c:pt>
                <c:pt idx="6">
                  <c:v>Jul-2009</c:v>
                </c:pt>
                <c:pt idx="7">
                  <c:v>Oct-2009</c:v>
                </c:pt>
                <c:pt idx="8">
                  <c:v>Jan-2010</c:v>
                </c:pt>
                <c:pt idx="9">
                  <c:v>Apr-2010</c:v>
                </c:pt>
                <c:pt idx="10">
                  <c:v>Jul-2010</c:v>
                </c:pt>
                <c:pt idx="11">
                  <c:v>Oct-2010</c:v>
                </c:pt>
                <c:pt idx="12">
                  <c:v>Jan-2011</c:v>
                </c:pt>
                <c:pt idx="13">
                  <c:v>Apr-2011</c:v>
                </c:pt>
                <c:pt idx="14">
                  <c:v>Jul-2011</c:v>
                </c:pt>
                <c:pt idx="15">
                  <c:v>Oct-2011</c:v>
                </c:pt>
                <c:pt idx="16">
                  <c:v>Jan-2012</c:v>
                </c:pt>
                <c:pt idx="17">
                  <c:v>Apr-2012</c:v>
                </c:pt>
                <c:pt idx="18">
                  <c:v>Jul-2012</c:v>
                </c:pt>
                <c:pt idx="19">
                  <c:v>Oct-2012</c:v>
                </c:pt>
                <c:pt idx="20">
                  <c:v>Jan-2013</c:v>
                </c:pt>
                <c:pt idx="21">
                  <c:v>Apr-2013</c:v>
                </c:pt>
                <c:pt idx="22">
                  <c:v>Jul-2013</c:v>
                </c:pt>
                <c:pt idx="23">
                  <c:v>Oct-2013</c:v>
                </c:pt>
                <c:pt idx="24">
                  <c:v>Jan-2014</c:v>
                </c:pt>
                <c:pt idx="25">
                  <c:v>Apr-2014</c:v>
                </c:pt>
                <c:pt idx="26">
                  <c:v>Jul-2014</c:v>
                </c:pt>
                <c:pt idx="27">
                  <c:v>Oct-2014</c:v>
                </c:pt>
                <c:pt idx="28">
                  <c:v>Jan-2015</c:v>
                </c:pt>
                <c:pt idx="29">
                  <c:v>Apr-2015</c:v>
                </c:pt>
                <c:pt idx="30">
                  <c:v>Jul-2015</c:v>
                </c:pt>
                <c:pt idx="31">
                  <c:v>Oct-2015</c:v>
                </c:pt>
                <c:pt idx="32">
                  <c:v>Jan-2016</c:v>
                </c:pt>
                <c:pt idx="33">
                  <c:v>Apr-2016</c:v>
                </c:pt>
                <c:pt idx="34">
                  <c:v>Jul-2016</c:v>
                </c:pt>
                <c:pt idx="35">
                  <c:v>Oct-2016</c:v>
                </c:pt>
                <c:pt idx="36">
                  <c:v>Jan-2017</c:v>
                </c:pt>
                <c:pt idx="37">
                  <c:v>Apr-2017</c:v>
                </c:pt>
                <c:pt idx="38">
                  <c:v>Jul-2017</c:v>
                </c:pt>
                <c:pt idx="39">
                  <c:v>Oct-2017</c:v>
                </c:pt>
                <c:pt idx="40">
                  <c:v>Jan-2018</c:v>
                </c:pt>
                <c:pt idx="41">
                  <c:v>Apr-2018</c:v>
                </c:pt>
                <c:pt idx="42">
                  <c:v>Jul-2018</c:v>
                </c:pt>
                <c:pt idx="43">
                  <c:v>Oct-2018</c:v>
                </c:pt>
                <c:pt idx="44">
                  <c:v>Jan-2019</c:v>
                </c:pt>
                <c:pt idx="45">
                  <c:v>Apr-2019</c:v>
                </c:pt>
                <c:pt idx="46">
                  <c:v>Jul-2019</c:v>
                </c:pt>
                <c:pt idx="47">
                  <c:v>Oct-2019</c:v>
                </c:pt>
                <c:pt idx="48">
                  <c:v>Jan-2020</c:v>
                </c:pt>
                <c:pt idx="49">
                  <c:v>Apr-2020</c:v>
                </c:pt>
                <c:pt idx="50">
                  <c:v>Jul-2020</c:v>
                </c:pt>
                <c:pt idx="51">
                  <c:v>Oct-2020</c:v>
                </c:pt>
                <c:pt idx="52">
                  <c:v>Jan-2021</c:v>
                </c:pt>
                <c:pt idx="53">
                  <c:v>Apr-2021</c:v>
                </c:pt>
                <c:pt idx="54">
                  <c:v>Jul-2021</c:v>
                </c:pt>
                <c:pt idx="55">
                  <c:v>Oct-2021</c:v>
                </c:pt>
                <c:pt idx="56">
                  <c:v>Jan-2022</c:v>
                </c:pt>
                <c:pt idx="57">
                  <c:v>Apr-2022</c:v>
                </c:pt>
                <c:pt idx="58">
                  <c:v>Jul-2022</c:v>
                </c:pt>
                <c:pt idx="59">
                  <c:v>Oct-2022</c:v>
                </c:pt>
                <c:pt idx="60">
                  <c:v>Jan-2023</c:v>
                </c:pt>
                <c:pt idx="61">
                  <c:v>Apr-2023</c:v>
                </c:pt>
                <c:pt idx="62">
                  <c:v>Jul-2023</c:v>
                </c:pt>
                <c:pt idx="63">
                  <c:v>Oct-2023</c:v>
                </c:pt>
                <c:pt idx="64">
                  <c:v>Jan-2024</c:v>
                </c:pt>
                <c:pt idx="65">
                  <c:v>Apr-2024</c:v>
                </c:pt>
                <c:pt idx="66">
                  <c:v>Jul-2024</c:v>
                </c:pt>
                <c:pt idx="67">
                  <c:v>Oct-2024</c:v>
                </c:pt>
                <c:pt idx="68">
                  <c:v>Jan-2025</c:v>
                </c:pt>
                <c:pt idx="69">
                  <c:v>Apr-2025</c:v>
                </c:pt>
                <c:pt idx="70">
                  <c:v>Jul-2025</c:v>
                </c:pt>
                <c:pt idx="71">
                  <c:v>Oct-2025</c:v>
                </c:pt>
                <c:pt idx="72">
                  <c:v>Jan-2026</c:v>
                </c:pt>
                <c:pt idx="73">
                  <c:v>Apr-2026</c:v>
                </c:pt>
                <c:pt idx="74">
                  <c:v>Jul-2026</c:v>
                </c:pt>
                <c:pt idx="75">
                  <c:v>Oct-2026</c:v>
                </c:pt>
                <c:pt idx="76">
                  <c:v>Jan-2027</c:v>
                </c:pt>
                <c:pt idx="77">
                  <c:v>Apr-2027</c:v>
                </c:pt>
                <c:pt idx="78">
                  <c:v>Jul-2027</c:v>
                </c:pt>
                <c:pt idx="79">
                  <c:v>Oct-2027</c:v>
                </c:pt>
                <c:pt idx="80">
                  <c:v>Jan-2028</c:v>
                </c:pt>
                <c:pt idx="81">
                  <c:v>Apr-2028</c:v>
                </c:pt>
                <c:pt idx="82">
                  <c:v>Jul-2028</c:v>
                </c:pt>
                <c:pt idx="83">
                  <c:v>Oct-2028</c:v>
                </c:pt>
                <c:pt idx="84">
                  <c:v>Jan-2029</c:v>
                </c:pt>
                <c:pt idx="85">
                  <c:v>Apr-2029</c:v>
                </c:pt>
                <c:pt idx="86">
                  <c:v>Jul-2029</c:v>
                </c:pt>
                <c:pt idx="87">
                  <c:v>Oct-2029</c:v>
                </c:pt>
                <c:pt idx="88">
                  <c:v>Jan-2030</c:v>
                </c:pt>
                <c:pt idx="89">
                  <c:v>Apr-2030</c:v>
                </c:pt>
                <c:pt idx="90">
                  <c:v>Jul-2030</c:v>
                </c:pt>
                <c:pt idx="91">
                  <c:v>Oct-2030</c:v>
                </c:pt>
              </c:strCache>
            </c:strRef>
          </c:cat>
          <c:val>
            <c:numRef>
              <c:f>Inflation!$B$10:$B$101</c:f>
              <c:numCache>
                <c:formatCode>General</c:formatCode>
                <c:ptCount val="92"/>
              </c:numCache>
            </c:numRef>
          </c:val>
          <c:smooth val="1"/>
        </c:ser>
        <c:ser>
          <c:idx val="1"/>
          <c:order val="1"/>
          <c:tx>
            <c:strRef>
              <c:f>Inflation!E9</c:f>
              <c:strCache>
                <c:ptCount val="1"/>
                <c:pt idx="0">
                  <c:v>Trend Fcst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Inflation!$A$10:$A$101</c:f>
              <c:strCache>
                <c:ptCount val="92"/>
                <c:pt idx="0">
                  <c:v>Jan-2008</c:v>
                </c:pt>
                <c:pt idx="1">
                  <c:v>Apr-2008</c:v>
                </c:pt>
                <c:pt idx="2">
                  <c:v>Jul-2008</c:v>
                </c:pt>
                <c:pt idx="3">
                  <c:v>Oct-2008</c:v>
                </c:pt>
                <c:pt idx="4">
                  <c:v>Jan-2009</c:v>
                </c:pt>
                <c:pt idx="5">
                  <c:v>Apr-2009</c:v>
                </c:pt>
                <c:pt idx="6">
                  <c:v>Jul-2009</c:v>
                </c:pt>
                <c:pt idx="7">
                  <c:v>Oct-2009</c:v>
                </c:pt>
                <c:pt idx="8">
                  <c:v>Jan-2010</c:v>
                </c:pt>
                <c:pt idx="9">
                  <c:v>Apr-2010</c:v>
                </c:pt>
                <c:pt idx="10">
                  <c:v>Jul-2010</c:v>
                </c:pt>
                <c:pt idx="11">
                  <c:v>Oct-2010</c:v>
                </c:pt>
                <c:pt idx="12">
                  <c:v>Jan-2011</c:v>
                </c:pt>
                <c:pt idx="13">
                  <c:v>Apr-2011</c:v>
                </c:pt>
                <c:pt idx="14">
                  <c:v>Jul-2011</c:v>
                </c:pt>
                <c:pt idx="15">
                  <c:v>Oct-2011</c:v>
                </c:pt>
                <c:pt idx="16">
                  <c:v>Jan-2012</c:v>
                </c:pt>
                <c:pt idx="17">
                  <c:v>Apr-2012</c:v>
                </c:pt>
                <c:pt idx="18">
                  <c:v>Jul-2012</c:v>
                </c:pt>
                <c:pt idx="19">
                  <c:v>Oct-2012</c:v>
                </c:pt>
                <c:pt idx="20">
                  <c:v>Jan-2013</c:v>
                </c:pt>
                <c:pt idx="21">
                  <c:v>Apr-2013</c:v>
                </c:pt>
                <c:pt idx="22">
                  <c:v>Jul-2013</c:v>
                </c:pt>
                <c:pt idx="23">
                  <c:v>Oct-2013</c:v>
                </c:pt>
                <c:pt idx="24">
                  <c:v>Jan-2014</c:v>
                </c:pt>
                <c:pt idx="25">
                  <c:v>Apr-2014</c:v>
                </c:pt>
                <c:pt idx="26">
                  <c:v>Jul-2014</c:v>
                </c:pt>
                <c:pt idx="27">
                  <c:v>Oct-2014</c:v>
                </c:pt>
                <c:pt idx="28">
                  <c:v>Jan-2015</c:v>
                </c:pt>
                <c:pt idx="29">
                  <c:v>Apr-2015</c:v>
                </c:pt>
                <c:pt idx="30">
                  <c:v>Jul-2015</c:v>
                </c:pt>
                <c:pt idx="31">
                  <c:v>Oct-2015</c:v>
                </c:pt>
                <c:pt idx="32">
                  <c:v>Jan-2016</c:v>
                </c:pt>
                <c:pt idx="33">
                  <c:v>Apr-2016</c:v>
                </c:pt>
                <c:pt idx="34">
                  <c:v>Jul-2016</c:v>
                </c:pt>
                <c:pt idx="35">
                  <c:v>Oct-2016</c:v>
                </c:pt>
                <c:pt idx="36">
                  <c:v>Jan-2017</c:v>
                </c:pt>
                <c:pt idx="37">
                  <c:v>Apr-2017</c:v>
                </c:pt>
                <c:pt idx="38">
                  <c:v>Jul-2017</c:v>
                </c:pt>
                <c:pt idx="39">
                  <c:v>Oct-2017</c:v>
                </c:pt>
                <c:pt idx="40">
                  <c:v>Jan-2018</c:v>
                </c:pt>
                <c:pt idx="41">
                  <c:v>Apr-2018</c:v>
                </c:pt>
                <c:pt idx="42">
                  <c:v>Jul-2018</c:v>
                </c:pt>
                <c:pt idx="43">
                  <c:v>Oct-2018</c:v>
                </c:pt>
                <c:pt idx="44">
                  <c:v>Jan-2019</c:v>
                </c:pt>
                <c:pt idx="45">
                  <c:v>Apr-2019</c:v>
                </c:pt>
                <c:pt idx="46">
                  <c:v>Jul-2019</c:v>
                </c:pt>
                <c:pt idx="47">
                  <c:v>Oct-2019</c:v>
                </c:pt>
                <c:pt idx="48">
                  <c:v>Jan-2020</c:v>
                </c:pt>
                <c:pt idx="49">
                  <c:v>Apr-2020</c:v>
                </c:pt>
                <c:pt idx="50">
                  <c:v>Jul-2020</c:v>
                </c:pt>
                <c:pt idx="51">
                  <c:v>Oct-2020</c:v>
                </c:pt>
                <c:pt idx="52">
                  <c:v>Jan-2021</c:v>
                </c:pt>
                <c:pt idx="53">
                  <c:v>Apr-2021</c:v>
                </c:pt>
                <c:pt idx="54">
                  <c:v>Jul-2021</c:v>
                </c:pt>
                <c:pt idx="55">
                  <c:v>Oct-2021</c:v>
                </c:pt>
                <c:pt idx="56">
                  <c:v>Jan-2022</c:v>
                </c:pt>
                <c:pt idx="57">
                  <c:v>Apr-2022</c:v>
                </c:pt>
                <c:pt idx="58">
                  <c:v>Jul-2022</c:v>
                </c:pt>
                <c:pt idx="59">
                  <c:v>Oct-2022</c:v>
                </c:pt>
                <c:pt idx="60">
                  <c:v>Jan-2023</c:v>
                </c:pt>
                <c:pt idx="61">
                  <c:v>Apr-2023</c:v>
                </c:pt>
                <c:pt idx="62">
                  <c:v>Jul-2023</c:v>
                </c:pt>
                <c:pt idx="63">
                  <c:v>Oct-2023</c:v>
                </c:pt>
                <c:pt idx="64">
                  <c:v>Jan-2024</c:v>
                </c:pt>
                <c:pt idx="65">
                  <c:v>Apr-2024</c:v>
                </c:pt>
                <c:pt idx="66">
                  <c:v>Jul-2024</c:v>
                </c:pt>
                <c:pt idx="67">
                  <c:v>Oct-2024</c:v>
                </c:pt>
                <c:pt idx="68">
                  <c:v>Jan-2025</c:v>
                </c:pt>
                <c:pt idx="69">
                  <c:v>Apr-2025</c:v>
                </c:pt>
                <c:pt idx="70">
                  <c:v>Jul-2025</c:v>
                </c:pt>
                <c:pt idx="71">
                  <c:v>Oct-2025</c:v>
                </c:pt>
                <c:pt idx="72">
                  <c:v>Jan-2026</c:v>
                </c:pt>
                <c:pt idx="73">
                  <c:v>Apr-2026</c:v>
                </c:pt>
                <c:pt idx="74">
                  <c:v>Jul-2026</c:v>
                </c:pt>
                <c:pt idx="75">
                  <c:v>Oct-2026</c:v>
                </c:pt>
                <c:pt idx="76">
                  <c:v>Jan-2027</c:v>
                </c:pt>
                <c:pt idx="77">
                  <c:v>Apr-2027</c:v>
                </c:pt>
                <c:pt idx="78">
                  <c:v>Jul-2027</c:v>
                </c:pt>
                <c:pt idx="79">
                  <c:v>Oct-2027</c:v>
                </c:pt>
                <c:pt idx="80">
                  <c:v>Jan-2028</c:v>
                </c:pt>
                <c:pt idx="81">
                  <c:v>Apr-2028</c:v>
                </c:pt>
                <c:pt idx="82">
                  <c:v>Jul-2028</c:v>
                </c:pt>
                <c:pt idx="83">
                  <c:v>Oct-2028</c:v>
                </c:pt>
                <c:pt idx="84">
                  <c:v>Jan-2029</c:v>
                </c:pt>
                <c:pt idx="85">
                  <c:v>Apr-2029</c:v>
                </c:pt>
                <c:pt idx="86">
                  <c:v>Jul-2029</c:v>
                </c:pt>
                <c:pt idx="87">
                  <c:v>Oct-2029</c:v>
                </c:pt>
                <c:pt idx="88">
                  <c:v>Jan-2030</c:v>
                </c:pt>
                <c:pt idx="89">
                  <c:v>Apr-2030</c:v>
                </c:pt>
                <c:pt idx="90">
                  <c:v>Jul-2030</c:v>
                </c:pt>
                <c:pt idx="91">
                  <c:v>Oct-2030</c:v>
                </c:pt>
              </c:strCache>
            </c:strRef>
          </c:cat>
          <c:val>
            <c:numRef>
              <c:f>Inflation!$E$10:$E$101</c:f>
              <c:numCache>
                <c:formatCode>General</c:formatCode>
                <c:ptCount val="92"/>
              </c:numCache>
            </c:numRef>
          </c:val>
          <c:smooth val="1"/>
        </c:ser>
        <c:ser>
          <c:idx val="2"/>
          <c:order val="2"/>
          <c:tx>
            <c:strRef>
              <c:f>Inflation!F9</c:f>
              <c:strCache>
                <c:ptCount val="1"/>
                <c:pt idx="0">
                  <c:v>Damped Fcst</c:v>
                </c:pt>
              </c:strCache>
            </c:strRef>
          </c:tx>
          <c:spPr>
            <a:solidFill>
              <a:srgbClr val="98B855"/>
            </a:solidFill>
            <a:ln w="12600">
              <a:solidFill>
                <a:srgbClr val="98B855"/>
              </a:solidFill>
              <a:prstDash val="sys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sys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Inflation!$A$10:$A$101</c:f>
              <c:strCache>
                <c:ptCount val="92"/>
                <c:pt idx="0">
                  <c:v>Jan-2008</c:v>
                </c:pt>
                <c:pt idx="1">
                  <c:v>Apr-2008</c:v>
                </c:pt>
                <c:pt idx="2">
                  <c:v>Jul-2008</c:v>
                </c:pt>
                <c:pt idx="3">
                  <c:v>Oct-2008</c:v>
                </c:pt>
                <c:pt idx="4">
                  <c:v>Jan-2009</c:v>
                </c:pt>
                <c:pt idx="5">
                  <c:v>Apr-2009</c:v>
                </c:pt>
                <c:pt idx="6">
                  <c:v>Jul-2009</c:v>
                </c:pt>
                <c:pt idx="7">
                  <c:v>Oct-2009</c:v>
                </c:pt>
                <c:pt idx="8">
                  <c:v>Jan-2010</c:v>
                </c:pt>
                <c:pt idx="9">
                  <c:v>Apr-2010</c:v>
                </c:pt>
                <c:pt idx="10">
                  <c:v>Jul-2010</c:v>
                </c:pt>
                <c:pt idx="11">
                  <c:v>Oct-2010</c:v>
                </c:pt>
                <c:pt idx="12">
                  <c:v>Jan-2011</c:v>
                </c:pt>
                <c:pt idx="13">
                  <c:v>Apr-2011</c:v>
                </c:pt>
                <c:pt idx="14">
                  <c:v>Jul-2011</c:v>
                </c:pt>
                <c:pt idx="15">
                  <c:v>Oct-2011</c:v>
                </c:pt>
                <c:pt idx="16">
                  <c:v>Jan-2012</c:v>
                </c:pt>
                <c:pt idx="17">
                  <c:v>Apr-2012</c:v>
                </c:pt>
                <c:pt idx="18">
                  <c:v>Jul-2012</c:v>
                </c:pt>
                <c:pt idx="19">
                  <c:v>Oct-2012</c:v>
                </c:pt>
                <c:pt idx="20">
                  <c:v>Jan-2013</c:v>
                </c:pt>
                <c:pt idx="21">
                  <c:v>Apr-2013</c:v>
                </c:pt>
                <c:pt idx="22">
                  <c:v>Jul-2013</c:v>
                </c:pt>
                <c:pt idx="23">
                  <c:v>Oct-2013</c:v>
                </c:pt>
                <c:pt idx="24">
                  <c:v>Jan-2014</c:v>
                </c:pt>
                <c:pt idx="25">
                  <c:v>Apr-2014</c:v>
                </c:pt>
                <c:pt idx="26">
                  <c:v>Jul-2014</c:v>
                </c:pt>
                <c:pt idx="27">
                  <c:v>Oct-2014</c:v>
                </c:pt>
                <c:pt idx="28">
                  <c:v>Jan-2015</c:v>
                </c:pt>
                <c:pt idx="29">
                  <c:v>Apr-2015</c:v>
                </c:pt>
                <c:pt idx="30">
                  <c:v>Jul-2015</c:v>
                </c:pt>
                <c:pt idx="31">
                  <c:v>Oct-2015</c:v>
                </c:pt>
                <c:pt idx="32">
                  <c:v>Jan-2016</c:v>
                </c:pt>
                <c:pt idx="33">
                  <c:v>Apr-2016</c:v>
                </c:pt>
                <c:pt idx="34">
                  <c:v>Jul-2016</c:v>
                </c:pt>
                <c:pt idx="35">
                  <c:v>Oct-2016</c:v>
                </c:pt>
                <c:pt idx="36">
                  <c:v>Jan-2017</c:v>
                </c:pt>
                <c:pt idx="37">
                  <c:v>Apr-2017</c:v>
                </c:pt>
                <c:pt idx="38">
                  <c:v>Jul-2017</c:v>
                </c:pt>
                <c:pt idx="39">
                  <c:v>Oct-2017</c:v>
                </c:pt>
                <c:pt idx="40">
                  <c:v>Jan-2018</c:v>
                </c:pt>
                <c:pt idx="41">
                  <c:v>Apr-2018</c:v>
                </c:pt>
                <c:pt idx="42">
                  <c:v>Jul-2018</c:v>
                </c:pt>
                <c:pt idx="43">
                  <c:v>Oct-2018</c:v>
                </c:pt>
                <c:pt idx="44">
                  <c:v>Jan-2019</c:v>
                </c:pt>
                <c:pt idx="45">
                  <c:v>Apr-2019</c:v>
                </c:pt>
                <c:pt idx="46">
                  <c:v>Jul-2019</c:v>
                </c:pt>
                <c:pt idx="47">
                  <c:v>Oct-2019</c:v>
                </c:pt>
                <c:pt idx="48">
                  <c:v>Jan-2020</c:v>
                </c:pt>
                <c:pt idx="49">
                  <c:v>Apr-2020</c:v>
                </c:pt>
                <c:pt idx="50">
                  <c:v>Jul-2020</c:v>
                </c:pt>
                <c:pt idx="51">
                  <c:v>Oct-2020</c:v>
                </c:pt>
                <c:pt idx="52">
                  <c:v>Jan-2021</c:v>
                </c:pt>
                <c:pt idx="53">
                  <c:v>Apr-2021</c:v>
                </c:pt>
                <c:pt idx="54">
                  <c:v>Jul-2021</c:v>
                </c:pt>
                <c:pt idx="55">
                  <c:v>Oct-2021</c:v>
                </c:pt>
                <c:pt idx="56">
                  <c:v>Jan-2022</c:v>
                </c:pt>
                <c:pt idx="57">
                  <c:v>Apr-2022</c:v>
                </c:pt>
                <c:pt idx="58">
                  <c:v>Jul-2022</c:v>
                </c:pt>
                <c:pt idx="59">
                  <c:v>Oct-2022</c:v>
                </c:pt>
                <c:pt idx="60">
                  <c:v>Jan-2023</c:v>
                </c:pt>
                <c:pt idx="61">
                  <c:v>Apr-2023</c:v>
                </c:pt>
                <c:pt idx="62">
                  <c:v>Jul-2023</c:v>
                </c:pt>
                <c:pt idx="63">
                  <c:v>Oct-2023</c:v>
                </c:pt>
                <c:pt idx="64">
                  <c:v>Jan-2024</c:v>
                </c:pt>
                <c:pt idx="65">
                  <c:v>Apr-2024</c:v>
                </c:pt>
                <c:pt idx="66">
                  <c:v>Jul-2024</c:v>
                </c:pt>
                <c:pt idx="67">
                  <c:v>Oct-2024</c:v>
                </c:pt>
                <c:pt idx="68">
                  <c:v>Jan-2025</c:v>
                </c:pt>
                <c:pt idx="69">
                  <c:v>Apr-2025</c:v>
                </c:pt>
                <c:pt idx="70">
                  <c:v>Jul-2025</c:v>
                </c:pt>
                <c:pt idx="71">
                  <c:v>Oct-2025</c:v>
                </c:pt>
                <c:pt idx="72">
                  <c:v>Jan-2026</c:v>
                </c:pt>
                <c:pt idx="73">
                  <c:v>Apr-2026</c:v>
                </c:pt>
                <c:pt idx="74">
                  <c:v>Jul-2026</c:v>
                </c:pt>
                <c:pt idx="75">
                  <c:v>Oct-2026</c:v>
                </c:pt>
                <c:pt idx="76">
                  <c:v>Jan-2027</c:v>
                </c:pt>
                <c:pt idx="77">
                  <c:v>Apr-2027</c:v>
                </c:pt>
                <c:pt idx="78">
                  <c:v>Jul-2027</c:v>
                </c:pt>
                <c:pt idx="79">
                  <c:v>Oct-2027</c:v>
                </c:pt>
                <c:pt idx="80">
                  <c:v>Jan-2028</c:v>
                </c:pt>
                <c:pt idx="81">
                  <c:v>Apr-2028</c:v>
                </c:pt>
                <c:pt idx="82">
                  <c:v>Jul-2028</c:v>
                </c:pt>
                <c:pt idx="83">
                  <c:v>Oct-2028</c:v>
                </c:pt>
                <c:pt idx="84">
                  <c:v>Jan-2029</c:v>
                </c:pt>
                <c:pt idx="85">
                  <c:v>Apr-2029</c:v>
                </c:pt>
                <c:pt idx="86">
                  <c:v>Jul-2029</c:v>
                </c:pt>
                <c:pt idx="87">
                  <c:v>Oct-2029</c:v>
                </c:pt>
                <c:pt idx="88">
                  <c:v>Jan-2030</c:v>
                </c:pt>
                <c:pt idx="89">
                  <c:v>Apr-2030</c:v>
                </c:pt>
                <c:pt idx="90">
                  <c:v>Jul-2030</c:v>
                </c:pt>
                <c:pt idx="91">
                  <c:v>Oct-2030</c:v>
                </c:pt>
              </c:strCache>
            </c:strRef>
          </c:cat>
          <c:val>
            <c:numRef>
              <c:f>Inflation!$F$10:$F$101</c:f>
              <c:numCache>
                <c:formatCode>General</c:formatCode>
                <c:ptCount val="92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0791378"/>
        <c:axId val="43324798"/>
      </c:lineChart>
      <c:catAx>
        <c:axId val="40791378"/>
        <c:scaling>
          <c:orientation val="minMax"/>
        </c:scaling>
        <c:delete val="0"/>
        <c:axPos val="b"/>
        <c:numFmt formatCode="mmm\-yy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3324798"/>
        <c:crosses val="autoZero"/>
        <c:auto val="1"/>
        <c:lblAlgn val="ctr"/>
        <c:lblOffset val="100"/>
        <c:noMultiLvlLbl val="0"/>
      </c:catAx>
      <c:valAx>
        <c:axId val="4332479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079137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Inflation!B110</c:f>
              <c:strCache>
                <c:ptCount val="1"/>
                <c:pt idx="0">
                  <c:v>Level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Inflation!$A$111:$A$202</c:f>
              <c:strCache>
                <c:ptCount val="92"/>
                <c:pt idx="0">
                  <c:v>Jan-2008</c:v>
                </c:pt>
                <c:pt idx="1">
                  <c:v>Apr-2008</c:v>
                </c:pt>
                <c:pt idx="2">
                  <c:v>Jul-2008</c:v>
                </c:pt>
                <c:pt idx="3">
                  <c:v>Oct-2008</c:v>
                </c:pt>
                <c:pt idx="4">
                  <c:v>Jan-2009</c:v>
                </c:pt>
                <c:pt idx="5">
                  <c:v>Apr-2009</c:v>
                </c:pt>
                <c:pt idx="6">
                  <c:v>Jul-2009</c:v>
                </c:pt>
                <c:pt idx="7">
                  <c:v>Oct-2009</c:v>
                </c:pt>
                <c:pt idx="8">
                  <c:v>Jan-2010</c:v>
                </c:pt>
                <c:pt idx="9">
                  <c:v>Apr-2010</c:v>
                </c:pt>
                <c:pt idx="10">
                  <c:v>Jul-2010</c:v>
                </c:pt>
                <c:pt idx="11">
                  <c:v>Oct-2010</c:v>
                </c:pt>
                <c:pt idx="12">
                  <c:v>Jan-2011</c:v>
                </c:pt>
                <c:pt idx="13">
                  <c:v>Apr-2011</c:v>
                </c:pt>
                <c:pt idx="14">
                  <c:v>Jul-2011</c:v>
                </c:pt>
                <c:pt idx="15">
                  <c:v>Oct-2011</c:v>
                </c:pt>
                <c:pt idx="16">
                  <c:v>Jan-2012</c:v>
                </c:pt>
                <c:pt idx="17">
                  <c:v>Apr-2012</c:v>
                </c:pt>
                <c:pt idx="18">
                  <c:v>Jul-2012</c:v>
                </c:pt>
                <c:pt idx="19">
                  <c:v>Oct-2012</c:v>
                </c:pt>
                <c:pt idx="20">
                  <c:v>Jan-2013</c:v>
                </c:pt>
                <c:pt idx="21">
                  <c:v>Apr-2013</c:v>
                </c:pt>
                <c:pt idx="22">
                  <c:v>Jul-2013</c:v>
                </c:pt>
                <c:pt idx="23">
                  <c:v>Oct-2013</c:v>
                </c:pt>
                <c:pt idx="24">
                  <c:v>Jan-2014</c:v>
                </c:pt>
                <c:pt idx="25">
                  <c:v>Apr-2014</c:v>
                </c:pt>
                <c:pt idx="26">
                  <c:v>Jul-2014</c:v>
                </c:pt>
                <c:pt idx="27">
                  <c:v>Oct-2014</c:v>
                </c:pt>
                <c:pt idx="28">
                  <c:v>Jan-2015</c:v>
                </c:pt>
                <c:pt idx="29">
                  <c:v>Apr-2015</c:v>
                </c:pt>
                <c:pt idx="30">
                  <c:v>Jul-2015</c:v>
                </c:pt>
                <c:pt idx="31">
                  <c:v>Oct-2015</c:v>
                </c:pt>
                <c:pt idx="32">
                  <c:v>Jan-2016</c:v>
                </c:pt>
                <c:pt idx="33">
                  <c:v>Apr-2016</c:v>
                </c:pt>
                <c:pt idx="34">
                  <c:v>Jul-2016</c:v>
                </c:pt>
                <c:pt idx="35">
                  <c:v>Oct-2016</c:v>
                </c:pt>
                <c:pt idx="36">
                  <c:v>Jan-2017</c:v>
                </c:pt>
                <c:pt idx="37">
                  <c:v>Apr-2017</c:v>
                </c:pt>
                <c:pt idx="38">
                  <c:v>Jul-2017</c:v>
                </c:pt>
                <c:pt idx="39">
                  <c:v>Oct-2017</c:v>
                </c:pt>
                <c:pt idx="40">
                  <c:v>Jan-2018</c:v>
                </c:pt>
                <c:pt idx="41">
                  <c:v>Apr-2018</c:v>
                </c:pt>
                <c:pt idx="42">
                  <c:v>Jul-2018</c:v>
                </c:pt>
                <c:pt idx="43">
                  <c:v>Oct-2018</c:v>
                </c:pt>
                <c:pt idx="44">
                  <c:v>Jan-2019</c:v>
                </c:pt>
                <c:pt idx="45">
                  <c:v>Apr-2019</c:v>
                </c:pt>
                <c:pt idx="46">
                  <c:v>Jul-2019</c:v>
                </c:pt>
                <c:pt idx="47">
                  <c:v>Oct-2019</c:v>
                </c:pt>
                <c:pt idx="48">
                  <c:v>Jan-2020</c:v>
                </c:pt>
                <c:pt idx="49">
                  <c:v>Apr-2020</c:v>
                </c:pt>
                <c:pt idx="50">
                  <c:v>Jul-2020</c:v>
                </c:pt>
                <c:pt idx="51">
                  <c:v>Oct-2020</c:v>
                </c:pt>
                <c:pt idx="52">
                  <c:v>Jan-2021</c:v>
                </c:pt>
                <c:pt idx="53">
                  <c:v>Apr-2021</c:v>
                </c:pt>
                <c:pt idx="54">
                  <c:v>Jul-2021</c:v>
                </c:pt>
                <c:pt idx="55">
                  <c:v>Oct-2021</c:v>
                </c:pt>
                <c:pt idx="56">
                  <c:v>Jan-2022</c:v>
                </c:pt>
                <c:pt idx="57">
                  <c:v>Apr-2022</c:v>
                </c:pt>
                <c:pt idx="58">
                  <c:v>Jul-2022</c:v>
                </c:pt>
                <c:pt idx="59">
                  <c:v>Oct-2022</c:v>
                </c:pt>
                <c:pt idx="60">
                  <c:v>Jan-2023</c:v>
                </c:pt>
                <c:pt idx="61">
                  <c:v>Apr-2023</c:v>
                </c:pt>
                <c:pt idx="62">
                  <c:v>Jul-2023</c:v>
                </c:pt>
                <c:pt idx="63">
                  <c:v>Oct-2023</c:v>
                </c:pt>
                <c:pt idx="64">
                  <c:v>Jan-2024</c:v>
                </c:pt>
                <c:pt idx="65">
                  <c:v>Apr-2024</c:v>
                </c:pt>
                <c:pt idx="66">
                  <c:v>Jul-2024</c:v>
                </c:pt>
                <c:pt idx="67">
                  <c:v>Oct-2024</c:v>
                </c:pt>
                <c:pt idx="68">
                  <c:v>Jan-2025</c:v>
                </c:pt>
                <c:pt idx="69">
                  <c:v>Apr-2025</c:v>
                </c:pt>
                <c:pt idx="70">
                  <c:v>Jul-2025</c:v>
                </c:pt>
                <c:pt idx="71">
                  <c:v>Oct-2025</c:v>
                </c:pt>
                <c:pt idx="72">
                  <c:v>Jan-2026</c:v>
                </c:pt>
                <c:pt idx="73">
                  <c:v>Apr-2026</c:v>
                </c:pt>
                <c:pt idx="74">
                  <c:v>Jul-2026</c:v>
                </c:pt>
                <c:pt idx="75">
                  <c:v>Oct-2026</c:v>
                </c:pt>
                <c:pt idx="76">
                  <c:v>Jan-2027</c:v>
                </c:pt>
                <c:pt idx="77">
                  <c:v>Apr-2027</c:v>
                </c:pt>
                <c:pt idx="78">
                  <c:v>Jul-2027</c:v>
                </c:pt>
                <c:pt idx="79">
                  <c:v>Oct-2027</c:v>
                </c:pt>
                <c:pt idx="80">
                  <c:v>Jan-2028</c:v>
                </c:pt>
                <c:pt idx="81">
                  <c:v>Apr-2028</c:v>
                </c:pt>
                <c:pt idx="82">
                  <c:v>Jul-2028</c:v>
                </c:pt>
                <c:pt idx="83">
                  <c:v>Oct-2028</c:v>
                </c:pt>
                <c:pt idx="84">
                  <c:v>Jan-2029</c:v>
                </c:pt>
                <c:pt idx="85">
                  <c:v>Apr-2029</c:v>
                </c:pt>
                <c:pt idx="86">
                  <c:v>Jul-2029</c:v>
                </c:pt>
                <c:pt idx="87">
                  <c:v>Oct-2029</c:v>
                </c:pt>
                <c:pt idx="88">
                  <c:v>Jan-2030</c:v>
                </c:pt>
                <c:pt idx="89">
                  <c:v>Apr-2030</c:v>
                </c:pt>
                <c:pt idx="90">
                  <c:v>Jul-2030</c:v>
                </c:pt>
                <c:pt idx="91">
                  <c:v>Oct-2030</c:v>
                </c:pt>
              </c:strCache>
            </c:strRef>
          </c:cat>
          <c:val>
            <c:numRef>
              <c:f>Inflation!$B$111:$B$202</c:f>
              <c:numCache>
                <c:formatCode>General</c:formatCode>
                <c:ptCount val="92"/>
              </c:numCache>
            </c:numRef>
          </c:val>
          <c:smooth val="1"/>
        </c:ser>
        <c:ser>
          <c:idx val="1"/>
          <c:order val="1"/>
          <c:tx>
            <c:strRef>
              <c:f>Inflation!E110</c:f>
              <c:strCache>
                <c:ptCount val="1"/>
                <c:pt idx="0">
                  <c:v>Trend Fcst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Inflation!$A$111:$A$202</c:f>
              <c:strCache>
                <c:ptCount val="92"/>
                <c:pt idx="0">
                  <c:v>Jan-2008</c:v>
                </c:pt>
                <c:pt idx="1">
                  <c:v>Apr-2008</c:v>
                </c:pt>
                <c:pt idx="2">
                  <c:v>Jul-2008</c:v>
                </c:pt>
                <c:pt idx="3">
                  <c:v>Oct-2008</c:v>
                </c:pt>
                <c:pt idx="4">
                  <c:v>Jan-2009</c:v>
                </c:pt>
                <c:pt idx="5">
                  <c:v>Apr-2009</c:v>
                </c:pt>
                <c:pt idx="6">
                  <c:v>Jul-2009</c:v>
                </c:pt>
                <c:pt idx="7">
                  <c:v>Oct-2009</c:v>
                </c:pt>
                <c:pt idx="8">
                  <c:v>Jan-2010</c:v>
                </c:pt>
                <c:pt idx="9">
                  <c:v>Apr-2010</c:v>
                </c:pt>
                <c:pt idx="10">
                  <c:v>Jul-2010</c:v>
                </c:pt>
                <c:pt idx="11">
                  <c:v>Oct-2010</c:v>
                </c:pt>
                <c:pt idx="12">
                  <c:v>Jan-2011</c:v>
                </c:pt>
                <c:pt idx="13">
                  <c:v>Apr-2011</c:v>
                </c:pt>
                <c:pt idx="14">
                  <c:v>Jul-2011</c:v>
                </c:pt>
                <c:pt idx="15">
                  <c:v>Oct-2011</c:v>
                </c:pt>
                <c:pt idx="16">
                  <c:v>Jan-2012</c:v>
                </c:pt>
                <c:pt idx="17">
                  <c:v>Apr-2012</c:v>
                </c:pt>
                <c:pt idx="18">
                  <c:v>Jul-2012</c:v>
                </c:pt>
                <c:pt idx="19">
                  <c:v>Oct-2012</c:v>
                </c:pt>
                <c:pt idx="20">
                  <c:v>Jan-2013</c:v>
                </c:pt>
                <c:pt idx="21">
                  <c:v>Apr-2013</c:v>
                </c:pt>
                <c:pt idx="22">
                  <c:v>Jul-2013</c:v>
                </c:pt>
                <c:pt idx="23">
                  <c:v>Oct-2013</c:v>
                </c:pt>
                <c:pt idx="24">
                  <c:v>Jan-2014</c:v>
                </c:pt>
                <c:pt idx="25">
                  <c:v>Apr-2014</c:v>
                </c:pt>
                <c:pt idx="26">
                  <c:v>Jul-2014</c:v>
                </c:pt>
                <c:pt idx="27">
                  <c:v>Oct-2014</c:v>
                </c:pt>
                <c:pt idx="28">
                  <c:v>Jan-2015</c:v>
                </c:pt>
                <c:pt idx="29">
                  <c:v>Apr-2015</c:v>
                </c:pt>
                <c:pt idx="30">
                  <c:v>Jul-2015</c:v>
                </c:pt>
                <c:pt idx="31">
                  <c:v>Oct-2015</c:v>
                </c:pt>
                <c:pt idx="32">
                  <c:v>Jan-2016</c:v>
                </c:pt>
                <c:pt idx="33">
                  <c:v>Apr-2016</c:v>
                </c:pt>
                <c:pt idx="34">
                  <c:v>Jul-2016</c:v>
                </c:pt>
                <c:pt idx="35">
                  <c:v>Oct-2016</c:v>
                </c:pt>
                <c:pt idx="36">
                  <c:v>Jan-2017</c:v>
                </c:pt>
                <c:pt idx="37">
                  <c:v>Apr-2017</c:v>
                </c:pt>
                <c:pt idx="38">
                  <c:v>Jul-2017</c:v>
                </c:pt>
                <c:pt idx="39">
                  <c:v>Oct-2017</c:v>
                </c:pt>
                <c:pt idx="40">
                  <c:v>Jan-2018</c:v>
                </c:pt>
                <c:pt idx="41">
                  <c:v>Apr-2018</c:v>
                </c:pt>
                <c:pt idx="42">
                  <c:v>Jul-2018</c:v>
                </c:pt>
                <c:pt idx="43">
                  <c:v>Oct-2018</c:v>
                </c:pt>
                <c:pt idx="44">
                  <c:v>Jan-2019</c:v>
                </c:pt>
                <c:pt idx="45">
                  <c:v>Apr-2019</c:v>
                </c:pt>
                <c:pt idx="46">
                  <c:v>Jul-2019</c:v>
                </c:pt>
                <c:pt idx="47">
                  <c:v>Oct-2019</c:v>
                </c:pt>
                <c:pt idx="48">
                  <c:v>Jan-2020</c:v>
                </c:pt>
                <c:pt idx="49">
                  <c:v>Apr-2020</c:v>
                </c:pt>
                <c:pt idx="50">
                  <c:v>Jul-2020</c:v>
                </c:pt>
                <c:pt idx="51">
                  <c:v>Oct-2020</c:v>
                </c:pt>
                <c:pt idx="52">
                  <c:v>Jan-2021</c:v>
                </c:pt>
                <c:pt idx="53">
                  <c:v>Apr-2021</c:v>
                </c:pt>
                <c:pt idx="54">
                  <c:v>Jul-2021</c:v>
                </c:pt>
                <c:pt idx="55">
                  <c:v>Oct-2021</c:v>
                </c:pt>
                <c:pt idx="56">
                  <c:v>Jan-2022</c:v>
                </c:pt>
                <c:pt idx="57">
                  <c:v>Apr-2022</c:v>
                </c:pt>
                <c:pt idx="58">
                  <c:v>Jul-2022</c:v>
                </c:pt>
                <c:pt idx="59">
                  <c:v>Oct-2022</c:v>
                </c:pt>
                <c:pt idx="60">
                  <c:v>Jan-2023</c:v>
                </c:pt>
                <c:pt idx="61">
                  <c:v>Apr-2023</c:v>
                </c:pt>
                <c:pt idx="62">
                  <c:v>Jul-2023</c:v>
                </c:pt>
                <c:pt idx="63">
                  <c:v>Oct-2023</c:v>
                </c:pt>
                <c:pt idx="64">
                  <c:v>Jan-2024</c:v>
                </c:pt>
                <c:pt idx="65">
                  <c:v>Apr-2024</c:v>
                </c:pt>
                <c:pt idx="66">
                  <c:v>Jul-2024</c:v>
                </c:pt>
                <c:pt idx="67">
                  <c:v>Oct-2024</c:v>
                </c:pt>
                <c:pt idx="68">
                  <c:v>Jan-2025</c:v>
                </c:pt>
                <c:pt idx="69">
                  <c:v>Apr-2025</c:v>
                </c:pt>
                <c:pt idx="70">
                  <c:v>Jul-2025</c:v>
                </c:pt>
                <c:pt idx="71">
                  <c:v>Oct-2025</c:v>
                </c:pt>
                <c:pt idx="72">
                  <c:v>Jan-2026</c:v>
                </c:pt>
                <c:pt idx="73">
                  <c:v>Apr-2026</c:v>
                </c:pt>
                <c:pt idx="74">
                  <c:v>Jul-2026</c:v>
                </c:pt>
                <c:pt idx="75">
                  <c:v>Oct-2026</c:v>
                </c:pt>
                <c:pt idx="76">
                  <c:v>Jan-2027</c:v>
                </c:pt>
                <c:pt idx="77">
                  <c:v>Apr-2027</c:v>
                </c:pt>
                <c:pt idx="78">
                  <c:v>Jul-2027</c:v>
                </c:pt>
                <c:pt idx="79">
                  <c:v>Oct-2027</c:v>
                </c:pt>
                <c:pt idx="80">
                  <c:v>Jan-2028</c:v>
                </c:pt>
                <c:pt idx="81">
                  <c:v>Apr-2028</c:v>
                </c:pt>
                <c:pt idx="82">
                  <c:v>Jul-2028</c:v>
                </c:pt>
                <c:pt idx="83">
                  <c:v>Oct-2028</c:v>
                </c:pt>
                <c:pt idx="84">
                  <c:v>Jan-2029</c:v>
                </c:pt>
                <c:pt idx="85">
                  <c:v>Apr-2029</c:v>
                </c:pt>
                <c:pt idx="86">
                  <c:v>Jul-2029</c:v>
                </c:pt>
                <c:pt idx="87">
                  <c:v>Oct-2029</c:v>
                </c:pt>
                <c:pt idx="88">
                  <c:v>Jan-2030</c:v>
                </c:pt>
                <c:pt idx="89">
                  <c:v>Apr-2030</c:v>
                </c:pt>
                <c:pt idx="90">
                  <c:v>Jul-2030</c:v>
                </c:pt>
                <c:pt idx="91">
                  <c:v>Oct-2030</c:v>
                </c:pt>
              </c:strCache>
            </c:strRef>
          </c:cat>
          <c:val>
            <c:numRef>
              <c:f>Inflation!$E$111:$E$202</c:f>
              <c:numCache>
                <c:formatCode>General</c:formatCode>
                <c:ptCount val="92"/>
              </c:numCache>
            </c:numRef>
          </c:val>
          <c:smooth val="1"/>
        </c:ser>
        <c:ser>
          <c:idx val="2"/>
          <c:order val="2"/>
          <c:tx>
            <c:strRef>
              <c:f>Inflation!F110</c:f>
              <c:strCache>
                <c:ptCount val="1"/>
                <c:pt idx="0">
                  <c:v>Damped Fcst</c:v>
                </c:pt>
              </c:strCache>
            </c:strRef>
          </c:tx>
          <c:spPr>
            <a:solidFill>
              <a:srgbClr val="98B855"/>
            </a:solidFill>
            <a:ln w="12600">
              <a:solidFill>
                <a:srgbClr val="98B855"/>
              </a:solidFill>
              <a:prstDash val="sys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sys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Inflation!$A$111:$A$202</c:f>
              <c:strCache>
                <c:ptCount val="92"/>
                <c:pt idx="0">
                  <c:v>Jan-2008</c:v>
                </c:pt>
                <c:pt idx="1">
                  <c:v>Apr-2008</c:v>
                </c:pt>
                <c:pt idx="2">
                  <c:v>Jul-2008</c:v>
                </c:pt>
                <c:pt idx="3">
                  <c:v>Oct-2008</c:v>
                </c:pt>
                <c:pt idx="4">
                  <c:v>Jan-2009</c:v>
                </c:pt>
                <c:pt idx="5">
                  <c:v>Apr-2009</c:v>
                </c:pt>
                <c:pt idx="6">
                  <c:v>Jul-2009</c:v>
                </c:pt>
                <c:pt idx="7">
                  <c:v>Oct-2009</c:v>
                </c:pt>
                <c:pt idx="8">
                  <c:v>Jan-2010</c:v>
                </c:pt>
                <c:pt idx="9">
                  <c:v>Apr-2010</c:v>
                </c:pt>
                <c:pt idx="10">
                  <c:v>Jul-2010</c:v>
                </c:pt>
                <c:pt idx="11">
                  <c:v>Oct-2010</c:v>
                </c:pt>
                <c:pt idx="12">
                  <c:v>Jan-2011</c:v>
                </c:pt>
                <c:pt idx="13">
                  <c:v>Apr-2011</c:v>
                </c:pt>
                <c:pt idx="14">
                  <c:v>Jul-2011</c:v>
                </c:pt>
                <c:pt idx="15">
                  <c:v>Oct-2011</c:v>
                </c:pt>
                <c:pt idx="16">
                  <c:v>Jan-2012</c:v>
                </c:pt>
                <c:pt idx="17">
                  <c:v>Apr-2012</c:v>
                </c:pt>
                <c:pt idx="18">
                  <c:v>Jul-2012</c:v>
                </c:pt>
                <c:pt idx="19">
                  <c:v>Oct-2012</c:v>
                </c:pt>
                <c:pt idx="20">
                  <c:v>Jan-2013</c:v>
                </c:pt>
                <c:pt idx="21">
                  <c:v>Apr-2013</c:v>
                </c:pt>
                <c:pt idx="22">
                  <c:v>Jul-2013</c:v>
                </c:pt>
                <c:pt idx="23">
                  <c:v>Oct-2013</c:v>
                </c:pt>
                <c:pt idx="24">
                  <c:v>Jan-2014</c:v>
                </c:pt>
                <c:pt idx="25">
                  <c:v>Apr-2014</c:v>
                </c:pt>
                <c:pt idx="26">
                  <c:v>Jul-2014</c:v>
                </c:pt>
                <c:pt idx="27">
                  <c:v>Oct-2014</c:v>
                </c:pt>
                <c:pt idx="28">
                  <c:v>Jan-2015</c:v>
                </c:pt>
                <c:pt idx="29">
                  <c:v>Apr-2015</c:v>
                </c:pt>
                <c:pt idx="30">
                  <c:v>Jul-2015</c:v>
                </c:pt>
                <c:pt idx="31">
                  <c:v>Oct-2015</c:v>
                </c:pt>
                <c:pt idx="32">
                  <c:v>Jan-2016</c:v>
                </c:pt>
                <c:pt idx="33">
                  <c:v>Apr-2016</c:v>
                </c:pt>
                <c:pt idx="34">
                  <c:v>Jul-2016</c:v>
                </c:pt>
                <c:pt idx="35">
                  <c:v>Oct-2016</c:v>
                </c:pt>
                <c:pt idx="36">
                  <c:v>Jan-2017</c:v>
                </c:pt>
                <c:pt idx="37">
                  <c:v>Apr-2017</c:v>
                </c:pt>
                <c:pt idx="38">
                  <c:v>Jul-2017</c:v>
                </c:pt>
                <c:pt idx="39">
                  <c:v>Oct-2017</c:v>
                </c:pt>
                <c:pt idx="40">
                  <c:v>Jan-2018</c:v>
                </c:pt>
                <c:pt idx="41">
                  <c:v>Apr-2018</c:v>
                </c:pt>
                <c:pt idx="42">
                  <c:v>Jul-2018</c:v>
                </c:pt>
                <c:pt idx="43">
                  <c:v>Oct-2018</c:v>
                </c:pt>
                <c:pt idx="44">
                  <c:v>Jan-2019</c:v>
                </c:pt>
                <c:pt idx="45">
                  <c:v>Apr-2019</c:v>
                </c:pt>
                <c:pt idx="46">
                  <c:v>Jul-2019</c:v>
                </c:pt>
                <c:pt idx="47">
                  <c:v>Oct-2019</c:v>
                </c:pt>
                <c:pt idx="48">
                  <c:v>Jan-2020</c:v>
                </c:pt>
                <c:pt idx="49">
                  <c:v>Apr-2020</c:v>
                </c:pt>
                <c:pt idx="50">
                  <c:v>Jul-2020</c:v>
                </c:pt>
                <c:pt idx="51">
                  <c:v>Oct-2020</c:v>
                </c:pt>
                <c:pt idx="52">
                  <c:v>Jan-2021</c:v>
                </c:pt>
                <c:pt idx="53">
                  <c:v>Apr-2021</c:v>
                </c:pt>
                <c:pt idx="54">
                  <c:v>Jul-2021</c:v>
                </c:pt>
                <c:pt idx="55">
                  <c:v>Oct-2021</c:v>
                </c:pt>
                <c:pt idx="56">
                  <c:v>Jan-2022</c:v>
                </c:pt>
                <c:pt idx="57">
                  <c:v>Apr-2022</c:v>
                </c:pt>
                <c:pt idx="58">
                  <c:v>Jul-2022</c:v>
                </c:pt>
                <c:pt idx="59">
                  <c:v>Oct-2022</c:v>
                </c:pt>
                <c:pt idx="60">
                  <c:v>Jan-2023</c:v>
                </c:pt>
                <c:pt idx="61">
                  <c:v>Apr-2023</c:v>
                </c:pt>
                <c:pt idx="62">
                  <c:v>Jul-2023</c:v>
                </c:pt>
                <c:pt idx="63">
                  <c:v>Oct-2023</c:v>
                </c:pt>
                <c:pt idx="64">
                  <c:v>Jan-2024</c:v>
                </c:pt>
                <c:pt idx="65">
                  <c:v>Apr-2024</c:v>
                </c:pt>
                <c:pt idx="66">
                  <c:v>Jul-2024</c:v>
                </c:pt>
                <c:pt idx="67">
                  <c:v>Oct-2024</c:v>
                </c:pt>
                <c:pt idx="68">
                  <c:v>Jan-2025</c:v>
                </c:pt>
                <c:pt idx="69">
                  <c:v>Apr-2025</c:v>
                </c:pt>
                <c:pt idx="70">
                  <c:v>Jul-2025</c:v>
                </c:pt>
                <c:pt idx="71">
                  <c:v>Oct-2025</c:v>
                </c:pt>
                <c:pt idx="72">
                  <c:v>Jan-2026</c:v>
                </c:pt>
                <c:pt idx="73">
                  <c:v>Apr-2026</c:v>
                </c:pt>
                <c:pt idx="74">
                  <c:v>Jul-2026</c:v>
                </c:pt>
                <c:pt idx="75">
                  <c:v>Oct-2026</c:v>
                </c:pt>
                <c:pt idx="76">
                  <c:v>Jan-2027</c:v>
                </c:pt>
                <c:pt idx="77">
                  <c:v>Apr-2027</c:v>
                </c:pt>
                <c:pt idx="78">
                  <c:v>Jul-2027</c:v>
                </c:pt>
                <c:pt idx="79">
                  <c:v>Oct-2027</c:v>
                </c:pt>
                <c:pt idx="80">
                  <c:v>Jan-2028</c:v>
                </c:pt>
                <c:pt idx="81">
                  <c:v>Apr-2028</c:v>
                </c:pt>
                <c:pt idx="82">
                  <c:v>Jul-2028</c:v>
                </c:pt>
                <c:pt idx="83">
                  <c:v>Oct-2028</c:v>
                </c:pt>
                <c:pt idx="84">
                  <c:v>Jan-2029</c:v>
                </c:pt>
                <c:pt idx="85">
                  <c:v>Apr-2029</c:v>
                </c:pt>
                <c:pt idx="86">
                  <c:v>Jul-2029</c:v>
                </c:pt>
                <c:pt idx="87">
                  <c:v>Oct-2029</c:v>
                </c:pt>
                <c:pt idx="88">
                  <c:v>Jan-2030</c:v>
                </c:pt>
                <c:pt idx="89">
                  <c:v>Apr-2030</c:v>
                </c:pt>
                <c:pt idx="90">
                  <c:v>Jul-2030</c:v>
                </c:pt>
                <c:pt idx="91">
                  <c:v>Oct-2030</c:v>
                </c:pt>
              </c:strCache>
            </c:strRef>
          </c:cat>
          <c:val>
            <c:numRef>
              <c:f>Inflation!$F$111:$F$202</c:f>
              <c:numCache>
                <c:formatCode>General</c:formatCode>
                <c:ptCount val="92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7197803"/>
        <c:axId val="32656740"/>
      </c:lineChart>
      <c:catAx>
        <c:axId val="97197803"/>
        <c:scaling>
          <c:orientation val="minMax"/>
        </c:scaling>
        <c:delete val="0"/>
        <c:axPos val="b"/>
        <c:numFmt formatCode="mmm\-yy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2656740"/>
        <c:crosses val="autoZero"/>
        <c:auto val="1"/>
        <c:lblAlgn val="ctr"/>
        <c:lblOffset val="100"/>
        <c:noMultiLvlLbl val="0"/>
      </c:catAx>
      <c:valAx>
        <c:axId val="326567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719780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Inflation!B211</c:f>
              <c:strCache>
                <c:ptCount val="1"/>
                <c:pt idx="0">
                  <c:v>Level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Inflation!$A$212:$A$303</c:f>
              <c:strCache>
                <c:ptCount val="92"/>
                <c:pt idx="0">
                  <c:v>Jan-2008</c:v>
                </c:pt>
                <c:pt idx="1">
                  <c:v>Apr-2008</c:v>
                </c:pt>
                <c:pt idx="2">
                  <c:v>Jul-2008</c:v>
                </c:pt>
                <c:pt idx="3">
                  <c:v>Oct-2008</c:v>
                </c:pt>
                <c:pt idx="4">
                  <c:v>Jan-2009</c:v>
                </c:pt>
                <c:pt idx="5">
                  <c:v>Apr-2009</c:v>
                </c:pt>
                <c:pt idx="6">
                  <c:v>Jul-2009</c:v>
                </c:pt>
                <c:pt idx="7">
                  <c:v>Oct-2009</c:v>
                </c:pt>
                <c:pt idx="8">
                  <c:v>Jan-2010</c:v>
                </c:pt>
                <c:pt idx="9">
                  <c:v>Apr-2010</c:v>
                </c:pt>
                <c:pt idx="10">
                  <c:v>Jul-2010</c:v>
                </c:pt>
                <c:pt idx="11">
                  <c:v>Oct-2010</c:v>
                </c:pt>
                <c:pt idx="12">
                  <c:v>Jan-2011</c:v>
                </c:pt>
                <c:pt idx="13">
                  <c:v>Apr-2011</c:v>
                </c:pt>
                <c:pt idx="14">
                  <c:v>Jul-2011</c:v>
                </c:pt>
                <c:pt idx="15">
                  <c:v>Oct-2011</c:v>
                </c:pt>
                <c:pt idx="16">
                  <c:v>Jan-2012</c:v>
                </c:pt>
                <c:pt idx="17">
                  <c:v>Apr-2012</c:v>
                </c:pt>
                <c:pt idx="18">
                  <c:v>Jul-2012</c:v>
                </c:pt>
                <c:pt idx="19">
                  <c:v>Oct-2012</c:v>
                </c:pt>
                <c:pt idx="20">
                  <c:v>Jan-2013</c:v>
                </c:pt>
                <c:pt idx="21">
                  <c:v>Apr-2013</c:v>
                </c:pt>
                <c:pt idx="22">
                  <c:v>Jul-2013</c:v>
                </c:pt>
                <c:pt idx="23">
                  <c:v>Oct-2013</c:v>
                </c:pt>
                <c:pt idx="24">
                  <c:v>Jan-2014</c:v>
                </c:pt>
                <c:pt idx="25">
                  <c:v>Apr-2014</c:v>
                </c:pt>
                <c:pt idx="26">
                  <c:v>Jul-2014</c:v>
                </c:pt>
                <c:pt idx="27">
                  <c:v>Oct-2014</c:v>
                </c:pt>
                <c:pt idx="28">
                  <c:v>Jan-2015</c:v>
                </c:pt>
                <c:pt idx="29">
                  <c:v>Apr-2015</c:v>
                </c:pt>
                <c:pt idx="30">
                  <c:v>Jul-2015</c:v>
                </c:pt>
                <c:pt idx="31">
                  <c:v>Oct-2015</c:v>
                </c:pt>
                <c:pt idx="32">
                  <c:v>Jan-2016</c:v>
                </c:pt>
                <c:pt idx="33">
                  <c:v>Apr-2016</c:v>
                </c:pt>
                <c:pt idx="34">
                  <c:v>Jul-2016</c:v>
                </c:pt>
                <c:pt idx="35">
                  <c:v>Oct-2016</c:v>
                </c:pt>
                <c:pt idx="36">
                  <c:v>Jan-2017</c:v>
                </c:pt>
                <c:pt idx="37">
                  <c:v>Apr-2017</c:v>
                </c:pt>
                <c:pt idx="38">
                  <c:v>Jul-2017</c:v>
                </c:pt>
                <c:pt idx="39">
                  <c:v>Oct-2017</c:v>
                </c:pt>
                <c:pt idx="40">
                  <c:v>Jan-2018</c:v>
                </c:pt>
                <c:pt idx="41">
                  <c:v>Apr-2018</c:v>
                </c:pt>
                <c:pt idx="42">
                  <c:v>Jul-2018</c:v>
                </c:pt>
                <c:pt idx="43">
                  <c:v>Oct-2018</c:v>
                </c:pt>
                <c:pt idx="44">
                  <c:v>Jan-2019</c:v>
                </c:pt>
                <c:pt idx="45">
                  <c:v>Apr-2019</c:v>
                </c:pt>
                <c:pt idx="46">
                  <c:v>Jul-2019</c:v>
                </c:pt>
                <c:pt idx="47">
                  <c:v>Oct-2019</c:v>
                </c:pt>
                <c:pt idx="48">
                  <c:v>Jan-2020</c:v>
                </c:pt>
                <c:pt idx="49">
                  <c:v>Apr-2020</c:v>
                </c:pt>
                <c:pt idx="50">
                  <c:v>Jul-2020</c:v>
                </c:pt>
                <c:pt idx="51">
                  <c:v>Oct-2020</c:v>
                </c:pt>
                <c:pt idx="52">
                  <c:v>Jan-2021</c:v>
                </c:pt>
                <c:pt idx="53">
                  <c:v>Apr-2021</c:v>
                </c:pt>
                <c:pt idx="54">
                  <c:v>Jul-2021</c:v>
                </c:pt>
                <c:pt idx="55">
                  <c:v>Oct-2021</c:v>
                </c:pt>
                <c:pt idx="56">
                  <c:v>Jan-2022</c:v>
                </c:pt>
                <c:pt idx="57">
                  <c:v>Apr-2022</c:v>
                </c:pt>
                <c:pt idx="58">
                  <c:v>Jul-2022</c:v>
                </c:pt>
                <c:pt idx="59">
                  <c:v>Oct-2022</c:v>
                </c:pt>
                <c:pt idx="60">
                  <c:v>Jan-2023</c:v>
                </c:pt>
                <c:pt idx="61">
                  <c:v>Apr-2023</c:v>
                </c:pt>
                <c:pt idx="62">
                  <c:v>Jul-2023</c:v>
                </c:pt>
                <c:pt idx="63">
                  <c:v>Oct-2023</c:v>
                </c:pt>
                <c:pt idx="64">
                  <c:v>Jan-2024</c:v>
                </c:pt>
                <c:pt idx="65">
                  <c:v>Apr-2024</c:v>
                </c:pt>
                <c:pt idx="66">
                  <c:v>Jul-2024</c:v>
                </c:pt>
                <c:pt idx="67">
                  <c:v>Oct-2024</c:v>
                </c:pt>
                <c:pt idx="68">
                  <c:v>Jan-2025</c:v>
                </c:pt>
                <c:pt idx="69">
                  <c:v>Apr-2025</c:v>
                </c:pt>
                <c:pt idx="70">
                  <c:v>Jul-2025</c:v>
                </c:pt>
                <c:pt idx="71">
                  <c:v>Oct-2025</c:v>
                </c:pt>
                <c:pt idx="72">
                  <c:v>Jan-2026</c:v>
                </c:pt>
                <c:pt idx="73">
                  <c:v>Apr-2026</c:v>
                </c:pt>
                <c:pt idx="74">
                  <c:v>Jul-2026</c:v>
                </c:pt>
                <c:pt idx="75">
                  <c:v>Oct-2026</c:v>
                </c:pt>
                <c:pt idx="76">
                  <c:v>Jan-2027</c:v>
                </c:pt>
                <c:pt idx="77">
                  <c:v>Apr-2027</c:v>
                </c:pt>
                <c:pt idx="78">
                  <c:v>Jul-2027</c:v>
                </c:pt>
                <c:pt idx="79">
                  <c:v>Oct-2027</c:v>
                </c:pt>
                <c:pt idx="80">
                  <c:v>Jan-2028</c:v>
                </c:pt>
                <c:pt idx="81">
                  <c:v>Apr-2028</c:v>
                </c:pt>
                <c:pt idx="82">
                  <c:v>Jul-2028</c:v>
                </c:pt>
                <c:pt idx="83">
                  <c:v>Oct-2028</c:v>
                </c:pt>
                <c:pt idx="84">
                  <c:v>Jan-2029</c:v>
                </c:pt>
                <c:pt idx="85">
                  <c:v>Apr-2029</c:v>
                </c:pt>
                <c:pt idx="86">
                  <c:v>Jul-2029</c:v>
                </c:pt>
                <c:pt idx="87">
                  <c:v>Oct-2029</c:v>
                </c:pt>
                <c:pt idx="88">
                  <c:v>Jan-2030</c:v>
                </c:pt>
                <c:pt idx="89">
                  <c:v>Apr-2030</c:v>
                </c:pt>
                <c:pt idx="90">
                  <c:v>Jul-2030</c:v>
                </c:pt>
                <c:pt idx="91">
                  <c:v>Oct-2030</c:v>
                </c:pt>
              </c:strCache>
            </c:strRef>
          </c:cat>
          <c:val>
            <c:numRef>
              <c:f>Inflation!$B$212:$B$303</c:f>
              <c:numCache>
                <c:formatCode>General</c:formatCode>
                <c:ptCount val="92"/>
              </c:numCache>
            </c:numRef>
          </c:val>
          <c:smooth val="1"/>
        </c:ser>
        <c:ser>
          <c:idx val="1"/>
          <c:order val="1"/>
          <c:tx>
            <c:strRef>
              <c:f>Inflation!E211</c:f>
              <c:strCache>
                <c:ptCount val="1"/>
                <c:pt idx="0">
                  <c:v>Trend Fcst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Inflation!$A$212:$A$303</c:f>
              <c:strCache>
                <c:ptCount val="92"/>
                <c:pt idx="0">
                  <c:v>Jan-2008</c:v>
                </c:pt>
                <c:pt idx="1">
                  <c:v>Apr-2008</c:v>
                </c:pt>
                <c:pt idx="2">
                  <c:v>Jul-2008</c:v>
                </c:pt>
                <c:pt idx="3">
                  <c:v>Oct-2008</c:v>
                </c:pt>
                <c:pt idx="4">
                  <c:v>Jan-2009</c:v>
                </c:pt>
                <c:pt idx="5">
                  <c:v>Apr-2009</c:v>
                </c:pt>
                <c:pt idx="6">
                  <c:v>Jul-2009</c:v>
                </c:pt>
                <c:pt idx="7">
                  <c:v>Oct-2009</c:v>
                </c:pt>
                <c:pt idx="8">
                  <c:v>Jan-2010</c:v>
                </c:pt>
                <c:pt idx="9">
                  <c:v>Apr-2010</c:v>
                </c:pt>
                <c:pt idx="10">
                  <c:v>Jul-2010</c:v>
                </c:pt>
                <c:pt idx="11">
                  <c:v>Oct-2010</c:v>
                </c:pt>
                <c:pt idx="12">
                  <c:v>Jan-2011</c:v>
                </c:pt>
                <c:pt idx="13">
                  <c:v>Apr-2011</c:v>
                </c:pt>
                <c:pt idx="14">
                  <c:v>Jul-2011</c:v>
                </c:pt>
                <c:pt idx="15">
                  <c:v>Oct-2011</c:v>
                </c:pt>
                <c:pt idx="16">
                  <c:v>Jan-2012</c:v>
                </c:pt>
                <c:pt idx="17">
                  <c:v>Apr-2012</c:v>
                </c:pt>
                <c:pt idx="18">
                  <c:v>Jul-2012</c:v>
                </c:pt>
                <c:pt idx="19">
                  <c:v>Oct-2012</c:v>
                </c:pt>
                <c:pt idx="20">
                  <c:v>Jan-2013</c:v>
                </c:pt>
                <c:pt idx="21">
                  <c:v>Apr-2013</c:v>
                </c:pt>
                <c:pt idx="22">
                  <c:v>Jul-2013</c:v>
                </c:pt>
                <c:pt idx="23">
                  <c:v>Oct-2013</c:v>
                </c:pt>
                <c:pt idx="24">
                  <c:v>Jan-2014</c:v>
                </c:pt>
                <c:pt idx="25">
                  <c:v>Apr-2014</c:v>
                </c:pt>
                <c:pt idx="26">
                  <c:v>Jul-2014</c:v>
                </c:pt>
                <c:pt idx="27">
                  <c:v>Oct-2014</c:v>
                </c:pt>
                <c:pt idx="28">
                  <c:v>Jan-2015</c:v>
                </c:pt>
                <c:pt idx="29">
                  <c:v>Apr-2015</c:v>
                </c:pt>
                <c:pt idx="30">
                  <c:v>Jul-2015</c:v>
                </c:pt>
                <c:pt idx="31">
                  <c:v>Oct-2015</c:v>
                </c:pt>
                <c:pt idx="32">
                  <c:v>Jan-2016</c:v>
                </c:pt>
                <c:pt idx="33">
                  <c:v>Apr-2016</c:v>
                </c:pt>
                <c:pt idx="34">
                  <c:v>Jul-2016</c:v>
                </c:pt>
                <c:pt idx="35">
                  <c:v>Oct-2016</c:v>
                </c:pt>
                <c:pt idx="36">
                  <c:v>Jan-2017</c:v>
                </c:pt>
                <c:pt idx="37">
                  <c:v>Apr-2017</c:v>
                </c:pt>
                <c:pt idx="38">
                  <c:v>Jul-2017</c:v>
                </c:pt>
                <c:pt idx="39">
                  <c:v>Oct-2017</c:v>
                </c:pt>
                <c:pt idx="40">
                  <c:v>Jan-2018</c:v>
                </c:pt>
                <c:pt idx="41">
                  <c:v>Apr-2018</c:v>
                </c:pt>
                <c:pt idx="42">
                  <c:v>Jul-2018</c:v>
                </c:pt>
                <c:pt idx="43">
                  <c:v>Oct-2018</c:v>
                </c:pt>
                <c:pt idx="44">
                  <c:v>Jan-2019</c:v>
                </c:pt>
                <c:pt idx="45">
                  <c:v>Apr-2019</c:v>
                </c:pt>
                <c:pt idx="46">
                  <c:v>Jul-2019</c:v>
                </c:pt>
                <c:pt idx="47">
                  <c:v>Oct-2019</c:v>
                </c:pt>
                <c:pt idx="48">
                  <c:v>Jan-2020</c:v>
                </c:pt>
                <c:pt idx="49">
                  <c:v>Apr-2020</c:v>
                </c:pt>
                <c:pt idx="50">
                  <c:v>Jul-2020</c:v>
                </c:pt>
                <c:pt idx="51">
                  <c:v>Oct-2020</c:v>
                </c:pt>
                <c:pt idx="52">
                  <c:v>Jan-2021</c:v>
                </c:pt>
                <c:pt idx="53">
                  <c:v>Apr-2021</c:v>
                </c:pt>
                <c:pt idx="54">
                  <c:v>Jul-2021</c:v>
                </c:pt>
                <c:pt idx="55">
                  <c:v>Oct-2021</c:v>
                </c:pt>
                <c:pt idx="56">
                  <c:v>Jan-2022</c:v>
                </c:pt>
                <c:pt idx="57">
                  <c:v>Apr-2022</c:v>
                </c:pt>
                <c:pt idx="58">
                  <c:v>Jul-2022</c:v>
                </c:pt>
                <c:pt idx="59">
                  <c:v>Oct-2022</c:v>
                </c:pt>
                <c:pt idx="60">
                  <c:v>Jan-2023</c:v>
                </c:pt>
                <c:pt idx="61">
                  <c:v>Apr-2023</c:v>
                </c:pt>
                <c:pt idx="62">
                  <c:v>Jul-2023</c:v>
                </c:pt>
                <c:pt idx="63">
                  <c:v>Oct-2023</c:v>
                </c:pt>
                <c:pt idx="64">
                  <c:v>Jan-2024</c:v>
                </c:pt>
                <c:pt idx="65">
                  <c:v>Apr-2024</c:v>
                </c:pt>
                <c:pt idx="66">
                  <c:v>Jul-2024</c:v>
                </c:pt>
                <c:pt idx="67">
                  <c:v>Oct-2024</c:v>
                </c:pt>
                <c:pt idx="68">
                  <c:v>Jan-2025</c:v>
                </c:pt>
                <c:pt idx="69">
                  <c:v>Apr-2025</c:v>
                </c:pt>
                <c:pt idx="70">
                  <c:v>Jul-2025</c:v>
                </c:pt>
                <c:pt idx="71">
                  <c:v>Oct-2025</c:v>
                </c:pt>
                <c:pt idx="72">
                  <c:v>Jan-2026</c:v>
                </c:pt>
                <c:pt idx="73">
                  <c:v>Apr-2026</c:v>
                </c:pt>
                <c:pt idx="74">
                  <c:v>Jul-2026</c:v>
                </c:pt>
                <c:pt idx="75">
                  <c:v>Oct-2026</c:v>
                </c:pt>
                <c:pt idx="76">
                  <c:v>Jan-2027</c:v>
                </c:pt>
                <c:pt idx="77">
                  <c:v>Apr-2027</c:v>
                </c:pt>
                <c:pt idx="78">
                  <c:v>Jul-2027</c:v>
                </c:pt>
                <c:pt idx="79">
                  <c:v>Oct-2027</c:v>
                </c:pt>
                <c:pt idx="80">
                  <c:v>Jan-2028</c:v>
                </c:pt>
                <c:pt idx="81">
                  <c:v>Apr-2028</c:v>
                </c:pt>
                <c:pt idx="82">
                  <c:v>Jul-2028</c:v>
                </c:pt>
                <c:pt idx="83">
                  <c:v>Oct-2028</c:v>
                </c:pt>
                <c:pt idx="84">
                  <c:v>Jan-2029</c:v>
                </c:pt>
                <c:pt idx="85">
                  <c:v>Apr-2029</c:v>
                </c:pt>
                <c:pt idx="86">
                  <c:v>Jul-2029</c:v>
                </c:pt>
                <c:pt idx="87">
                  <c:v>Oct-2029</c:v>
                </c:pt>
                <c:pt idx="88">
                  <c:v>Jan-2030</c:v>
                </c:pt>
                <c:pt idx="89">
                  <c:v>Apr-2030</c:v>
                </c:pt>
                <c:pt idx="90">
                  <c:v>Jul-2030</c:v>
                </c:pt>
                <c:pt idx="91">
                  <c:v>Oct-2030</c:v>
                </c:pt>
              </c:strCache>
            </c:strRef>
          </c:cat>
          <c:val>
            <c:numRef>
              <c:f>Inflation!$E$212:$E$303</c:f>
              <c:numCache>
                <c:formatCode>General</c:formatCode>
                <c:ptCount val="92"/>
              </c:numCache>
            </c:numRef>
          </c:val>
          <c:smooth val="1"/>
        </c:ser>
        <c:ser>
          <c:idx val="2"/>
          <c:order val="2"/>
          <c:tx>
            <c:strRef>
              <c:f>Inflation!F211</c:f>
              <c:strCache>
                <c:ptCount val="1"/>
                <c:pt idx="0">
                  <c:v>Damped Fcst</c:v>
                </c:pt>
              </c:strCache>
            </c:strRef>
          </c:tx>
          <c:spPr>
            <a:solidFill>
              <a:srgbClr val="98B855"/>
            </a:solidFill>
            <a:ln w="12600">
              <a:solidFill>
                <a:srgbClr val="98B855"/>
              </a:solidFill>
              <a:prstDash val="sys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sys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Inflation!$A$212:$A$303</c:f>
              <c:strCache>
                <c:ptCount val="92"/>
                <c:pt idx="0">
                  <c:v>Jan-2008</c:v>
                </c:pt>
                <c:pt idx="1">
                  <c:v>Apr-2008</c:v>
                </c:pt>
                <c:pt idx="2">
                  <c:v>Jul-2008</c:v>
                </c:pt>
                <c:pt idx="3">
                  <c:v>Oct-2008</c:v>
                </c:pt>
                <c:pt idx="4">
                  <c:v>Jan-2009</c:v>
                </c:pt>
                <c:pt idx="5">
                  <c:v>Apr-2009</c:v>
                </c:pt>
                <c:pt idx="6">
                  <c:v>Jul-2009</c:v>
                </c:pt>
                <c:pt idx="7">
                  <c:v>Oct-2009</c:v>
                </c:pt>
                <c:pt idx="8">
                  <c:v>Jan-2010</c:v>
                </c:pt>
                <c:pt idx="9">
                  <c:v>Apr-2010</c:v>
                </c:pt>
                <c:pt idx="10">
                  <c:v>Jul-2010</c:v>
                </c:pt>
                <c:pt idx="11">
                  <c:v>Oct-2010</c:v>
                </c:pt>
                <c:pt idx="12">
                  <c:v>Jan-2011</c:v>
                </c:pt>
                <c:pt idx="13">
                  <c:v>Apr-2011</c:v>
                </c:pt>
                <c:pt idx="14">
                  <c:v>Jul-2011</c:v>
                </c:pt>
                <c:pt idx="15">
                  <c:v>Oct-2011</c:v>
                </c:pt>
                <c:pt idx="16">
                  <c:v>Jan-2012</c:v>
                </c:pt>
                <c:pt idx="17">
                  <c:v>Apr-2012</c:v>
                </c:pt>
                <c:pt idx="18">
                  <c:v>Jul-2012</c:v>
                </c:pt>
                <c:pt idx="19">
                  <c:v>Oct-2012</c:v>
                </c:pt>
                <c:pt idx="20">
                  <c:v>Jan-2013</c:v>
                </c:pt>
                <c:pt idx="21">
                  <c:v>Apr-2013</c:v>
                </c:pt>
                <c:pt idx="22">
                  <c:v>Jul-2013</c:v>
                </c:pt>
                <c:pt idx="23">
                  <c:v>Oct-2013</c:v>
                </c:pt>
                <c:pt idx="24">
                  <c:v>Jan-2014</c:v>
                </c:pt>
                <c:pt idx="25">
                  <c:v>Apr-2014</c:v>
                </c:pt>
                <c:pt idx="26">
                  <c:v>Jul-2014</c:v>
                </c:pt>
                <c:pt idx="27">
                  <c:v>Oct-2014</c:v>
                </c:pt>
                <c:pt idx="28">
                  <c:v>Jan-2015</c:v>
                </c:pt>
                <c:pt idx="29">
                  <c:v>Apr-2015</c:v>
                </c:pt>
                <c:pt idx="30">
                  <c:v>Jul-2015</c:v>
                </c:pt>
                <c:pt idx="31">
                  <c:v>Oct-2015</c:v>
                </c:pt>
                <c:pt idx="32">
                  <c:v>Jan-2016</c:v>
                </c:pt>
                <c:pt idx="33">
                  <c:v>Apr-2016</c:v>
                </c:pt>
                <c:pt idx="34">
                  <c:v>Jul-2016</c:v>
                </c:pt>
                <c:pt idx="35">
                  <c:v>Oct-2016</c:v>
                </c:pt>
                <c:pt idx="36">
                  <c:v>Jan-2017</c:v>
                </c:pt>
                <c:pt idx="37">
                  <c:v>Apr-2017</c:v>
                </c:pt>
                <c:pt idx="38">
                  <c:v>Jul-2017</c:v>
                </c:pt>
                <c:pt idx="39">
                  <c:v>Oct-2017</c:v>
                </c:pt>
                <c:pt idx="40">
                  <c:v>Jan-2018</c:v>
                </c:pt>
                <c:pt idx="41">
                  <c:v>Apr-2018</c:v>
                </c:pt>
                <c:pt idx="42">
                  <c:v>Jul-2018</c:v>
                </c:pt>
                <c:pt idx="43">
                  <c:v>Oct-2018</c:v>
                </c:pt>
                <c:pt idx="44">
                  <c:v>Jan-2019</c:v>
                </c:pt>
                <c:pt idx="45">
                  <c:v>Apr-2019</c:v>
                </c:pt>
                <c:pt idx="46">
                  <c:v>Jul-2019</c:v>
                </c:pt>
                <c:pt idx="47">
                  <c:v>Oct-2019</c:v>
                </c:pt>
                <c:pt idx="48">
                  <c:v>Jan-2020</c:v>
                </c:pt>
                <c:pt idx="49">
                  <c:v>Apr-2020</c:v>
                </c:pt>
                <c:pt idx="50">
                  <c:v>Jul-2020</c:v>
                </c:pt>
                <c:pt idx="51">
                  <c:v>Oct-2020</c:v>
                </c:pt>
                <c:pt idx="52">
                  <c:v>Jan-2021</c:v>
                </c:pt>
                <c:pt idx="53">
                  <c:v>Apr-2021</c:v>
                </c:pt>
                <c:pt idx="54">
                  <c:v>Jul-2021</c:v>
                </c:pt>
                <c:pt idx="55">
                  <c:v>Oct-2021</c:v>
                </c:pt>
                <c:pt idx="56">
                  <c:v>Jan-2022</c:v>
                </c:pt>
                <c:pt idx="57">
                  <c:v>Apr-2022</c:v>
                </c:pt>
                <c:pt idx="58">
                  <c:v>Jul-2022</c:v>
                </c:pt>
                <c:pt idx="59">
                  <c:v>Oct-2022</c:v>
                </c:pt>
                <c:pt idx="60">
                  <c:v>Jan-2023</c:v>
                </c:pt>
                <c:pt idx="61">
                  <c:v>Apr-2023</c:v>
                </c:pt>
                <c:pt idx="62">
                  <c:v>Jul-2023</c:v>
                </c:pt>
                <c:pt idx="63">
                  <c:v>Oct-2023</c:v>
                </c:pt>
                <c:pt idx="64">
                  <c:v>Jan-2024</c:v>
                </c:pt>
                <c:pt idx="65">
                  <c:v>Apr-2024</c:v>
                </c:pt>
                <c:pt idx="66">
                  <c:v>Jul-2024</c:v>
                </c:pt>
                <c:pt idx="67">
                  <c:v>Oct-2024</c:v>
                </c:pt>
                <c:pt idx="68">
                  <c:v>Jan-2025</c:v>
                </c:pt>
                <c:pt idx="69">
                  <c:v>Apr-2025</c:v>
                </c:pt>
                <c:pt idx="70">
                  <c:v>Jul-2025</c:v>
                </c:pt>
                <c:pt idx="71">
                  <c:v>Oct-2025</c:v>
                </c:pt>
                <c:pt idx="72">
                  <c:v>Jan-2026</c:v>
                </c:pt>
                <c:pt idx="73">
                  <c:v>Apr-2026</c:v>
                </c:pt>
                <c:pt idx="74">
                  <c:v>Jul-2026</c:v>
                </c:pt>
                <c:pt idx="75">
                  <c:v>Oct-2026</c:v>
                </c:pt>
                <c:pt idx="76">
                  <c:v>Jan-2027</c:v>
                </c:pt>
                <c:pt idx="77">
                  <c:v>Apr-2027</c:v>
                </c:pt>
                <c:pt idx="78">
                  <c:v>Jul-2027</c:v>
                </c:pt>
                <c:pt idx="79">
                  <c:v>Oct-2027</c:v>
                </c:pt>
                <c:pt idx="80">
                  <c:v>Jan-2028</c:v>
                </c:pt>
                <c:pt idx="81">
                  <c:v>Apr-2028</c:v>
                </c:pt>
                <c:pt idx="82">
                  <c:v>Jul-2028</c:v>
                </c:pt>
                <c:pt idx="83">
                  <c:v>Oct-2028</c:v>
                </c:pt>
                <c:pt idx="84">
                  <c:v>Jan-2029</c:v>
                </c:pt>
                <c:pt idx="85">
                  <c:v>Apr-2029</c:v>
                </c:pt>
                <c:pt idx="86">
                  <c:v>Jul-2029</c:v>
                </c:pt>
                <c:pt idx="87">
                  <c:v>Oct-2029</c:v>
                </c:pt>
                <c:pt idx="88">
                  <c:v>Jan-2030</c:v>
                </c:pt>
                <c:pt idx="89">
                  <c:v>Apr-2030</c:v>
                </c:pt>
                <c:pt idx="90">
                  <c:v>Jul-2030</c:v>
                </c:pt>
                <c:pt idx="91">
                  <c:v>Oct-2030</c:v>
                </c:pt>
              </c:strCache>
            </c:strRef>
          </c:cat>
          <c:val>
            <c:numRef>
              <c:f>Inflation!$F$212:$F$303</c:f>
              <c:numCache>
                <c:formatCode>General</c:formatCode>
                <c:ptCount val="92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8384000"/>
        <c:axId val="70791504"/>
      </c:lineChart>
      <c:catAx>
        <c:axId val="68384000"/>
        <c:scaling>
          <c:orientation val="minMax"/>
        </c:scaling>
        <c:delete val="0"/>
        <c:axPos val="b"/>
        <c:numFmt formatCode="mmm\-yy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0791504"/>
        <c:crosses val="autoZero"/>
        <c:auto val="1"/>
        <c:lblAlgn val="ctr"/>
        <c:lblOffset val="100"/>
        <c:noMultiLvlLbl val="0"/>
      </c:catAx>
      <c:valAx>
        <c:axId val="7079150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838400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Fiscal!B9</c:f>
              <c:strCache>
                <c:ptCount val="1"/>
                <c:pt idx="0">
                  <c:v>Level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Fiscal!$A$10:$A$101</c:f>
              <c:strCache>
                <c:ptCount val="92"/>
                <c:pt idx="0">
                  <c:v>Jan-2008</c:v>
                </c:pt>
                <c:pt idx="1">
                  <c:v>Apr-2008</c:v>
                </c:pt>
                <c:pt idx="2">
                  <c:v>Jul-2008</c:v>
                </c:pt>
                <c:pt idx="3">
                  <c:v>Oct-2008</c:v>
                </c:pt>
                <c:pt idx="4">
                  <c:v>Jan-2009</c:v>
                </c:pt>
                <c:pt idx="5">
                  <c:v>Apr-2009</c:v>
                </c:pt>
                <c:pt idx="6">
                  <c:v>Jul-2009</c:v>
                </c:pt>
                <c:pt idx="7">
                  <c:v>Oct-2009</c:v>
                </c:pt>
                <c:pt idx="8">
                  <c:v>Jan-2010</c:v>
                </c:pt>
                <c:pt idx="9">
                  <c:v>Apr-2010</c:v>
                </c:pt>
                <c:pt idx="10">
                  <c:v>Jul-2010</c:v>
                </c:pt>
                <c:pt idx="11">
                  <c:v>Oct-2010</c:v>
                </c:pt>
                <c:pt idx="12">
                  <c:v>Jan-2011</c:v>
                </c:pt>
                <c:pt idx="13">
                  <c:v>Apr-2011</c:v>
                </c:pt>
                <c:pt idx="14">
                  <c:v>Jul-2011</c:v>
                </c:pt>
                <c:pt idx="15">
                  <c:v>Oct-2011</c:v>
                </c:pt>
                <c:pt idx="16">
                  <c:v>Jan-2012</c:v>
                </c:pt>
                <c:pt idx="17">
                  <c:v>Apr-2012</c:v>
                </c:pt>
                <c:pt idx="18">
                  <c:v>Jul-2012</c:v>
                </c:pt>
                <c:pt idx="19">
                  <c:v>Oct-2012</c:v>
                </c:pt>
                <c:pt idx="20">
                  <c:v>Jan-2013</c:v>
                </c:pt>
                <c:pt idx="21">
                  <c:v>Apr-2013</c:v>
                </c:pt>
                <c:pt idx="22">
                  <c:v>Jul-2013</c:v>
                </c:pt>
                <c:pt idx="23">
                  <c:v>Oct-2013</c:v>
                </c:pt>
                <c:pt idx="24">
                  <c:v>Jan-2014</c:v>
                </c:pt>
                <c:pt idx="25">
                  <c:v>Apr-2014</c:v>
                </c:pt>
                <c:pt idx="26">
                  <c:v>Jul-2014</c:v>
                </c:pt>
                <c:pt idx="27">
                  <c:v>Oct-2014</c:v>
                </c:pt>
                <c:pt idx="28">
                  <c:v>Jan-2015</c:v>
                </c:pt>
                <c:pt idx="29">
                  <c:v>Apr-2015</c:v>
                </c:pt>
                <c:pt idx="30">
                  <c:v>Jul-2015</c:v>
                </c:pt>
                <c:pt idx="31">
                  <c:v>Oct-2015</c:v>
                </c:pt>
                <c:pt idx="32">
                  <c:v>Jan-2016</c:v>
                </c:pt>
                <c:pt idx="33">
                  <c:v>Apr-2016</c:v>
                </c:pt>
                <c:pt idx="34">
                  <c:v>Jul-2016</c:v>
                </c:pt>
                <c:pt idx="35">
                  <c:v>Oct-2016</c:v>
                </c:pt>
                <c:pt idx="36">
                  <c:v>Jan-2017</c:v>
                </c:pt>
                <c:pt idx="37">
                  <c:v>Apr-2017</c:v>
                </c:pt>
                <c:pt idx="38">
                  <c:v>Jul-2017</c:v>
                </c:pt>
                <c:pt idx="39">
                  <c:v>Oct-2017</c:v>
                </c:pt>
                <c:pt idx="40">
                  <c:v>Jan-2018</c:v>
                </c:pt>
                <c:pt idx="41">
                  <c:v>Apr-2018</c:v>
                </c:pt>
                <c:pt idx="42">
                  <c:v>Jul-2018</c:v>
                </c:pt>
                <c:pt idx="43">
                  <c:v>Oct-2018</c:v>
                </c:pt>
                <c:pt idx="44">
                  <c:v>Jan-2019</c:v>
                </c:pt>
                <c:pt idx="45">
                  <c:v>Apr-2019</c:v>
                </c:pt>
                <c:pt idx="46">
                  <c:v>Jul-2019</c:v>
                </c:pt>
                <c:pt idx="47">
                  <c:v>Oct-2019</c:v>
                </c:pt>
                <c:pt idx="48">
                  <c:v>Jan-2020</c:v>
                </c:pt>
                <c:pt idx="49">
                  <c:v>Apr-2020</c:v>
                </c:pt>
                <c:pt idx="50">
                  <c:v>Jul-2020</c:v>
                </c:pt>
                <c:pt idx="51">
                  <c:v>Oct-2020</c:v>
                </c:pt>
                <c:pt idx="52">
                  <c:v>Jan-2021</c:v>
                </c:pt>
                <c:pt idx="53">
                  <c:v>Apr-2021</c:v>
                </c:pt>
                <c:pt idx="54">
                  <c:v>Jul-2021</c:v>
                </c:pt>
                <c:pt idx="55">
                  <c:v>Oct-2021</c:v>
                </c:pt>
                <c:pt idx="56">
                  <c:v>Jan-2022</c:v>
                </c:pt>
                <c:pt idx="57">
                  <c:v>Apr-2022</c:v>
                </c:pt>
                <c:pt idx="58">
                  <c:v>Jul-2022</c:v>
                </c:pt>
                <c:pt idx="59">
                  <c:v>Oct-2022</c:v>
                </c:pt>
                <c:pt idx="60">
                  <c:v>Jan-2023</c:v>
                </c:pt>
                <c:pt idx="61">
                  <c:v>Apr-2023</c:v>
                </c:pt>
                <c:pt idx="62">
                  <c:v>Jul-2023</c:v>
                </c:pt>
                <c:pt idx="63">
                  <c:v>Oct-2023</c:v>
                </c:pt>
                <c:pt idx="64">
                  <c:v>Jan-2024</c:v>
                </c:pt>
                <c:pt idx="65">
                  <c:v>Apr-2024</c:v>
                </c:pt>
                <c:pt idx="66">
                  <c:v>Jul-2024</c:v>
                </c:pt>
                <c:pt idx="67">
                  <c:v>Oct-2024</c:v>
                </c:pt>
                <c:pt idx="68">
                  <c:v>Jan-2025</c:v>
                </c:pt>
                <c:pt idx="69">
                  <c:v>Apr-2025</c:v>
                </c:pt>
                <c:pt idx="70">
                  <c:v>Jul-2025</c:v>
                </c:pt>
                <c:pt idx="71">
                  <c:v>Oct-2025</c:v>
                </c:pt>
                <c:pt idx="72">
                  <c:v>Jan-2026</c:v>
                </c:pt>
                <c:pt idx="73">
                  <c:v>Apr-2026</c:v>
                </c:pt>
                <c:pt idx="74">
                  <c:v>Jul-2026</c:v>
                </c:pt>
                <c:pt idx="75">
                  <c:v>Oct-2026</c:v>
                </c:pt>
                <c:pt idx="76">
                  <c:v>Jan-2027</c:v>
                </c:pt>
                <c:pt idx="77">
                  <c:v>Apr-2027</c:v>
                </c:pt>
                <c:pt idx="78">
                  <c:v>Jul-2027</c:v>
                </c:pt>
                <c:pt idx="79">
                  <c:v>Oct-2027</c:v>
                </c:pt>
                <c:pt idx="80">
                  <c:v>Jan-2028</c:v>
                </c:pt>
                <c:pt idx="81">
                  <c:v>Apr-2028</c:v>
                </c:pt>
                <c:pt idx="82">
                  <c:v>Jul-2028</c:v>
                </c:pt>
                <c:pt idx="83">
                  <c:v>Oct-2028</c:v>
                </c:pt>
                <c:pt idx="84">
                  <c:v>Jan-2029</c:v>
                </c:pt>
                <c:pt idx="85">
                  <c:v>Apr-2029</c:v>
                </c:pt>
                <c:pt idx="86">
                  <c:v>Jul-2029</c:v>
                </c:pt>
                <c:pt idx="87">
                  <c:v>Oct-2029</c:v>
                </c:pt>
                <c:pt idx="88">
                  <c:v>Jan-2030</c:v>
                </c:pt>
                <c:pt idx="89">
                  <c:v>Apr-2030</c:v>
                </c:pt>
                <c:pt idx="90">
                  <c:v>Jul-2030</c:v>
                </c:pt>
                <c:pt idx="91">
                  <c:v>Oct-2030</c:v>
                </c:pt>
              </c:strCache>
            </c:strRef>
          </c:cat>
          <c:val>
            <c:numRef>
              <c:f>Fiscal!$B$10:$B$101</c:f>
              <c:numCache>
                <c:formatCode>General</c:formatCode>
                <c:ptCount val="92"/>
              </c:numCache>
            </c:numRef>
          </c:val>
          <c:smooth val="1"/>
        </c:ser>
        <c:ser>
          <c:idx val="1"/>
          <c:order val="1"/>
          <c:tx>
            <c:strRef>
              <c:f>Fiscal!E9</c:f>
              <c:strCache>
                <c:ptCount val="1"/>
                <c:pt idx="0">
                  <c:v>Trend Fcst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Fiscal!$A$10:$A$101</c:f>
              <c:strCache>
                <c:ptCount val="92"/>
                <c:pt idx="0">
                  <c:v>Jan-2008</c:v>
                </c:pt>
                <c:pt idx="1">
                  <c:v>Apr-2008</c:v>
                </c:pt>
                <c:pt idx="2">
                  <c:v>Jul-2008</c:v>
                </c:pt>
                <c:pt idx="3">
                  <c:v>Oct-2008</c:v>
                </c:pt>
                <c:pt idx="4">
                  <c:v>Jan-2009</c:v>
                </c:pt>
                <c:pt idx="5">
                  <c:v>Apr-2009</c:v>
                </c:pt>
                <c:pt idx="6">
                  <c:v>Jul-2009</c:v>
                </c:pt>
                <c:pt idx="7">
                  <c:v>Oct-2009</c:v>
                </c:pt>
                <c:pt idx="8">
                  <c:v>Jan-2010</c:v>
                </c:pt>
                <c:pt idx="9">
                  <c:v>Apr-2010</c:v>
                </c:pt>
                <c:pt idx="10">
                  <c:v>Jul-2010</c:v>
                </c:pt>
                <c:pt idx="11">
                  <c:v>Oct-2010</c:v>
                </c:pt>
                <c:pt idx="12">
                  <c:v>Jan-2011</c:v>
                </c:pt>
                <c:pt idx="13">
                  <c:v>Apr-2011</c:v>
                </c:pt>
                <c:pt idx="14">
                  <c:v>Jul-2011</c:v>
                </c:pt>
                <c:pt idx="15">
                  <c:v>Oct-2011</c:v>
                </c:pt>
                <c:pt idx="16">
                  <c:v>Jan-2012</c:v>
                </c:pt>
                <c:pt idx="17">
                  <c:v>Apr-2012</c:v>
                </c:pt>
                <c:pt idx="18">
                  <c:v>Jul-2012</c:v>
                </c:pt>
                <c:pt idx="19">
                  <c:v>Oct-2012</c:v>
                </c:pt>
                <c:pt idx="20">
                  <c:v>Jan-2013</c:v>
                </c:pt>
                <c:pt idx="21">
                  <c:v>Apr-2013</c:v>
                </c:pt>
                <c:pt idx="22">
                  <c:v>Jul-2013</c:v>
                </c:pt>
                <c:pt idx="23">
                  <c:v>Oct-2013</c:v>
                </c:pt>
                <c:pt idx="24">
                  <c:v>Jan-2014</c:v>
                </c:pt>
                <c:pt idx="25">
                  <c:v>Apr-2014</c:v>
                </c:pt>
                <c:pt idx="26">
                  <c:v>Jul-2014</c:v>
                </c:pt>
                <c:pt idx="27">
                  <c:v>Oct-2014</c:v>
                </c:pt>
                <c:pt idx="28">
                  <c:v>Jan-2015</c:v>
                </c:pt>
                <c:pt idx="29">
                  <c:v>Apr-2015</c:v>
                </c:pt>
                <c:pt idx="30">
                  <c:v>Jul-2015</c:v>
                </c:pt>
                <c:pt idx="31">
                  <c:v>Oct-2015</c:v>
                </c:pt>
                <c:pt idx="32">
                  <c:v>Jan-2016</c:v>
                </c:pt>
                <c:pt idx="33">
                  <c:v>Apr-2016</c:v>
                </c:pt>
                <c:pt idx="34">
                  <c:v>Jul-2016</c:v>
                </c:pt>
                <c:pt idx="35">
                  <c:v>Oct-2016</c:v>
                </c:pt>
                <c:pt idx="36">
                  <c:v>Jan-2017</c:v>
                </c:pt>
                <c:pt idx="37">
                  <c:v>Apr-2017</c:v>
                </c:pt>
                <c:pt idx="38">
                  <c:v>Jul-2017</c:v>
                </c:pt>
                <c:pt idx="39">
                  <c:v>Oct-2017</c:v>
                </c:pt>
                <c:pt idx="40">
                  <c:v>Jan-2018</c:v>
                </c:pt>
                <c:pt idx="41">
                  <c:v>Apr-2018</c:v>
                </c:pt>
                <c:pt idx="42">
                  <c:v>Jul-2018</c:v>
                </c:pt>
                <c:pt idx="43">
                  <c:v>Oct-2018</c:v>
                </c:pt>
                <c:pt idx="44">
                  <c:v>Jan-2019</c:v>
                </c:pt>
                <c:pt idx="45">
                  <c:v>Apr-2019</c:v>
                </c:pt>
                <c:pt idx="46">
                  <c:v>Jul-2019</c:v>
                </c:pt>
                <c:pt idx="47">
                  <c:v>Oct-2019</c:v>
                </c:pt>
                <c:pt idx="48">
                  <c:v>Jan-2020</c:v>
                </c:pt>
                <c:pt idx="49">
                  <c:v>Apr-2020</c:v>
                </c:pt>
                <c:pt idx="50">
                  <c:v>Jul-2020</c:v>
                </c:pt>
                <c:pt idx="51">
                  <c:v>Oct-2020</c:v>
                </c:pt>
                <c:pt idx="52">
                  <c:v>Jan-2021</c:v>
                </c:pt>
                <c:pt idx="53">
                  <c:v>Apr-2021</c:v>
                </c:pt>
                <c:pt idx="54">
                  <c:v>Jul-2021</c:v>
                </c:pt>
                <c:pt idx="55">
                  <c:v>Oct-2021</c:v>
                </c:pt>
                <c:pt idx="56">
                  <c:v>Jan-2022</c:v>
                </c:pt>
                <c:pt idx="57">
                  <c:v>Apr-2022</c:v>
                </c:pt>
                <c:pt idx="58">
                  <c:v>Jul-2022</c:v>
                </c:pt>
                <c:pt idx="59">
                  <c:v>Oct-2022</c:v>
                </c:pt>
                <c:pt idx="60">
                  <c:v>Jan-2023</c:v>
                </c:pt>
                <c:pt idx="61">
                  <c:v>Apr-2023</c:v>
                </c:pt>
                <c:pt idx="62">
                  <c:v>Jul-2023</c:v>
                </c:pt>
                <c:pt idx="63">
                  <c:v>Oct-2023</c:v>
                </c:pt>
                <c:pt idx="64">
                  <c:v>Jan-2024</c:v>
                </c:pt>
                <c:pt idx="65">
                  <c:v>Apr-2024</c:v>
                </c:pt>
                <c:pt idx="66">
                  <c:v>Jul-2024</c:v>
                </c:pt>
                <c:pt idx="67">
                  <c:v>Oct-2024</c:v>
                </c:pt>
                <c:pt idx="68">
                  <c:v>Jan-2025</c:v>
                </c:pt>
                <c:pt idx="69">
                  <c:v>Apr-2025</c:v>
                </c:pt>
                <c:pt idx="70">
                  <c:v>Jul-2025</c:v>
                </c:pt>
                <c:pt idx="71">
                  <c:v>Oct-2025</c:v>
                </c:pt>
                <c:pt idx="72">
                  <c:v>Jan-2026</c:v>
                </c:pt>
                <c:pt idx="73">
                  <c:v>Apr-2026</c:v>
                </c:pt>
                <c:pt idx="74">
                  <c:v>Jul-2026</c:v>
                </c:pt>
                <c:pt idx="75">
                  <c:v>Oct-2026</c:v>
                </c:pt>
                <c:pt idx="76">
                  <c:v>Jan-2027</c:v>
                </c:pt>
                <c:pt idx="77">
                  <c:v>Apr-2027</c:v>
                </c:pt>
                <c:pt idx="78">
                  <c:v>Jul-2027</c:v>
                </c:pt>
                <c:pt idx="79">
                  <c:v>Oct-2027</c:v>
                </c:pt>
                <c:pt idx="80">
                  <c:v>Jan-2028</c:v>
                </c:pt>
                <c:pt idx="81">
                  <c:v>Apr-2028</c:v>
                </c:pt>
                <c:pt idx="82">
                  <c:v>Jul-2028</c:v>
                </c:pt>
                <c:pt idx="83">
                  <c:v>Oct-2028</c:v>
                </c:pt>
                <c:pt idx="84">
                  <c:v>Jan-2029</c:v>
                </c:pt>
                <c:pt idx="85">
                  <c:v>Apr-2029</c:v>
                </c:pt>
                <c:pt idx="86">
                  <c:v>Jul-2029</c:v>
                </c:pt>
                <c:pt idx="87">
                  <c:v>Oct-2029</c:v>
                </c:pt>
                <c:pt idx="88">
                  <c:v>Jan-2030</c:v>
                </c:pt>
                <c:pt idx="89">
                  <c:v>Apr-2030</c:v>
                </c:pt>
                <c:pt idx="90">
                  <c:v>Jul-2030</c:v>
                </c:pt>
                <c:pt idx="91">
                  <c:v>Oct-2030</c:v>
                </c:pt>
              </c:strCache>
            </c:strRef>
          </c:cat>
          <c:val>
            <c:numRef>
              <c:f>Fiscal!$E$10:$E$101</c:f>
              <c:numCache>
                <c:formatCode>General</c:formatCode>
                <c:ptCount val="92"/>
              </c:numCache>
            </c:numRef>
          </c:val>
          <c:smooth val="1"/>
        </c:ser>
        <c:ser>
          <c:idx val="2"/>
          <c:order val="2"/>
          <c:tx>
            <c:strRef>
              <c:f>Fiscal!F9</c:f>
              <c:strCache>
                <c:ptCount val="1"/>
                <c:pt idx="0">
                  <c:v>Damped Fcst</c:v>
                </c:pt>
              </c:strCache>
            </c:strRef>
          </c:tx>
          <c:spPr>
            <a:solidFill>
              <a:srgbClr val="98B855"/>
            </a:solidFill>
            <a:ln w="12600">
              <a:solidFill>
                <a:srgbClr val="98B855"/>
              </a:solidFill>
              <a:prstDash val="sys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sys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Fiscal!$A$10:$A$101</c:f>
              <c:strCache>
                <c:ptCount val="92"/>
                <c:pt idx="0">
                  <c:v>Jan-2008</c:v>
                </c:pt>
                <c:pt idx="1">
                  <c:v>Apr-2008</c:v>
                </c:pt>
                <c:pt idx="2">
                  <c:v>Jul-2008</c:v>
                </c:pt>
                <c:pt idx="3">
                  <c:v>Oct-2008</c:v>
                </c:pt>
                <c:pt idx="4">
                  <c:v>Jan-2009</c:v>
                </c:pt>
                <c:pt idx="5">
                  <c:v>Apr-2009</c:v>
                </c:pt>
                <c:pt idx="6">
                  <c:v>Jul-2009</c:v>
                </c:pt>
                <c:pt idx="7">
                  <c:v>Oct-2009</c:v>
                </c:pt>
                <c:pt idx="8">
                  <c:v>Jan-2010</c:v>
                </c:pt>
                <c:pt idx="9">
                  <c:v>Apr-2010</c:v>
                </c:pt>
                <c:pt idx="10">
                  <c:v>Jul-2010</c:v>
                </c:pt>
                <c:pt idx="11">
                  <c:v>Oct-2010</c:v>
                </c:pt>
                <c:pt idx="12">
                  <c:v>Jan-2011</c:v>
                </c:pt>
                <c:pt idx="13">
                  <c:v>Apr-2011</c:v>
                </c:pt>
                <c:pt idx="14">
                  <c:v>Jul-2011</c:v>
                </c:pt>
                <c:pt idx="15">
                  <c:v>Oct-2011</c:v>
                </c:pt>
                <c:pt idx="16">
                  <c:v>Jan-2012</c:v>
                </c:pt>
                <c:pt idx="17">
                  <c:v>Apr-2012</c:v>
                </c:pt>
                <c:pt idx="18">
                  <c:v>Jul-2012</c:v>
                </c:pt>
                <c:pt idx="19">
                  <c:v>Oct-2012</c:v>
                </c:pt>
                <c:pt idx="20">
                  <c:v>Jan-2013</c:v>
                </c:pt>
                <c:pt idx="21">
                  <c:v>Apr-2013</c:v>
                </c:pt>
                <c:pt idx="22">
                  <c:v>Jul-2013</c:v>
                </c:pt>
                <c:pt idx="23">
                  <c:v>Oct-2013</c:v>
                </c:pt>
                <c:pt idx="24">
                  <c:v>Jan-2014</c:v>
                </c:pt>
                <c:pt idx="25">
                  <c:v>Apr-2014</c:v>
                </c:pt>
                <c:pt idx="26">
                  <c:v>Jul-2014</c:v>
                </c:pt>
                <c:pt idx="27">
                  <c:v>Oct-2014</c:v>
                </c:pt>
                <c:pt idx="28">
                  <c:v>Jan-2015</c:v>
                </c:pt>
                <c:pt idx="29">
                  <c:v>Apr-2015</c:v>
                </c:pt>
                <c:pt idx="30">
                  <c:v>Jul-2015</c:v>
                </c:pt>
                <c:pt idx="31">
                  <c:v>Oct-2015</c:v>
                </c:pt>
                <c:pt idx="32">
                  <c:v>Jan-2016</c:v>
                </c:pt>
                <c:pt idx="33">
                  <c:v>Apr-2016</c:v>
                </c:pt>
                <c:pt idx="34">
                  <c:v>Jul-2016</c:v>
                </c:pt>
                <c:pt idx="35">
                  <c:v>Oct-2016</c:v>
                </c:pt>
                <c:pt idx="36">
                  <c:v>Jan-2017</c:v>
                </c:pt>
                <c:pt idx="37">
                  <c:v>Apr-2017</c:v>
                </c:pt>
                <c:pt idx="38">
                  <c:v>Jul-2017</c:v>
                </c:pt>
                <c:pt idx="39">
                  <c:v>Oct-2017</c:v>
                </c:pt>
                <c:pt idx="40">
                  <c:v>Jan-2018</c:v>
                </c:pt>
                <c:pt idx="41">
                  <c:v>Apr-2018</c:v>
                </c:pt>
                <c:pt idx="42">
                  <c:v>Jul-2018</c:v>
                </c:pt>
                <c:pt idx="43">
                  <c:v>Oct-2018</c:v>
                </c:pt>
                <c:pt idx="44">
                  <c:v>Jan-2019</c:v>
                </c:pt>
                <c:pt idx="45">
                  <c:v>Apr-2019</c:v>
                </c:pt>
                <c:pt idx="46">
                  <c:v>Jul-2019</c:v>
                </c:pt>
                <c:pt idx="47">
                  <c:v>Oct-2019</c:v>
                </c:pt>
                <c:pt idx="48">
                  <c:v>Jan-2020</c:v>
                </c:pt>
                <c:pt idx="49">
                  <c:v>Apr-2020</c:v>
                </c:pt>
                <c:pt idx="50">
                  <c:v>Jul-2020</c:v>
                </c:pt>
                <c:pt idx="51">
                  <c:v>Oct-2020</c:v>
                </c:pt>
                <c:pt idx="52">
                  <c:v>Jan-2021</c:v>
                </c:pt>
                <c:pt idx="53">
                  <c:v>Apr-2021</c:v>
                </c:pt>
                <c:pt idx="54">
                  <c:v>Jul-2021</c:v>
                </c:pt>
                <c:pt idx="55">
                  <c:v>Oct-2021</c:v>
                </c:pt>
                <c:pt idx="56">
                  <c:v>Jan-2022</c:v>
                </c:pt>
                <c:pt idx="57">
                  <c:v>Apr-2022</c:v>
                </c:pt>
                <c:pt idx="58">
                  <c:v>Jul-2022</c:v>
                </c:pt>
                <c:pt idx="59">
                  <c:v>Oct-2022</c:v>
                </c:pt>
                <c:pt idx="60">
                  <c:v>Jan-2023</c:v>
                </c:pt>
                <c:pt idx="61">
                  <c:v>Apr-2023</c:v>
                </c:pt>
                <c:pt idx="62">
                  <c:v>Jul-2023</c:v>
                </c:pt>
                <c:pt idx="63">
                  <c:v>Oct-2023</c:v>
                </c:pt>
                <c:pt idx="64">
                  <c:v>Jan-2024</c:v>
                </c:pt>
                <c:pt idx="65">
                  <c:v>Apr-2024</c:v>
                </c:pt>
                <c:pt idx="66">
                  <c:v>Jul-2024</c:v>
                </c:pt>
                <c:pt idx="67">
                  <c:v>Oct-2024</c:v>
                </c:pt>
                <c:pt idx="68">
                  <c:v>Jan-2025</c:v>
                </c:pt>
                <c:pt idx="69">
                  <c:v>Apr-2025</c:v>
                </c:pt>
                <c:pt idx="70">
                  <c:v>Jul-2025</c:v>
                </c:pt>
                <c:pt idx="71">
                  <c:v>Oct-2025</c:v>
                </c:pt>
                <c:pt idx="72">
                  <c:v>Jan-2026</c:v>
                </c:pt>
                <c:pt idx="73">
                  <c:v>Apr-2026</c:v>
                </c:pt>
                <c:pt idx="74">
                  <c:v>Jul-2026</c:v>
                </c:pt>
                <c:pt idx="75">
                  <c:v>Oct-2026</c:v>
                </c:pt>
                <c:pt idx="76">
                  <c:v>Jan-2027</c:v>
                </c:pt>
                <c:pt idx="77">
                  <c:v>Apr-2027</c:v>
                </c:pt>
                <c:pt idx="78">
                  <c:v>Jul-2027</c:v>
                </c:pt>
                <c:pt idx="79">
                  <c:v>Oct-2027</c:v>
                </c:pt>
                <c:pt idx="80">
                  <c:v>Jan-2028</c:v>
                </c:pt>
                <c:pt idx="81">
                  <c:v>Apr-2028</c:v>
                </c:pt>
                <c:pt idx="82">
                  <c:v>Jul-2028</c:v>
                </c:pt>
                <c:pt idx="83">
                  <c:v>Oct-2028</c:v>
                </c:pt>
                <c:pt idx="84">
                  <c:v>Jan-2029</c:v>
                </c:pt>
                <c:pt idx="85">
                  <c:v>Apr-2029</c:v>
                </c:pt>
                <c:pt idx="86">
                  <c:v>Jul-2029</c:v>
                </c:pt>
                <c:pt idx="87">
                  <c:v>Oct-2029</c:v>
                </c:pt>
                <c:pt idx="88">
                  <c:v>Jan-2030</c:v>
                </c:pt>
                <c:pt idx="89">
                  <c:v>Apr-2030</c:v>
                </c:pt>
                <c:pt idx="90">
                  <c:v>Jul-2030</c:v>
                </c:pt>
                <c:pt idx="91">
                  <c:v>Oct-2030</c:v>
                </c:pt>
              </c:strCache>
            </c:strRef>
          </c:cat>
          <c:val>
            <c:numRef>
              <c:f>Fiscal!$F$10:$F$101</c:f>
              <c:numCache>
                <c:formatCode>General</c:formatCode>
                <c:ptCount val="92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811675"/>
        <c:axId val="73935384"/>
      </c:lineChart>
      <c:catAx>
        <c:axId val="1811675"/>
        <c:scaling>
          <c:orientation val="minMax"/>
        </c:scaling>
        <c:delete val="0"/>
        <c:axPos val="b"/>
        <c:numFmt formatCode="mmm\-yy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3935384"/>
        <c:crosses val="autoZero"/>
        <c:auto val="1"/>
        <c:lblAlgn val="ctr"/>
        <c:lblOffset val="100"/>
        <c:noMultiLvlLbl val="0"/>
      </c:catAx>
      <c:valAx>
        <c:axId val="739353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81167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Fiscal!B110</c:f>
              <c:strCache>
                <c:ptCount val="1"/>
                <c:pt idx="0">
                  <c:v>Level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Fiscal!$A$111:$A$202</c:f>
              <c:strCache>
                <c:ptCount val="92"/>
                <c:pt idx="0">
                  <c:v>Jan-2008</c:v>
                </c:pt>
                <c:pt idx="1">
                  <c:v>Apr-2008</c:v>
                </c:pt>
                <c:pt idx="2">
                  <c:v>Jul-2008</c:v>
                </c:pt>
                <c:pt idx="3">
                  <c:v>Oct-2008</c:v>
                </c:pt>
                <c:pt idx="4">
                  <c:v>Jan-2009</c:v>
                </c:pt>
                <c:pt idx="5">
                  <c:v>Apr-2009</c:v>
                </c:pt>
                <c:pt idx="6">
                  <c:v>Jul-2009</c:v>
                </c:pt>
                <c:pt idx="7">
                  <c:v>Oct-2009</c:v>
                </c:pt>
                <c:pt idx="8">
                  <c:v>Jan-2010</c:v>
                </c:pt>
                <c:pt idx="9">
                  <c:v>Apr-2010</c:v>
                </c:pt>
                <c:pt idx="10">
                  <c:v>Jul-2010</c:v>
                </c:pt>
                <c:pt idx="11">
                  <c:v>Oct-2010</c:v>
                </c:pt>
                <c:pt idx="12">
                  <c:v>Jan-2011</c:v>
                </c:pt>
                <c:pt idx="13">
                  <c:v>Apr-2011</c:v>
                </c:pt>
                <c:pt idx="14">
                  <c:v>Jul-2011</c:v>
                </c:pt>
                <c:pt idx="15">
                  <c:v>Oct-2011</c:v>
                </c:pt>
                <c:pt idx="16">
                  <c:v>Jan-2012</c:v>
                </c:pt>
                <c:pt idx="17">
                  <c:v>Apr-2012</c:v>
                </c:pt>
                <c:pt idx="18">
                  <c:v>Jul-2012</c:v>
                </c:pt>
                <c:pt idx="19">
                  <c:v>Oct-2012</c:v>
                </c:pt>
                <c:pt idx="20">
                  <c:v>Jan-2013</c:v>
                </c:pt>
                <c:pt idx="21">
                  <c:v>Apr-2013</c:v>
                </c:pt>
                <c:pt idx="22">
                  <c:v>Jul-2013</c:v>
                </c:pt>
                <c:pt idx="23">
                  <c:v>Oct-2013</c:v>
                </c:pt>
                <c:pt idx="24">
                  <c:v>Jan-2014</c:v>
                </c:pt>
                <c:pt idx="25">
                  <c:v>Apr-2014</c:v>
                </c:pt>
                <c:pt idx="26">
                  <c:v>Jul-2014</c:v>
                </c:pt>
                <c:pt idx="27">
                  <c:v>Oct-2014</c:v>
                </c:pt>
                <c:pt idx="28">
                  <c:v>Jan-2015</c:v>
                </c:pt>
                <c:pt idx="29">
                  <c:v>Apr-2015</c:v>
                </c:pt>
                <c:pt idx="30">
                  <c:v>Jul-2015</c:v>
                </c:pt>
                <c:pt idx="31">
                  <c:v>Oct-2015</c:v>
                </c:pt>
                <c:pt idx="32">
                  <c:v>Jan-2016</c:v>
                </c:pt>
                <c:pt idx="33">
                  <c:v>Apr-2016</c:v>
                </c:pt>
                <c:pt idx="34">
                  <c:v>Jul-2016</c:v>
                </c:pt>
                <c:pt idx="35">
                  <c:v>Oct-2016</c:v>
                </c:pt>
                <c:pt idx="36">
                  <c:v>Jan-2017</c:v>
                </c:pt>
                <c:pt idx="37">
                  <c:v>Apr-2017</c:v>
                </c:pt>
                <c:pt idx="38">
                  <c:v>Jul-2017</c:v>
                </c:pt>
                <c:pt idx="39">
                  <c:v>Oct-2017</c:v>
                </c:pt>
                <c:pt idx="40">
                  <c:v>Jan-2018</c:v>
                </c:pt>
                <c:pt idx="41">
                  <c:v>Apr-2018</c:v>
                </c:pt>
                <c:pt idx="42">
                  <c:v>Jul-2018</c:v>
                </c:pt>
                <c:pt idx="43">
                  <c:v>Oct-2018</c:v>
                </c:pt>
                <c:pt idx="44">
                  <c:v>Jan-2019</c:v>
                </c:pt>
                <c:pt idx="45">
                  <c:v>Apr-2019</c:v>
                </c:pt>
                <c:pt idx="46">
                  <c:v>Jul-2019</c:v>
                </c:pt>
                <c:pt idx="47">
                  <c:v>Oct-2019</c:v>
                </c:pt>
                <c:pt idx="48">
                  <c:v>Jan-2020</c:v>
                </c:pt>
                <c:pt idx="49">
                  <c:v>Apr-2020</c:v>
                </c:pt>
                <c:pt idx="50">
                  <c:v>Jul-2020</c:v>
                </c:pt>
                <c:pt idx="51">
                  <c:v>Oct-2020</c:v>
                </c:pt>
                <c:pt idx="52">
                  <c:v>Jan-2021</c:v>
                </c:pt>
                <c:pt idx="53">
                  <c:v>Apr-2021</c:v>
                </c:pt>
                <c:pt idx="54">
                  <c:v>Jul-2021</c:v>
                </c:pt>
                <c:pt idx="55">
                  <c:v>Oct-2021</c:v>
                </c:pt>
                <c:pt idx="56">
                  <c:v>Jan-2022</c:v>
                </c:pt>
                <c:pt idx="57">
                  <c:v>Apr-2022</c:v>
                </c:pt>
                <c:pt idx="58">
                  <c:v>Jul-2022</c:v>
                </c:pt>
                <c:pt idx="59">
                  <c:v>Oct-2022</c:v>
                </c:pt>
                <c:pt idx="60">
                  <c:v>Jan-2023</c:v>
                </c:pt>
                <c:pt idx="61">
                  <c:v>Apr-2023</c:v>
                </c:pt>
                <c:pt idx="62">
                  <c:v>Jul-2023</c:v>
                </c:pt>
                <c:pt idx="63">
                  <c:v>Oct-2023</c:v>
                </c:pt>
                <c:pt idx="64">
                  <c:v>Jan-2024</c:v>
                </c:pt>
                <c:pt idx="65">
                  <c:v>Apr-2024</c:v>
                </c:pt>
                <c:pt idx="66">
                  <c:v>Jul-2024</c:v>
                </c:pt>
                <c:pt idx="67">
                  <c:v>Oct-2024</c:v>
                </c:pt>
                <c:pt idx="68">
                  <c:v>Jan-2025</c:v>
                </c:pt>
                <c:pt idx="69">
                  <c:v>Apr-2025</c:v>
                </c:pt>
                <c:pt idx="70">
                  <c:v>Jul-2025</c:v>
                </c:pt>
                <c:pt idx="71">
                  <c:v>Oct-2025</c:v>
                </c:pt>
                <c:pt idx="72">
                  <c:v>Jan-2026</c:v>
                </c:pt>
                <c:pt idx="73">
                  <c:v>Apr-2026</c:v>
                </c:pt>
                <c:pt idx="74">
                  <c:v>Jul-2026</c:v>
                </c:pt>
                <c:pt idx="75">
                  <c:v>Oct-2026</c:v>
                </c:pt>
                <c:pt idx="76">
                  <c:v>Jan-2027</c:v>
                </c:pt>
                <c:pt idx="77">
                  <c:v>Apr-2027</c:v>
                </c:pt>
                <c:pt idx="78">
                  <c:v>Jul-2027</c:v>
                </c:pt>
                <c:pt idx="79">
                  <c:v>Oct-2027</c:v>
                </c:pt>
                <c:pt idx="80">
                  <c:v>Jan-2028</c:v>
                </c:pt>
                <c:pt idx="81">
                  <c:v>Apr-2028</c:v>
                </c:pt>
                <c:pt idx="82">
                  <c:v>Jul-2028</c:v>
                </c:pt>
                <c:pt idx="83">
                  <c:v>Oct-2028</c:v>
                </c:pt>
                <c:pt idx="84">
                  <c:v>Jan-2029</c:v>
                </c:pt>
                <c:pt idx="85">
                  <c:v>Apr-2029</c:v>
                </c:pt>
                <c:pt idx="86">
                  <c:v>Jul-2029</c:v>
                </c:pt>
                <c:pt idx="87">
                  <c:v>Oct-2029</c:v>
                </c:pt>
                <c:pt idx="88">
                  <c:v>Jan-2030</c:v>
                </c:pt>
                <c:pt idx="89">
                  <c:v>Apr-2030</c:v>
                </c:pt>
                <c:pt idx="90">
                  <c:v>Jul-2030</c:v>
                </c:pt>
                <c:pt idx="91">
                  <c:v>Oct-2030</c:v>
                </c:pt>
              </c:strCache>
            </c:strRef>
          </c:cat>
          <c:val>
            <c:numRef>
              <c:f>Fiscal!$B$111:$B$202</c:f>
              <c:numCache>
                <c:formatCode>General</c:formatCode>
                <c:ptCount val="92"/>
              </c:numCache>
            </c:numRef>
          </c:val>
          <c:smooth val="1"/>
        </c:ser>
        <c:ser>
          <c:idx val="1"/>
          <c:order val="1"/>
          <c:tx>
            <c:strRef>
              <c:f>Fiscal!E110</c:f>
              <c:strCache>
                <c:ptCount val="1"/>
                <c:pt idx="0">
                  <c:v>Trend Fcst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Fiscal!$A$111:$A$202</c:f>
              <c:strCache>
                <c:ptCount val="92"/>
                <c:pt idx="0">
                  <c:v>Jan-2008</c:v>
                </c:pt>
                <c:pt idx="1">
                  <c:v>Apr-2008</c:v>
                </c:pt>
                <c:pt idx="2">
                  <c:v>Jul-2008</c:v>
                </c:pt>
                <c:pt idx="3">
                  <c:v>Oct-2008</c:v>
                </c:pt>
                <c:pt idx="4">
                  <c:v>Jan-2009</c:v>
                </c:pt>
                <c:pt idx="5">
                  <c:v>Apr-2009</c:v>
                </c:pt>
                <c:pt idx="6">
                  <c:v>Jul-2009</c:v>
                </c:pt>
                <c:pt idx="7">
                  <c:v>Oct-2009</c:v>
                </c:pt>
                <c:pt idx="8">
                  <c:v>Jan-2010</c:v>
                </c:pt>
                <c:pt idx="9">
                  <c:v>Apr-2010</c:v>
                </c:pt>
                <c:pt idx="10">
                  <c:v>Jul-2010</c:v>
                </c:pt>
                <c:pt idx="11">
                  <c:v>Oct-2010</c:v>
                </c:pt>
                <c:pt idx="12">
                  <c:v>Jan-2011</c:v>
                </c:pt>
                <c:pt idx="13">
                  <c:v>Apr-2011</c:v>
                </c:pt>
                <c:pt idx="14">
                  <c:v>Jul-2011</c:v>
                </c:pt>
                <c:pt idx="15">
                  <c:v>Oct-2011</c:v>
                </c:pt>
                <c:pt idx="16">
                  <c:v>Jan-2012</c:v>
                </c:pt>
                <c:pt idx="17">
                  <c:v>Apr-2012</c:v>
                </c:pt>
                <c:pt idx="18">
                  <c:v>Jul-2012</c:v>
                </c:pt>
                <c:pt idx="19">
                  <c:v>Oct-2012</c:v>
                </c:pt>
                <c:pt idx="20">
                  <c:v>Jan-2013</c:v>
                </c:pt>
                <c:pt idx="21">
                  <c:v>Apr-2013</c:v>
                </c:pt>
                <c:pt idx="22">
                  <c:v>Jul-2013</c:v>
                </c:pt>
                <c:pt idx="23">
                  <c:v>Oct-2013</c:v>
                </c:pt>
                <c:pt idx="24">
                  <c:v>Jan-2014</c:v>
                </c:pt>
                <c:pt idx="25">
                  <c:v>Apr-2014</c:v>
                </c:pt>
                <c:pt idx="26">
                  <c:v>Jul-2014</c:v>
                </c:pt>
                <c:pt idx="27">
                  <c:v>Oct-2014</c:v>
                </c:pt>
                <c:pt idx="28">
                  <c:v>Jan-2015</c:v>
                </c:pt>
                <c:pt idx="29">
                  <c:v>Apr-2015</c:v>
                </c:pt>
                <c:pt idx="30">
                  <c:v>Jul-2015</c:v>
                </c:pt>
                <c:pt idx="31">
                  <c:v>Oct-2015</c:v>
                </c:pt>
                <c:pt idx="32">
                  <c:v>Jan-2016</c:v>
                </c:pt>
                <c:pt idx="33">
                  <c:v>Apr-2016</c:v>
                </c:pt>
                <c:pt idx="34">
                  <c:v>Jul-2016</c:v>
                </c:pt>
                <c:pt idx="35">
                  <c:v>Oct-2016</c:v>
                </c:pt>
                <c:pt idx="36">
                  <c:v>Jan-2017</c:v>
                </c:pt>
                <c:pt idx="37">
                  <c:v>Apr-2017</c:v>
                </c:pt>
                <c:pt idx="38">
                  <c:v>Jul-2017</c:v>
                </c:pt>
                <c:pt idx="39">
                  <c:v>Oct-2017</c:v>
                </c:pt>
                <c:pt idx="40">
                  <c:v>Jan-2018</c:v>
                </c:pt>
                <c:pt idx="41">
                  <c:v>Apr-2018</c:v>
                </c:pt>
                <c:pt idx="42">
                  <c:v>Jul-2018</c:v>
                </c:pt>
                <c:pt idx="43">
                  <c:v>Oct-2018</c:v>
                </c:pt>
                <c:pt idx="44">
                  <c:v>Jan-2019</c:v>
                </c:pt>
                <c:pt idx="45">
                  <c:v>Apr-2019</c:v>
                </c:pt>
                <c:pt idx="46">
                  <c:v>Jul-2019</c:v>
                </c:pt>
                <c:pt idx="47">
                  <c:v>Oct-2019</c:v>
                </c:pt>
                <c:pt idx="48">
                  <c:v>Jan-2020</c:v>
                </c:pt>
                <c:pt idx="49">
                  <c:v>Apr-2020</c:v>
                </c:pt>
                <c:pt idx="50">
                  <c:v>Jul-2020</c:v>
                </c:pt>
                <c:pt idx="51">
                  <c:v>Oct-2020</c:v>
                </c:pt>
                <c:pt idx="52">
                  <c:v>Jan-2021</c:v>
                </c:pt>
                <c:pt idx="53">
                  <c:v>Apr-2021</c:v>
                </c:pt>
                <c:pt idx="54">
                  <c:v>Jul-2021</c:v>
                </c:pt>
                <c:pt idx="55">
                  <c:v>Oct-2021</c:v>
                </c:pt>
                <c:pt idx="56">
                  <c:v>Jan-2022</c:v>
                </c:pt>
                <c:pt idx="57">
                  <c:v>Apr-2022</c:v>
                </c:pt>
                <c:pt idx="58">
                  <c:v>Jul-2022</c:v>
                </c:pt>
                <c:pt idx="59">
                  <c:v>Oct-2022</c:v>
                </c:pt>
                <c:pt idx="60">
                  <c:v>Jan-2023</c:v>
                </c:pt>
                <c:pt idx="61">
                  <c:v>Apr-2023</c:v>
                </c:pt>
                <c:pt idx="62">
                  <c:v>Jul-2023</c:v>
                </c:pt>
                <c:pt idx="63">
                  <c:v>Oct-2023</c:v>
                </c:pt>
                <c:pt idx="64">
                  <c:v>Jan-2024</c:v>
                </c:pt>
                <c:pt idx="65">
                  <c:v>Apr-2024</c:v>
                </c:pt>
                <c:pt idx="66">
                  <c:v>Jul-2024</c:v>
                </c:pt>
                <c:pt idx="67">
                  <c:v>Oct-2024</c:v>
                </c:pt>
                <c:pt idx="68">
                  <c:v>Jan-2025</c:v>
                </c:pt>
                <c:pt idx="69">
                  <c:v>Apr-2025</c:v>
                </c:pt>
                <c:pt idx="70">
                  <c:v>Jul-2025</c:v>
                </c:pt>
                <c:pt idx="71">
                  <c:v>Oct-2025</c:v>
                </c:pt>
                <c:pt idx="72">
                  <c:v>Jan-2026</c:v>
                </c:pt>
                <c:pt idx="73">
                  <c:v>Apr-2026</c:v>
                </c:pt>
                <c:pt idx="74">
                  <c:v>Jul-2026</c:v>
                </c:pt>
                <c:pt idx="75">
                  <c:v>Oct-2026</c:v>
                </c:pt>
                <c:pt idx="76">
                  <c:v>Jan-2027</c:v>
                </c:pt>
                <c:pt idx="77">
                  <c:v>Apr-2027</c:v>
                </c:pt>
                <c:pt idx="78">
                  <c:v>Jul-2027</c:v>
                </c:pt>
                <c:pt idx="79">
                  <c:v>Oct-2027</c:v>
                </c:pt>
                <c:pt idx="80">
                  <c:v>Jan-2028</c:v>
                </c:pt>
                <c:pt idx="81">
                  <c:v>Apr-2028</c:v>
                </c:pt>
                <c:pt idx="82">
                  <c:v>Jul-2028</c:v>
                </c:pt>
                <c:pt idx="83">
                  <c:v>Oct-2028</c:v>
                </c:pt>
                <c:pt idx="84">
                  <c:v>Jan-2029</c:v>
                </c:pt>
                <c:pt idx="85">
                  <c:v>Apr-2029</c:v>
                </c:pt>
                <c:pt idx="86">
                  <c:v>Jul-2029</c:v>
                </c:pt>
                <c:pt idx="87">
                  <c:v>Oct-2029</c:v>
                </c:pt>
                <c:pt idx="88">
                  <c:v>Jan-2030</c:v>
                </c:pt>
                <c:pt idx="89">
                  <c:v>Apr-2030</c:v>
                </c:pt>
                <c:pt idx="90">
                  <c:v>Jul-2030</c:v>
                </c:pt>
                <c:pt idx="91">
                  <c:v>Oct-2030</c:v>
                </c:pt>
              </c:strCache>
            </c:strRef>
          </c:cat>
          <c:val>
            <c:numRef>
              <c:f>Fiscal!$E$111:$E$202</c:f>
              <c:numCache>
                <c:formatCode>General</c:formatCode>
                <c:ptCount val="92"/>
              </c:numCache>
            </c:numRef>
          </c:val>
          <c:smooth val="1"/>
        </c:ser>
        <c:ser>
          <c:idx val="2"/>
          <c:order val="2"/>
          <c:tx>
            <c:strRef>
              <c:f>Fiscal!F110</c:f>
              <c:strCache>
                <c:ptCount val="1"/>
                <c:pt idx="0">
                  <c:v>Damped Fcst</c:v>
                </c:pt>
              </c:strCache>
            </c:strRef>
          </c:tx>
          <c:spPr>
            <a:solidFill>
              <a:srgbClr val="98B855"/>
            </a:solidFill>
            <a:ln w="12600">
              <a:solidFill>
                <a:srgbClr val="98B855"/>
              </a:solidFill>
              <a:prstDash val="sys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sys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Fiscal!$A$111:$A$202</c:f>
              <c:strCache>
                <c:ptCount val="92"/>
                <c:pt idx="0">
                  <c:v>Jan-2008</c:v>
                </c:pt>
                <c:pt idx="1">
                  <c:v>Apr-2008</c:v>
                </c:pt>
                <c:pt idx="2">
                  <c:v>Jul-2008</c:v>
                </c:pt>
                <c:pt idx="3">
                  <c:v>Oct-2008</c:v>
                </c:pt>
                <c:pt idx="4">
                  <c:v>Jan-2009</c:v>
                </c:pt>
                <c:pt idx="5">
                  <c:v>Apr-2009</c:v>
                </c:pt>
                <c:pt idx="6">
                  <c:v>Jul-2009</c:v>
                </c:pt>
                <c:pt idx="7">
                  <c:v>Oct-2009</c:v>
                </c:pt>
                <c:pt idx="8">
                  <c:v>Jan-2010</c:v>
                </c:pt>
                <c:pt idx="9">
                  <c:v>Apr-2010</c:v>
                </c:pt>
                <c:pt idx="10">
                  <c:v>Jul-2010</c:v>
                </c:pt>
                <c:pt idx="11">
                  <c:v>Oct-2010</c:v>
                </c:pt>
                <c:pt idx="12">
                  <c:v>Jan-2011</c:v>
                </c:pt>
                <c:pt idx="13">
                  <c:v>Apr-2011</c:v>
                </c:pt>
                <c:pt idx="14">
                  <c:v>Jul-2011</c:v>
                </c:pt>
                <c:pt idx="15">
                  <c:v>Oct-2011</c:v>
                </c:pt>
                <c:pt idx="16">
                  <c:v>Jan-2012</c:v>
                </c:pt>
                <c:pt idx="17">
                  <c:v>Apr-2012</c:v>
                </c:pt>
                <c:pt idx="18">
                  <c:v>Jul-2012</c:v>
                </c:pt>
                <c:pt idx="19">
                  <c:v>Oct-2012</c:v>
                </c:pt>
                <c:pt idx="20">
                  <c:v>Jan-2013</c:v>
                </c:pt>
                <c:pt idx="21">
                  <c:v>Apr-2013</c:v>
                </c:pt>
                <c:pt idx="22">
                  <c:v>Jul-2013</c:v>
                </c:pt>
                <c:pt idx="23">
                  <c:v>Oct-2013</c:v>
                </c:pt>
                <c:pt idx="24">
                  <c:v>Jan-2014</c:v>
                </c:pt>
                <c:pt idx="25">
                  <c:v>Apr-2014</c:v>
                </c:pt>
                <c:pt idx="26">
                  <c:v>Jul-2014</c:v>
                </c:pt>
                <c:pt idx="27">
                  <c:v>Oct-2014</c:v>
                </c:pt>
                <c:pt idx="28">
                  <c:v>Jan-2015</c:v>
                </c:pt>
                <c:pt idx="29">
                  <c:v>Apr-2015</c:v>
                </c:pt>
                <c:pt idx="30">
                  <c:v>Jul-2015</c:v>
                </c:pt>
                <c:pt idx="31">
                  <c:v>Oct-2015</c:v>
                </c:pt>
                <c:pt idx="32">
                  <c:v>Jan-2016</c:v>
                </c:pt>
                <c:pt idx="33">
                  <c:v>Apr-2016</c:v>
                </c:pt>
                <c:pt idx="34">
                  <c:v>Jul-2016</c:v>
                </c:pt>
                <c:pt idx="35">
                  <c:v>Oct-2016</c:v>
                </c:pt>
                <c:pt idx="36">
                  <c:v>Jan-2017</c:v>
                </c:pt>
                <c:pt idx="37">
                  <c:v>Apr-2017</c:v>
                </c:pt>
                <c:pt idx="38">
                  <c:v>Jul-2017</c:v>
                </c:pt>
                <c:pt idx="39">
                  <c:v>Oct-2017</c:v>
                </c:pt>
                <c:pt idx="40">
                  <c:v>Jan-2018</c:v>
                </c:pt>
                <c:pt idx="41">
                  <c:v>Apr-2018</c:v>
                </c:pt>
                <c:pt idx="42">
                  <c:v>Jul-2018</c:v>
                </c:pt>
                <c:pt idx="43">
                  <c:v>Oct-2018</c:v>
                </c:pt>
                <c:pt idx="44">
                  <c:v>Jan-2019</c:v>
                </c:pt>
                <c:pt idx="45">
                  <c:v>Apr-2019</c:v>
                </c:pt>
                <c:pt idx="46">
                  <c:v>Jul-2019</c:v>
                </c:pt>
                <c:pt idx="47">
                  <c:v>Oct-2019</c:v>
                </c:pt>
                <c:pt idx="48">
                  <c:v>Jan-2020</c:v>
                </c:pt>
                <c:pt idx="49">
                  <c:v>Apr-2020</c:v>
                </c:pt>
                <c:pt idx="50">
                  <c:v>Jul-2020</c:v>
                </c:pt>
                <c:pt idx="51">
                  <c:v>Oct-2020</c:v>
                </c:pt>
                <c:pt idx="52">
                  <c:v>Jan-2021</c:v>
                </c:pt>
                <c:pt idx="53">
                  <c:v>Apr-2021</c:v>
                </c:pt>
                <c:pt idx="54">
                  <c:v>Jul-2021</c:v>
                </c:pt>
                <c:pt idx="55">
                  <c:v>Oct-2021</c:v>
                </c:pt>
                <c:pt idx="56">
                  <c:v>Jan-2022</c:v>
                </c:pt>
                <c:pt idx="57">
                  <c:v>Apr-2022</c:v>
                </c:pt>
                <c:pt idx="58">
                  <c:v>Jul-2022</c:v>
                </c:pt>
                <c:pt idx="59">
                  <c:v>Oct-2022</c:v>
                </c:pt>
                <c:pt idx="60">
                  <c:v>Jan-2023</c:v>
                </c:pt>
                <c:pt idx="61">
                  <c:v>Apr-2023</c:v>
                </c:pt>
                <c:pt idx="62">
                  <c:v>Jul-2023</c:v>
                </c:pt>
                <c:pt idx="63">
                  <c:v>Oct-2023</c:v>
                </c:pt>
                <c:pt idx="64">
                  <c:v>Jan-2024</c:v>
                </c:pt>
                <c:pt idx="65">
                  <c:v>Apr-2024</c:v>
                </c:pt>
                <c:pt idx="66">
                  <c:v>Jul-2024</c:v>
                </c:pt>
                <c:pt idx="67">
                  <c:v>Oct-2024</c:v>
                </c:pt>
                <c:pt idx="68">
                  <c:v>Jan-2025</c:v>
                </c:pt>
                <c:pt idx="69">
                  <c:v>Apr-2025</c:v>
                </c:pt>
                <c:pt idx="70">
                  <c:v>Jul-2025</c:v>
                </c:pt>
                <c:pt idx="71">
                  <c:v>Oct-2025</c:v>
                </c:pt>
                <c:pt idx="72">
                  <c:v>Jan-2026</c:v>
                </c:pt>
                <c:pt idx="73">
                  <c:v>Apr-2026</c:v>
                </c:pt>
                <c:pt idx="74">
                  <c:v>Jul-2026</c:v>
                </c:pt>
                <c:pt idx="75">
                  <c:v>Oct-2026</c:v>
                </c:pt>
                <c:pt idx="76">
                  <c:v>Jan-2027</c:v>
                </c:pt>
                <c:pt idx="77">
                  <c:v>Apr-2027</c:v>
                </c:pt>
                <c:pt idx="78">
                  <c:v>Jul-2027</c:v>
                </c:pt>
                <c:pt idx="79">
                  <c:v>Oct-2027</c:v>
                </c:pt>
                <c:pt idx="80">
                  <c:v>Jan-2028</c:v>
                </c:pt>
                <c:pt idx="81">
                  <c:v>Apr-2028</c:v>
                </c:pt>
                <c:pt idx="82">
                  <c:v>Jul-2028</c:v>
                </c:pt>
                <c:pt idx="83">
                  <c:v>Oct-2028</c:v>
                </c:pt>
                <c:pt idx="84">
                  <c:v>Jan-2029</c:v>
                </c:pt>
                <c:pt idx="85">
                  <c:v>Apr-2029</c:v>
                </c:pt>
                <c:pt idx="86">
                  <c:v>Jul-2029</c:v>
                </c:pt>
                <c:pt idx="87">
                  <c:v>Oct-2029</c:v>
                </c:pt>
                <c:pt idx="88">
                  <c:v>Jan-2030</c:v>
                </c:pt>
                <c:pt idx="89">
                  <c:v>Apr-2030</c:v>
                </c:pt>
                <c:pt idx="90">
                  <c:v>Jul-2030</c:v>
                </c:pt>
                <c:pt idx="91">
                  <c:v>Oct-2030</c:v>
                </c:pt>
              </c:strCache>
            </c:strRef>
          </c:cat>
          <c:val>
            <c:numRef>
              <c:f>Fiscal!$F$111:$F$202</c:f>
              <c:numCache>
                <c:formatCode>General</c:formatCode>
                <c:ptCount val="92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712208"/>
        <c:axId val="99158668"/>
      </c:lineChart>
      <c:catAx>
        <c:axId val="2712208"/>
        <c:scaling>
          <c:orientation val="minMax"/>
        </c:scaling>
        <c:delete val="0"/>
        <c:axPos val="b"/>
        <c:numFmt formatCode="mmm\-yy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9158668"/>
        <c:crosses val="autoZero"/>
        <c:auto val="1"/>
        <c:lblAlgn val="ctr"/>
        <c:lblOffset val="100"/>
        <c:noMultiLvlLbl val="0"/>
      </c:catAx>
      <c:valAx>
        <c:axId val="991586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71220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Fiscal!B211</c:f>
              <c:strCache>
                <c:ptCount val="1"/>
                <c:pt idx="0">
                  <c:v>Level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Fiscal!$A$212:$A$303</c:f>
              <c:strCache>
                <c:ptCount val="92"/>
                <c:pt idx="0">
                  <c:v>Jan-2008</c:v>
                </c:pt>
                <c:pt idx="1">
                  <c:v>Apr-2008</c:v>
                </c:pt>
                <c:pt idx="2">
                  <c:v>Jul-2008</c:v>
                </c:pt>
                <c:pt idx="3">
                  <c:v>Oct-2008</c:v>
                </c:pt>
                <c:pt idx="4">
                  <c:v>Jan-2009</c:v>
                </c:pt>
                <c:pt idx="5">
                  <c:v>Apr-2009</c:v>
                </c:pt>
                <c:pt idx="6">
                  <c:v>Jul-2009</c:v>
                </c:pt>
                <c:pt idx="7">
                  <c:v>Oct-2009</c:v>
                </c:pt>
                <c:pt idx="8">
                  <c:v>Jan-2010</c:v>
                </c:pt>
                <c:pt idx="9">
                  <c:v>Apr-2010</c:v>
                </c:pt>
                <c:pt idx="10">
                  <c:v>Jul-2010</c:v>
                </c:pt>
                <c:pt idx="11">
                  <c:v>Oct-2010</c:v>
                </c:pt>
                <c:pt idx="12">
                  <c:v>Jan-2011</c:v>
                </c:pt>
                <c:pt idx="13">
                  <c:v>Apr-2011</c:v>
                </c:pt>
                <c:pt idx="14">
                  <c:v>Jul-2011</c:v>
                </c:pt>
                <c:pt idx="15">
                  <c:v>Oct-2011</c:v>
                </c:pt>
                <c:pt idx="16">
                  <c:v>Jan-2012</c:v>
                </c:pt>
                <c:pt idx="17">
                  <c:v>Apr-2012</c:v>
                </c:pt>
                <c:pt idx="18">
                  <c:v>Jul-2012</c:v>
                </c:pt>
                <c:pt idx="19">
                  <c:v>Oct-2012</c:v>
                </c:pt>
                <c:pt idx="20">
                  <c:v>Jan-2013</c:v>
                </c:pt>
                <c:pt idx="21">
                  <c:v>Apr-2013</c:v>
                </c:pt>
                <c:pt idx="22">
                  <c:v>Jul-2013</c:v>
                </c:pt>
                <c:pt idx="23">
                  <c:v>Oct-2013</c:v>
                </c:pt>
                <c:pt idx="24">
                  <c:v>Jan-2014</c:v>
                </c:pt>
                <c:pt idx="25">
                  <c:v>Apr-2014</c:v>
                </c:pt>
                <c:pt idx="26">
                  <c:v>Jul-2014</c:v>
                </c:pt>
                <c:pt idx="27">
                  <c:v>Oct-2014</c:v>
                </c:pt>
                <c:pt idx="28">
                  <c:v>Jan-2015</c:v>
                </c:pt>
                <c:pt idx="29">
                  <c:v>Apr-2015</c:v>
                </c:pt>
                <c:pt idx="30">
                  <c:v>Jul-2015</c:v>
                </c:pt>
                <c:pt idx="31">
                  <c:v>Oct-2015</c:v>
                </c:pt>
                <c:pt idx="32">
                  <c:v>Jan-2016</c:v>
                </c:pt>
                <c:pt idx="33">
                  <c:v>Apr-2016</c:v>
                </c:pt>
                <c:pt idx="34">
                  <c:v>Jul-2016</c:v>
                </c:pt>
                <c:pt idx="35">
                  <c:v>Oct-2016</c:v>
                </c:pt>
                <c:pt idx="36">
                  <c:v>Jan-2017</c:v>
                </c:pt>
                <c:pt idx="37">
                  <c:v>Apr-2017</c:v>
                </c:pt>
                <c:pt idx="38">
                  <c:v>Jul-2017</c:v>
                </c:pt>
                <c:pt idx="39">
                  <c:v>Oct-2017</c:v>
                </c:pt>
                <c:pt idx="40">
                  <c:v>Jan-2018</c:v>
                </c:pt>
                <c:pt idx="41">
                  <c:v>Apr-2018</c:v>
                </c:pt>
                <c:pt idx="42">
                  <c:v>Jul-2018</c:v>
                </c:pt>
                <c:pt idx="43">
                  <c:v>Oct-2018</c:v>
                </c:pt>
                <c:pt idx="44">
                  <c:v>Jan-2019</c:v>
                </c:pt>
                <c:pt idx="45">
                  <c:v>Apr-2019</c:v>
                </c:pt>
                <c:pt idx="46">
                  <c:v>Jul-2019</c:v>
                </c:pt>
                <c:pt idx="47">
                  <c:v>Oct-2019</c:v>
                </c:pt>
                <c:pt idx="48">
                  <c:v>Jan-2020</c:v>
                </c:pt>
                <c:pt idx="49">
                  <c:v>Apr-2020</c:v>
                </c:pt>
                <c:pt idx="50">
                  <c:v>Jul-2020</c:v>
                </c:pt>
                <c:pt idx="51">
                  <c:v>Oct-2020</c:v>
                </c:pt>
                <c:pt idx="52">
                  <c:v>Jan-2021</c:v>
                </c:pt>
                <c:pt idx="53">
                  <c:v>Apr-2021</c:v>
                </c:pt>
                <c:pt idx="54">
                  <c:v>Jul-2021</c:v>
                </c:pt>
                <c:pt idx="55">
                  <c:v>Oct-2021</c:v>
                </c:pt>
                <c:pt idx="56">
                  <c:v>Jan-2022</c:v>
                </c:pt>
                <c:pt idx="57">
                  <c:v>Apr-2022</c:v>
                </c:pt>
                <c:pt idx="58">
                  <c:v>Jul-2022</c:v>
                </c:pt>
                <c:pt idx="59">
                  <c:v>Oct-2022</c:v>
                </c:pt>
                <c:pt idx="60">
                  <c:v>Jan-2023</c:v>
                </c:pt>
                <c:pt idx="61">
                  <c:v>Apr-2023</c:v>
                </c:pt>
                <c:pt idx="62">
                  <c:v>Jul-2023</c:v>
                </c:pt>
                <c:pt idx="63">
                  <c:v>Oct-2023</c:v>
                </c:pt>
                <c:pt idx="64">
                  <c:v>Jan-2024</c:v>
                </c:pt>
                <c:pt idx="65">
                  <c:v>Apr-2024</c:v>
                </c:pt>
                <c:pt idx="66">
                  <c:v>Jul-2024</c:v>
                </c:pt>
                <c:pt idx="67">
                  <c:v>Oct-2024</c:v>
                </c:pt>
                <c:pt idx="68">
                  <c:v>Jan-2025</c:v>
                </c:pt>
                <c:pt idx="69">
                  <c:v>Apr-2025</c:v>
                </c:pt>
                <c:pt idx="70">
                  <c:v>Jul-2025</c:v>
                </c:pt>
                <c:pt idx="71">
                  <c:v>Oct-2025</c:v>
                </c:pt>
                <c:pt idx="72">
                  <c:v>Jan-2026</c:v>
                </c:pt>
                <c:pt idx="73">
                  <c:v>Apr-2026</c:v>
                </c:pt>
                <c:pt idx="74">
                  <c:v>Jul-2026</c:v>
                </c:pt>
                <c:pt idx="75">
                  <c:v>Oct-2026</c:v>
                </c:pt>
                <c:pt idx="76">
                  <c:v>Jan-2027</c:v>
                </c:pt>
                <c:pt idx="77">
                  <c:v>Apr-2027</c:v>
                </c:pt>
                <c:pt idx="78">
                  <c:v>Jul-2027</c:v>
                </c:pt>
                <c:pt idx="79">
                  <c:v>Oct-2027</c:v>
                </c:pt>
                <c:pt idx="80">
                  <c:v>Jan-2028</c:v>
                </c:pt>
                <c:pt idx="81">
                  <c:v>Apr-2028</c:v>
                </c:pt>
                <c:pt idx="82">
                  <c:v>Jul-2028</c:v>
                </c:pt>
                <c:pt idx="83">
                  <c:v>Oct-2028</c:v>
                </c:pt>
                <c:pt idx="84">
                  <c:v>Jan-2029</c:v>
                </c:pt>
                <c:pt idx="85">
                  <c:v>Apr-2029</c:v>
                </c:pt>
                <c:pt idx="86">
                  <c:v>Jul-2029</c:v>
                </c:pt>
                <c:pt idx="87">
                  <c:v>Oct-2029</c:v>
                </c:pt>
                <c:pt idx="88">
                  <c:v>Jan-2030</c:v>
                </c:pt>
                <c:pt idx="89">
                  <c:v>Apr-2030</c:v>
                </c:pt>
                <c:pt idx="90">
                  <c:v>Jul-2030</c:v>
                </c:pt>
                <c:pt idx="91">
                  <c:v>Oct-2030</c:v>
                </c:pt>
              </c:strCache>
            </c:strRef>
          </c:cat>
          <c:val>
            <c:numRef>
              <c:f>Fiscal!$B$212:$B$303</c:f>
              <c:numCache>
                <c:formatCode>General</c:formatCode>
                <c:ptCount val="92"/>
              </c:numCache>
            </c:numRef>
          </c:val>
          <c:smooth val="1"/>
        </c:ser>
        <c:ser>
          <c:idx val="1"/>
          <c:order val="1"/>
          <c:tx>
            <c:strRef>
              <c:f>Fiscal!E211</c:f>
              <c:strCache>
                <c:ptCount val="1"/>
                <c:pt idx="0">
                  <c:v>Trend Fcst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Fiscal!$A$212:$A$303</c:f>
              <c:strCache>
                <c:ptCount val="92"/>
                <c:pt idx="0">
                  <c:v>Jan-2008</c:v>
                </c:pt>
                <c:pt idx="1">
                  <c:v>Apr-2008</c:v>
                </c:pt>
                <c:pt idx="2">
                  <c:v>Jul-2008</c:v>
                </c:pt>
                <c:pt idx="3">
                  <c:v>Oct-2008</c:v>
                </c:pt>
                <c:pt idx="4">
                  <c:v>Jan-2009</c:v>
                </c:pt>
                <c:pt idx="5">
                  <c:v>Apr-2009</c:v>
                </c:pt>
                <c:pt idx="6">
                  <c:v>Jul-2009</c:v>
                </c:pt>
                <c:pt idx="7">
                  <c:v>Oct-2009</c:v>
                </c:pt>
                <c:pt idx="8">
                  <c:v>Jan-2010</c:v>
                </c:pt>
                <c:pt idx="9">
                  <c:v>Apr-2010</c:v>
                </c:pt>
                <c:pt idx="10">
                  <c:v>Jul-2010</c:v>
                </c:pt>
                <c:pt idx="11">
                  <c:v>Oct-2010</c:v>
                </c:pt>
                <c:pt idx="12">
                  <c:v>Jan-2011</c:v>
                </c:pt>
                <c:pt idx="13">
                  <c:v>Apr-2011</c:v>
                </c:pt>
                <c:pt idx="14">
                  <c:v>Jul-2011</c:v>
                </c:pt>
                <c:pt idx="15">
                  <c:v>Oct-2011</c:v>
                </c:pt>
                <c:pt idx="16">
                  <c:v>Jan-2012</c:v>
                </c:pt>
                <c:pt idx="17">
                  <c:v>Apr-2012</c:v>
                </c:pt>
                <c:pt idx="18">
                  <c:v>Jul-2012</c:v>
                </c:pt>
                <c:pt idx="19">
                  <c:v>Oct-2012</c:v>
                </c:pt>
                <c:pt idx="20">
                  <c:v>Jan-2013</c:v>
                </c:pt>
                <c:pt idx="21">
                  <c:v>Apr-2013</c:v>
                </c:pt>
                <c:pt idx="22">
                  <c:v>Jul-2013</c:v>
                </c:pt>
                <c:pt idx="23">
                  <c:v>Oct-2013</c:v>
                </c:pt>
                <c:pt idx="24">
                  <c:v>Jan-2014</c:v>
                </c:pt>
                <c:pt idx="25">
                  <c:v>Apr-2014</c:v>
                </c:pt>
                <c:pt idx="26">
                  <c:v>Jul-2014</c:v>
                </c:pt>
                <c:pt idx="27">
                  <c:v>Oct-2014</c:v>
                </c:pt>
                <c:pt idx="28">
                  <c:v>Jan-2015</c:v>
                </c:pt>
                <c:pt idx="29">
                  <c:v>Apr-2015</c:v>
                </c:pt>
                <c:pt idx="30">
                  <c:v>Jul-2015</c:v>
                </c:pt>
                <c:pt idx="31">
                  <c:v>Oct-2015</c:v>
                </c:pt>
                <c:pt idx="32">
                  <c:v>Jan-2016</c:v>
                </c:pt>
                <c:pt idx="33">
                  <c:v>Apr-2016</c:v>
                </c:pt>
                <c:pt idx="34">
                  <c:v>Jul-2016</c:v>
                </c:pt>
                <c:pt idx="35">
                  <c:v>Oct-2016</c:v>
                </c:pt>
                <c:pt idx="36">
                  <c:v>Jan-2017</c:v>
                </c:pt>
                <c:pt idx="37">
                  <c:v>Apr-2017</c:v>
                </c:pt>
                <c:pt idx="38">
                  <c:v>Jul-2017</c:v>
                </c:pt>
                <c:pt idx="39">
                  <c:v>Oct-2017</c:v>
                </c:pt>
                <c:pt idx="40">
                  <c:v>Jan-2018</c:v>
                </c:pt>
                <c:pt idx="41">
                  <c:v>Apr-2018</c:v>
                </c:pt>
                <c:pt idx="42">
                  <c:v>Jul-2018</c:v>
                </c:pt>
                <c:pt idx="43">
                  <c:v>Oct-2018</c:v>
                </c:pt>
                <c:pt idx="44">
                  <c:v>Jan-2019</c:v>
                </c:pt>
                <c:pt idx="45">
                  <c:v>Apr-2019</c:v>
                </c:pt>
                <c:pt idx="46">
                  <c:v>Jul-2019</c:v>
                </c:pt>
                <c:pt idx="47">
                  <c:v>Oct-2019</c:v>
                </c:pt>
                <c:pt idx="48">
                  <c:v>Jan-2020</c:v>
                </c:pt>
                <c:pt idx="49">
                  <c:v>Apr-2020</c:v>
                </c:pt>
                <c:pt idx="50">
                  <c:v>Jul-2020</c:v>
                </c:pt>
                <c:pt idx="51">
                  <c:v>Oct-2020</c:v>
                </c:pt>
                <c:pt idx="52">
                  <c:v>Jan-2021</c:v>
                </c:pt>
                <c:pt idx="53">
                  <c:v>Apr-2021</c:v>
                </c:pt>
                <c:pt idx="54">
                  <c:v>Jul-2021</c:v>
                </c:pt>
                <c:pt idx="55">
                  <c:v>Oct-2021</c:v>
                </c:pt>
                <c:pt idx="56">
                  <c:v>Jan-2022</c:v>
                </c:pt>
                <c:pt idx="57">
                  <c:v>Apr-2022</c:v>
                </c:pt>
                <c:pt idx="58">
                  <c:v>Jul-2022</c:v>
                </c:pt>
                <c:pt idx="59">
                  <c:v>Oct-2022</c:v>
                </c:pt>
                <c:pt idx="60">
                  <c:v>Jan-2023</c:v>
                </c:pt>
                <c:pt idx="61">
                  <c:v>Apr-2023</c:v>
                </c:pt>
                <c:pt idx="62">
                  <c:v>Jul-2023</c:v>
                </c:pt>
                <c:pt idx="63">
                  <c:v>Oct-2023</c:v>
                </c:pt>
                <c:pt idx="64">
                  <c:v>Jan-2024</c:v>
                </c:pt>
                <c:pt idx="65">
                  <c:v>Apr-2024</c:v>
                </c:pt>
                <c:pt idx="66">
                  <c:v>Jul-2024</c:v>
                </c:pt>
                <c:pt idx="67">
                  <c:v>Oct-2024</c:v>
                </c:pt>
                <c:pt idx="68">
                  <c:v>Jan-2025</c:v>
                </c:pt>
                <c:pt idx="69">
                  <c:v>Apr-2025</c:v>
                </c:pt>
                <c:pt idx="70">
                  <c:v>Jul-2025</c:v>
                </c:pt>
                <c:pt idx="71">
                  <c:v>Oct-2025</c:v>
                </c:pt>
                <c:pt idx="72">
                  <c:v>Jan-2026</c:v>
                </c:pt>
                <c:pt idx="73">
                  <c:v>Apr-2026</c:v>
                </c:pt>
                <c:pt idx="74">
                  <c:v>Jul-2026</c:v>
                </c:pt>
                <c:pt idx="75">
                  <c:v>Oct-2026</c:v>
                </c:pt>
                <c:pt idx="76">
                  <c:v>Jan-2027</c:v>
                </c:pt>
                <c:pt idx="77">
                  <c:v>Apr-2027</c:v>
                </c:pt>
                <c:pt idx="78">
                  <c:v>Jul-2027</c:v>
                </c:pt>
                <c:pt idx="79">
                  <c:v>Oct-2027</c:v>
                </c:pt>
                <c:pt idx="80">
                  <c:v>Jan-2028</c:v>
                </c:pt>
                <c:pt idx="81">
                  <c:v>Apr-2028</c:v>
                </c:pt>
                <c:pt idx="82">
                  <c:v>Jul-2028</c:v>
                </c:pt>
                <c:pt idx="83">
                  <c:v>Oct-2028</c:v>
                </c:pt>
                <c:pt idx="84">
                  <c:v>Jan-2029</c:v>
                </c:pt>
                <c:pt idx="85">
                  <c:v>Apr-2029</c:v>
                </c:pt>
                <c:pt idx="86">
                  <c:v>Jul-2029</c:v>
                </c:pt>
                <c:pt idx="87">
                  <c:v>Oct-2029</c:v>
                </c:pt>
                <c:pt idx="88">
                  <c:v>Jan-2030</c:v>
                </c:pt>
                <c:pt idx="89">
                  <c:v>Apr-2030</c:v>
                </c:pt>
                <c:pt idx="90">
                  <c:v>Jul-2030</c:v>
                </c:pt>
                <c:pt idx="91">
                  <c:v>Oct-2030</c:v>
                </c:pt>
              </c:strCache>
            </c:strRef>
          </c:cat>
          <c:val>
            <c:numRef>
              <c:f>Fiscal!$E$212:$E$303</c:f>
              <c:numCache>
                <c:formatCode>General</c:formatCode>
                <c:ptCount val="92"/>
              </c:numCache>
            </c:numRef>
          </c:val>
          <c:smooth val="1"/>
        </c:ser>
        <c:ser>
          <c:idx val="2"/>
          <c:order val="2"/>
          <c:tx>
            <c:strRef>
              <c:f>Fiscal!F211</c:f>
              <c:strCache>
                <c:ptCount val="1"/>
                <c:pt idx="0">
                  <c:v>Damped Fcst</c:v>
                </c:pt>
              </c:strCache>
            </c:strRef>
          </c:tx>
          <c:spPr>
            <a:solidFill>
              <a:srgbClr val="98B855"/>
            </a:solidFill>
            <a:ln w="12600">
              <a:solidFill>
                <a:srgbClr val="98B855"/>
              </a:solidFill>
              <a:prstDash val="sys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sys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Fiscal!$A$212:$A$303</c:f>
              <c:strCache>
                <c:ptCount val="92"/>
                <c:pt idx="0">
                  <c:v>Jan-2008</c:v>
                </c:pt>
                <c:pt idx="1">
                  <c:v>Apr-2008</c:v>
                </c:pt>
                <c:pt idx="2">
                  <c:v>Jul-2008</c:v>
                </c:pt>
                <c:pt idx="3">
                  <c:v>Oct-2008</c:v>
                </c:pt>
                <c:pt idx="4">
                  <c:v>Jan-2009</c:v>
                </c:pt>
                <c:pt idx="5">
                  <c:v>Apr-2009</c:v>
                </c:pt>
                <c:pt idx="6">
                  <c:v>Jul-2009</c:v>
                </c:pt>
                <c:pt idx="7">
                  <c:v>Oct-2009</c:v>
                </c:pt>
                <c:pt idx="8">
                  <c:v>Jan-2010</c:v>
                </c:pt>
                <c:pt idx="9">
                  <c:v>Apr-2010</c:v>
                </c:pt>
                <c:pt idx="10">
                  <c:v>Jul-2010</c:v>
                </c:pt>
                <c:pt idx="11">
                  <c:v>Oct-2010</c:v>
                </c:pt>
                <c:pt idx="12">
                  <c:v>Jan-2011</c:v>
                </c:pt>
                <c:pt idx="13">
                  <c:v>Apr-2011</c:v>
                </c:pt>
                <c:pt idx="14">
                  <c:v>Jul-2011</c:v>
                </c:pt>
                <c:pt idx="15">
                  <c:v>Oct-2011</c:v>
                </c:pt>
                <c:pt idx="16">
                  <c:v>Jan-2012</c:v>
                </c:pt>
                <c:pt idx="17">
                  <c:v>Apr-2012</c:v>
                </c:pt>
                <c:pt idx="18">
                  <c:v>Jul-2012</c:v>
                </c:pt>
                <c:pt idx="19">
                  <c:v>Oct-2012</c:v>
                </c:pt>
                <c:pt idx="20">
                  <c:v>Jan-2013</c:v>
                </c:pt>
                <c:pt idx="21">
                  <c:v>Apr-2013</c:v>
                </c:pt>
                <c:pt idx="22">
                  <c:v>Jul-2013</c:v>
                </c:pt>
                <c:pt idx="23">
                  <c:v>Oct-2013</c:v>
                </c:pt>
                <c:pt idx="24">
                  <c:v>Jan-2014</c:v>
                </c:pt>
                <c:pt idx="25">
                  <c:v>Apr-2014</c:v>
                </c:pt>
                <c:pt idx="26">
                  <c:v>Jul-2014</c:v>
                </c:pt>
                <c:pt idx="27">
                  <c:v>Oct-2014</c:v>
                </c:pt>
                <c:pt idx="28">
                  <c:v>Jan-2015</c:v>
                </c:pt>
                <c:pt idx="29">
                  <c:v>Apr-2015</c:v>
                </c:pt>
                <c:pt idx="30">
                  <c:v>Jul-2015</c:v>
                </c:pt>
                <c:pt idx="31">
                  <c:v>Oct-2015</c:v>
                </c:pt>
                <c:pt idx="32">
                  <c:v>Jan-2016</c:v>
                </c:pt>
                <c:pt idx="33">
                  <c:v>Apr-2016</c:v>
                </c:pt>
                <c:pt idx="34">
                  <c:v>Jul-2016</c:v>
                </c:pt>
                <c:pt idx="35">
                  <c:v>Oct-2016</c:v>
                </c:pt>
                <c:pt idx="36">
                  <c:v>Jan-2017</c:v>
                </c:pt>
                <c:pt idx="37">
                  <c:v>Apr-2017</c:v>
                </c:pt>
                <c:pt idx="38">
                  <c:v>Jul-2017</c:v>
                </c:pt>
                <c:pt idx="39">
                  <c:v>Oct-2017</c:v>
                </c:pt>
                <c:pt idx="40">
                  <c:v>Jan-2018</c:v>
                </c:pt>
                <c:pt idx="41">
                  <c:v>Apr-2018</c:v>
                </c:pt>
                <c:pt idx="42">
                  <c:v>Jul-2018</c:v>
                </c:pt>
                <c:pt idx="43">
                  <c:v>Oct-2018</c:v>
                </c:pt>
                <c:pt idx="44">
                  <c:v>Jan-2019</c:v>
                </c:pt>
                <c:pt idx="45">
                  <c:v>Apr-2019</c:v>
                </c:pt>
                <c:pt idx="46">
                  <c:v>Jul-2019</c:v>
                </c:pt>
                <c:pt idx="47">
                  <c:v>Oct-2019</c:v>
                </c:pt>
                <c:pt idx="48">
                  <c:v>Jan-2020</c:v>
                </c:pt>
                <c:pt idx="49">
                  <c:v>Apr-2020</c:v>
                </c:pt>
                <c:pt idx="50">
                  <c:v>Jul-2020</c:v>
                </c:pt>
                <c:pt idx="51">
                  <c:v>Oct-2020</c:v>
                </c:pt>
                <c:pt idx="52">
                  <c:v>Jan-2021</c:v>
                </c:pt>
                <c:pt idx="53">
                  <c:v>Apr-2021</c:v>
                </c:pt>
                <c:pt idx="54">
                  <c:v>Jul-2021</c:v>
                </c:pt>
                <c:pt idx="55">
                  <c:v>Oct-2021</c:v>
                </c:pt>
                <c:pt idx="56">
                  <c:v>Jan-2022</c:v>
                </c:pt>
                <c:pt idx="57">
                  <c:v>Apr-2022</c:v>
                </c:pt>
                <c:pt idx="58">
                  <c:v>Jul-2022</c:v>
                </c:pt>
                <c:pt idx="59">
                  <c:v>Oct-2022</c:v>
                </c:pt>
                <c:pt idx="60">
                  <c:v>Jan-2023</c:v>
                </c:pt>
                <c:pt idx="61">
                  <c:v>Apr-2023</c:v>
                </c:pt>
                <c:pt idx="62">
                  <c:v>Jul-2023</c:v>
                </c:pt>
                <c:pt idx="63">
                  <c:v>Oct-2023</c:v>
                </c:pt>
                <c:pt idx="64">
                  <c:v>Jan-2024</c:v>
                </c:pt>
                <c:pt idx="65">
                  <c:v>Apr-2024</c:v>
                </c:pt>
                <c:pt idx="66">
                  <c:v>Jul-2024</c:v>
                </c:pt>
                <c:pt idx="67">
                  <c:v>Oct-2024</c:v>
                </c:pt>
                <c:pt idx="68">
                  <c:v>Jan-2025</c:v>
                </c:pt>
                <c:pt idx="69">
                  <c:v>Apr-2025</c:v>
                </c:pt>
                <c:pt idx="70">
                  <c:v>Jul-2025</c:v>
                </c:pt>
                <c:pt idx="71">
                  <c:v>Oct-2025</c:v>
                </c:pt>
                <c:pt idx="72">
                  <c:v>Jan-2026</c:v>
                </c:pt>
                <c:pt idx="73">
                  <c:v>Apr-2026</c:v>
                </c:pt>
                <c:pt idx="74">
                  <c:v>Jul-2026</c:v>
                </c:pt>
                <c:pt idx="75">
                  <c:v>Oct-2026</c:v>
                </c:pt>
                <c:pt idx="76">
                  <c:v>Jan-2027</c:v>
                </c:pt>
                <c:pt idx="77">
                  <c:v>Apr-2027</c:v>
                </c:pt>
                <c:pt idx="78">
                  <c:v>Jul-2027</c:v>
                </c:pt>
                <c:pt idx="79">
                  <c:v>Oct-2027</c:v>
                </c:pt>
                <c:pt idx="80">
                  <c:v>Jan-2028</c:v>
                </c:pt>
                <c:pt idx="81">
                  <c:v>Apr-2028</c:v>
                </c:pt>
                <c:pt idx="82">
                  <c:v>Jul-2028</c:v>
                </c:pt>
                <c:pt idx="83">
                  <c:v>Oct-2028</c:v>
                </c:pt>
                <c:pt idx="84">
                  <c:v>Jan-2029</c:v>
                </c:pt>
                <c:pt idx="85">
                  <c:v>Apr-2029</c:v>
                </c:pt>
                <c:pt idx="86">
                  <c:v>Jul-2029</c:v>
                </c:pt>
                <c:pt idx="87">
                  <c:v>Oct-2029</c:v>
                </c:pt>
                <c:pt idx="88">
                  <c:v>Jan-2030</c:v>
                </c:pt>
                <c:pt idx="89">
                  <c:v>Apr-2030</c:v>
                </c:pt>
                <c:pt idx="90">
                  <c:v>Jul-2030</c:v>
                </c:pt>
                <c:pt idx="91">
                  <c:v>Oct-2030</c:v>
                </c:pt>
              </c:strCache>
            </c:strRef>
          </c:cat>
          <c:val>
            <c:numRef>
              <c:f>Fiscal!$F$212:$F$303</c:f>
              <c:numCache>
                <c:formatCode>General</c:formatCode>
                <c:ptCount val="92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3673703"/>
        <c:axId val="80340394"/>
      </c:lineChart>
      <c:catAx>
        <c:axId val="83673703"/>
        <c:scaling>
          <c:orientation val="minMax"/>
        </c:scaling>
        <c:delete val="0"/>
        <c:axPos val="b"/>
        <c:numFmt formatCode="mmm\-yy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0340394"/>
        <c:crosses val="autoZero"/>
        <c:auto val="1"/>
        <c:lblAlgn val="ctr"/>
        <c:lblOffset val="100"/>
        <c:noMultiLvlLbl val="0"/>
      </c:catAx>
      <c:valAx>
        <c:axId val="8034039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367370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BoP!B9</c:f>
              <c:strCache>
                <c:ptCount val="1"/>
                <c:pt idx="0">
                  <c:v>Level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BoP!$A$10:$A$101</c:f>
              <c:strCache>
                <c:ptCount val="92"/>
                <c:pt idx="0">
                  <c:v>Jan-2008</c:v>
                </c:pt>
                <c:pt idx="1">
                  <c:v>Apr-2008</c:v>
                </c:pt>
                <c:pt idx="2">
                  <c:v>Jul-2008</c:v>
                </c:pt>
                <c:pt idx="3">
                  <c:v>Oct-2008</c:v>
                </c:pt>
                <c:pt idx="4">
                  <c:v>Jan-2009</c:v>
                </c:pt>
                <c:pt idx="5">
                  <c:v>Apr-2009</c:v>
                </c:pt>
                <c:pt idx="6">
                  <c:v>Jul-2009</c:v>
                </c:pt>
                <c:pt idx="7">
                  <c:v>Oct-2009</c:v>
                </c:pt>
                <c:pt idx="8">
                  <c:v>Jan-2010</c:v>
                </c:pt>
                <c:pt idx="9">
                  <c:v>Apr-2010</c:v>
                </c:pt>
                <c:pt idx="10">
                  <c:v>Jul-2010</c:v>
                </c:pt>
                <c:pt idx="11">
                  <c:v>Oct-2010</c:v>
                </c:pt>
                <c:pt idx="12">
                  <c:v>Jan-2011</c:v>
                </c:pt>
                <c:pt idx="13">
                  <c:v>Apr-2011</c:v>
                </c:pt>
                <c:pt idx="14">
                  <c:v>Jul-2011</c:v>
                </c:pt>
                <c:pt idx="15">
                  <c:v>Oct-2011</c:v>
                </c:pt>
                <c:pt idx="16">
                  <c:v>Jan-2012</c:v>
                </c:pt>
                <c:pt idx="17">
                  <c:v>Apr-2012</c:v>
                </c:pt>
                <c:pt idx="18">
                  <c:v>Jul-2012</c:v>
                </c:pt>
                <c:pt idx="19">
                  <c:v>Oct-2012</c:v>
                </c:pt>
                <c:pt idx="20">
                  <c:v>Jan-2013</c:v>
                </c:pt>
                <c:pt idx="21">
                  <c:v>Apr-2013</c:v>
                </c:pt>
                <c:pt idx="22">
                  <c:v>Jul-2013</c:v>
                </c:pt>
                <c:pt idx="23">
                  <c:v>Oct-2013</c:v>
                </c:pt>
                <c:pt idx="24">
                  <c:v>Jan-2014</c:v>
                </c:pt>
                <c:pt idx="25">
                  <c:v>Apr-2014</c:v>
                </c:pt>
                <c:pt idx="26">
                  <c:v>Jul-2014</c:v>
                </c:pt>
                <c:pt idx="27">
                  <c:v>Oct-2014</c:v>
                </c:pt>
                <c:pt idx="28">
                  <c:v>Jan-2015</c:v>
                </c:pt>
                <c:pt idx="29">
                  <c:v>Apr-2015</c:v>
                </c:pt>
                <c:pt idx="30">
                  <c:v>Jul-2015</c:v>
                </c:pt>
                <c:pt idx="31">
                  <c:v>Oct-2015</c:v>
                </c:pt>
                <c:pt idx="32">
                  <c:v>Jan-2016</c:v>
                </c:pt>
                <c:pt idx="33">
                  <c:v>Apr-2016</c:v>
                </c:pt>
                <c:pt idx="34">
                  <c:v>Jul-2016</c:v>
                </c:pt>
                <c:pt idx="35">
                  <c:v>Oct-2016</c:v>
                </c:pt>
                <c:pt idx="36">
                  <c:v>Jan-2017</c:v>
                </c:pt>
                <c:pt idx="37">
                  <c:v>Apr-2017</c:v>
                </c:pt>
                <c:pt idx="38">
                  <c:v>Jul-2017</c:v>
                </c:pt>
                <c:pt idx="39">
                  <c:v>Oct-2017</c:v>
                </c:pt>
                <c:pt idx="40">
                  <c:v>Jan-2018</c:v>
                </c:pt>
                <c:pt idx="41">
                  <c:v>Apr-2018</c:v>
                </c:pt>
                <c:pt idx="42">
                  <c:v>Jul-2018</c:v>
                </c:pt>
                <c:pt idx="43">
                  <c:v>Oct-2018</c:v>
                </c:pt>
                <c:pt idx="44">
                  <c:v>Jan-2019</c:v>
                </c:pt>
                <c:pt idx="45">
                  <c:v>Apr-2019</c:v>
                </c:pt>
                <c:pt idx="46">
                  <c:v>Jul-2019</c:v>
                </c:pt>
                <c:pt idx="47">
                  <c:v>Oct-2019</c:v>
                </c:pt>
                <c:pt idx="48">
                  <c:v>Jan-2020</c:v>
                </c:pt>
                <c:pt idx="49">
                  <c:v>Apr-2020</c:v>
                </c:pt>
                <c:pt idx="50">
                  <c:v>Jul-2020</c:v>
                </c:pt>
                <c:pt idx="51">
                  <c:v>Oct-2020</c:v>
                </c:pt>
                <c:pt idx="52">
                  <c:v>Jan-2021</c:v>
                </c:pt>
                <c:pt idx="53">
                  <c:v>Apr-2021</c:v>
                </c:pt>
                <c:pt idx="54">
                  <c:v>Jul-2021</c:v>
                </c:pt>
                <c:pt idx="55">
                  <c:v>Oct-2021</c:v>
                </c:pt>
                <c:pt idx="56">
                  <c:v>Jan-2022</c:v>
                </c:pt>
                <c:pt idx="57">
                  <c:v>Apr-2022</c:v>
                </c:pt>
                <c:pt idx="58">
                  <c:v>Jul-2022</c:v>
                </c:pt>
                <c:pt idx="59">
                  <c:v>Oct-2022</c:v>
                </c:pt>
                <c:pt idx="60">
                  <c:v>Jan-2023</c:v>
                </c:pt>
                <c:pt idx="61">
                  <c:v>Apr-2023</c:v>
                </c:pt>
                <c:pt idx="62">
                  <c:v>Jul-2023</c:v>
                </c:pt>
                <c:pt idx="63">
                  <c:v>Oct-2023</c:v>
                </c:pt>
                <c:pt idx="64">
                  <c:v>Jan-2024</c:v>
                </c:pt>
                <c:pt idx="65">
                  <c:v>Apr-2024</c:v>
                </c:pt>
                <c:pt idx="66">
                  <c:v>Jul-2024</c:v>
                </c:pt>
                <c:pt idx="67">
                  <c:v>Oct-2024</c:v>
                </c:pt>
                <c:pt idx="68">
                  <c:v>Jan-2025</c:v>
                </c:pt>
                <c:pt idx="69">
                  <c:v>Apr-2025</c:v>
                </c:pt>
                <c:pt idx="70">
                  <c:v>Jul-2025</c:v>
                </c:pt>
                <c:pt idx="71">
                  <c:v>Oct-2025</c:v>
                </c:pt>
                <c:pt idx="72">
                  <c:v>Jan-2026</c:v>
                </c:pt>
                <c:pt idx="73">
                  <c:v>Apr-2026</c:v>
                </c:pt>
                <c:pt idx="74">
                  <c:v>Jul-2026</c:v>
                </c:pt>
                <c:pt idx="75">
                  <c:v>Oct-2026</c:v>
                </c:pt>
                <c:pt idx="76">
                  <c:v>Jan-2027</c:v>
                </c:pt>
                <c:pt idx="77">
                  <c:v>Apr-2027</c:v>
                </c:pt>
                <c:pt idx="78">
                  <c:v>Jul-2027</c:v>
                </c:pt>
                <c:pt idx="79">
                  <c:v>Oct-2027</c:v>
                </c:pt>
                <c:pt idx="80">
                  <c:v>Jan-2028</c:v>
                </c:pt>
                <c:pt idx="81">
                  <c:v>Apr-2028</c:v>
                </c:pt>
                <c:pt idx="82">
                  <c:v>Jul-2028</c:v>
                </c:pt>
                <c:pt idx="83">
                  <c:v>Oct-2028</c:v>
                </c:pt>
                <c:pt idx="84">
                  <c:v>Jan-2029</c:v>
                </c:pt>
                <c:pt idx="85">
                  <c:v>Apr-2029</c:v>
                </c:pt>
                <c:pt idx="86">
                  <c:v>Jul-2029</c:v>
                </c:pt>
                <c:pt idx="87">
                  <c:v>Oct-2029</c:v>
                </c:pt>
                <c:pt idx="88">
                  <c:v>Jan-2030</c:v>
                </c:pt>
                <c:pt idx="89">
                  <c:v>Apr-2030</c:v>
                </c:pt>
                <c:pt idx="90">
                  <c:v>Jul-2030</c:v>
                </c:pt>
                <c:pt idx="91">
                  <c:v>Oct-2030</c:v>
                </c:pt>
              </c:strCache>
            </c:strRef>
          </c:cat>
          <c:val>
            <c:numRef>
              <c:f>BoP!$B$10:$B$101</c:f>
              <c:numCache>
                <c:formatCode>General</c:formatCode>
                <c:ptCount val="92"/>
              </c:numCache>
            </c:numRef>
          </c:val>
          <c:smooth val="1"/>
        </c:ser>
        <c:ser>
          <c:idx val="1"/>
          <c:order val="1"/>
          <c:tx>
            <c:strRef>
              <c:f>BoP!E9</c:f>
              <c:strCache>
                <c:ptCount val="1"/>
                <c:pt idx="0">
                  <c:v>Trend Fcst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BoP!$A$10:$A$101</c:f>
              <c:strCache>
                <c:ptCount val="92"/>
                <c:pt idx="0">
                  <c:v>Jan-2008</c:v>
                </c:pt>
                <c:pt idx="1">
                  <c:v>Apr-2008</c:v>
                </c:pt>
                <c:pt idx="2">
                  <c:v>Jul-2008</c:v>
                </c:pt>
                <c:pt idx="3">
                  <c:v>Oct-2008</c:v>
                </c:pt>
                <c:pt idx="4">
                  <c:v>Jan-2009</c:v>
                </c:pt>
                <c:pt idx="5">
                  <c:v>Apr-2009</c:v>
                </c:pt>
                <c:pt idx="6">
                  <c:v>Jul-2009</c:v>
                </c:pt>
                <c:pt idx="7">
                  <c:v>Oct-2009</c:v>
                </c:pt>
                <c:pt idx="8">
                  <c:v>Jan-2010</c:v>
                </c:pt>
                <c:pt idx="9">
                  <c:v>Apr-2010</c:v>
                </c:pt>
                <c:pt idx="10">
                  <c:v>Jul-2010</c:v>
                </c:pt>
                <c:pt idx="11">
                  <c:v>Oct-2010</c:v>
                </c:pt>
                <c:pt idx="12">
                  <c:v>Jan-2011</c:v>
                </c:pt>
                <c:pt idx="13">
                  <c:v>Apr-2011</c:v>
                </c:pt>
                <c:pt idx="14">
                  <c:v>Jul-2011</c:v>
                </c:pt>
                <c:pt idx="15">
                  <c:v>Oct-2011</c:v>
                </c:pt>
                <c:pt idx="16">
                  <c:v>Jan-2012</c:v>
                </c:pt>
                <c:pt idx="17">
                  <c:v>Apr-2012</c:v>
                </c:pt>
                <c:pt idx="18">
                  <c:v>Jul-2012</c:v>
                </c:pt>
                <c:pt idx="19">
                  <c:v>Oct-2012</c:v>
                </c:pt>
                <c:pt idx="20">
                  <c:v>Jan-2013</c:v>
                </c:pt>
                <c:pt idx="21">
                  <c:v>Apr-2013</c:v>
                </c:pt>
                <c:pt idx="22">
                  <c:v>Jul-2013</c:v>
                </c:pt>
                <c:pt idx="23">
                  <c:v>Oct-2013</c:v>
                </c:pt>
                <c:pt idx="24">
                  <c:v>Jan-2014</c:v>
                </c:pt>
                <c:pt idx="25">
                  <c:v>Apr-2014</c:v>
                </c:pt>
                <c:pt idx="26">
                  <c:v>Jul-2014</c:v>
                </c:pt>
                <c:pt idx="27">
                  <c:v>Oct-2014</c:v>
                </c:pt>
                <c:pt idx="28">
                  <c:v>Jan-2015</c:v>
                </c:pt>
                <c:pt idx="29">
                  <c:v>Apr-2015</c:v>
                </c:pt>
                <c:pt idx="30">
                  <c:v>Jul-2015</c:v>
                </c:pt>
                <c:pt idx="31">
                  <c:v>Oct-2015</c:v>
                </c:pt>
                <c:pt idx="32">
                  <c:v>Jan-2016</c:v>
                </c:pt>
                <c:pt idx="33">
                  <c:v>Apr-2016</c:v>
                </c:pt>
                <c:pt idx="34">
                  <c:v>Jul-2016</c:v>
                </c:pt>
                <c:pt idx="35">
                  <c:v>Oct-2016</c:v>
                </c:pt>
                <c:pt idx="36">
                  <c:v>Jan-2017</c:v>
                </c:pt>
                <c:pt idx="37">
                  <c:v>Apr-2017</c:v>
                </c:pt>
                <c:pt idx="38">
                  <c:v>Jul-2017</c:v>
                </c:pt>
                <c:pt idx="39">
                  <c:v>Oct-2017</c:v>
                </c:pt>
                <c:pt idx="40">
                  <c:v>Jan-2018</c:v>
                </c:pt>
                <c:pt idx="41">
                  <c:v>Apr-2018</c:v>
                </c:pt>
                <c:pt idx="42">
                  <c:v>Jul-2018</c:v>
                </c:pt>
                <c:pt idx="43">
                  <c:v>Oct-2018</c:v>
                </c:pt>
                <c:pt idx="44">
                  <c:v>Jan-2019</c:v>
                </c:pt>
                <c:pt idx="45">
                  <c:v>Apr-2019</c:v>
                </c:pt>
                <c:pt idx="46">
                  <c:v>Jul-2019</c:v>
                </c:pt>
                <c:pt idx="47">
                  <c:v>Oct-2019</c:v>
                </c:pt>
                <c:pt idx="48">
                  <c:v>Jan-2020</c:v>
                </c:pt>
                <c:pt idx="49">
                  <c:v>Apr-2020</c:v>
                </c:pt>
                <c:pt idx="50">
                  <c:v>Jul-2020</c:v>
                </c:pt>
                <c:pt idx="51">
                  <c:v>Oct-2020</c:v>
                </c:pt>
                <c:pt idx="52">
                  <c:v>Jan-2021</c:v>
                </c:pt>
                <c:pt idx="53">
                  <c:v>Apr-2021</c:v>
                </c:pt>
                <c:pt idx="54">
                  <c:v>Jul-2021</c:v>
                </c:pt>
                <c:pt idx="55">
                  <c:v>Oct-2021</c:v>
                </c:pt>
                <c:pt idx="56">
                  <c:v>Jan-2022</c:v>
                </c:pt>
                <c:pt idx="57">
                  <c:v>Apr-2022</c:v>
                </c:pt>
                <c:pt idx="58">
                  <c:v>Jul-2022</c:v>
                </c:pt>
                <c:pt idx="59">
                  <c:v>Oct-2022</c:v>
                </c:pt>
                <c:pt idx="60">
                  <c:v>Jan-2023</c:v>
                </c:pt>
                <c:pt idx="61">
                  <c:v>Apr-2023</c:v>
                </c:pt>
                <c:pt idx="62">
                  <c:v>Jul-2023</c:v>
                </c:pt>
                <c:pt idx="63">
                  <c:v>Oct-2023</c:v>
                </c:pt>
                <c:pt idx="64">
                  <c:v>Jan-2024</c:v>
                </c:pt>
                <c:pt idx="65">
                  <c:v>Apr-2024</c:v>
                </c:pt>
                <c:pt idx="66">
                  <c:v>Jul-2024</c:v>
                </c:pt>
                <c:pt idx="67">
                  <c:v>Oct-2024</c:v>
                </c:pt>
                <c:pt idx="68">
                  <c:v>Jan-2025</c:v>
                </c:pt>
                <c:pt idx="69">
                  <c:v>Apr-2025</c:v>
                </c:pt>
                <c:pt idx="70">
                  <c:v>Jul-2025</c:v>
                </c:pt>
                <c:pt idx="71">
                  <c:v>Oct-2025</c:v>
                </c:pt>
                <c:pt idx="72">
                  <c:v>Jan-2026</c:v>
                </c:pt>
                <c:pt idx="73">
                  <c:v>Apr-2026</c:v>
                </c:pt>
                <c:pt idx="74">
                  <c:v>Jul-2026</c:v>
                </c:pt>
                <c:pt idx="75">
                  <c:v>Oct-2026</c:v>
                </c:pt>
                <c:pt idx="76">
                  <c:v>Jan-2027</c:v>
                </c:pt>
                <c:pt idx="77">
                  <c:v>Apr-2027</c:v>
                </c:pt>
                <c:pt idx="78">
                  <c:v>Jul-2027</c:v>
                </c:pt>
                <c:pt idx="79">
                  <c:v>Oct-2027</c:v>
                </c:pt>
                <c:pt idx="80">
                  <c:v>Jan-2028</c:v>
                </c:pt>
                <c:pt idx="81">
                  <c:v>Apr-2028</c:v>
                </c:pt>
                <c:pt idx="82">
                  <c:v>Jul-2028</c:v>
                </c:pt>
                <c:pt idx="83">
                  <c:v>Oct-2028</c:v>
                </c:pt>
                <c:pt idx="84">
                  <c:v>Jan-2029</c:v>
                </c:pt>
                <c:pt idx="85">
                  <c:v>Apr-2029</c:v>
                </c:pt>
                <c:pt idx="86">
                  <c:v>Jul-2029</c:v>
                </c:pt>
                <c:pt idx="87">
                  <c:v>Oct-2029</c:v>
                </c:pt>
                <c:pt idx="88">
                  <c:v>Jan-2030</c:v>
                </c:pt>
                <c:pt idx="89">
                  <c:v>Apr-2030</c:v>
                </c:pt>
                <c:pt idx="90">
                  <c:v>Jul-2030</c:v>
                </c:pt>
                <c:pt idx="91">
                  <c:v>Oct-2030</c:v>
                </c:pt>
              </c:strCache>
            </c:strRef>
          </c:cat>
          <c:val>
            <c:numRef>
              <c:f>BoP!$E$10:$E$101</c:f>
              <c:numCache>
                <c:formatCode>General</c:formatCode>
                <c:ptCount val="92"/>
              </c:numCache>
            </c:numRef>
          </c:val>
          <c:smooth val="1"/>
        </c:ser>
        <c:ser>
          <c:idx val="2"/>
          <c:order val="2"/>
          <c:tx>
            <c:strRef>
              <c:f>BoP!F9</c:f>
              <c:strCache>
                <c:ptCount val="1"/>
                <c:pt idx="0">
                  <c:v>Damped Fcst</c:v>
                </c:pt>
              </c:strCache>
            </c:strRef>
          </c:tx>
          <c:spPr>
            <a:solidFill>
              <a:srgbClr val="98B855"/>
            </a:solidFill>
            <a:ln w="12600">
              <a:solidFill>
                <a:srgbClr val="98B855"/>
              </a:solidFill>
              <a:prstDash val="sys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sys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BoP!$A$10:$A$101</c:f>
              <c:strCache>
                <c:ptCount val="92"/>
                <c:pt idx="0">
                  <c:v>Jan-2008</c:v>
                </c:pt>
                <c:pt idx="1">
                  <c:v>Apr-2008</c:v>
                </c:pt>
                <c:pt idx="2">
                  <c:v>Jul-2008</c:v>
                </c:pt>
                <c:pt idx="3">
                  <c:v>Oct-2008</c:v>
                </c:pt>
                <c:pt idx="4">
                  <c:v>Jan-2009</c:v>
                </c:pt>
                <c:pt idx="5">
                  <c:v>Apr-2009</c:v>
                </c:pt>
                <c:pt idx="6">
                  <c:v>Jul-2009</c:v>
                </c:pt>
                <c:pt idx="7">
                  <c:v>Oct-2009</c:v>
                </c:pt>
                <c:pt idx="8">
                  <c:v>Jan-2010</c:v>
                </c:pt>
                <c:pt idx="9">
                  <c:v>Apr-2010</c:v>
                </c:pt>
                <c:pt idx="10">
                  <c:v>Jul-2010</c:v>
                </c:pt>
                <c:pt idx="11">
                  <c:v>Oct-2010</c:v>
                </c:pt>
                <c:pt idx="12">
                  <c:v>Jan-2011</c:v>
                </c:pt>
                <c:pt idx="13">
                  <c:v>Apr-2011</c:v>
                </c:pt>
                <c:pt idx="14">
                  <c:v>Jul-2011</c:v>
                </c:pt>
                <c:pt idx="15">
                  <c:v>Oct-2011</c:v>
                </c:pt>
                <c:pt idx="16">
                  <c:v>Jan-2012</c:v>
                </c:pt>
                <c:pt idx="17">
                  <c:v>Apr-2012</c:v>
                </c:pt>
                <c:pt idx="18">
                  <c:v>Jul-2012</c:v>
                </c:pt>
                <c:pt idx="19">
                  <c:v>Oct-2012</c:v>
                </c:pt>
                <c:pt idx="20">
                  <c:v>Jan-2013</c:v>
                </c:pt>
                <c:pt idx="21">
                  <c:v>Apr-2013</c:v>
                </c:pt>
                <c:pt idx="22">
                  <c:v>Jul-2013</c:v>
                </c:pt>
                <c:pt idx="23">
                  <c:v>Oct-2013</c:v>
                </c:pt>
                <c:pt idx="24">
                  <c:v>Jan-2014</c:v>
                </c:pt>
                <c:pt idx="25">
                  <c:v>Apr-2014</c:v>
                </c:pt>
                <c:pt idx="26">
                  <c:v>Jul-2014</c:v>
                </c:pt>
                <c:pt idx="27">
                  <c:v>Oct-2014</c:v>
                </c:pt>
                <c:pt idx="28">
                  <c:v>Jan-2015</c:v>
                </c:pt>
                <c:pt idx="29">
                  <c:v>Apr-2015</c:v>
                </c:pt>
                <c:pt idx="30">
                  <c:v>Jul-2015</c:v>
                </c:pt>
                <c:pt idx="31">
                  <c:v>Oct-2015</c:v>
                </c:pt>
                <c:pt idx="32">
                  <c:v>Jan-2016</c:v>
                </c:pt>
                <c:pt idx="33">
                  <c:v>Apr-2016</c:v>
                </c:pt>
                <c:pt idx="34">
                  <c:v>Jul-2016</c:v>
                </c:pt>
                <c:pt idx="35">
                  <c:v>Oct-2016</c:v>
                </c:pt>
                <c:pt idx="36">
                  <c:v>Jan-2017</c:v>
                </c:pt>
                <c:pt idx="37">
                  <c:v>Apr-2017</c:v>
                </c:pt>
                <c:pt idx="38">
                  <c:v>Jul-2017</c:v>
                </c:pt>
                <c:pt idx="39">
                  <c:v>Oct-2017</c:v>
                </c:pt>
                <c:pt idx="40">
                  <c:v>Jan-2018</c:v>
                </c:pt>
                <c:pt idx="41">
                  <c:v>Apr-2018</c:v>
                </c:pt>
                <c:pt idx="42">
                  <c:v>Jul-2018</c:v>
                </c:pt>
                <c:pt idx="43">
                  <c:v>Oct-2018</c:v>
                </c:pt>
                <c:pt idx="44">
                  <c:v>Jan-2019</c:v>
                </c:pt>
                <c:pt idx="45">
                  <c:v>Apr-2019</c:v>
                </c:pt>
                <c:pt idx="46">
                  <c:v>Jul-2019</c:v>
                </c:pt>
                <c:pt idx="47">
                  <c:v>Oct-2019</c:v>
                </c:pt>
                <c:pt idx="48">
                  <c:v>Jan-2020</c:v>
                </c:pt>
                <c:pt idx="49">
                  <c:v>Apr-2020</c:v>
                </c:pt>
                <c:pt idx="50">
                  <c:v>Jul-2020</c:v>
                </c:pt>
                <c:pt idx="51">
                  <c:v>Oct-2020</c:v>
                </c:pt>
                <c:pt idx="52">
                  <c:v>Jan-2021</c:v>
                </c:pt>
                <c:pt idx="53">
                  <c:v>Apr-2021</c:v>
                </c:pt>
                <c:pt idx="54">
                  <c:v>Jul-2021</c:v>
                </c:pt>
                <c:pt idx="55">
                  <c:v>Oct-2021</c:v>
                </c:pt>
                <c:pt idx="56">
                  <c:v>Jan-2022</c:v>
                </c:pt>
                <c:pt idx="57">
                  <c:v>Apr-2022</c:v>
                </c:pt>
                <c:pt idx="58">
                  <c:v>Jul-2022</c:v>
                </c:pt>
                <c:pt idx="59">
                  <c:v>Oct-2022</c:v>
                </c:pt>
                <c:pt idx="60">
                  <c:v>Jan-2023</c:v>
                </c:pt>
                <c:pt idx="61">
                  <c:v>Apr-2023</c:v>
                </c:pt>
                <c:pt idx="62">
                  <c:v>Jul-2023</c:v>
                </c:pt>
                <c:pt idx="63">
                  <c:v>Oct-2023</c:v>
                </c:pt>
                <c:pt idx="64">
                  <c:v>Jan-2024</c:v>
                </c:pt>
                <c:pt idx="65">
                  <c:v>Apr-2024</c:v>
                </c:pt>
                <c:pt idx="66">
                  <c:v>Jul-2024</c:v>
                </c:pt>
                <c:pt idx="67">
                  <c:v>Oct-2024</c:v>
                </c:pt>
                <c:pt idx="68">
                  <c:v>Jan-2025</c:v>
                </c:pt>
                <c:pt idx="69">
                  <c:v>Apr-2025</c:v>
                </c:pt>
                <c:pt idx="70">
                  <c:v>Jul-2025</c:v>
                </c:pt>
                <c:pt idx="71">
                  <c:v>Oct-2025</c:v>
                </c:pt>
                <c:pt idx="72">
                  <c:v>Jan-2026</c:v>
                </c:pt>
                <c:pt idx="73">
                  <c:v>Apr-2026</c:v>
                </c:pt>
                <c:pt idx="74">
                  <c:v>Jul-2026</c:v>
                </c:pt>
                <c:pt idx="75">
                  <c:v>Oct-2026</c:v>
                </c:pt>
                <c:pt idx="76">
                  <c:v>Jan-2027</c:v>
                </c:pt>
                <c:pt idx="77">
                  <c:v>Apr-2027</c:v>
                </c:pt>
                <c:pt idx="78">
                  <c:v>Jul-2027</c:v>
                </c:pt>
                <c:pt idx="79">
                  <c:v>Oct-2027</c:v>
                </c:pt>
                <c:pt idx="80">
                  <c:v>Jan-2028</c:v>
                </c:pt>
                <c:pt idx="81">
                  <c:v>Apr-2028</c:v>
                </c:pt>
                <c:pt idx="82">
                  <c:v>Jul-2028</c:v>
                </c:pt>
                <c:pt idx="83">
                  <c:v>Oct-2028</c:v>
                </c:pt>
                <c:pt idx="84">
                  <c:v>Jan-2029</c:v>
                </c:pt>
                <c:pt idx="85">
                  <c:v>Apr-2029</c:v>
                </c:pt>
                <c:pt idx="86">
                  <c:v>Jul-2029</c:v>
                </c:pt>
                <c:pt idx="87">
                  <c:v>Oct-2029</c:v>
                </c:pt>
                <c:pt idx="88">
                  <c:v>Jan-2030</c:v>
                </c:pt>
                <c:pt idx="89">
                  <c:v>Apr-2030</c:v>
                </c:pt>
                <c:pt idx="90">
                  <c:v>Jul-2030</c:v>
                </c:pt>
                <c:pt idx="91">
                  <c:v>Oct-2030</c:v>
                </c:pt>
              </c:strCache>
            </c:strRef>
          </c:cat>
          <c:val>
            <c:numRef>
              <c:f>BoP!$F$10:$F$101</c:f>
              <c:numCache>
                <c:formatCode>General</c:formatCode>
                <c:ptCount val="92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2627352"/>
        <c:axId val="19644360"/>
      </c:lineChart>
      <c:catAx>
        <c:axId val="72627352"/>
        <c:scaling>
          <c:orientation val="minMax"/>
        </c:scaling>
        <c:delete val="0"/>
        <c:axPos val="b"/>
        <c:numFmt formatCode="mmm\-yy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9644360"/>
        <c:crosses val="autoZero"/>
        <c:auto val="1"/>
        <c:lblAlgn val="ctr"/>
        <c:lblOffset val="100"/>
        <c:noMultiLvlLbl val="0"/>
      </c:catAx>
      <c:valAx>
        <c:axId val="196443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262735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BoP!B110</c:f>
              <c:strCache>
                <c:ptCount val="1"/>
                <c:pt idx="0">
                  <c:v>Level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BoP!$A$111:$A$202</c:f>
              <c:strCache>
                <c:ptCount val="92"/>
                <c:pt idx="0">
                  <c:v>Jan-2008</c:v>
                </c:pt>
                <c:pt idx="1">
                  <c:v>Apr-2008</c:v>
                </c:pt>
                <c:pt idx="2">
                  <c:v>Jul-2008</c:v>
                </c:pt>
                <c:pt idx="3">
                  <c:v>Oct-2008</c:v>
                </c:pt>
                <c:pt idx="4">
                  <c:v>Jan-2009</c:v>
                </c:pt>
                <c:pt idx="5">
                  <c:v>Apr-2009</c:v>
                </c:pt>
                <c:pt idx="6">
                  <c:v>Jul-2009</c:v>
                </c:pt>
                <c:pt idx="7">
                  <c:v>Oct-2009</c:v>
                </c:pt>
                <c:pt idx="8">
                  <c:v>Jan-2010</c:v>
                </c:pt>
                <c:pt idx="9">
                  <c:v>Apr-2010</c:v>
                </c:pt>
                <c:pt idx="10">
                  <c:v>Jul-2010</c:v>
                </c:pt>
                <c:pt idx="11">
                  <c:v>Oct-2010</c:v>
                </c:pt>
                <c:pt idx="12">
                  <c:v>Jan-2011</c:v>
                </c:pt>
                <c:pt idx="13">
                  <c:v>Apr-2011</c:v>
                </c:pt>
                <c:pt idx="14">
                  <c:v>Jul-2011</c:v>
                </c:pt>
                <c:pt idx="15">
                  <c:v>Oct-2011</c:v>
                </c:pt>
                <c:pt idx="16">
                  <c:v>Jan-2012</c:v>
                </c:pt>
                <c:pt idx="17">
                  <c:v>Apr-2012</c:v>
                </c:pt>
                <c:pt idx="18">
                  <c:v>Jul-2012</c:v>
                </c:pt>
                <c:pt idx="19">
                  <c:v>Oct-2012</c:v>
                </c:pt>
                <c:pt idx="20">
                  <c:v>Jan-2013</c:v>
                </c:pt>
                <c:pt idx="21">
                  <c:v>Apr-2013</c:v>
                </c:pt>
                <c:pt idx="22">
                  <c:v>Jul-2013</c:v>
                </c:pt>
                <c:pt idx="23">
                  <c:v>Oct-2013</c:v>
                </c:pt>
                <c:pt idx="24">
                  <c:v>Jan-2014</c:v>
                </c:pt>
                <c:pt idx="25">
                  <c:v>Apr-2014</c:v>
                </c:pt>
                <c:pt idx="26">
                  <c:v>Jul-2014</c:v>
                </c:pt>
                <c:pt idx="27">
                  <c:v>Oct-2014</c:v>
                </c:pt>
                <c:pt idx="28">
                  <c:v>Jan-2015</c:v>
                </c:pt>
                <c:pt idx="29">
                  <c:v>Apr-2015</c:v>
                </c:pt>
                <c:pt idx="30">
                  <c:v>Jul-2015</c:v>
                </c:pt>
                <c:pt idx="31">
                  <c:v>Oct-2015</c:v>
                </c:pt>
                <c:pt idx="32">
                  <c:v>Jan-2016</c:v>
                </c:pt>
                <c:pt idx="33">
                  <c:v>Apr-2016</c:v>
                </c:pt>
                <c:pt idx="34">
                  <c:v>Jul-2016</c:v>
                </c:pt>
                <c:pt idx="35">
                  <c:v>Oct-2016</c:v>
                </c:pt>
                <c:pt idx="36">
                  <c:v>Jan-2017</c:v>
                </c:pt>
                <c:pt idx="37">
                  <c:v>Apr-2017</c:v>
                </c:pt>
                <c:pt idx="38">
                  <c:v>Jul-2017</c:v>
                </c:pt>
                <c:pt idx="39">
                  <c:v>Oct-2017</c:v>
                </c:pt>
                <c:pt idx="40">
                  <c:v>Jan-2018</c:v>
                </c:pt>
                <c:pt idx="41">
                  <c:v>Apr-2018</c:v>
                </c:pt>
                <c:pt idx="42">
                  <c:v>Jul-2018</c:v>
                </c:pt>
                <c:pt idx="43">
                  <c:v>Oct-2018</c:v>
                </c:pt>
                <c:pt idx="44">
                  <c:v>Jan-2019</c:v>
                </c:pt>
                <c:pt idx="45">
                  <c:v>Apr-2019</c:v>
                </c:pt>
                <c:pt idx="46">
                  <c:v>Jul-2019</c:v>
                </c:pt>
                <c:pt idx="47">
                  <c:v>Oct-2019</c:v>
                </c:pt>
                <c:pt idx="48">
                  <c:v>Jan-2020</c:v>
                </c:pt>
                <c:pt idx="49">
                  <c:v>Apr-2020</c:v>
                </c:pt>
                <c:pt idx="50">
                  <c:v>Jul-2020</c:v>
                </c:pt>
                <c:pt idx="51">
                  <c:v>Oct-2020</c:v>
                </c:pt>
                <c:pt idx="52">
                  <c:v>Jan-2021</c:v>
                </c:pt>
                <c:pt idx="53">
                  <c:v>Apr-2021</c:v>
                </c:pt>
                <c:pt idx="54">
                  <c:v>Jul-2021</c:v>
                </c:pt>
                <c:pt idx="55">
                  <c:v>Oct-2021</c:v>
                </c:pt>
                <c:pt idx="56">
                  <c:v>Jan-2022</c:v>
                </c:pt>
                <c:pt idx="57">
                  <c:v>Apr-2022</c:v>
                </c:pt>
                <c:pt idx="58">
                  <c:v>Jul-2022</c:v>
                </c:pt>
                <c:pt idx="59">
                  <c:v>Oct-2022</c:v>
                </c:pt>
                <c:pt idx="60">
                  <c:v>Jan-2023</c:v>
                </c:pt>
                <c:pt idx="61">
                  <c:v>Apr-2023</c:v>
                </c:pt>
                <c:pt idx="62">
                  <c:v>Jul-2023</c:v>
                </c:pt>
                <c:pt idx="63">
                  <c:v>Oct-2023</c:v>
                </c:pt>
                <c:pt idx="64">
                  <c:v>Jan-2024</c:v>
                </c:pt>
                <c:pt idx="65">
                  <c:v>Apr-2024</c:v>
                </c:pt>
                <c:pt idx="66">
                  <c:v>Jul-2024</c:v>
                </c:pt>
                <c:pt idx="67">
                  <c:v>Oct-2024</c:v>
                </c:pt>
                <c:pt idx="68">
                  <c:v>Jan-2025</c:v>
                </c:pt>
                <c:pt idx="69">
                  <c:v>Apr-2025</c:v>
                </c:pt>
                <c:pt idx="70">
                  <c:v>Jul-2025</c:v>
                </c:pt>
                <c:pt idx="71">
                  <c:v>Oct-2025</c:v>
                </c:pt>
                <c:pt idx="72">
                  <c:v>Jan-2026</c:v>
                </c:pt>
                <c:pt idx="73">
                  <c:v>Apr-2026</c:v>
                </c:pt>
                <c:pt idx="74">
                  <c:v>Jul-2026</c:v>
                </c:pt>
                <c:pt idx="75">
                  <c:v>Oct-2026</c:v>
                </c:pt>
                <c:pt idx="76">
                  <c:v>Jan-2027</c:v>
                </c:pt>
                <c:pt idx="77">
                  <c:v>Apr-2027</c:v>
                </c:pt>
                <c:pt idx="78">
                  <c:v>Jul-2027</c:v>
                </c:pt>
                <c:pt idx="79">
                  <c:v>Oct-2027</c:v>
                </c:pt>
                <c:pt idx="80">
                  <c:v>Jan-2028</c:v>
                </c:pt>
                <c:pt idx="81">
                  <c:v>Apr-2028</c:v>
                </c:pt>
                <c:pt idx="82">
                  <c:v>Jul-2028</c:v>
                </c:pt>
                <c:pt idx="83">
                  <c:v>Oct-2028</c:v>
                </c:pt>
                <c:pt idx="84">
                  <c:v>Jan-2029</c:v>
                </c:pt>
                <c:pt idx="85">
                  <c:v>Apr-2029</c:v>
                </c:pt>
                <c:pt idx="86">
                  <c:v>Jul-2029</c:v>
                </c:pt>
                <c:pt idx="87">
                  <c:v>Oct-2029</c:v>
                </c:pt>
                <c:pt idx="88">
                  <c:v>Jan-2030</c:v>
                </c:pt>
                <c:pt idx="89">
                  <c:v>Apr-2030</c:v>
                </c:pt>
                <c:pt idx="90">
                  <c:v>Jul-2030</c:v>
                </c:pt>
                <c:pt idx="91">
                  <c:v>Oct-2030</c:v>
                </c:pt>
              </c:strCache>
            </c:strRef>
          </c:cat>
          <c:val>
            <c:numRef>
              <c:f>BoP!$B$111:$B$202</c:f>
              <c:numCache>
                <c:formatCode>General</c:formatCode>
                <c:ptCount val="92"/>
              </c:numCache>
            </c:numRef>
          </c:val>
          <c:smooth val="1"/>
        </c:ser>
        <c:ser>
          <c:idx val="1"/>
          <c:order val="1"/>
          <c:tx>
            <c:strRef>
              <c:f>BoP!E110</c:f>
              <c:strCache>
                <c:ptCount val="1"/>
                <c:pt idx="0">
                  <c:v>Trend Fcst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BoP!$A$111:$A$202</c:f>
              <c:strCache>
                <c:ptCount val="92"/>
                <c:pt idx="0">
                  <c:v>Jan-2008</c:v>
                </c:pt>
                <c:pt idx="1">
                  <c:v>Apr-2008</c:v>
                </c:pt>
                <c:pt idx="2">
                  <c:v>Jul-2008</c:v>
                </c:pt>
                <c:pt idx="3">
                  <c:v>Oct-2008</c:v>
                </c:pt>
                <c:pt idx="4">
                  <c:v>Jan-2009</c:v>
                </c:pt>
                <c:pt idx="5">
                  <c:v>Apr-2009</c:v>
                </c:pt>
                <c:pt idx="6">
                  <c:v>Jul-2009</c:v>
                </c:pt>
                <c:pt idx="7">
                  <c:v>Oct-2009</c:v>
                </c:pt>
                <c:pt idx="8">
                  <c:v>Jan-2010</c:v>
                </c:pt>
                <c:pt idx="9">
                  <c:v>Apr-2010</c:v>
                </c:pt>
                <c:pt idx="10">
                  <c:v>Jul-2010</c:v>
                </c:pt>
                <c:pt idx="11">
                  <c:v>Oct-2010</c:v>
                </c:pt>
                <c:pt idx="12">
                  <c:v>Jan-2011</c:v>
                </c:pt>
                <c:pt idx="13">
                  <c:v>Apr-2011</c:v>
                </c:pt>
                <c:pt idx="14">
                  <c:v>Jul-2011</c:v>
                </c:pt>
                <c:pt idx="15">
                  <c:v>Oct-2011</c:v>
                </c:pt>
                <c:pt idx="16">
                  <c:v>Jan-2012</c:v>
                </c:pt>
                <c:pt idx="17">
                  <c:v>Apr-2012</c:v>
                </c:pt>
                <c:pt idx="18">
                  <c:v>Jul-2012</c:v>
                </c:pt>
                <c:pt idx="19">
                  <c:v>Oct-2012</c:v>
                </c:pt>
                <c:pt idx="20">
                  <c:v>Jan-2013</c:v>
                </c:pt>
                <c:pt idx="21">
                  <c:v>Apr-2013</c:v>
                </c:pt>
                <c:pt idx="22">
                  <c:v>Jul-2013</c:v>
                </c:pt>
                <c:pt idx="23">
                  <c:v>Oct-2013</c:v>
                </c:pt>
                <c:pt idx="24">
                  <c:v>Jan-2014</c:v>
                </c:pt>
                <c:pt idx="25">
                  <c:v>Apr-2014</c:v>
                </c:pt>
                <c:pt idx="26">
                  <c:v>Jul-2014</c:v>
                </c:pt>
                <c:pt idx="27">
                  <c:v>Oct-2014</c:v>
                </c:pt>
                <c:pt idx="28">
                  <c:v>Jan-2015</c:v>
                </c:pt>
                <c:pt idx="29">
                  <c:v>Apr-2015</c:v>
                </c:pt>
                <c:pt idx="30">
                  <c:v>Jul-2015</c:v>
                </c:pt>
                <c:pt idx="31">
                  <c:v>Oct-2015</c:v>
                </c:pt>
                <c:pt idx="32">
                  <c:v>Jan-2016</c:v>
                </c:pt>
                <c:pt idx="33">
                  <c:v>Apr-2016</c:v>
                </c:pt>
                <c:pt idx="34">
                  <c:v>Jul-2016</c:v>
                </c:pt>
                <c:pt idx="35">
                  <c:v>Oct-2016</c:v>
                </c:pt>
                <c:pt idx="36">
                  <c:v>Jan-2017</c:v>
                </c:pt>
                <c:pt idx="37">
                  <c:v>Apr-2017</c:v>
                </c:pt>
                <c:pt idx="38">
                  <c:v>Jul-2017</c:v>
                </c:pt>
                <c:pt idx="39">
                  <c:v>Oct-2017</c:v>
                </c:pt>
                <c:pt idx="40">
                  <c:v>Jan-2018</c:v>
                </c:pt>
                <c:pt idx="41">
                  <c:v>Apr-2018</c:v>
                </c:pt>
                <c:pt idx="42">
                  <c:v>Jul-2018</c:v>
                </c:pt>
                <c:pt idx="43">
                  <c:v>Oct-2018</c:v>
                </c:pt>
                <c:pt idx="44">
                  <c:v>Jan-2019</c:v>
                </c:pt>
                <c:pt idx="45">
                  <c:v>Apr-2019</c:v>
                </c:pt>
                <c:pt idx="46">
                  <c:v>Jul-2019</c:v>
                </c:pt>
                <c:pt idx="47">
                  <c:v>Oct-2019</c:v>
                </c:pt>
                <c:pt idx="48">
                  <c:v>Jan-2020</c:v>
                </c:pt>
                <c:pt idx="49">
                  <c:v>Apr-2020</c:v>
                </c:pt>
                <c:pt idx="50">
                  <c:v>Jul-2020</c:v>
                </c:pt>
                <c:pt idx="51">
                  <c:v>Oct-2020</c:v>
                </c:pt>
                <c:pt idx="52">
                  <c:v>Jan-2021</c:v>
                </c:pt>
                <c:pt idx="53">
                  <c:v>Apr-2021</c:v>
                </c:pt>
                <c:pt idx="54">
                  <c:v>Jul-2021</c:v>
                </c:pt>
                <c:pt idx="55">
                  <c:v>Oct-2021</c:v>
                </c:pt>
                <c:pt idx="56">
                  <c:v>Jan-2022</c:v>
                </c:pt>
                <c:pt idx="57">
                  <c:v>Apr-2022</c:v>
                </c:pt>
                <c:pt idx="58">
                  <c:v>Jul-2022</c:v>
                </c:pt>
                <c:pt idx="59">
                  <c:v>Oct-2022</c:v>
                </c:pt>
                <c:pt idx="60">
                  <c:v>Jan-2023</c:v>
                </c:pt>
                <c:pt idx="61">
                  <c:v>Apr-2023</c:v>
                </c:pt>
                <c:pt idx="62">
                  <c:v>Jul-2023</c:v>
                </c:pt>
                <c:pt idx="63">
                  <c:v>Oct-2023</c:v>
                </c:pt>
                <c:pt idx="64">
                  <c:v>Jan-2024</c:v>
                </c:pt>
                <c:pt idx="65">
                  <c:v>Apr-2024</c:v>
                </c:pt>
                <c:pt idx="66">
                  <c:v>Jul-2024</c:v>
                </c:pt>
                <c:pt idx="67">
                  <c:v>Oct-2024</c:v>
                </c:pt>
                <c:pt idx="68">
                  <c:v>Jan-2025</c:v>
                </c:pt>
                <c:pt idx="69">
                  <c:v>Apr-2025</c:v>
                </c:pt>
                <c:pt idx="70">
                  <c:v>Jul-2025</c:v>
                </c:pt>
                <c:pt idx="71">
                  <c:v>Oct-2025</c:v>
                </c:pt>
                <c:pt idx="72">
                  <c:v>Jan-2026</c:v>
                </c:pt>
                <c:pt idx="73">
                  <c:v>Apr-2026</c:v>
                </c:pt>
                <c:pt idx="74">
                  <c:v>Jul-2026</c:v>
                </c:pt>
                <c:pt idx="75">
                  <c:v>Oct-2026</c:v>
                </c:pt>
                <c:pt idx="76">
                  <c:v>Jan-2027</c:v>
                </c:pt>
                <c:pt idx="77">
                  <c:v>Apr-2027</c:v>
                </c:pt>
                <c:pt idx="78">
                  <c:v>Jul-2027</c:v>
                </c:pt>
                <c:pt idx="79">
                  <c:v>Oct-2027</c:v>
                </c:pt>
                <c:pt idx="80">
                  <c:v>Jan-2028</c:v>
                </c:pt>
                <c:pt idx="81">
                  <c:v>Apr-2028</c:v>
                </c:pt>
                <c:pt idx="82">
                  <c:v>Jul-2028</c:v>
                </c:pt>
                <c:pt idx="83">
                  <c:v>Oct-2028</c:v>
                </c:pt>
                <c:pt idx="84">
                  <c:v>Jan-2029</c:v>
                </c:pt>
                <c:pt idx="85">
                  <c:v>Apr-2029</c:v>
                </c:pt>
                <c:pt idx="86">
                  <c:v>Jul-2029</c:v>
                </c:pt>
                <c:pt idx="87">
                  <c:v>Oct-2029</c:v>
                </c:pt>
                <c:pt idx="88">
                  <c:v>Jan-2030</c:v>
                </c:pt>
                <c:pt idx="89">
                  <c:v>Apr-2030</c:v>
                </c:pt>
                <c:pt idx="90">
                  <c:v>Jul-2030</c:v>
                </c:pt>
                <c:pt idx="91">
                  <c:v>Oct-2030</c:v>
                </c:pt>
              </c:strCache>
            </c:strRef>
          </c:cat>
          <c:val>
            <c:numRef>
              <c:f>BoP!$E$111:$E$202</c:f>
              <c:numCache>
                <c:formatCode>General</c:formatCode>
                <c:ptCount val="92"/>
              </c:numCache>
            </c:numRef>
          </c:val>
          <c:smooth val="1"/>
        </c:ser>
        <c:ser>
          <c:idx val="2"/>
          <c:order val="2"/>
          <c:tx>
            <c:strRef>
              <c:f>BoP!F110</c:f>
              <c:strCache>
                <c:ptCount val="1"/>
                <c:pt idx="0">
                  <c:v>Damped Fcst</c:v>
                </c:pt>
              </c:strCache>
            </c:strRef>
          </c:tx>
          <c:spPr>
            <a:solidFill>
              <a:srgbClr val="98B855"/>
            </a:solidFill>
            <a:ln w="12600">
              <a:solidFill>
                <a:srgbClr val="98B855"/>
              </a:solidFill>
              <a:prstDash val="sys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sys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BoP!$A$111:$A$202</c:f>
              <c:strCache>
                <c:ptCount val="92"/>
                <c:pt idx="0">
                  <c:v>Jan-2008</c:v>
                </c:pt>
                <c:pt idx="1">
                  <c:v>Apr-2008</c:v>
                </c:pt>
                <c:pt idx="2">
                  <c:v>Jul-2008</c:v>
                </c:pt>
                <c:pt idx="3">
                  <c:v>Oct-2008</c:v>
                </c:pt>
                <c:pt idx="4">
                  <c:v>Jan-2009</c:v>
                </c:pt>
                <c:pt idx="5">
                  <c:v>Apr-2009</c:v>
                </c:pt>
                <c:pt idx="6">
                  <c:v>Jul-2009</c:v>
                </c:pt>
                <c:pt idx="7">
                  <c:v>Oct-2009</c:v>
                </c:pt>
                <c:pt idx="8">
                  <c:v>Jan-2010</c:v>
                </c:pt>
                <c:pt idx="9">
                  <c:v>Apr-2010</c:v>
                </c:pt>
                <c:pt idx="10">
                  <c:v>Jul-2010</c:v>
                </c:pt>
                <c:pt idx="11">
                  <c:v>Oct-2010</c:v>
                </c:pt>
                <c:pt idx="12">
                  <c:v>Jan-2011</c:v>
                </c:pt>
                <c:pt idx="13">
                  <c:v>Apr-2011</c:v>
                </c:pt>
                <c:pt idx="14">
                  <c:v>Jul-2011</c:v>
                </c:pt>
                <c:pt idx="15">
                  <c:v>Oct-2011</c:v>
                </c:pt>
                <c:pt idx="16">
                  <c:v>Jan-2012</c:v>
                </c:pt>
                <c:pt idx="17">
                  <c:v>Apr-2012</c:v>
                </c:pt>
                <c:pt idx="18">
                  <c:v>Jul-2012</c:v>
                </c:pt>
                <c:pt idx="19">
                  <c:v>Oct-2012</c:v>
                </c:pt>
                <c:pt idx="20">
                  <c:v>Jan-2013</c:v>
                </c:pt>
                <c:pt idx="21">
                  <c:v>Apr-2013</c:v>
                </c:pt>
                <c:pt idx="22">
                  <c:v>Jul-2013</c:v>
                </c:pt>
                <c:pt idx="23">
                  <c:v>Oct-2013</c:v>
                </c:pt>
                <c:pt idx="24">
                  <c:v>Jan-2014</c:v>
                </c:pt>
                <c:pt idx="25">
                  <c:v>Apr-2014</c:v>
                </c:pt>
                <c:pt idx="26">
                  <c:v>Jul-2014</c:v>
                </c:pt>
                <c:pt idx="27">
                  <c:v>Oct-2014</c:v>
                </c:pt>
                <c:pt idx="28">
                  <c:v>Jan-2015</c:v>
                </c:pt>
                <c:pt idx="29">
                  <c:v>Apr-2015</c:v>
                </c:pt>
                <c:pt idx="30">
                  <c:v>Jul-2015</c:v>
                </c:pt>
                <c:pt idx="31">
                  <c:v>Oct-2015</c:v>
                </c:pt>
                <c:pt idx="32">
                  <c:v>Jan-2016</c:v>
                </c:pt>
                <c:pt idx="33">
                  <c:v>Apr-2016</c:v>
                </c:pt>
                <c:pt idx="34">
                  <c:v>Jul-2016</c:v>
                </c:pt>
                <c:pt idx="35">
                  <c:v>Oct-2016</c:v>
                </c:pt>
                <c:pt idx="36">
                  <c:v>Jan-2017</c:v>
                </c:pt>
                <c:pt idx="37">
                  <c:v>Apr-2017</c:v>
                </c:pt>
                <c:pt idx="38">
                  <c:v>Jul-2017</c:v>
                </c:pt>
                <c:pt idx="39">
                  <c:v>Oct-2017</c:v>
                </c:pt>
                <c:pt idx="40">
                  <c:v>Jan-2018</c:v>
                </c:pt>
                <c:pt idx="41">
                  <c:v>Apr-2018</c:v>
                </c:pt>
                <c:pt idx="42">
                  <c:v>Jul-2018</c:v>
                </c:pt>
                <c:pt idx="43">
                  <c:v>Oct-2018</c:v>
                </c:pt>
                <c:pt idx="44">
                  <c:v>Jan-2019</c:v>
                </c:pt>
                <c:pt idx="45">
                  <c:v>Apr-2019</c:v>
                </c:pt>
                <c:pt idx="46">
                  <c:v>Jul-2019</c:v>
                </c:pt>
                <c:pt idx="47">
                  <c:v>Oct-2019</c:v>
                </c:pt>
                <c:pt idx="48">
                  <c:v>Jan-2020</c:v>
                </c:pt>
                <c:pt idx="49">
                  <c:v>Apr-2020</c:v>
                </c:pt>
                <c:pt idx="50">
                  <c:v>Jul-2020</c:v>
                </c:pt>
                <c:pt idx="51">
                  <c:v>Oct-2020</c:v>
                </c:pt>
                <c:pt idx="52">
                  <c:v>Jan-2021</c:v>
                </c:pt>
                <c:pt idx="53">
                  <c:v>Apr-2021</c:v>
                </c:pt>
                <c:pt idx="54">
                  <c:v>Jul-2021</c:v>
                </c:pt>
                <c:pt idx="55">
                  <c:v>Oct-2021</c:v>
                </c:pt>
                <c:pt idx="56">
                  <c:v>Jan-2022</c:v>
                </c:pt>
                <c:pt idx="57">
                  <c:v>Apr-2022</c:v>
                </c:pt>
                <c:pt idx="58">
                  <c:v>Jul-2022</c:v>
                </c:pt>
                <c:pt idx="59">
                  <c:v>Oct-2022</c:v>
                </c:pt>
                <c:pt idx="60">
                  <c:v>Jan-2023</c:v>
                </c:pt>
                <c:pt idx="61">
                  <c:v>Apr-2023</c:v>
                </c:pt>
                <c:pt idx="62">
                  <c:v>Jul-2023</c:v>
                </c:pt>
                <c:pt idx="63">
                  <c:v>Oct-2023</c:v>
                </c:pt>
                <c:pt idx="64">
                  <c:v>Jan-2024</c:v>
                </c:pt>
                <c:pt idx="65">
                  <c:v>Apr-2024</c:v>
                </c:pt>
                <c:pt idx="66">
                  <c:v>Jul-2024</c:v>
                </c:pt>
                <c:pt idx="67">
                  <c:v>Oct-2024</c:v>
                </c:pt>
                <c:pt idx="68">
                  <c:v>Jan-2025</c:v>
                </c:pt>
                <c:pt idx="69">
                  <c:v>Apr-2025</c:v>
                </c:pt>
                <c:pt idx="70">
                  <c:v>Jul-2025</c:v>
                </c:pt>
                <c:pt idx="71">
                  <c:v>Oct-2025</c:v>
                </c:pt>
                <c:pt idx="72">
                  <c:v>Jan-2026</c:v>
                </c:pt>
                <c:pt idx="73">
                  <c:v>Apr-2026</c:v>
                </c:pt>
                <c:pt idx="74">
                  <c:v>Jul-2026</c:v>
                </c:pt>
                <c:pt idx="75">
                  <c:v>Oct-2026</c:v>
                </c:pt>
                <c:pt idx="76">
                  <c:v>Jan-2027</c:v>
                </c:pt>
                <c:pt idx="77">
                  <c:v>Apr-2027</c:v>
                </c:pt>
                <c:pt idx="78">
                  <c:v>Jul-2027</c:v>
                </c:pt>
                <c:pt idx="79">
                  <c:v>Oct-2027</c:v>
                </c:pt>
                <c:pt idx="80">
                  <c:v>Jan-2028</c:v>
                </c:pt>
                <c:pt idx="81">
                  <c:v>Apr-2028</c:v>
                </c:pt>
                <c:pt idx="82">
                  <c:v>Jul-2028</c:v>
                </c:pt>
                <c:pt idx="83">
                  <c:v>Oct-2028</c:v>
                </c:pt>
                <c:pt idx="84">
                  <c:v>Jan-2029</c:v>
                </c:pt>
                <c:pt idx="85">
                  <c:v>Apr-2029</c:v>
                </c:pt>
                <c:pt idx="86">
                  <c:v>Jul-2029</c:v>
                </c:pt>
                <c:pt idx="87">
                  <c:v>Oct-2029</c:v>
                </c:pt>
                <c:pt idx="88">
                  <c:v>Jan-2030</c:v>
                </c:pt>
                <c:pt idx="89">
                  <c:v>Apr-2030</c:v>
                </c:pt>
                <c:pt idx="90">
                  <c:v>Jul-2030</c:v>
                </c:pt>
                <c:pt idx="91">
                  <c:v>Oct-2030</c:v>
                </c:pt>
              </c:strCache>
            </c:strRef>
          </c:cat>
          <c:val>
            <c:numRef>
              <c:f>BoP!$F$111:$F$202</c:f>
              <c:numCache>
                <c:formatCode>General</c:formatCode>
                <c:ptCount val="92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4652252"/>
        <c:axId val="57283352"/>
      </c:lineChart>
      <c:catAx>
        <c:axId val="84652252"/>
        <c:scaling>
          <c:orientation val="minMax"/>
        </c:scaling>
        <c:delete val="0"/>
        <c:axPos val="b"/>
        <c:numFmt formatCode="mmm\-yy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7283352"/>
        <c:crosses val="autoZero"/>
        <c:auto val="1"/>
        <c:lblAlgn val="ctr"/>
        <c:lblOffset val="100"/>
        <c:noMultiLvlLbl val="0"/>
      </c:catAx>
      <c:valAx>
        <c:axId val="572833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465225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BoP!B211</c:f>
              <c:strCache>
                <c:ptCount val="1"/>
                <c:pt idx="0">
                  <c:v>Level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BoP!$A$212:$A$303</c:f>
              <c:strCache>
                <c:ptCount val="92"/>
                <c:pt idx="0">
                  <c:v>Jan-2008</c:v>
                </c:pt>
                <c:pt idx="1">
                  <c:v>Apr-2008</c:v>
                </c:pt>
                <c:pt idx="2">
                  <c:v>Jul-2008</c:v>
                </c:pt>
                <c:pt idx="3">
                  <c:v>Oct-2008</c:v>
                </c:pt>
                <c:pt idx="4">
                  <c:v>Jan-2009</c:v>
                </c:pt>
                <c:pt idx="5">
                  <c:v>Apr-2009</c:v>
                </c:pt>
                <c:pt idx="6">
                  <c:v>Jul-2009</c:v>
                </c:pt>
                <c:pt idx="7">
                  <c:v>Oct-2009</c:v>
                </c:pt>
                <c:pt idx="8">
                  <c:v>Jan-2010</c:v>
                </c:pt>
                <c:pt idx="9">
                  <c:v>Apr-2010</c:v>
                </c:pt>
                <c:pt idx="10">
                  <c:v>Jul-2010</c:v>
                </c:pt>
                <c:pt idx="11">
                  <c:v>Oct-2010</c:v>
                </c:pt>
                <c:pt idx="12">
                  <c:v>Jan-2011</c:v>
                </c:pt>
                <c:pt idx="13">
                  <c:v>Apr-2011</c:v>
                </c:pt>
                <c:pt idx="14">
                  <c:v>Jul-2011</c:v>
                </c:pt>
                <c:pt idx="15">
                  <c:v>Oct-2011</c:v>
                </c:pt>
                <c:pt idx="16">
                  <c:v>Jan-2012</c:v>
                </c:pt>
                <c:pt idx="17">
                  <c:v>Apr-2012</c:v>
                </c:pt>
                <c:pt idx="18">
                  <c:v>Jul-2012</c:v>
                </c:pt>
                <c:pt idx="19">
                  <c:v>Oct-2012</c:v>
                </c:pt>
                <c:pt idx="20">
                  <c:v>Jan-2013</c:v>
                </c:pt>
                <c:pt idx="21">
                  <c:v>Apr-2013</c:v>
                </c:pt>
                <c:pt idx="22">
                  <c:v>Jul-2013</c:v>
                </c:pt>
                <c:pt idx="23">
                  <c:v>Oct-2013</c:v>
                </c:pt>
                <c:pt idx="24">
                  <c:v>Jan-2014</c:v>
                </c:pt>
                <c:pt idx="25">
                  <c:v>Apr-2014</c:v>
                </c:pt>
                <c:pt idx="26">
                  <c:v>Jul-2014</c:v>
                </c:pt>
                <c:pt idx="27">
                  <c:v>Oct-2014</c:v>
                </c:pt>
                <c:pt idx="28">
                  <c:v>Jan-2015</c:v>
                </c:pt>
                <c:pt idx="29">
                  <c:v>Apr-2015</c:v>
                </c:pt>
                <c:pt idx="30">
                  <c:v>Jul-2015</c:v>
                </c:pt>
                <c:pt idx="31">
                  <c:v>Oct-2015</c:v>
                </c:pt>
                <c:pt idx="32">
                  <c:v>Jan-2016</c:v>
                </c:pt>
                <c:pt idx="33">
                  <c:v>Apr-2016</c:v>
                </c:pt>
                <c:pt idx="34">
                  <c:v>Jul-2016</c:v>
                </c:pt>
                <c:pt idx="35">
                  <c:v>Oct-2016</c:v>
                </c:pt>
                <c:pt idx="36">
                  <c:v>Jan-2017</c:v>
                </c:pt>
                <c:pt idx="37">
                  <c:v>Apr-2017</c:v>
                </c:pt>
                <c:pt idx="38">
                  <c:v>Jul-2017</c:v>
                </c:pt>
                <c:pt idx="39">
                  <c:v>Oct-2017</c:v>
                </c:pt>
                <c:pt idx="40">
                  <c:v>Jan-2018</c:v>
                </c:pt>
                <c:pt idx="41">
                  <c:v>Apr-2018</c:v>
                </c:pt>
                <c:pt idx="42">
                  <c:v>Jul-2018</c:v>
                </c:pt>
                <c:pt idx="43">
                  <c:v>Oct-2018</c:v>
                </c:pt>
                <c:pt idx="44">
                  <c:v>Jan-2019</c:v>
                </c:pt>
                <c:pt idx="45">
                  <c:v>Apr-2019</c:v>
                </c:pt>
                <c:pt idx="46">
                  <c:v>Jul-2019</c:v>
                </c:pt>
                <c:pt idx="47">
                  <c:v>Oct-2019</c:v>
                </c:pt>
                <c:pt idx="48">
                  <c:v>Jan-2020</c:v>
                </c:pt>
                <c:pt idx="49">
                  <c:v>Apr-2020</c:v>
                </c:pt>
                <c:pt idx="50">
                  <c:v>Jul-2020</c:v>
                </c:pt>
                <c:pt idx="51">
                  <c:v>Oct-2020</c:v>
                </c:pt>
                <c:pt idx="52">
                  <c:v>Jan-2021</c:v>
                </c:pt>
                <c:pt idx="53">
                  <c:v>Apr-2021</c:v>
                </c:pt>
                <c:pt idx="54">
                  <c:v>Jul-2021</c:v>
                </c:pt>
                <c:pt idx="55">
                  <c:v>Oct-2021</c:v>
                </c:pt>
                <c:pt idx="56">
                  <c:v>Jan-2022</c:v>
                </c:pt>
                <c:pt idx="57">
                  <c:v>Apr-2022</c:v>
                </c:pt>
                <c:pt idx="58">
                  <c:v>Jul-2022</c:v>
                </c:pt>
                <c:pt idx="59">
                  <c:v>Oct-2022</c:v>
                </c:pt>
                <c:pt idx="60">
                  <c:v>Jan-2023</c:v>
                </c:pt>
                <c:pt idx="61">
                  <c:v>Apr-2023</c:v>
                </c:pt>
                <c:pt idx="62">
                  <c:v>Jul-2023</c:v>
                </c:pt>
                <c:pt idx="63">
                  <c:v>Oct-2023</c:v>
                </c:pt>
                <c:pt idx="64">
                  <c:v>Jan-2024</c:v>
                </c:pt>
                <c:pt idx="65">
                  <c:v>Apr-2024</c:v>
                </c:pt>
                <c:pt idx="66">
                  <c:v>Jul-2024</c:v>
                </c:pt>
                <c:pt idx="67">
                  <c:v>Oct-2024</c:v>
                </c:pt>
                <c:pt idx="68">
                  <c:v>Jan-2025</c:v>
                </c:pt>
                <c:pt idx="69">
                  <c:v>Apr-2025</c:v>
                </c:pt>
                <c:pt idx="70">
                  <c:v>Jul-2025</c:v>
                </c:pt>
                <c:pt idx="71">
                  <c:v>Oct-2025</c:v>
                </c:pt>
                <c:pt idx="72">
                  <c:v>Jan-2026</c:v>
                </c:pt>
                <c:pt idx="73">
                  <c:v>Apr-2026</c:v>
                </c:pt>
                <c:pt idx="74">
                  <c:v>Jul-2026</c:v>
                </c:pt>
                <c:pt idx="75">
                  <c:v>Oct-2026</c:v>
                </c:pt>
                <c:pt idx="76">
                  <c:v>Jan-2027</c:v>
                </c:pt>
                <c:pt idx="77">
                  <c:v>Apr-2027</c:v>
                </c:pt>
                <c:pt idx="78">
                  <c:v>Jul-2027</c:v>
                </c:pt>
                <c:pt idx="79">
                  <c:v>Oct-2027</c:v>
                </c:pt>
                <c:pt idx="80">
                  <c:v>Jan-2028</c:v>
                </c:pt>
                <c:pt idx="81">
                  <c:v>Apr-2028</c:v>
                </c:pt>
                <c:pt idx="82">
                  <c:v>Jul-2028</c:v>
                </c:pt>
                <c:pt idx="83">
                  <c:v>Oct-2028</c:v>
                </c:pt>
                <c:pt idx="84">
                  <c:v>Jan-2029</c:v>
                </c:pt>
                <c:pt idx="85">
                  <c:v>Apr-2029</c:v>
                </c:pt>
                <c:pt idx="86">
                  <c:v>Jul-2029</c:v>
                </c:pt>
                <c:pt idx="87">
                  <c:v>Oct-2029</c:v>
                </c:pt>
                <c:pt idx="88">
                  <c:v>Jan-2030</c:v>
                </c:pt>
                <c:pt idx="89">
                  <c:v>Apr-2030</c:v>
                </c:pt>
                <c:pt idx="90">
                  <c:v>Jul-2030</c:v>
                </c:pt>
                <c:pt idx="91">
                  <c:v>Oct-2030</c:v>
                </c:pt>
              </c:strCache>
            </c:strRef>
          </c:cat>
          <c:val>
            <c:numRef>
              <c:f>BoP!$B$212:$B$303</c:f>
              <c:numCache>
                <c:formatCode>General</c:formatCode>
                <c:ptCount val="92"/>
              </c:numCache>
            </c:numRef>
          </c:val>
          <c:smooth val="1"/>
        </c:ser>
        <c:ser>
          <c:idx val="1"/>
          <c:order val="1"/>
          <c:tx>
            <c:strRef>
              <c:f>BoP!E211</c:f>
              <c:strCache>
                <c:ptCount val="1"/>
                <c:pt idx="0">
                  <c:v>Trend Fcst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BoP!$A$212:$A$303</c:f>
              <c:strCache>
                <c:ptCount val="92"/>
                <c:pt idx="0">
                  <c:v>Jan-2008</c:v>
                </c:pt>
                <c:pt idx="1">
                  <c:v>Apr-2008</c:v>
                </c:pt>
                <c:pt idx="2">
                  <c:v>Jul-2008</c:v>
                </c:pt>
                <c:pt idx="3">
                  <c:v>Oct-2008</c:v>
                </c:pt>
                <c:pt idx="4">
                  <c:v>Jan-2009</c:v>
                </c:pt>
                <c:pt idx="5">
                  <c:v>Apr-2009</c:v>
                </c:pt>
                <c:pt idx="6">
                  <c:v>Jul-2009</c:v>
                </c:pt>
                <c:pt idx="7">
                  <c:v>Oct-2009</c:v>
                </c:pt>
                <c:pt idx="8">
                  <c:v>Jan-2010</c:v>
                </c:pt>
                <c:pt idx="9">
                  <c:v>Apr-2010</c:v>
                </c:pt>
                <c:pt idx="10">
                  <c:v>Jul-2010</c:v>
                </c:pt>
                <c:pt idx="11">
                  <c:v>Oct-2010</c:v>
                </c:pt>
                <c:pt idx="12">
                  <c:v>Jan-2011</c:v>
                </c:pt>
                <c:pt idx="13">
                  <c:v>Apr-2011</c:v>
                </c:pt>
                <c:pt idx="14">
                  <c:v>Jul-2011</c:v>
                </c:pt>
                <c:pt idx="15">
                  <c:v>Oct-2011</c:v>
                </c:pt>
                <c:pt idx="16">
                  <c:v>Jan-2012</c:v>
                </c:pt>
                <c:pt idx="17">
                  <c:v>Apr-2012</c:v>
                </c:pt>
                <c:pt idx="18">
                  <c:v>Jul-2012</c:v>
                </c:pt>
                <c:pt idx="19">
                  <c:v>Oct-2012</c:v>
                </c:pt>
                <c:pt idx="20">
                  <c:v>Jan-2013</c:v>
                </c:pt>
                <c:pt idx="21">
                  <c:v>Apr-2013</c:v>
                </c:pt>
                <c:pt idx="22">
                  <c:v>Jul-2013</c:v>
                </c:pt>
                <c:pt idx="23">
                  <c:v>Oct-2013</c:v>
                </c:pt>
                <c:pt idx="24">
                  <c:v>Jan-2014</c:v>
                </c:pt>
                <c:pt idx="25">
                  <c:v>Apr-2014</c:v>
                </c:pt>
                <c:pt idx="26">
                  <c:v>Jul-2014</c:v>
                </c:pt>
                <c:pt idx="27">
                  <c:v>Oct-2014</c:v>
                </c:pt>
                <c:pt idx="28">
                  <c:v>Jan-2015</c:v>
                </c:pt>
                <c:pt idx="29">
                  <c:v>Apr-2015</c:v>
                </c:pt>
                <c:pt idx="30">
                  <c:v>Jul-2015</c:v>
                </c:pt>
                <c:pt idx="31">
                  <c:v>Oct-2015</c:v>
                </c:pt>
                <c:pt idx="32">
                  <c:v>Jan-2016</c:v>
                </c:pt>
                <c:pt idx="33">
                  <c:v>Apr-2016</c:v>
                </c:pt>
                <c:pt idx="34">
                  <c:v>Jul-2016</c:v>
                </c:pt>
                <c:pt idx="35">
                  <c:v>Oct-2016</c:v>
                </c:pt>
                <c:pt idx="36">
                  <c:v>Jan-2017</c:v>
                </c:pt>
                <c:pt idx="37">
                  <c:v>Apr-2017</c:v>
                </c:pt>
                <c:pt idx="38">
                  <c:v>Jul-2017</c:v>
                </c:pt>
                <c:pt idx="39">
                  <c:v>Oct-2017</c:v>
                </c:pt>
                <c:pt idx="40">
                  <c:v>Jan-2018</c:v>
                </c:pt>
                <c:pt idx="41">
                  <c:v>Apr-2018</c:v>
                </c:pt>
                <c:pt idx="42">
                  <c:v>Jul-2018</c:v>
                </c:pt>
                <c:pt idx="43">
                  <c:v>Oct-2018</c:v>
                </c:pt>
                <c:pt idx="44">
                  <c:v>Jan-2019</c:v>
                </c:pt>
                <c:pt idx="45">
                  <c:v>Apr-2019</c:v>
                </c:pt>
                <c:pt idx="46">
                  <c:v>Jul-2019</c:v>
                </c:pt>
                <c:pt idx="47">
                  <c:v>Oct-2019</c:v>
                </c:pt>
                <c:pt idx="48">
                  <c:v>Jan-2020</c:v>
                </c:pt>
                <c:pt idx="49">
                  <c:v>Apr-2020</c:v>
                </c:pt>
                <c:pt idx="50">
                  <c:v>Jul-2020</c:v>
                </c:pt>
                <c:pt idx="51">
                  <c:v>Oct-2020</c:v>
                </c:pt>
                <c:pt idx="52">
                  <c:v>Jan-2021</c:v>
                </c:pt>
                <c:pt idx="53">
                  <c:v>Apr-2021</c:v>
                </c:pt>
                <c:pt idx="54">
                  <c:v>Jul-2021</c:v>
                </c:pt>
                <c:pt idx="55">
                  <c:v>Oct-2021</c:v>
                </c:pt>
                <c:pt idx="56">
                  <c:v>Jan-2022</c:v>
                </c:pt>
                <c:pt idx="57">
                  <c:v>Apr-2022</c:v>
                </c:pt>
                <c:pt idx="58">
                  <c:v>Jul-2022</c:v>
                </c:pt>
                <c:pt idx="59">
                  <c:v>Oct-2022</c:v>
                </c:pt>
                <c:pt idx="60">
                  <c:v>Jan-2023</c:v>
                </c:pt>
                <c:pt idx="61">
                  <c:v>Apr-2023</c:v>
                </c:pt>
                <c:pt idx="62">
                  <c:v>Jul-2023</c:v>
                </c:pt>
                <c:pt idx="63">
                  <c:v>Oct-2023</c:v>
                </c:pt>
                <c:pt idx="64">
                  <c:v>Jan-2024</c:v>
                </c:pt>
                <c:pt idx="65">
                  <c:v>Apr-2024</c:v>
                </c:pt>
                <c:pt idx="66">
                  <c:v>Jul-2024</c:v>
                </c:pt>
                <c:pt idx="67">
                  <c:v>Oct-2024</c:v>
                </c:pt>
                <c:pt idx="68">
                  <c:v>Jan-2025</c:v>
                </c:pt>
                <c:pt idx="69">
                  <c:v>Apr-2025</c:v>
                </c:pt>
                <c:pt idx="70">
                  <c:v>Jul-2025</c:v>
                </c:pt>
                <c:pt idx="71">
                  <c:v>Oct-2025</c:v>
                </c:pt>
                <c:pt idx="72">
                  <c:v>Jan-2026</c:v>
                </c:pt>
                <c:pt idx="73">
                  <c:v>Apr-2026</c:v>
                </c:pt>
                <c:pt idx="74">
                  <c:v>Jul-2026</c:v>
                </c:pt>
                <c:pt idx="75">
                  <c:v>Oct-2026</c:v>
                </c:pt>
                <c:pt idx="76">
                  <c:v>Jan-2027</c:v>
                </c:pt>
                <c:pt idx="77">
                  <c:v>Apr-2027</c:v>
                </c:pt>
                <c:pt idx="78">
                  <c:v>Jul-2027</c:v>
                </c:pt>
                <c:pt idx="79">
                  <c:v>Oct-2027</c:v>
                </c:pt>
                <c:pt idx="80">
                  <c:v>Jan-2028</c:v>
                </c:pt>
                <c:pt idx="81">
                  <c:v>Apr-2028</c:v>
                </c:pt>
                <c:pt idx="82">
                  <c:v>Jul-2028</c:v>
                </c:pt>
                <c:pt idx="83">
                  <c:v>Oct-2028</c:v>
                </c:pt>
                <c:pt idx="84">
                  <c:v>Jan-2029</c:v>
                </c:pt>
                <c:pt idx="85">
                  <c:v>Apr-2029</c:v>
                </c:pt>
                <c:pt idx="86">
                  <c:v>Jul-2029</c:v>
                </c:pt>
                <c:pt idx="87">
                  <c:v>Oct-2029</c:v>
                </c:pt>
                <c:pt idx="88">
                  <c:v>Jan-2030</c:v>
                </c:pt>
                <c:pt idx="89">
                  <c:v>Apr-2030</c:v>
                </c:pt>
                <c:pt idx="90">
                  <c:v>Jul-2030</c:v>
                </c:pt>
                <c:pt idx="91">
                  <c:v>Oct-2030</c:v>
                </c:pt>
              </c:strCache>
            </c:strRef>
          </c:cat>
          <c:val>
            <c:numRef>
              <c:f>BoP!$E$212:$E$303</c:f>
              <c:numCache>
                <c:formatCode>General</c:formatCode>
                <c:ptCount val="92"/>
              </c:numCache>
            </c:numRef>
          </c:val>
          <c:smooth val="1"/>
        </c:ser>
        <c:ser>
          <c:idx val="2"/>
          <c:order val="2"/>
          <c:tx>
            <c:strRef>
              <c:f>BoP!F211</c:f>
              <c:strCache>
                <c:ptCount val="1"/>
                <c:pt idx="0">
                  <c:v>Damped Fcst</c:v>
                </c:pt>
              </c:strCache>
            </c:strRef>
          </c:tx>
          <c:spPr>
            <a:solidFill>
              <a:srgbClr val="98B855"/>
            </a:solidFill>
            <a:ln w="12600">
              <a:solidFill>
                <a:srgbClr val="98B855"/>
              </a:solidFill>
              <a:prstDash val="sys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sys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BoP!$A$212:$A$303</c:f>
              <c:strCache>
                <c:ptCount val="92"/>
                <c:pt idx="0">
                  <c:v>Jan-2008</c:v>
                </c:pt>
                <c:pt idx="1">
                  <c:v>Apr-2008</c:v>
                </c:pt>
                <c:pt idx="2">
                  <c:v>Jul-2008</c:v>
                </c:pt>
                <c:pt idx="3">
                  <c:v>Oct-2008</c:v>
                </c:pt>
                <c:pt idx="4">
                  <c:v>Jan-2009</c:v>
                </c:pt>
                <c:pt idx="5">
                  <c:v>Apr-2009</c:v>
                </c:pt>
                <c:pt idx="6">
                  <c:v>Jul-2009</c:v>
                </c:pt>
                <c:pt idx="7">
                  <c:v>Oct-2009</c:v>
                </c:pt>
                <c:pt idx="8">
                  <c:v>Jan-2010</c:v>
                </c:pt>
                <c:pt idx="9">
                  <c:v>Apr-2010</c:v>
                </c:pt>
                <c:pt idx="10">
                  <c:v>Jul-2010</c:v>
                </c:pt>
                <c:pt idx="11">
                  <c:v>Oct-2010</c:v>
                </c:pt>
                <c:pt idx="12">
                  <c:v>Jan-2011</c:v>
                </c:pt>
                <c:pt idx="13">
                  <c:v>Apr-2011</c:v>
                </c:pt>
                <c:pt idx="14">
                  <c:v>Jul-2011</c:v>
                </c:pt>
                <c:pt idx="15">
                  <c:v>Oct-2011</c:v>
                </c:pt>
                <c:pt idx="16">
                  <c:v>Jan-2012</c:v>
                </c:pt>
                <c:pt idx="17">
                  <c:v>Apr-2012</c:v>
                </c:pt>
                <c:pt idx="18">
                  <c:v>Jul-2012</c:v>
                </c:pt>
                <c:pt idx="19">
                  <c:v>Oct-2012</c:v>
                </c:pt>
                <c:pt idx="20">
                  <c:v>Jan-2013</c:v>
                </c:pt>
                <c:pt idx="21">
                  <c:v>Apr-2013</c:v>
                </c:pt>
                <c:pt idx="22">
                  <c:v>Jul-2013</c:v>
                </c:pt>
                <c:pt idx="23">
                  <c:v>Oct-2013</c:v>
                </c:pt>
                <c:pt idx="24">
                  <c:v>Jan-2014</c:v>
                </c:pt>
                <c:pt idx="25">
                  <c:v>Apr-2014</c:v>
                </c:pt>
                <c:pt idx="26">
                  <c:v>Jul-2014</c:v>
                </c:pt>
                <c:pt idx="27">
                  <c:v>Oct-2014</c:v>
                </c:pt>
                <c:pt idx="28">
                  <c:v>Jan-2015</c:v>
                </c:pt>
                <c:pt idx="29">
                  <c:v>Apr-2015</c:v>
                </c:pt>
                <c:pt idx="30">
                  <c:v>Jul-2015</c:v>
                </c:pt>
                <c:pt idx="31">
                  <c:v>Oct-2015</c:v>
                </c:pt>
                <c:pt idx="32">
                  <c:v>Jan-2016</c:v>
                </c:pt>
                <c:pt idx="33">
                  <c:v>Apr-2016</c:v>
                </c:pt>
                <c:pt idx="34">
                  <c:v>Jul-2016</c:v>
                </c:pt>
                <c:pt idx="35">
                  <c:v>Oct-2016</c:v>
                </c:pt>
                <c:pt idx="36">
                  <c:v>Jan-2017</c:v>
                </c:pt>
                <c:pt idx="37">
                  <c:v>Apr-2017</c:v>
                </c:pt>
                <c:pt idx="38">
                  <c:v>Jul-2017</c:v>
                </c:pt>
                <c:pt idx="39">
                  <c:v>Oct-2017</c:v>
                </c:pt>
                <c:pt idx="40">
                  <c:v>Jan-2018</c:v>
                </c:pt>
                <c:pt idx="41">
                  <c:v>Apr-2018</c:v>
                </c:pt>
                <c:pt idx="42">
                  <c:v>Jul-2018</c:v>
                </c:pt>
                <c:pt idx="43">
                  <c:v>Oct-2018</c:v>
                </c:pt>
                <c:pt idx="44">
                  <c:v>Jan-2019</c:v>
                </c:pt>
                <c:pt idx="45">
                  <c:v>Apr-2019</c:v>
                </c:pt>
                <c:pt idx="46">
                  <c:v>Jul-2019</c:v>
                </c:pt>
                <c:pt idx="47">
                  <c:v>Oct-2019</c:v>
                </c:pt>
                <c:pt idx="48">
                  <c:v>Jan-2020</c:v>
                </c:pt>
                <c:pt idx="49">
                  <c:v>Apr-2020</c:v>
                </c:pt>
                <c:pt idx="50">
                  <c:v>Jul-2020</c:v>
                </c:pt>
                <c:pt idx="51">
                  <c:v>Oct-2020</c:v>
                </c:pt>
                <c:pt idx="52">
                  <c:v>Jan-2021</c:v>
                </c:pt>
                <c:pt idx="53">
                  <c:v>Apr-2021</c:v>
                </c:pt>
                <c:pt idx="54">
                  <c:v>Jul-2021</c:v>
                </c:pt>
                <c:pt idx="55">
                  <c:v>Oct-2021</c:v>
                </c:pt>
                <c:pt idx="56">
                  <c:v>Jan-2022</c:v>
                </c:pt>
                <c:pt idx="57">
                  <c:v>Apr-2022</c:v>
                </c:pt>
                <c:pt idx="58">
                  <c:v>Jul-2022</c:v>
                </c:pt>
                <c:pt idx="59">
                  <c:v>Oct-2022</c:v>
                </c:pt>
                <c:pt idx="60">
                  <c:v>Jan-2023</c:v>
                </c:pt>
                <c:pt idx="61">
                  <c:v>Apr-2023</c:v>
                </c:pt>
                <c:pt idx="62">
                  <c:v>Jul-2023</c:v>
                </c:pt>
                <c:pt idx="63">
                  <c:v>Oct-2023</c:v>
                </c:pt>
                <c:pt idx="64">
                  <c:v>Jan-2024</c:v>
                </c:pt>
                <c:pt idx="65">
                  <c:v>Apr-2024</c:v>
                </c:pt>
                <c:pt idx="66">
                  <c:v>Jul-2024</c:v>
                </c:pt>
                <c:pt idx="67">
                  <c:v>Oct-2024</c:v>
                </c:pt>
                <c:pt idx="68">
                  <c:v>Jan-2025</c:v>
                </c:pt>
                <c:pt idx="69">
                  <c:v>Apr-2025</c:v>
                </c:pt>
                <c:pt idx="70">
                  <c:v>Jul-2025</c:v>
                </c:pt>
                <c:pt idx="71">
                  <c:v>Oct-2025</c:v>
                </c:pt>
                <c:pt idx="72">
                  <c:v>Jan-2026</c:v>
                </c:pt>
                <c:pt idx="73">
                  <c:v>Apr-2026</c:v>
                </c:pt>
                <c:pt idx="74">
                  <c:v>Jul-2026</c:v>
                </c:pt>
                <c:pt idx="75">
                  <c:v>Oct-2026</c:v>
                </c:pt>
                <c:pt idx="76">
                  <c:v>Jan-2027</c:v>
                </c:pt>
                <c:pt idx="77">
                  <c:v>Apr-2027</c:v>
                </c:pt>
                <c:pt idx="78">
                  <c:v>Jul-2027</c:v>
                </c:pt>
                <c:pt idx="79">
                  <c:v>Oct-2027</c:v>
                </c:pt>
                <c:pt idx="80">
                  <c:v>Jan-2028</c:v>
                </c:pt>
                <c:pt idx="81">
                  <c:v>Apr-2028</c:v>
                </c:pt>
                <c:pt idx="82">
                  <c:v>Jul-2028</c:v>
                </c:pt>
                <c:pt idx="83">
                  <c:v>Oct-2028</c:v>
                </c:pt>
                <c:pt idx="84">
                  <c:v>Jan-2029</c:v>
                </c:pt>
                <c:pt idx="85">
                  <c:v>Apr-2029</c:v>
                </c:pt>
                <c:pt idx="86">
                  <c:v>Jul-2029</c:v>
                </c:pt>
                <c:pt idx="87">
                  <c:v>Oct-2029</c:v>
                </c:pt>
                <c:pt idx="88">
                  <c:v>Jan-2030</c:v>
                </c:pt>
                <c:pt idx="89">
                  <c:v>Apr-2030</c:v>
                </c:pt>
                <c:pt idx="90">
                  <c:v>Jul-2030</c:v>
                </c:pt>
                <c:pt idx="91">
                  <c:v>Oct-2030</c:v>
                </c:pt>
              </c:strCache>
            </c:strRef>
          </c:cat>
          <c:val>
            <c:numRef>
              <c:f>BoP!$F$212:$F$303</c:f>
              <c:numCache>
                <c:formatCode>General</c:formatCode>
                <c:ptCount val="92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8121393"/>
        <c:axId val="73093213"/>
      </c:lineChart>
      <c:catAx>
        <c:axId val="18121393"/>
        <c:scaling>
          <c:orientation val="minMax"/>
        </c:scaling>
        <c:delete val="0"/>
        <c:axPos val="b"/>
        <c:numFmt formatCode="mmm\-yy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3093213"/>
        <c:crosses val="autoZero"/>
        <c:auto val="1"/>
        <c:lblAlgn val="ctr"/>
        <c:lblOffset val="100"/>
        <c:noMultiLvlLbl val="0"/>
      </c:catAx>
      <c:valAx>
        <c:axId val="7309321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812139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Reserves!B9</c:f>
              <c:strCache>
                <c:ptCount val="1"/>
                <c:pt idx="0">
                  <c:v>Level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Reserves!$A$10:$A$101</c:f>
              <c:strCache>
                <c:ptCount val="92"/>
                <c:pt idx="0">
                  <c:v>Jan-2008</c:v>
                </c:pt>
                <c:pt idx="1">
                  <c:v>Apr-2008</c:v>
                </c:pt>
                <c:pt idx="2">
                  <c:v>Jul-2008</c:v>
                </c:pt>
                <c:pt idx="3">
                  <c:v>Oct-2008</c:v>
                </c:pt>
                <c:pt idx="4">
                  <c:v>Jan-2009</c:v>
                </c:pt>
                <c:pt idx="5">
                  <c:v>Apr-2009</c:v>
                </c:pt>
                <c:pt idx="6">
                  <c:v>Jul-2009</c:v>
                </c:pt>
                <c:pt idx="7">
                  <c:v>Oct-2009</c:v>
                </c:pt>
                <c:pt idx="8">
                  <c:v>Jan-2010</c:v>
                </c:pt>
                <c:pt idx="9">
                  <c:v>Apr-2010</c:v>
                </c:pt>
                <c:pt idx="10">
                  <c:v>Jul-2010</c:v>
                </c:pt>
                <c:pt idx="11">
                  <c:v>Oct-2010</c:v>
                </c:pt>
                <c:pt idx="12">
                  <c:v>Jan-2011</c:v>
                </c:pt>
                <c:pt idx="13">
                  <c:v>Apr-2011</c:v>
                </c:pt>
                <c:pt idx="14">
                  <c:v>Jul-2011</c:v>
                </c:pt>
                <c:pt idx="15">
                  <c:v>Oct-2011</c:v>
                </c:pt>
                <c:pt idx="16">
                  <c:v>Jan-2012</c:v>
                </c:pt>
                <c:pt idx="17">
                  <c:v>Apr-2012</c:v>
                </c:pt>
                <c:pt idx="18">
                  <c:v>Jul-2012</c:v>
                </c:pt>
                <c:pt idx="19">
                  <c:v>Oct-2012</c:v>
                </c:pt>
                <c:pt idx="20">
                  <c:v>Jan-2013</c:v>
                </c:pt>
                <c:pt idx="21">
                  <c:v>Apr-2013</c:v>
                </c:pt>
                <c:pt idx="22">
                  <c:v>Jul-2013</c:v>
                </c:pt>
                <c:pt idx="23">
                  <c:v>Oct-2013</c:v>
                </c:pt>
                <c:pt idx="24">
                  <c:v>Jan-2014</c:v>
                </c:pt>
                <c:pt idx="25">
                  <c:v>Apr-2014</c:v>
                </c:pt>
                <c:pt idx="26">
                  <c:v>Jul-2014</c:v>
                </c:pt>
                <c:pt idx="27">
                  <c:v>Oct-2014</c:v>
                </c:pt>
                <c:pt idx="28">
                  <c:v>Jan-2015</c:v>
                </c:pt>
                <c:pt idx="29">
                  <c:v>Apr-2015</c:v>
                </c:pt>
                <c:pt idx="30">
                  <c:v>Jul-2015</c:v>
                </c:pt>
                <c:pt idx="31">
                  <c:v>Oct-2015</c:v>
                </c:pt>
                <c:pt idx="32">
                  <c:v>Jan-2016</c:v>
                </c:pt>
                <c:pt idx="33">
                  <c:v>Apr-2016</c:v>
                </c:pt>
                <c:pt idx="34">
                  <c:v>Jul-2016</c:v>
                </c:pt>
                <c:pt idx="35">
                  <c:v>Oct-2016</c:v>
                </c:pt>
                <c:pt idx="36">
                  <c:v>Jan-2017</c:v>
                </c:pt>
                <c:pt idx="37">
                  <c:v>Apr-2017</c:v>
                </c:pt>
                <c:pt idx="38">
                  <c:v>Jul-2017</c:v>
                </c:pt>
                <c:pt idx="39">
                  <c:v>Oct-2017</c:v>
                </c:pt>
                <c:pt idx="40">
                  <c:v>Jan-2018</c:v>
                </c:pt>
                <c:pt idx="41">
                  <c:v>Apr-2018</c:v>
                </c:pt>
                <c:pt idx="42">
                  <c:v>Jul-2018</c:v>
                </c:pt>
                <c:pt idx="43">
                  <c:v>Oct-2018</c:v>
                </c:pt>
                <c:pt idx="44">
                  <c:v>Jan-2019</c:v>
                </c:pt>
                <c:pt idx="45">
                  <c:v>Apr-2019</c:v>
                </c:pt>
                <c:pt idx="46">
                  <c:v>Jul-2019</c:v>
                </c:pt>
                <c:pt idx="47">
                  <c:v>Oct-2019</c:v>
                </c:pt>
                <c:pt idx="48">
                  <c:v>Jan-2020</c:v>
                </c:pt>
                <c:pt idx="49">
                  <c:v>Apr-2020</c:v>
                </c:pt>
                <c:pt idx="50">
                  <c:v>Jul-2020</c:v>
                </c:pt>
                <c:pt idx="51">
                  <c:v>Oct-2020</c:v>
                </c:pt>
                <c:pt idx="52">
                  <c:v>Jan-2021</c:v>
                </c:pt>
                <c:pt idx="53">
                  <c:v>Apr-2021</c:v>
                </c:pt>
                <c:pt idx="54">
                  <c:v>Jul-2021</c:v>
                </c:pt>
                <c:pt idx="55">
                  <c:v>Oct-2021</c:v>
                </c:pt>
                <c:pt idx="56">
                  <c:v>Jan-2022</c:v>
                </c:pt>
                <c:pt idx="57">
                  <c:v>Apr-2022</c:v>
                </c:pt>
                <c:pt idx="58">
                  <c:v>Jul-2022</c:v>
                </c:pt>
                <c:pt idx="59">
                  <c:v>Oct-2022</c:v>
                </c:pt>
                <c:pt idx="60">
                  <c:v>Jan-2023</c:v>
                </c:pt>
                <c:pt idx="61">
                  <c:v>Apr-2023</c:v>
                </c:pt>
                <c:pt idx="62">
                  <c:v>Jul-2023</c:v>
                </c:pt>
                <c:pt idx="63">
                  <c:v>Oct-2023</c:v>
                </c:pt>
                <c:pt idx="64">
                  <c:v>Jan-2024</c:v>
                </c:pt>
                <c:pt idx="65">
                  <c:v>Apr-2024</c:v>
                </c:pt>
                <c:pt idx="66">
                  <c:v>Jul-2024</c:v>
                </c:pt>
                <c:pt idx="67">
                  <c:v>Oct-2024</c:v>
                </c:pt>
                <c:pt idx="68">
                  <c:v>Jan-2025</c:v>
                </c:pt>
                <c:pt idx="69">
                  <c:v>Apr-2025</c:v>
                </c:pt>
                <c:pt idx="70">
                  <c:v>Jul-2025</c:v>
                </c:pt>
                <c:pt idx="71">
                  <c:v>Oct-2025</c:v>
                </c:pt>
                <c:pt idx="72">
                  <c:v>Jan-2026</c:v>
                </c:pt>
                <c:pt idx="73">
                  <c:v>Apr-2026</c:v>
                </c:pt>
                <c:pt idx="74">
                  <c:v>Jul-2026</c:v>
                </c:pt>
                <c:pt idx="75">
                  <c:v>Oct-2026</c:v>
                </c:pt>
                <c:pt idx="76">
                  <c:v>Jan-2027</c:v>
                </c:pt>
                <c:pt idx="77">
                  <c:v>Apr-2027</c:v>
                </c:pt>
                <c:pt idx="78">
                  <c:v>Jul-2027</c:v>
                </c:pt>
                <c:pt idx="79">
                  <c:v>Oct-2027</c:v>
                </c:pt>
                <c:pt idx="80">
                  <c:v>Jan-2028</c:v>
                </c:pt>
                <c:pt idx="81">
                  <c:v>Apr-2028</c:v>
                </c:pt>
                <c:pt idx="82">
                  <c:v>Jul-2028</c:v>
                </c:pt>
                <c:pt idx="83">
                  <c:v>Oct-2028</c:v>
                </c:pt>
                <c:pt idx="84">
                  <c:v>Jan-2029</c:v>
                </c:pt>
                <c:pt idx="85">
                  <c:v>Apr-2029</c:v>
                </c:pt>
                <c:pt idx="86">
                  <c:v>Jul-2029</c:v>
                </c:pt>
                <c:pt idx="87">
                  <c:v>Oct-2029</c:v>
                </c:pt>
                <c:pt idx="88">
                  <c:v>Jan-2030</c:v>
                </c:pt>
                <c:pt idx="89">
                  <c:v>Apr-2030</c:v>
                </c:pt>
                <c:pt idx="90">
                  <c:v>Jul-2030</c:v>
                </c:pt>
                <c:pt idx="91">
                  <c:v>Oct-2030</c:v>
                </c:pt>
              </c:strCache>
            </c:strRef>
          </c:cat>
          <c:val>
            <c:numRef>
              <c:f>Reserves!$B$10:$B$101</c:f>
              <c:numCache>
                <c:formatCode>General</c:formatCode>
                <c:ptCount val="92"/>
              </c:numCache>
            </c:numRef>
          </c:val>
          <c:smooth val="1"/>
        </c:ser>
        <c:ser>
          <c:idx val="1"/>
          <c:order val="1"/>
          <c:tx>
            <c:strRef>
              <c:f>Reserves!E9</c:f>
              <c:strCache>
                <c:ptCount val="1"/>
                <c:pt idx="0">
                  <c:v>Trend Fcst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Reserves!$A$10:$A$101</c:f>
              <c:strCache>
                <c:ptCount val="92"/>
                <c:pt idx="0">
                  <c:v>Jan-2008</c:v>
                </c:pt>
                <c:pt idx="1">
                  <c:v>Apr-2008</c:v>
                </c:pt>
                <c:pt idx="2">
                  <c:v>Jul-2008</c:v>
                </c:pt>
                <c:pt idx="3">
                  <c:v>Oct-2008</c:v>
                </c:pt>
                <c:pt idx="4">
                  <c:v>Jan-2009</c:v>
                </c:pt>
                <c:pt idx="5">
                  <c:v>Apr-2009</c:v>
                </c:pt>
                <c:pt idx="6">
                  <c:v>Jul-2009</c:v>
                </c:pt>
                <c:pt idx="7">
                  <c:v>Oct-2009</c:v>
                </c:pt>
                <c:pt idx="8">
                  <c:v>Jan-2010</c:v>
                </c:pt>
                <c:pt idx="9">
                  <c:v>Apr-2010</c:v>
                </c:pt>
                <c:pt idx="10">
                  <c:v>Jul-2010</c:v>
                </c:pt>
                <c:pt idx="11">
                  <c:v>Oct-2010</c:v>
                </c:pt>
                <c:pt idx="12">
                  <c:v>Jan-2011</c:v>
                </c:pt>
                <c:pt idx="13">
                  <c:v>Apr-2011</c:v>
                </c:pt>
                <c:pt idx="14">
                  <c:v>Jul-2011</c:v>
                </c:pt>
                <c:pt idx="15">
                  <c:v>Oct-2011</c:v>
                </c:pt>
                <c:pt idx="16">
                  <c:v>Jan-2012</c:v>
                </c:pt>
                <c:pt idx="17">
                  <c:v>Apr-2012</c:v>
                </c:pt>
                <c:pt idx="18">
                  <c:v>Jul-2012</c:v>
                </c:pt>
                <c:pt idx="19">
                  <c:v>Oct-2012</c:v>
                </c:pt>
                <c:pt idx="20">
                  <c:v>Jan-2013</c:v>
                </c:pt>
                <c:pt idx="21">
                  <c:v>Apr-2013</c:v>
                </c:pt>
                <c:pt idx="22">
                  <c:v>Jul-2013</c:v>
                </c:pt>
                <c:pt idx="23">
                  <c:v>Oct-2013</c:v>
                </c:pt>
                <c:pt idx="24">
                  <c:v>Jan-2014</c:v>
                </c:pt>
                <c:pt idx="25">
                  <c:v>Apr-2014</c:v>
                </c:pt>
                <c:pt idx="26">
                  <c:v>Jul-2014</c:v>
                </c:pt>
                <c:pt idx="27">
                  <c:v>Oct-2014</c:v>
                </c:pt>
                <c:pt idx="28">
                  <c:v>Jan-2015</c:v>
                </c:pt>
                <c:pt idx="29">
                  <c:v>Apr-2015</c:v>
                </c:pt>
                <c:pt idx="30">
                  <c:v>Jul-2015</c:v>
                </c:pt>
                <c:pt idx="31">
                  <c:v>Oct-2015</c:v>
                </c:pt>
                <c:pt idx="32">
                  <c:v>Jan-2016</c:v>
                </c:pt>
                <c:pt idx="33">
                  <c:v>Apr-2016</c:v>
                </c:pt>
                <c:pt idx="34">
                  <c:v>Jul-2016</c:v>
                </c:pt>
                <c:pt idx="35">
                  <c:v>Oct-2016</c:v>
                </c:pt>
                <c:pt idx="36">
                  <c:v>Jan-2017</c:v>
                </c:pt>
                <c:pt idx="37">
                  <c:v>Apr-2017</c:v>
                </c:pt>
                <c:pt idx="38">
                  <c:v>Jul-2017</c:v>
                </c:pt>
                <c:pt idx="39">
                  <c:v>Oct-2017</c:v>
                </c:pt>
                <c:pt idx="40">
                  <c:v>Jan-2018</c:v>
                </c:pt>
                <c:pt idx="41">
                  <c:v>Apr-2018</c:v>
                </c:pt>
                <c:pt idx="42">
                  <c:v>Jul-2018</c:v>
                </c:pt>
                <c:pt idx="43">
                  <c:v>Oct-2018</c:v>
                </c:pt>
                <c:pt idx="44">
                  <c:v>Jan-2019</c:v>
                </c:pt>
                <c:pt idx="45">
                  <c:v>Apr-2019</c:v>
                </c:pt>
                <c:pt idx="46">
                  <c:v>Jul-2019</c:v>
                </c:pt>
                <c:pt idx="47">
                  <c:v>Oct-2019</c:v>
                </c:pt>
                <c:pt idx="48">
                  <c:v>Jan-2020</c:v>
                </c:pt>
                <c:pt idx="49">
                  <c:v>Apr-2020</c:v>
                </c:pt>
                <c:pt idx="50">
                  <c:v>Jul-2020</c:v>
                </c:pt>
                <c:pt idx="51">
                  <c:v>Oct-2020</c:v>
                </c:pt>
                <c:pt idx="52">
                  <c:v>Jan-2021</c:v>
                </c:pt>
                <c:pt idx="53">
                  <c:v>Apr-2021</c:v>
                </c:pt>
                <c:pt idx="54">
                  <c:v>Jul-2021</c:v>
                </c:pt>
                <c:pt idx="55">
                  <c:v>Oct-2021</c:v>
                </c:pt>
                <c:pt idx="56">
                  <c:v>Jan-2022</c:v>
                </c:pt>
                <c:pt idx="57">
                  <c:v>Apr-2022</c:v>
                </c:pt>
                <c:pt idx="58">
                  <c:v>Jul-2022</c:v>
                </c:pt>
                <c:pt idx="59">
                  <c:v>Oct-2022</c:v>
                </c:pt>
                <c:pt idx="60">
                  <c:v>Jan-2023</c:v>
                </c:pt>
                <c:pt idx="61">
                  <c:v>Apr-2023</c:v>
                </c:pt>
                <c:pt idx="62">
                  <c:v>Jul-2023</c:v>
                </c:pt>
                <c:pt idx="63">
                  <c:v>Oct-2023</c:v>
                </c:pt>
                <c:pt idx="64">
                  <c:v>Jan-2024</c:v>
                </c:pt>
                <c:pt idx="65">
                  <c:v>Apr-2024</c:v>
                </c:pt>
                <c:pt idx="66">
                  <c:v>Jul-2024</c:v>
                </c:pt>
                <c:pt idx="67">
                  <c:v>Oct-2024</c:v>
                </c:pt>
                <c:pt idx="68">
                  <c:v>Jan-2025</c:v>
                </c:pt>
                <c:pt idx="69">
                  <c:v>Apr-2025</c:v>
                </c:pt>
                <c:pt idx="70">
                  <c:v>Jul-2025</c:v>
                </c:pt>
                <c:pt idx="71">
                  <c:v>Oct-2025</c:v>
                </c:pt>
                <c:pt idx="72">
                  <c:v>Jan-2026</c:v>
                </c:pt>
                <c:pt idx="73">
                  <c:v>Apr-2026</c:v>
                </c:pt>
                <c:pt idx="74">
                  <c:v>Jul-2026</c:v>
                </c:pt>
                <c:pt idx="75">
                  <c:v>Oct-2026</c:v>
                </c:pt>
                <c:pt idx="76">
                  <c:v>Jan-2027</c:v>
                </c:pt>
                <c:pt idx="77">
                  <c:v>Apr-2027</c:v>
                </c:pt>
                <c:pt idx="78">
                  <c:v>Jul-2027</c:v>
                </c:pt>
                <c:pt idx="79">
                  <c:v>Oct-2027</c:v>
                </c:pt>
                <c:pt idx="80">
                  <c:v>Jan-2028</c:v>
                </c:pt>
                <c:pt idx="81">
                  <c:v>Apr-2028</c:v>
                </c:pt>
                <c:pt idx="82">
                  <c:v>Jul-2028</c:v>
                </c:pt>
                <c:pt idx="83">
                  <c:v>Oct-2028</c:v>
                </c:pt>
                <c:pt idx="84">
                  <c:v>Jan-2029</c:v>
                </c:pt>
                <c:pt idx="85">
                  <c:v>Apr-2029</c:v>
                </c:pt>
                <c:pt idx="86">
                  <c:v>Jul-2029</c:v>
                </c:pt>
                <c:pt idx="87">
                  <c:v>Oct-2029</c:v>
                </c:pt>
                <c:pt idx="88">
                  <c:v>Jan-2030</c:v>
                </c:pt>
                <c:pt idx="89">
                  <c:v>Apr-2030</c:v>
                </c:pt>
                <c:pt idx="90">
                  <c:v>Jul-2030</c:v>
                </c:pt>
                <c:pt idx="91">
                  <c:v>Oct-2030</c:v>
                </c:pt>
              </c:strCache>
            </c:strRef>
          </c:cat>
          <c:val>
            <c:numRef>
              <c:f>Reserves!$E$10:$E$101</c:f>
              <c:numCache>
                <c:formatCode>General</c:formatCode>
                <c:ptCount val="92"/>
              </c:numCache>
            </c:numRef>
          </c:val>
          <c:smooth val="1"/>
        </c:ser>
        <c:ser>
          <c:idx val="2"/>
          <c:order val="2"/>
          <c:tx>
            <c:strRef>
              <c:f>Reserves!F9</c:f>
              <c:strCache>
                <c:ptCount val="1"/>
                <c:pt idx="0">
                  <c:v>Damped Fcst</c:v>
                </c:pt>
              </c:strCache>
            </c:strRef>
          </c:tx>
          <c:spPr>
            <a:solidFill>
              <a:srgbClr val="98B855"/>
            </a:solidFill>
            <a:ln w="12600">
              <a:solidFill>
                <a:srgbClr val="98B855"/>
              </a:solidFill>
              <a:prstDash val="sys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sys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Reserves!$A$10:$A$101</c:f>
              <c:strCache>
                <c:ptCount val="92"/>
                <c:pt idx="0">
                  <c:v>Jan-2008</c:v>
                </c:pt>
                <c:pt idx="1">
                  <c:v>Apr-2008</c:v>
                </c:pt>
                <c:pt idx="2">
                  <c:v>Jul-2008</c:v>
                </c:pt>
                <c:pt idx="3">
                  <c:v>Oct-2008</c:v>
                </c:pt>
                <c:pt idx="4">
                  <c:v>Jan-2009</c:v>
                </c:pt>
                <c:pt idx="5">
                  <c:v>Apr-2009</c:v>
                </c:pt>
                <c:pt idx="6">
                  <c:v>Jul-2009</c:v>
                </c:pt>
                <c:pt idx="7">
                  <c:v>Oct-2009</c:v>
                </c:pt>
                <c:pt idx="8">
                  <c:v>Jan-2010</c:v>
                </c:pt>
                <c:pt idx="9">
                  <c:v>Apr-2010</c:v>
                </c:pt>
                <c:pt idx="10">
                  <c:v>Jul-2010</c:v>
                </c:pt>
                <c:pt idx="11">
                  <c:v>Oct-2010</c:v>
                </c:pt>
                <c:pt idx="12">
                  <c:v>Jan-2011</c:v>
                </c:pt>
                <c:pt idx="13">
                  <c:v>Apr-2011</c:v>
                </c:pt>
                <c:pt idx="14">
                  <c:v>Jul-2011</c:v>
                </c:pt>
                <c:pt idx="15">
                  <c:v>Oct-2011</c:v>
                </c:pt>
                <c:pt idx="16">
                  <c:v>Jan-2012</c:v>
                </c:pt>
                <c:pt idx="17">
                  <c:v>Apr-2012</c:v>
                </c:pt>
                <c:pt idx="18">
                  <c:v>Jul-2012</c:v>
                </c:pt>
                <c:pt idx="19">
                  <c:v>Oct-2012</c:v>
                </c:pt>
                <c:pt idx="20">
                  <c:v>Jan-2013</c:v>
                </c:pt>
                <c:pt idx="21">
                  <c:v>Apr-2013</c:v>
                </c:pt>
                <c:pt idx="22">
                  <c:v>Jul-2013</c:v>
                </c:pt>
                <c:pt idx="23">
                  <c:v>Oct-2013</c:v>
                </c:pt>
                <c:pt idx="24">
                  <c:v>Jan-2014</c:v>
                </c:pt>
                <c:pt idx="25">
                  <c:v>Apr-2014</c:v>
                </c:pt>
                <c:pt idx="26">
                  <c:v>Jul-2014</c:v>
                </c:pt>
                <c:pt idx="27">
                  <c:v>Oct-2014</c:v>
                </c:pt>
                <c:pt idx="28">
                  <c:v>Jan-2015</c:v>
                </c:pt>
                <c:pt idx="29">
                  <c:v>Apr-2015</c:v>
                </c:pt>
                <c:pt idx="30">
                  <c:v>Jul-2015</c:v>
                </c:pt>
                <c:pt idx="31">
                  <c:v>Oct-2015</c:v>
                </c:pt>
                <c:pt idx="32">
                  <c:v>Jan-2016</c:v>
                </c:pt>
                <c:pt idx="33">
                  <c:v>Apr-2016</c:v>
                </c:pt>
                <c:pt idx="34">
                  <c:v>Jul-2016</c:v>
                </c:pt>
                <c:pt idx="35">
                  <c:v>Oct-2016</c:v>
                </c:pt>
                <c:pt idx="36">
                  <c:v>Jan-2017</c:v>
                </c:pt>
                <c:pt idx="37">
                  <c:v>Apr-2017</c:v>
                </c:pt>
                <c:pt idx="38">
                  <c:v>Jul-2017</c:v>
                </c:pt>
                <c:pt idx="39">
                  <c:v>Oct-2017</c:v>
                </c:pt>
                <c:pt idx="40">
                  <c:v>Jan-2018</c:v>
                </c:pt>
                <c:pt idx="41">
                  <c:v>Apr-2018</c:v>
                </c:pt>
                <c:pt idx="42">
                  <c:v>Jul-2018</c:v>
                </c:pt>
                <c:pt idx="43">
                  <c:v>Oct-2018</c:v>
                </c:pt>
                <c:pt idx="44">
                  <c:v>Jan-2019</c:v>
                </c:pt>
                <c:pt idx="45">
                  <c:v>Apr-2019</c:v>
                </c:pt>
                <c:pt idx="46">
                  <c:v>Jul-2019</c:v>
                </c:pt>
                <c:pt idx="47">
                  <c:v>Oct-2019</c:v>
                </c:pt>
                <c:pt idx="48">
                  <c:v>Jan-2020</c:v>
                </c:pt>
                <c:pt idx="49">
                  <c:v>Apr-2020</c:v>
                </c:pt>
                <c:pt idx="50">
                  <c:v>Jul-2020</c:v>
                </c:pt>
                <c:pt idx="51">
                  <c:v>Oct-2020</c:v>
                </c:pt>
                <c:pt idx="52">
                  <c:v>Jan-2021</c:v>
                </c:pt>
                <c:pt idx="53">
                  <c:v>Apr-2021</c:v>
                </c:pt>
                <c:pt idx="54">
                  <c:v>Jul-2021</c:v>
                </c:pt>
                <c:pt idx="55">
                  <c:v>Oct-2021</c:v>
                </c:pt>
                <c:pt idx="56">
                  <c:v>Jan-2022</c:v>
                </c:pt>
                <c:pt idx="57">
                  <c:v>Apr-2022</c:v>
                </c:pt>
                <c:pt idx="58">
                  <c:v>Jul-2022</c:v>
                </c:pt>
                <c:pt idx="59">
                  <c:v>Oct-2022</c:v>
                </c:pt>
                <c:pt idx="60">
                  <c:v>Jan-2023</c:v>
                </c:pt>
                <c:pt idx="61">
                  <c:v>Apr-2023</c:v>
                </c:pt>
                <c:pt idx="62">
                  <c:v>Jul-2023</c:v>
                </c:pt>
                <c:pt idx="63">
                  <c:v>Oct-2023</c:v>
                </c:pt>
                <c:pt idx="64">
                  <c:v>Jan-2024</c:v>
                </c:pt>
                <c:pt idx="65">
                  <c:v>Apr-2024</c:v>
                </c:pt>
                <c:pt idx="66">
                  <c:v>Jul-2024</c:v>
                </c:pt>
                <c:pt idx="67">
                  <c:v>Oct-2024</c:v>
                </c:pt>
                <c:pt idx="68">
                  <c:v>Jan-2025</c:v>
                </c:pt>
                <c:pt idx="69">
                  <c:v>Apr-2025</c:v>
                </c:pt>
                <c:pt idx="70">
                  <c:v>Jul-2025</c:v>
                </c:pt>
                <c:pt idx="71">
                  <c:v>Oct-2025</c:v>
                </c:pt>
                <c:pt idx="72">
                  <c:v>Jan-2026</c:v>
                </c:pt>
                <c:pt idx="73">
                  <c:v>Apr-2026</c:v>
                </c:pt>
                <c:pt idx="74">
                  <c:v>Jul-2026</c:v>
                </c:pt>
                <c:pt idx="75">
                  <c:v>Oct-2026</c:v>
                </c:pt>
                <c:pt idx="76">
                  <c:v>Jan-2027</c:v>
                </c:pt>
                <c:pt idx="77">
                  <c:v>Apr-2027</c:v>
                </c:pt>
                <c:pt idx="78">
                  <c:v>Jul-2027</c:v>
                </c:pt>
                <c:pt idx="79">
                  <c:v>Oct-2027</c:v>
                </c:pt>
                <c:pt idx="80">
                  <c:v>Jan-2028</c:v>
                </c:pt>
                <c:pt idx="81">
                  <c:v>Apr-2028</c:v>
                </c:pt>
                <c:pt idx="82">
                  <c:v>Jul-2028</c:v>
                </c:pt>
                <c:pt idx="83">
                  <c:v>Oct-2028</c:v>
                </c:pt>
                <c:pt idx="84">
                  <c:v>Jan-2029</c:v>
                </c:pt>
                <c:pt idx="85">
                  <c:v>Apr-2029</c:v>
                </c:pt>
                <c:pt idx="86">
                  <c:v>Jul-2029</c:v>
                </c:pt>
                <c:pt idx="87">
                  <c:v>Oct-2029</c:v>
                </c:pt>
                <c:pt idx="88">
                  <c:v>Jan-2030</c:v>
                </c:pt>
                <c:pt idx="89">
                  <c:v>Apr-2030</c:v>
                </c:pt>
                <c:pt idx="90">
                  <c:v>Jul-2030</c:v>
                </c:pt>
                <c:pt idx="91">
                  <c:v>Oct-2030</c:v>
                </c:pt>
              </c:strCache>
            </c:strRef>
          </c:cat>
          <c:val>
            <c:numRef>
              <c:f>Reserves!$F$10:$F$101</c:f>
              <c:numCache>
                <c:formatCode>General</c:formatCode>
                <c:ptCount val="92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8801867"/>
        <c:axId val="49952979"/>
      </c:lineChart>
      <c:catAx>
        <c:axId val="28801867"/>
        <c:scaling>
          <c:orientation val="minMax"/>
        </c:scaling>
        <c:delete val="0"/>
        <c:axPos val="b"/>
        <c:numFmt formatCode="mmm\-yy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9952979"/>
        <c:crosses val="autoZero"/>
        <c:auto val="1"/>
        <c:lblAlgn val="ctr"/>
        <c:lblOffset val="100"/>
        <c:noMultiLvlLbl val="0"/>
      </c:catAx>
      <c:valAx>
        <c:axId val="4995297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880186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Reserves!B110</c:f>
              <c:strCache>
                <c:ptCount val="1"/>
                <c:pt idx="0">
                  <c:v>Level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Reserves!$A$111:$A$202</c:f>
              <c:strCache>
                <c:ptCount val="92"/>
                <c:pt idx="0">
                  <c:v>Jan-2008</c:v>
                </c:pt>
                <c:pt idx="1">
                  <c:v>Apr-2008</c:v>
                </c:pt>
                <c:pt idx="2">
                  <c:v>Jul-2008</c:v>
                </c:pt>
                <c:pt idx="3">
                  <c:v>Oct-2008</c:v>
                </c:pt>
                <c:pt idx="4">
                  <c:v>Jan-2009</c:v>
                </c:pt>
                <c:pt idx="5">
                  <c:v>Apr-2009</c:v>
                </c:pt>
                <c:pt idx="6">
                  <c:v>Jul-2009</c:v>
                </c:pt>
                <c:pt idx="7">
                  <c:v>Oct-2009</c:v>
                </c:pt>
                <c:pt idx="8">
                  <c:v>Jan-2010</c:v>
                </c:pt>
                <c:pt idx="9">
                  <c:v>Apr-2010</c:v>
                </c:pt>
                <c:pt idx="10">
                  <c:v>Jul-2010</c:v>
                </c:pt>
                <c:pt idx="11">
                  <c:v>Oct-2010</c:v>
                </c:pt>
                <c:pt idx="12">
                  <c:v>Jan-2011</c:v>
                </c:pt>
                <c:pt idx="13">
                  <c:v>Apr-2011</c:v>
                </c:pt>
                <c:pt idx="14">
                  <c:v>Jul-2011</c:v>
                </c:pt>
                <c:pt idx="15">
                  <c:v>Oct-2011</c:v>
                </c:pt>
                <c:pt idx="16">
                  <c:v>Jan-2012</c:v>
                </c:pt>
                <c:pt idx="17">
                  <c:v>Apr-2012</c:v>
                </c:pt>
                <c:pt idx="18">
                  <c:v>Jul-2012</c:v>
                </c:pt>
                <c:pt idx="19">
                  <c:v>Oct-2012</c:v>
                </c:pt>
                <c:pt idx="20">
                  <c:v>Jan-2013</c:v>
                </c:pt>
                <c:pt idx="21">
                  <c:v>Apr-2013</c:v>
                </c:pt>
                <c:pt idx="22">
                  <c:v>Jul-2013</c:v>
                </c:pt>
                <c:pt idx="23">
                  <c:v>Oct-2013</c:v>
                </c:pt>
                <c:pt idx="24">
                  <c:v>Jan-2014</c:v>
                </c:pt>
                <c:pt idx="25">
                  <c:v>Apr-2014</c:v>
                </c:pt>
                <c:pt idx="26">
                  <c:v>Jul-2014</c:v>
                </c:pt>
                <c:pt idx="27">
                  <c:v>Oct-2014</c:v>
                </c:pt>
                <c:pt idx="28">
                  <c:v>Jan-2015</c:v>
                </c:pt>
                <c:pt idx="29">
                  <c:v>Apr-2015</c:v>
                </c:pt>
                <c:pt idx="30">
                  <c:v>Jul-2015</c:v>
                </c:pt>
                <c:pt idx="31">
                  <c:v>Oct-2015</c:v>
                </c:pt>
                <c:pt idx="32">
                  <c:v>Jan-2016</c:v>
                </c:pt>
                <c:pt idx="33">
                  <c:v>Apr-2016</c:v>
                </c:pt>
                <c:pt idx="34">
                  <c:v>Jul-2016</c:v>
                </c:pt>
                <c:pt idx="35">
                  <c:v>Oct-2016</c:v>
                </c:pt>
                <c:pt idx="36">
                  <c:v>Jan-2017</c:v>
                </c:pt>
                <c:pt idx="37">
                  <c:v>Apr-2017</c:v>
                </c:pt>
                <c:pt idx="38">
                  <c:v>Jul-2017</c:v>
                </c:pt>
                <c:pt idx="39">
                  <c:v>Oct-2017</c:v>
                </c:pt>
                <c:pt idx="40">
                  <c:v>Jan-2018</c:v>
                </c:pt>
                <c:pt idx="41">
                  <c:v>Apr-2018</c:v>
                </c:pt>
                <c:pt idx="42">
                  <c:v>Jul-2018</c:v>
                </c:pt>
                <c:pt idx="43">
                  <c:v>Oct-2018</c:v>
                </c:pt>
                <c:pt idx="44">
                  <c:v>Jan-2019</c:v>
                </c:pt>
                <c:pt idx="45">
                  <c:v>Apr-2019</c:v>
                </c:pt>
                <c:pt idx="46">
                  <c:v>Jul-2019</c:v>
                </c:pt>
                <c:pt idx="47">
                  <c:v>Oct-2019</c:v>
                </c:pt>
                <c:pt idx="48">
                  <c:v>Jan-2020</c:v>
                </c:pt>
                <c:pt idx="49">
                  <c:v>Apr-2020</c:v>
                </c:pt>
                <c:pt idx="50">
                  <c:v>Jul-2020</c:v>
                </c:pt>
                <c:pt idx="51">
                  <c:v>Oct-2020</c:v>
                </c:pt>
                <c:pt idx="52">
                  <c:v>Jan-2021</c:v>
                </c:pt>
                <c:pt idx="53">
                  <c:v>Apr-2021</c:v>
                </c:pt>
                <c:pt idx="54">
                  <c:v>Jul-2021</c:v>
                </c:pt>
                <c:pt idx="55">
                  <c:v>Oct-2021</c:v>
                </c:pt>
                <c:pt idx="56">
                  <c:v>Jan-2022</c:v>
                </c:pt>
                <c:pt idx="57">
                  <c:v>Apr-2022</c:v>
                </c:pt>
                <c:pt idx="58">
                  <c:v>Jul-2022</c:v>
                </c:pt>
                <c:pt idx="59">
                  <c:v>Oct-2022</c:v>
                </c:pt>
                <c:pt idx="60">
                  <c:v>Jan-2023</c:v>
                </c:pt>
                <c:pt idx="61">
                  <c:v>Apr-2023</c:v>
                </c:pt>
                <c:pt idx="62">
                  <c:v>Jul-2023</c:v>
                </c:pt>
                <c:pt idx="63">
                  <c:v>Oct-2023</c:v>
                </c:pt>
                <c:pt idx="64">
                  <c:v>Jan-2024</c:v>
                </c:pt>
                <c:pt idx="65">
                  <c:v>Apr-2024</c:v>
                </c:pt>
                <c:pt idx="66">
                  <c:v>Jul-2024</c:v>
                </c:pt>
                <c:pt idx="67">
                  <c:v>Oct-2024</c:v>
                </c:pt>
                <c:pt idx="68">
                  <c:v>Jan-2025</c:v>
                </c:pt>
                <c:pt idx="69">
                  <c:v>Apr-2025</c:v>
                </c:pt>
                <c:pt idx="70">
                  <c:v>Jul-2025</c:v>
                </c:pt>
                <c:pt idx="71">
                  <c:v>Oct-2025</c:v>
                </c:pt>
                <c:pt idx="72">
                  <c:v>Jan-2026</c:v>
                </c:pt>
                <c:pt idx="73">
                  <c:v>Apr-2026</c:v>
                </c:pt>
                <c:pt idx="74">
                  <c:v>Jul-2026</c:v>
                </c:pt>
                <c:pt idx="75">
                  <c:v>Oct-2026</c:v>
                </c:pt>
                <c:pt idx="76">
                  <c:v>Jan-2027</c:v>
                </c:pt>
                <c:pt idx="77">
                  <c:v>Apr-2027</c:v>
                </c:pt>
                <c:pt idx="78">
                  <c:v>Jul-2027</c:v>
                </c:pt>
                <c:pt idx="79">
                  <c:v>Oct-2027</c:v>
                </c:pt>
                <c:pt idx="80">
                  <c:v>Jan-2028</c:v>
                </c:pt>
                <c:pt idx="81">
                  <c:v>Apr-2028</c:v>
                </c:pt>
                <c:pt idx="82">
                  <c:v>Jul-2028</c:v>
                </c:pt>
                <c:pt idx="83">
                  <c:v>Oct-2028</c:v>
                </c:pt>
                <c:pt idx="84">
                  <c:v>Jan-2029</c:v>
                </c:pt>
                <c:pt idx="85">
                  <c:v>Apr-2029</c:v>
                </c:pt>
                <c:pt idx="86">
                  <c:v>Jul-2029</c:v>
                </c:pt>
                <c:pt idx="87">
                  <c:v>Oct-2029</c:v>
                </c:pt>
                <c:pt idx="88">
                  <c:v>Jan-2030</c:v>
                </c:pt>
                <c:pt idx="89">
                  <c:v>Apr-2030</c:v>
                </c:pt>
                <c:pt idx="90">
                  <c:v>Jul-2030</c:v>
                </c:pt>
                <c:pt idx="91">
                  <c:v>Oct-2030</c:v>
                </c:pt>
              </c:strCache>
            </c:strRef>
          </c:cat>
          <c:val>
            <c:numRef>
              <c:f>Reserves!$B$111:$B$202</c:f>
              <c:numCache>
                <c:formatCode>General</c:formatCode>
                <c:ptCount val="92"/>
              </c:numCache>
            </c:numRef>
          </c:val>
          <c:smooth val="1"/>
        </c:ser>
        <c:ser>
          <c:idx val="1"/>
          <c:order val="1"/>
          <c:tx>
            <c:strRef>
              <c:f>Reserves!E110</c:f>
              <c:strCache>
                <c:ptCount val="1"/>
                <c:pt idx="0">
                  <c:v>Trend Fcst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Reserves!$A$111:$A$202</c:f>
              <c:strCache>
                <c:ptCount val="92"/>
                <c:pt idx="0">
                  <c:v>Jan-2008</c:v>
                </c:pt>
                <c:pt idx="1">
                  <c:v>Apr-2008</c:v>
                </c:pt>
                <c:pt idx="2">
                  <c:v>Jul-2008</c:v>
                </c:pt>
                <c:pt idx="3">
                  <c:v>Oct-2008</c:v>
                </c:pt>
                <c:pt idx="4">
                  <c:v>Jan-2009</c:v>
                </c:pt>
                <c:pt idx="5">
                  <c:v>Apr-2009</c:v>
                </c:pt>
                <c:pt idx="6">
                  <c:v>Jul-2009</c:v>
                </c:pt>
                <c:pt idx="7">
                  <c:v>Oct-2009</c:v>
                </c:pt>
                <c:pt idx="8">
                  <c:v>Jan-2010</c:v>
                </c:pt>
                <c:pt idx="9">
                  <c:v>Apr-2010</c:v>
                </c:pt>
                <c:pt idx="10">
                  <c:v>Jul-2010</c:v>
                </c:pt>
                <c:pt idx="11">
                  <c:v>Oct-2010</c:v>
                </c:pt>
                <c:pt idx="12">
                  <c:v>Jan-2011</c:v>
                </c:pt>
                <c:pt idx="13">
                  <c:v>Apr-2011</c:v>
                </c:pt>
                <c:pt idx="14">
                  <c:v>Jul-2011</c:v>
                </c:pt>
                <c:pt idx="15">
                  <c:v>Oct-2011</c:v>
                </c:pt>
                <c:pt idx="16">
                  <c:v>Jan-2012</c:v>
                </c:pt>
                <c:pt idx="17">
                  <c:v>Apr-2012</c:v>
                </c:pt>
                <c:pt idx="18">
                  <c:v>Jul-2012</c:v>
                </c:pt>
                <c:pt idx="19">
                  <c:v>Oct-2012</c:v>
                </c:pt>
                <c:pt idx="20">
                  <c:v>Jan-2013</c:v>
                </c:pt>
                <c:pt idx="21">
                  <c:v>Apr-2013</c:v>
                </c:pt>
                <c:pt idx="22">
                  <c:v>Jul-2013</c:v>
                </c:pt>
                <c:pt idx="23">
                  <c:v>Oct-2013</c:v>
                </c:pt>
                <c:pt idx="24">
                  <c:v>Jan-2014</c:v>
                </c:pt>
                <c:pt idx="25">
                  <c:v>Apr-2014</c:v>
                </c:pt>
                <c:pt idx="26">
                  <c:v>Jul-2014</c:v>
                </c:pt>
                <c:pt idx="27">
                  <c:v>Oct-2014</c:v>
                </c:pt>
                <c:pt idx="28">
                  <c:v>Jan-2015</c:v>
                </c:pt>
                <c:pt idx="29">
                  <c:v>Apr-2015</c:v>
                </c:pt>
                <c:pt idx="30">
                  <c:v>Jul-2015</c:v>
                </c:pt>
                <c:pt idx="31">
                  <c:v>Oct-2015</c:v>
                </c:pt>
                <c:pt idx="32">
                  <c:v>Jan-2016</c:v>
                </c:pt>
                <c:pt idx="33">
                  <c:v>Apr-2016</c:v>
                </c:pt>
                <c:pt idx="34">
                  <c:v>Jul-2016</c:v>
                </c:pt>
                <c:pt idx="35">
                  <c:v>Oct-2016</c:v>
                </c:pt>
                <c:pt idx="36">
                  <c:v>Jan-2017</c:v>
                </c:pt>
                <c:pt idx="37">
                  <c:v>Apr-2017</c:v>
                </c:pt>
                <c:pt idx="38">
                  <c:v>Jul-2017</c:v>
                </c:pt>
                <c:pt idx="39">
                  <c:v>Oct-2017</c:v>
                </c:pt>
                <c:pt idx="40">
                  <c:v>Jan-2018</c:v>
                </c:pt>
                <c:pt idx="41">
                  <c:v>Apr-2018</c:v>
                </c:pt>
                <c:pt idx="42">
                  <c:v>Jul-2018</c:v>
                </c:pt>
                <c:pt idx="43">
                  <c:v>Oct-2018</c:v>
                </c:pt>
                <c:pt idx="44">
                  <c:v>Jan-2019</c:v>
                </c:pt>
                <c:pt idx="45">
                  <c:v>Apr-2019</c:v>
                </c:pt>
                <c:pt idx="46">
                  <c:v>Jul-2019</c:v>
                </c:pt>
                <c:pt idx="47">
                  <c:v>Oct-2019</c:v>
                </c:pt>
                <c:pt idx="48">
                  <c:v>Jan-2020</c:v>
                </c:pt>
                <c:pt idx="49">
                  <c:v>Apr-2020</c:v>
                </c:pt>
                <c:pt idx="50">
                  <c:v>Jul-2020</c:v>
                </c:pt>
                <c:pt idx="51">
                  <c:v>Oct-2020</c:v>
                </c:pt>
                <c:pt idx="52">
                  <c:v>Jan-2021</c:v>
                </c:pt>
                <c:pt idx="53">
                  <c:v>Apr-2021</c:v>
                </c:pt>
                <c:pt idx="54">
                  <c:v>Jul-2021</c:v>
                </c:pt>
                <c:pt idx="55">
                  <c:v>Oct-2021</c:v>
                </c:pt>
                <c:pt idx="56">
                  <c:v>Jan-2022</c:v>
                </c:pt>
                <c:pt idx="57">
                  <c:v>Apr-2022</c:v>
                </c:pt>
                <c:pt idx="58">
                  <c:v>Jul-2022</c:v>
                </c:pt>
                <c:pt idx="59">
                  <c:v>Oct-2022</c:v>
                </c:pt>
                <c:pt idx="60">
                  <c:v>Jan-2023</c:v>
                </c:pt>
                <c:pt idx="61">
                  <c:v>Apr-2023</c:v>
                </c:pt>
                <c:pt idx="62">
                  <c:v>Jul-2023</c:v>
                </c:pt>
                <c:pt idx="63">
                  <c:v>Oct-2023</c:v>
                </c:pt>
                <c:pt idx="64">
                  <c:v>Jan-2024</c:v>
                </c:pt>
                <c:pt idx="65">
                  <c:v>Apr-2024</c:v>
                </c:pt>
                <c:pt idx="66">
                  <c:v>Jul-2024</c:v>
                </c:pt>
                <c:pt idx="67">
                  <c:v>Oct-2024</c:v>
                </c:pt>
                <c:pt idx="68">
                  <c:v>Jan-2025</c:v>
                </c:pt>
                <c:pt idx="69">
                  <c:v>Apr-2025</c:v>
                </c:pt>
                <c:pt idx="70">
                  <c:v>Jul-2025</c:v>
                </c:pt>
                <c:pt idx="71">
                  <c:v>Oct-2025</c:v>
                </c:pt>
                <c:pt idx="72">
                  <c:v>Jan-2026</c:v>
                </c:pt>
                <c:pt idx="73">
                  <c:v>Apr-2026</c:v>
                </c:pt>
                <c:pt idx="74">
                  <c:v>Jul-2026</c:v>
                </c:pt>
                <c:pt idx="75">
                  <c:v>Oct-2026</c:v>
                </c:pt>
                <c:pt idx="76">
                  <c:v>Jan-2027</c:v>
                </c:pt>
                <c:pt idx="77">
                  <c:v>Apr-2027</c:v>
                </c:pt>
                <c:pt idx="78">
                  <c:v>Jul-2027</c:v>
                </c:pt>
                <c:pt idx="79">
                  <c:v>Oct-2027</c:v>
                </c:pt>
                <c:pt idx="80">
                  <c:v>Jan-2028</c:v>
                </c:pt>
                <c:pt idx="81">
                  <c:v>Apr-2028</c:v>
                </c:pt>
                <c:pt idx="82">
                  <c:v>Jul-2028</c:v>
                </c:pt>
                <c:pt idx="83">
                  <c:v>Oct-2028</c:v>
                </c:pt>
                <c:pt idx="84">
                  <c:v>Jan-2029</c:v>
                </c:pt>
                <c:pt idx="85">
                  <c:v>Apr-2029</c:v>
                </c:pt>
                <c:pt idx="86">
                  <c:v>Jul-2029</c:v>
                </c:pt>
                <c:pt idx="87">
                  <c:v>Oct-2029</c:v>
                </c:pt>
                <c:pt idx="88">
                  <c:v>Jan-2030</c:v>
                </c:pt>
                <c:pt idx="89">
                  <c:v>Apr-2030</c:v>
                </c:pt>
                <c:pt idx="90">
                  <c:v>Jul-2030</c:v>
                </c:pt>
                <c:pt idx="91">
                  <c:v>Oct-2030</c:v>
                </c:pt>
              </c:strCache>
            </c:strRef>
          </c:cat>
          <c:val>
            <c:numRef>
              <c:f>Reserves!$E$111:$E$202</c:f>
              <c:numCache>
                <c:formatCode>General</c:formatCode>
                <c:ptCount val="92"/>
              </c:numCache>
            </c:numRef>
          </c:val>
          <c:smooth val="1"/>
        </c:ser>
        <c:ser>
          <c:idx val="2"/>
          <c:order val="2"/>
          <c:tx>
            <c:strRef>
              <c:f>Reserves!F110</c:f>
              <c:strCache>
                <c:ptCount val="1"/>
                <c:pt idx="0">
                  <c:v>Damped Fcst</c:v>
                </c:pt>
              </c:strCache>
            </c:strRef>
          </c:tx>
          <c:spPr>
            <a:solidFill>
              <a:srgbClr val="98B855"/>
            </a:solidFill>
            <a:ln w="12600">
              <a:solidFill>
                <a:srgbClr val="98B855"/>
              </a:solidFill>
              <a:prstDash val="sys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sys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Reserves!$A$111:$A$202</c:f>
              <c:strCache>
                <c:ptCount val="92"/>
                <c:pt idx="0">
                  <c:v>Jan-2008</c:v>
                </c:pt>
                <c:pt idx="1">
                  <c:v>Apr-2008</c:v>
                </c:pt>
                <c:pt idx="2">
                  <c:v>Jul-2008</c:v>
                </c:pt>
                <c:pt idx="3">
                  <c:v>Oct-2008</c:v>
                </c:pt>
                <c:pt idx="4">
                  <c:v>Jan-2009</c:v>
                </c:pt>
                <c:pt idx="5">
                  <c:v>Apr-2009</c:v>
                </c:pt>
                <c:pt idx="6">
                  <c:v>Jul-2009</c:v>
                </c:pt>
                <c:pt idx="7">
                  <c:v>Oct-2009</c:v>
                </c:pt>
                <c:pt idx="8">
                  <c:v>Jan-2010</c:v>
                </c:pt>
                <c:pt idx="9">
                  <c:v>Apr-2010</c:v>
                </c:pt>
                <c:pt idx="10">
                  <c:v>Jul-2010</c:v>
                </c:pt>
                <c:pt idx="11">
                  <c:v>Oct-2010</c:v>
                </c:pt>
                <c:pt idx="12">
                  <c:v>Jan-2011</c:v>
                </c:pt>
                <c:pt idx="13">
                  <c:v>Apr-2011</c:v>
                </c:pt>
                <c:pt idx="14">
                  <c:v>Jul-2011</c:v>
                </c:pt>
                <c:pt idx="15">
                  <c:v>Oct-2011</c:v>
                </c:pt>
                <c:pt idx="16">
                  <c:v>Jan-2012</c:v>
                </c:pt>
                <c:pt idx="17">
                  <c:v>Apr-2012</c:v>
                </c:pt>
                <c:pt idx="18">
                  <c:v>Jul-2012</c:v>
                </c:pt>
                <c:pt idx="19">
                  <c:v>Oct-2012</c:v>
                </c:pt>
                <c:pt idx="20">
                  <c:v>Jan-2013</c:v>
                </c:pt>
                <c:pt idx="21">
                  <c:v>Apr-2013</c:v>
                </c:pt>
                <c:pt idx="22">
                  <c:v>Jul-2013</c:v>
                </c:pt>
                <c:pt idx="23">
                  <c:v>Oct-2013</c:v>
                </c:pt>
                <c:pt idx="24">
                  <c:v>Jan-2014</c:v>
                </c:pt>
                <c:pt idx="25">
                  <c:v>Apr-2014</c:v>
                </c:pt>
                <c:pt idx="26">
                  <c:v>Jul-2014</c:v>
                </c:pt>
                <c:pt idx="27">
                  <c:v>Oct-2014</c:v>
                </c:pt>
                <c:pt idx="28">
                  <c:v>Jan-2015</c:v>
                </c:pt>
                <c:pt idx="29">
                  <c:v>Apr-2015</c:v>
                </c:pt>
                <c:pt idx="30">
                  <c:v>Jul-2015</c:v>
                </c:pt>
                <c:pt idx="31">
                  <c:v>Oct-2015</c:v>
                </c:pt>
                <c:pt idx="32">
                  <c:v>Jan-2016</c:v>
                </c:pt>
                <c:pt idx="33">
                  <c:v>Apr-2016</c:v>
                </c:pt>
                <c:pt idx="34">
                  <c:v>Jul-2016</c:v>
                </c:pt>
                <c:pt idx="35">
                  <c:v>Oct-2016</c:v>
                </c:pt>
                <c:pt idx="36">
                  <c:v>Jan-2017</c:v>
                </c:pt>
                <c:pt idx="37">
                  <c:v>Apr-2017</c:v>
                </c:pt>
                <c:pt idx="38">
                  <c:v>Jul-2017</c:v>
                </c:pt>
                <c:pt idx="39">
                  <c:v>Oct-2017</c:v>
                </c:pt>
                <c:pt idx="40">
                  <c:v>Jan-2018</c:v>
                </c:pt>
                <c:pt idx="41">
                  <c:v>Apr-2018</c:v>
                </c:pt>
                <c:pt idx="42">
                  <c:v>Jul-2018</c:v>
                </c:pt>
                <c:pt idx="43">
                  <c:v>Oct-2018</c:v>
                </c:pt>
                <c:pt idx="44">
                  <c:v>Jan-2019</c:v>
                </c:pt>
                <c:pt idx="45">
                  <c:v>Apr-2019</c:v>
                </c:pt>
                <c:pt idx="46">
                  <c:v>Jul-2019</c:v>
                </c:pt>
                <c:pt idx="47">
                  <c:v>Oct-2019</c:v>
                </c:pt>
                <c:pt idx="48">
                  <c:v>Jan-2020</c:v>
                </c:pt>
                <c:pt idx="49">
                  <c:v>Apr-2020</c:v>
                </c:pt>
                <c:pt idx="50">
                  <c:v>Jul-2020</c:v>
                </c:pt>
                <c:pt idx="51">
                  <c:v>Oct-2020</c:v>
                </c:pt>
                <c:pt idx="52">
                  <c:v>Jan-2021</c:v>
                </c:pt>
                <c:pt idx="53">
                  <c:v>Apr-2021</c:v>
                </c:pt>
                <c:pt idx="54">
                  <c:v>Jul-2021</c:v>
                </c:pt>
                <c:pt idx="55">
                  <c:v>Oct-2021</c:v>
                </c:pt>
                <c:pt idx="56">
                  <c:v>Jan-2022</c:v>
                </c:pt>
                <c:pt idx="57">
                  <c:v>Apr-2022</c:v>
                </c:pt>
                <c:pt idx="58">
                  <c:v>Jul-2022</c:v>
                </c:pt>
                <c:pt idx="59">
                  <c:v>Oct-2022</c:v>
                </c:pt>
                <c:pt idx="60">
                  <c:v>Jan-2023</c:v>
                </c:pt>
                <c:pt idx="61">
                  <c:v>Apr-2023</c:v>
                </c:pt>
                <c:pt idx="62">
                  <c:v>Jul-2023</c:v>
                </c:pt>
                <c:pt idx="63">
                  <c:v>Oct-2023</c:v>
                </c:pt>
                <c:pt idx="64">
                  <c:v>Jan-2024</c:v>
                </c:pt>
                <c:pt idx="65">
                  <c:v>Apr-2024</c:v>
                </c:pt>
                <c:pt idx="66">
                  <c:v>Jul-2024</c:v>
                </c:pt>
                <c:pt idx="67">
                  <c:v>Oct-2024</c:v>
                </c:pt>
                <c:pt idx="68">
                  <c:v>Jan-2025</c:v>
                </c:pt>
                <c:pt idx="69">
                  <c:v>Apr-2025</c:v>
                </c:pt>
                <c:pt idx="70">
                  <c:v>Jul-2025</c:v>
                </c:pt>
                <c:pt idx="71">
                  <c:v>Oct-2025</c:v>
                </c:pt>
                <c:pt idx="72">
                  <c:v>Jan-2026</c:v>
                </c:pt>
                <c:pt idx="73">
                  <c:v>Apr-2026</c:v>
                </c:pt>
                <c:pt idx="74">
                  <c:v>Jul-2026</c:v>
                </c:pt>
                <c:pt idx="75">
                  <c:v>Oct-2026</c:v>
                </c:pt>
                <c:pt idx="76">
                  <c:v>Jan-2027</c:v>
                </c:pt>
                <c:pt idx="77">
                  <c:v>Apr-2027</c:v>
                </c:pt>
                <c:pt idx="78">
                  <c:v>Jul-2027</c:v>
                </c:pt>
                <c:pt idx="79">
                  <c:v>Oct-2027</c:v>
                </c:pt>
                <c:pt idx="80">
                  <c:v>Jan-2028</c:v>
                </c:pt>
                <c:pt idx="81">
                  <c:v>Apr-2028</c:v>
                </c:pt>
                <c:pt idx="82">
                  <c:v>Jul-2028</c:v>
                </c:pt>
                <c:pt idx="83">
                  <c:v>Oct-2028</c:v>
                </c:pt>
                <c:pt idx="84">
                  <c:v>Jan-2029</c:v>
                </c:pt>
                <c:pt idx="85">
                  <c:v>Apr-2029</c:v>
                </c:pt>
                <c:pt idx="86">
                  <c:v>Jul-2029</c:v>
                </c:pt>
                <c:pt idx="87">
                  <c:v>Oct-2029</c:v>
                </c:pt>
                <c:pt idx="88">
                  <c:v>Jan-2030</c:v>
                </c:pt>
                <c:pt idx="89">
                  <c:v>Apr-2030</c:v>
                </c:pt>
                <c:pt idx="90">
                  <c:v>Jul-2030</c:v>
                </c:pt>
                <c:pt idx="91">
                  <c:v>Oct-2030</c:v>
                </c:pt>
              </c:strCache>
            </c:strRef>
          </c:cat>
          <c:val>
            <c:numRef>
              <c:f>Reserves!$F$111:$F$202</c:f>
              <c:numCache>
                <c:formatCode>General</c:formatCode>
                <c:ptCount val="92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1785181"/>
        <c:axId val="94274099"/>
      </c:lineChart>
      <c:catAx>
        <c:axId val="21785181"/>
        <c:scaling>
          <c:orientation val="minMax"/>
        </c:scaling>
        <c:delete val="0"/>
        <c:axPos val="b"/>
        <c:numFmt formatCode="mmm\-yy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4274099"/>
        <c:crosses val="autoZero"/>
        <c:auto val="1"/>
        <c:lblAlgn val="ctr"/>
        <c:lblOffset val="100"/>
        <c:noMultiLvlLbl val="0"/>
      </c:catAx>
      <c:valAx>
        <c:axId val="942740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178518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Relationship Id="rId3" Type="http://schemas.openxmlformats.org/officeDocument/2006/relationships/chart" Target="../charts/chart9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0.xml"/><Relationship Id="rId2" Type="http://schemas.openxmlformats.org/officeDocument/2006/relationships/chart" Target="../charts/chart11.xml"/><Relationship Id="rId3" Type="http://schemas.openxmlformats.org/officeDocument/2006/relationships/chart" Target="../charts/chart12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0</xdr:colOff>
      <xdr:row>8</xdr:row>
      <xdr:rowOff>0</xdr:rowOff>
    </xdr:from>
    <xdr:to>
      <xdr:col>26</xdr:col>
      <xdr:colOff>581400</xdr:colOff>
      <xdr:row>28</xdr:row>
      <xdr:rowOff>149760</xdr:rowOff>
    </xdr:to>
    <xdr:graphicFrame>
      <xdr:nvGraphicFramePr>
        <xdr:cNvPr id="1" name="Chart 1"/>
        <xdr:cNvGraphicFramePr/>
      </xdr:nvGraphicFramePr>
      <xdr:xfrm>
        <a:off x="9797400" y="1737360"/>
        <a:ext cx="791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109</xdr:row>
      <xdr:rowOff>0</xdr:rowOff>
    </xdr:from>
    <xdr:to>
      <xdr:col>26</xdr:col>
      <xdr:colOff>581400</xdr:colOff>
      <xdr:row>129</xdr:row>
      <xdr:rowOff>149760</xdr:rowOff>
    </xdr:to>
    <xdr:graphicFrame>
      <xdr:nvGraphicFramePr>
        <xdr:cNvPr id="2" name="Chart 2"/>
        <xdr:cNvGraphicFramePr/>
      </xdr:nvGraphicFramePr>
      <xdr:xfrm>
        <a:off x="9797400" y="21101760"/>
        <a:ext cx="791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14</xdr:col>
      <xdr:colOff>0</xdr:colOff>
      <xdr:row>210</xdr:row>
      <xdr:rowOff>0</xdr:rowOff>
    </xdr:from>
    <xdr:to>
      <xdr:col>26</xdr:col>
      <xdr:colOff>581400</xdr:colOff>
      <xdr:row>230</xdr:row>
      <xdr:rowOff>149760</xdr:rowOff>
    </xdr:to>
    <xdr:graphicFrame>
      <xdr:nvGraphicFramePr>
        <xdr:cNvPr id="3" name="Chart 3"/>
        <xdr:cNvGraphicFramePr/>
      </xdr:nvGraphicFramePr>
      <xdr:xfrm>
        <a:off x="9797400" y="40466160"/>
        <a:ext cx="791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0</xdr:colOff>
      <xdr:row>8</xdr:row>
      <xdr:rowOff>0</xdr:rowOff>
    </xdr:from>
    <xdr:to>
      <xdr:col>26</xdr:col>
      <xdr:colOff>581400</xdr:colOff>
      <xdr:row>28</xdr:row>
      <xdr:rowOff>149760</xdr:rowOff>
    </xdr:to>
    <xdr:graphicFrame>
      <xdr:nvGraphicFramePr>
        <xdr:cNvPr id="4" name="Chart 1"/>
        <xdr:cNvGraphicFramePr/>
      </xdr:nvGraphicFramePr>
      <xdr:xfrm>
        <a:off x="9797400" y="1737360"/>
        <a:ext cx="791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109</xdr:row>
      <xdr:rowOff>0</xdr:rowOff>
    </xdr:from>
    <xdr:to>
      <xdr:col>26</xdr:col>
      <xdr:colOff>581400</xdr:colOff>
      <xdr:row>129</xdr:row>
      <xdr:rowOff>149760</xdr:rowOff>
    </xdr:to>
    <xdr:graphicFrame>
      <xdr:nvGraphicFramePr>
        <xdr:cNvPr id="5" name="Chart 2"/>
        <xdr:cNvGraphicFramePr/>
      </xdr:nvGraphicFramePr>
      <xdr:xfrm>
        <a:off x="9797400" y="21101760"/>
        <a:ext cx="791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14</xdr:col>
      <xdr:colOff>0</xdr:colOff>
      <xdr:row>210</xdr:row>
      <xdr:rowOff>0</xdr:rowOff>
    </xdr:from>
    <xdr:to>
      <xdr:col>26</xdr:col>
      <xdr:colOff>581400</xdr:colOff>
      <xdr:row>230</xdr:row>
      <xdr:rowOff>149760</xdr:rowOff>
    </xdr:to>
    <xdr:graphicFrame>
      <xdr:nvGraphicFramePr>
        <xdr:cNvPr id="6" name="Chart 3"/>
        <xdr:cNvGraphicFramePr/>
      </xdr:nvGraphicFramePr>
      <xdr:xfrm>
        <a:off x="9797400" y="40466160"/>
        <a:ext cx="791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0</xdr:colOff>
      <xdr:row>8</xdr:row>
      <xdr:rowOff>0</xdr:rowOff>
    </xdr:from>
    <xdr:to>
      <xdr:col>26</xdr:col>
      <xdr:colOff>581400</xdr:colOff>
      <xdr:row>28</xdr:row>
      <xdr:rowOff>149760</xdr:rowOff>
    </xdr:to>
    <xdr:graphicFrame>
      <xdr:nvGraphicFramePr>
        <xdr:cNvPr id="7" name="Chart 1"/>
        <xdr:cNvGraphicFramePr/>
      </xdr:nvGraphicFramePr>
      <xdr:xfrm>
        <a:off x="9797400" y="1737360"/>
        <a:ext cx="791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109</xdr:row>
      <xdr:rowOff>0</xdr:rowOff>
    </xdr:from>
    <xdr:to>
      <xdr:col>26</xdr:col>
      <xdr:colOff>581400</xdr:colOff>
      <xdr:row>129</xdr:row>
      <xdr:rowOff>149760</xdr:rowOff>
    </xdr:to>
    <xdr:graphicFrame>
      <xdr:nvGraphicFramePr>
        <xdr:cNvPr id="8" name="Chart 2"/>
        <xdr:cNvGraphicFramePr/>
      </xdr:nvGraphicFramePr>
      <xdr:xfrm>
        <a:off x="9797400" y="21101760"/>
        <a:ext cx="791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14</xdr:col>
      <xdr:colOff>0</xdr:colOff>
      <xdr:row>210</xdr:row>
      <xdr:rowOff>0</xdr:rowOff>
    </xdr:from>
    <xdr:to>
      <xdr:col>26</xdr:col>
      <xdr:colOff>581400</xdr:colOff>
      <xdr:row>230</xdr:row>
      <xdr:rowOff>149760</xdr:rowOff>
    </xdr:to>
    <xdr:graphicFrame>
      <xdr:nvGraphicFramePr>
        <xdr:cNvPr id="9" name="Chart 3"/>
        <xdr:cNvGraphicFramePr/>
      </xdr:nvGraphicFramePr>
      <xdr:xfrm>
        <a:off x="9797400" y="40466160"/>
        <a:ext cx="791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0</xdr:colOff>
      <xdr:row>8</xdr:row>
      <xdr:rowOff>0</xdr:rowOff>
    </xdr:from>
    <xdr:to>
      <xdr:col>26</xdr:col>
      <xdr:colOff>581400</xdr:colOff>
      <xdr:row>28</xdr:row>
      <xdr:rowOff>149760</xdr:rowOff>
    </xdr:to>
    <xdr:graphicFrame>
      <xdr:nvGraphicFramePr>
        <xdr:cNvPr id="10" name="Chart 1"/>
        <xdr:cNvGraphicFramePr/>
      </xdr:nvGraphicFramePr>
      <xdr:xfrm>
        <a:off x="9797400" y="1737360"/>
        <a:ext cx="791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109</xdr:row>
      <xdr:rowOff>0</xdr:rowOff>
    </xdr:from>
    <xdr:to>
      <xdr:col>26</xdr:col>
      <xdr:colOff>581400</xdr:colOff>
      <xdr:row>129</xdr:row>
      <xdr:rowOff>149760</xdr:rowOff>
    </xdr:to>
    <xdr:graphicFrame>
      <xdr:nvGraphicFramePr>
        <xdr:cNvPr id="11" name="Chart 2"/>
        <xdr:cNvGraphicFramePr/>
      </xdr:nvGraphicFramePr>
      <xdr:xfrm>
        <a:off x="9797400" y="21101760"/>
        <a:ext cx="791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14</xdr:col>
      <xdr:colOff>0</xdr:colOff>
      <xdr:row>210</xdr:row>
      <xdr:rowOff>0</xdr:rowOff>
    </xdr:from>
    <xdr:to>
      <xdr:col>26</xdr:col>
      <xdr:colOff>581400</xdr:colOff>
      <xdr:row>230</xdr:row>
      <xdr:rowOff>149760</xdr:rowOff>
    </xdr:to>
    <xdr:graphicFrame>
      <xdr:nvGraphicFramePr>
        <xdr:cNvPr id="12" name="Chart 3"/>
        <xdr:cNvGraphicFramePr/>
      </xdr:nvGraphicFramePr>
      <xdr:xfrm>
        <a:off x="9797400" y="40466160"/>
        <a:ext cx="791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0</xdr:colOff>
      <xdr:row>8</xdr:row>
      <xdr:rowOff>0</xdr:rowOff>
    </xdr:from>
    <xdr:to>
      <xdr:col>26</xdr:col>
      <xdr:colOff>581400</xdr:colOff>
      <xdr:row>28</xdr:row>
      <xdr:rowOff>149760</xdr:rowOff>
    </xdr:to>
    <xdr:graphicFrame>
      <xdr:nvGraphicFramePr>
        <xdr:cNvPr id="13" name="Chart 1"/>
        <xdr:cNvGraphicFramePr/>
      </xdr:nvGraphicFramePr>
      <xdr:xfrm>
        <a:off x="9797400" y="1737360"/>
        <a:ext cx="791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109</xdr:row>
      <xdr:rowOff>0</xdr:rowOff>
    </xdr:from>
    <xdr:to>
      <xdr:col>26</xdr:col>
      <xdr:colOff>581400</xdr:colOff>
      <xdr:row>129</xdr:row>
      <xdr:rowOff>149760</xdr:rowOff>
    </xdr:to>
    <xdr:graphicFrame>
      <xdr:nvGraphicFramePr>
        <xdr:cNvPr id="14" name="Chart 2"/>
        <xdr:cNvGraphicFramePr/>
      </xdr:nvGraphicFramePr>
      <xdr:xfrm>
        <a:off x="9797400" y="21101760"/>
        <a:ext cx="791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_Index" displayName="tbl_Index" ref="A4:M18" headerRowCount="1" totalsRowCount="0" totalsRowShown="0">
  <autoFilter ref="A4:M18"/>
  <tableColumns count="13">
    <tableColumn id="1" name="Indicator"/>
    <tableColumn id="2" name="Section"/>
    <tableColumn id="3" name="Frequency"/>
    <tableColumn id="4" name="Source Tab"/>
    <tableColumn id="5" name="Date Col"/>
    <tableColumn id="6" name="Value Col"/>
    <tableColumn id="7" name="First Row"/>
    <tableColumn id="8" name="Last Row"/>
    <tableColumn id="9" name="Units"/>
    <tableColumn id="10" name="Aggregation"/>
    <tableColumn id="11" name="Notes"/>
    <tableColumn id="12" name="Date Range"/>
    <tableColumn id="13" name="Value Rang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6" min="2" style="0" width="30"/>
  </cols>
  <sheetData>
    <row r="1" customFormat="false" ht="22.05" hidden="false" customHeight="false" outlineLevel="0" collapsed="false">
      <c r="A1" s="1" t="s">
        <v>0</v>
      </c>
    </row>
    <row r="2" customFormat="false" ht="31.5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18" hidden="false" customHeight="true" outlineLevel="0" collapsed="false">
      <c r="A4" s="3" t="s">
        <v>2</v>
      </c>
      <c r="B4" s="3"/>
      <c r="C4" s="3"/>
      <c r="D4" s="3"/>
      <c r="E4" s="3"/>
      <c r="F4" s="3"/>
    </row>
    <row r="5" customFormat="false" ht="23.85" hidden="false" customHeight="true" outlineLevel="0" collapsed="false">
      <c r="A5" s="4" t="s">
        <v>3</v>
      </c>
      <c r="B5" s="5" t="s">
        <v>4</v>
      </c>
      <c r="C5" s="5"/>
      <c r="D5" s="5"/>
      <c r="E5" s="5"/>
      <c r="F5" s="5"/>
    </row>
    <row r="6" customFormat="false" ht="23.85" hidden="false" customHeight="true" outlineLevel="0" collapsed="false">
      <c r="A6" s="4" t="s">
        <v>5</v>
      </c>
      <c r="B6" s="5" t="s">
        <v>6</v>
      </c>
      <c r="C6" s="5"/>
      <c r="D6" s="5"/>
      <c r="E6" s="5"/>
      <c r="F6" s="5"/>
    </row>
    <row r="7" customFormat="false" ht="23.85" hidden="false" customHeight="true" outlineLevel="0" collapsed="false">
      <c r="A7" s="4" t="s">
        <v>7</v>
      </c>
      <c r="B7" s="5" t="s">
        <v>8</v>
      </c>
      <c r="C7" s="5"/>
      <c r="D7" s="5"/>
      <c r="E7" s="5"/>
      <c r="F7" s="5"/>
    </row>
    <row r="8" customFormat="false" ht="15" hidden="false" customHeight="true" outlineLevel="0" collapsed="false">
      <c r="A8" s="4" t="s">
        <v>9</v>
      </c>
      <c r="B8" s="5" t="s">
        <v>10</v>
      </c>
      <c r="C8" s="5"/>
      <c r="D8" s="5"/>
      <c r="E8" s="5"/>
      <c r="F8" s="5"/>
    </row>
    <row r="9" customFormat="false" ht="15" hidden="false" customHeight="false" outlineLevel="0" collapsed="false">
      <c r="A9" s="4"/>
      <c r="B9" s="5"/>
      <c r="C9" s="5"/>
      <c r="D9" s="5"/>
      <c r="E9" s="5"/>
      <c r="F9" s="5"/>
    </row>
    <row r="10" customFormat="false" ht="18" hidden="false" customHeight="true" outlineLevel="0" collapsed="false">
      <c r="A10" s="3" t="s">
        <v>11</v>
      </c>
      <c r="B10" s="3"/>
      <c r="C10" s="3"/>
      <c r="D10" s="3"/>
      <c r="E10" s="3"/>
      <c r="F10" s="3"/>
    </row>
    <row r="11" customFormat="false" ht="23.85" hidden="false" customHeight="true" outlineLevel="0" collapsed="false">
      <c r="A11" s="4" t="s">
        <v>12</v>
      </c>
      <c r="B11" s="5" t="s">
        <v>13</v>
      </c>
      <c r="C11" s="5"/>
      <c r="D11" s="5"/>
      <c r="E11" s="5"/>
      <c r="F11" s="5"/>
    </row>
    <row r="12" customFormat="false" ht="15" hidden="false" customHeight="true" outlineLevel="0" collapsed="false">
      <c r="A12" s="4" t="s">
        <v>14</v>
      </c>
      <c r="B12" s="5" t="s">
        <v>15</v>
      </c>
      <c r="C12" s="5"/>
      <c r="D12" s="5"/>
      <c r="E12" s="5"/>
      <c r="F12" s="5"/>
    </row>
    <row r="13" customFormat="false" ht="15" hidden="false" customHeight="true" outlineLevel="0" collapsed="false">
      <c r="A13" s="4" t="s">
        <v>16</v>
      </c>
      <c r="B13" s="5" t="s">
        <v>17</v>
      </c>
      <c r="C13" s="5"/>
      <c r="D13" s="5"/>
      <c r="E13" s="5"/>
      <c r="F13" s="5"/>
    </row>
    <row r="14" customFormat="false" ht="15" hidden="false" customHeight="false" outlineLevel="0" collapsed="false">
      <c r="A14" s="4"/>
      <c r="B14" s="5"/>
      <c r="C14" s="5"/>
      <c r="D14" s="5"/>
      <c r="E14" s="5"/>
      <c r="F14" s="5"/>
    </row>
    <row r="15" customFormat="false" ht="18" hidden="false" customHeight="true" outlineLevel="0" collapsed="false">
      <c r="A15" s="3" t="s">
        <v>18</v>
      </c>
      <c r="B15" s="3"/>
      <c r="C15" s="3"/>
      <c r="D15" s="3"/>
      <c r="E15" s="3"/>
      <c r="F15" s="3"/>
    </row>
    <row r="16" customFormat="false" ht="15" hidden="false" customHeight="true" outlineLevel="0" collapsed="false">
      <c r="A16" s="4" t="s">
        <v>19</v>
      </c>
      <c r="B16" s="5" t="s">
        <v>20</v>
      </c>
      <c r="C16" s="5"/>
      <c r="D16" s="5"/>
      <c r="E16" s="5"/>
      <c r="F16" s="5"/>
    </row>
    <row r="17" customFormat="false" ht="15" hidden="false" customHeight="true" outlineLevel="0" collapsed="false">
      <c r="A17" s="4" t="s">
        <v>21</v>
      </c>
      <c r="B17" s="5" t="s">
        <v>22</v>
      </c>
      <c r="C17" s="5"/>
      <c r="D17" s="5"/>
      <c r="E17" s="5"/>
      <c r="F17" s="5"/>
    </row>
    <row r="18" customFormat="false" ht="23.85" hidden="false" customHeight="true" outlineLevel="0" collapsed="false">
      <c r="A18" s="4" t="s">
        <v>23</v>
      </c>
      <c r="B18" s="5" t="s">
        <v>24</v>
      </c>
      <c r="C18" s="5"/>
      <c r="D18" s="5"/>
      <c r="E18" s="5"/>
      <c r="F18" s="5"/>
    </row>
    <row r="19" customFormat="false" ht="15" hidden="false" customHeight="false" outlineLevel="0" collapsed="false">
      <c r="A19" s="4"/>
      <c r="B19" s="5"/>
      <c r="C19" s="5"/>
      <c r="D19" s="5"/>
      <c r="E19" s="5"/>
      <c r="F19" s="5"/>
    </row>
    <row r="20" customFormat="false" ht="18" hidden="false" customHeight="true" outlineLevel="0" collapsed="false">
      <c r="A20" s="3" t="s">
        <v>25</v>
      </c>
      <c r="B20" s="3"/>
      <c r="C20" s="3"/>
      <c r="D20" s="3"/>
      <c r="E20" s="3"/>
      <c r="F20" s="3"/>
    </row>
    <row r="21" customFormat="false" ht="15" hidden="false" customHeight="true" outlineLevel="0" collapsed="false">
      <c r="A21" s="4" t="s">
        <v>26</v>
      </c>
      <c r="B21" s="5" t="s">
        <v>27</v>
      </c>
      <c r="C21" s="5"/>
      <c r="D21" s="5"/>
      <c r="E21" s="5"/>
      <c r="F21" s="5"/>
    </row>
    <row r="22" customFormat="false" ht="15" hidden="false" customHeight="true" outlineLevel="0" collapsed="false">
      <c r="A22" s="4" t="s">
        <v>28</v>
      </c>
      <c r="B22" s="5" t="s">
        <v>29</v>
      </c>
      <c r="C22" s="5"/>
      <c r="D22" s="5"/>
      <c r="E22" s="5"/>
      <c r="F22" s="5"/>
    </row>
  </sheetData>
  <mergeCells count="20">
    <mergeCell ref="A2:F2"/>
    <mergeCell ref="A4:F4"/>
    <mergeCell ref="B5:F5"/>
    <mergeCell ref="B6:F6"/>
    <mergeCell ref="B7:F7"/>
    <mergeCell ref="B8:F8"/>
    <mergeCell ref="B9:F9"/>
    <mergeCell ref="A10:F10"/>
    <mergeCell ref="B11:F11"/>
    <mergeCell ref="B12:F12"/>
    <mergeCell ref="B13:F13"/>
    <mergeCell ref="B14:F14"/>
    <mergeCell ref="A15:F15"/>
    <mergeCell ref="B16:F16"/>
    <mergeCell ref="B17:F17"/>
    <mergeCell ref="B18:F18"/>
    <mergeCell ref="B19:F19"/>
    <mergeCell ref="A20:F20"/>
    <mergeCell ref="B21:F21"/>
    <mergeCell ref="B22:F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4" min="4" style="0" width="18"/>
    <col collapsed="false" customWidth="true" hidden="false" outlineLevel="0" max="8" min="5" style="0" width="9"/>
    <col collapsed="false" customWidth="true" hidden="false" outlineLevel="0" max="9" min="9" style="0" width="18"/>
    <col collapsed="false" customWidth="true" hidden="false" outlineLevel="0" max="10" min="10" style="0" width="12"/>
    <col collapsed="false" customWidth="true" hidden="false" outlineLevel="0" max="11" min="11" style="0" width="40"/>
    <col collapsed="false" customWidth="true" hidden="false" outlineLevel="0" max="13" min="12" style="0" width="32"/>
  </cols>
  <sheetData>
    <row r="1" customFormat="false" ht="22.05" hidden="false" customHeight="false" outlineLevel="0" collapsed="false">
      <c r="A1" s="1" t="s">
        <v>30</v>
      </c>
    </row>
    <row r="2" customFormat="false" ht="15" hidden="false" customHeight="false" outlineLevel="0" collapsed="false">
      <c r="A2" s="6" t="s">
        <v>31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</row>
    <row r="4" customFormat="false" ht="15" hidden="false" customHeight="false" outlineLevel="0" collapsed="false">
      <c r="A4" s="7" t="s">
        <v>32</v>
      </c>
      <c r="B4" s="7" t="s">
        <v>33</v>
      </c>
      <c r="C4" s="7" t="s">
        <v>34</v>
      </c>
      <c r="D4" s="7" t="s">
        <v>35</v>
      </c>
      <c r="E4" s="7" t="s">
        <v>36</v>
      </c>
      <c r="F4" s="7" t="s">
        <v>37</v>
      </c>
      <c r="G4" s="7" t="s">
        <v>38</v>
      </c>
      <c r="H4" s="7" t="s">
        <v>39</v>
      </c>
      <c r="I4" s="7" t="s">
        <v>40</v>
      </c>
      <c r="J4" s="7" t="s">
        <v>16</v>
      </c>
      <c r="K4" s="7" t="s">
        <v>41</v>
      </c>
      <c r="L4" s="7" t="s">
        <v>42</v>
      </c>
      <c r="M4" s="7" t="s">
        <v>43</v>
      </c>
    </row>
    <row r="5" customFormat="false" ht="15" hidden="false" customHeight="false" outlineLevel="0" collapsed="false">
      <c r="A5" s="8" t="s">
        <v>44</v>
      </c>
      <c r="B5" s="8" t="s">
        <v>45</v>
      </c>
      <c r="C5" s="9" t="s">
        <v>46</v>
      </c>
      <c r="D5" s="10" t="s">
        <v>47</v>
      </c>
      <c r="E5" s="9" t="s">
        <v>48</v>
      </c>
      <c r="F5" s="9" t="s">
        <v>49</v>
      </c>
      <c r="G5" s="9" t="n">
        <v>2</v>
      </c>
      <c r="H5" s="9" t="n">
        <v>200</v>
      </c>
      <c r="I5" s="10" t="s">
        <v>50</v>
      </c>
      <c r="J5" s="9" t="s">
        <v>51</v>
      </c>
      <c r="K5" s="11"/>
      <c r="L5" s="12" t="str">
        <f aca="false">"'"&amp;D5&amp;"'!$"&amp;E5&amp;"$"&amp;G5&amp;":$"&amp;E5&amp;"$"&amp;H5</f>
        <v>'Data_Quarterly'!$A$2:$A$200</v>
      </c>
      <c r="M5" s="12" t="str">
        <f aca="false">"'"&amp;D5&amp;"'!$"&amp;F5&amp;"$"&amp;G5&amp;":$"&amp;F5&amp;"$"&amp;H5</f>
        <v>'Data_Quarterly'!$B$2:$B$200</v>
      </c>
    </row>
    <row r="6" customFormat="false" ht="15" hidden="false" customHeight="false" outlineLevel="0" collapsed="false">
      <c r="A6" s="8" t="s">
        <v>52</v>
      </c>
      <c r="B6" s="8" t="s">
        <v>45</v>
      </c>
      <c r="C6" s="9" t="s">
        <v>46</v>
      </c>
      <c r="D6" s="10" t="s">
        <v>47</v>
      </c>
      <c r="E6" s="9" t="s">
        <v>48</v>
      </c>
      <c r="F6" s="9" t="s">
        <v>53</v>
      </c>
      <c r="G6" s="9" t="n">
        <v>2</v>
      </c>
      <c r="H6" s="9" t="n">
        <v>200</v>
      </c>
      <c r="I6" s="10" t="s">
        <v>54</v>
      </c>
      <c r="J6" s="9" t="s">
        <v>51</v>
      </c>
      <c r="K6" s="11"/>
      <c r="L6" s="12" t="str">
        <f aca="false">"'"&amp;D6&amp;"'!$"&amp;E6&amp;"$"&amp;G6&amp;":$"&amp;E6&amp;"$"&amp;H6</f>
        <v>'Data_Quarterly'!$A$2:$A$200</v>
      </c>
      <c r="M6" s="12" t="str">
        <f aca="false">"'"&amp;D6&amp;"'!$"&amp;F6&amp;"$"&amp;G6&amp;":$"&amp;F6&amp;"$"&amp;H6</f>
        <v>'Data_Quarterly'!$C$2:$C$200</v>
      </c>
    </row>
    <row r="7" customFormat="false" ht="15" hidden="false" customHeight="false" outlineLevel="0" collapsed="false">
      <c r="A7" s="8" t="s">
        <v>55</v>
      </c>
      <c r="B7" s="8" t="s">
        <v>45</v>
      </c>
      <c r="C7" s="9" t="s">
        <v>56</v>
      </c>
      <c r="D7" s="10" t="s">
        <v>57</v>
      </c>
      <c r="E7" s="9" t="s">
        <v>48</v>
      </c>
      <c r="F7" s="9" t="s">
        <v>49</v>
      </c>
      <c r="G7" s="9" t="n">
        <v>2</v>
      </c>
      <c r="H7" s="9" t="n">
        <v>400</v>
      </c>
      <c r="I7" s="10" t="s">
        <v>58</v>
      </c>
      <c r="J7" s="9" t="s">
        <v>51</v>
      </c>
      <c r="K7" s="11" t="s">
        <v>59</v>
      </c>
      <c r="L7" s="12" t="str">
        <f aca="false">"'"&amp;D7&amp;"'!$"&amp;E7&amp;"$"&amp;G7&amp;":$"&amp;E7&amp;"$"&amp;H7</f>
        <v>'Data_Monthly'!$A$2:$A$400</v>
      </c>
      <c r="M7" s="12" t="str">
        <f aca="false">"'"&amp;D7&amp;"'!$"&amp;F7&amp;"$"&amp;G7&amp;":$"&amp;F7&amp;"$"&amp;H7</f>
        <v>'Data_Monthly'!$B$2:$B$400</v>
      </c>
    </row>
    <row r="8" customFormat="false" ht="20.85" hidden="false" customHeight="false" outlineLevel="0" collapsed="false">
      <c r="A8" s="8" t="s">
        <v>60</v>
      </c>
      <c r="B8" s="8" t="s">
        <v>61</v>
      </c>
      <c r="C8" s="9" t="s">
        <v>56</v>
      </c>
      <c r="D8" s="10" t="s">
        <v>57</v>
      </c>
      <c r="E8" s="9" t="s">
        <v>48</v>
      </c>
      <c r="F8" s="9" t="s">
        <v>53</v>
      </c>
      <c r="G8" s="9" t="n">
        <v>2</v>
      </c>
      <c r="H8" s="9" t="n">
        <v>400</v>
      </c>
      <c r="I8" s="10" t="s">
        <v>62</v>
      </c>
      <c r="J8" s="9" t="s">
        <v>51</v>
      </c>
      <c r="K8" s="11" t="s">
        <v>63</v>
      </c>
      <c r="L8" s="12" t="str">
        <f aca="false">"'"&amp;D8&amp;"'!$"&amp;E8&amp;"$"&amp;G8&amp;":$"&amp;E8&amp;"$"&amp;H8</f>
        <v>'Data_Monthly'!$A$2:$A$400</v>
      </c>
      <c r="M8" s="12" t="str">
        <f aca="false">"'"&amp;D8&amp;"'!$"&amp;F8&amp;"$"&amp;G8&amp;":$"&amp;F8&amp;"$"&amp;H8</f>
        <v>'Data_Monthly'!$C$2:$C$400</v>
      </c>
    </row>
    <row r="9" customFormat="false" ht="15" hidden="false" customHeight="false" outlineLevel="0" collapsed="false">
      <c r="A9" s="8" t="s">
        <v>64</v>
      </c>
      <c r="B9" s="8" t="s">
        <v>61</v>
      </c>
      <c r="C9" s="9" t="s">
        <v>56</v>
      </c>
      <c r="D9" s="10" t="s">
        <v>57</v>
      </c>
      <c r="E9" s="9" t="s">
        <v>48</v>
      </c>
      <c r="F9" s="9" t="s">
        <v>65</v>
      </c>
      <c r="G9" s="9" t="n">
        <v>2</v>
      </c>
      <c r="H9" s="9" t="n">
        <v>400</v>
      </c>
      <c r="I9" s="10" t="s">
        <v>66</v>
      </c>
      <c r="J9" s="9" t="s">
        <v>51</v>
      </c>
      <c r="K9" s="11"/>
      <c r="L9" s="12" t="str">
        <f aca="false">"'"&amp;D9&amp;"'!$"&amp;E9&amp;"$"&amp;G9&amp;":$"&amp;E9&amp;"$"&amp;H9</f>
        <v>'Data_Monthly'!$A$2:$A$400</v>
      </c>
      <c r="M9" s="12" t="str">
        <f aca="false">"'"&amp;D9&amp;"'!$"&amp;F9&amp;"$"&amp;G9&amp;":$"&amp;F9&amp;"$"&amp;H9</f>
        <v>'Data_Monthly'!$D$2:$D$400</v>
      </c>
    </row>
    <row r="10" customFormat="false" ht="15" hidden="false" customHeight="false" outlineLevel="0" collapsed="false">
      <c r="A10" s="8" t="s">
        <v>67</v>
      </c>
      <c r="B10" s="8" t="s">
        <v>61</v>
      </c>
      <c r="C10" s="9" t="s">
        <v>56</v>
      </c>
      <c r="D10" s="10" t="s">
        <v>57</v>
      </c>
      <c r="E10" s="9" t="s">
        <v>48</v>
      </c>
      <c r="F10" s="9" t="s">
        <v>68</v>
      </c>
      <c r="G10" s="9" t="n">
        <v>2</v>
      </c>
      <c r="H10" s="9" t="n">
        <v>400</v>
      </c>
      <c r="I10" s="10" t="s">
        <v>66</v>
      </c>
      <c r="J10" s="9" t="s">
        <v>51</v>
      </c>
      <c r="K10" s="11"/>
      <c r="L10" s="12" t="str">
        <f aca="false">"'"&amp;D10&amp;"'!$"&amp;E10&amp;"$"&amp;G10&amp;":$"&amp;E10&amp;"$"&amp;H10</f>
        <v>'Data_Monthly'!$A$2:$A$400</v>
      </c>
      <c r="M10" s="12" t="str">
        <f aca="false">"'"&amp;D10&amp;"'!$"&amp;F10&amp;"$"&amp;G10&amp;":$"&amp;F10&amp;"$"&amp;H10</f>
        <v>'Data_Monthly'!$E$2:$E$400</v>
      </c>
    </row>
    <row r="11" customFormat="false" ht="15" hidden="false" customHeight="false" outlineLevel="0" collapsed="false">
      <c r="A11" s="8" t="s">
        <v>69</v>
      </c>
      <c r="B11" s="8" t="s">
        <v>70</v>
      </c>
      <c r="C11" s="9" t="s">
        <v>56</v>
      </c>
      <c r="D11" s="10" t="s">
        <v>57</v>
      </c>
      <c r="E11" s="9" t="s">
        <v>48</v>
      </c>
      <c r="F11" s="9" t="s">
        <v>71</v>
      </c>
      <c r="G11" s="9" t="n">
        <v>2</v>
      </c>
      <c r="H11" s="9" t="n">
        <v>400</v>
      </c>
      <c r="I11" s="10" t="s">
        <v>54</v>
      </c>
      <c r="J11" s="9" t="s">
        <v>72</v>
      </c>
      <c r="K11" s="11" t="s">
        <v>73</v>
      </c>
      <c r="L11" s="12" t="str">
        <f aca="false">"'"&amp;D11&amp;"'!$"&amp;E11&amp;"$"&amp;G11&amp;":$"&amp;E11&amp;"$"&amp;H11</f>
        <v>'Data_Monthly'!$A$2:$A$400</v>
      </c>
      <c r="M11" s="12" t="str">
        <f aca="false">"'"&amp;D11&amp;"'!$"&amp;F11&amp;"$"&amp;G11&amp;":$"&amp;F11&amp;"$"&amp;H11</f>
        <v>'Data_Monthly'!$F$2:$F$400</v>
      </c>
    </row>
    <row r="12" customFormat="false" ht="15" hidden="false" customHeight="false" outlineLevel="0" collapsed="false">
      <c r="A12" s="8" t="s">
        <v>74</v>
      </c>
      <c r="B12" s="8" t="s">
        <v>70</v>
      </c>
      <c r="C12" s="9" t="s">
        <v>56</v>
      </c>
      <c r="D12" s="10" t="s">
        <v>57</v>
      </c>
      <c r="E12" s="9" t="s">
        <v>48</v>
      </c>
      <c r="F12" s="9" t="s">
        <v>75</v>
      </c>
      <c r="G12" s="9" t="n">
        <v>2</v>
      </c>
      <c r="H12" s="9" t="n">
        <v>400</v>
      </c>
      <c r="I12" s="10" t="s">
        <v>54</v>
      </c>
      <c r="J12" s="9" t="s">
        <v>72</v>
      </c>
      <c r="K12" s="11"/>
      <c r="L12" s="12" t="str">
        <f aca="false">"'"&amp;D12&amp;"'!$"&amp;E12&amp;"$"&amp;G12&amp;":$"&amp;E12&amp;"$"&amp;H12</f>
        <v>'Data_Monthly'!$A$2:$A$400</v>
      </c>
      <c r="M12" s="12" t="str">
        <f aca="false">"'"&amp;D12&amp;"'!$"&amp;F12&amp;"$"&amp;G12&amp;":$"&amp;F12&amp;"$"&amp;H12</f>
        <v>'Data_Monthly'!$G$2:$G$400</v>
      </c>
    </row>
    <row r="13" customFormat="false" ht="15" hidden="false" customHeight="false" outlineLevel="0" collapsed="false">
      <c r="A13" s="8" t="s">
        <v>76</v>
      </c>
      <c r="B13" s="8" t="s">
        <v>70</v>
      </c>
      <c r="C13" s="9" t="s">
        <v>46</v>
      </c>
      <c r="D13" s="10" t="s">
        <v>47</v>
      </c>
      <c r="E13" s="9" t="s">
        <v>48</v>
      </c>
      <c r="F13" s="9" t="s">
        <v>65</v>
      </c>
      <c r="G13" s="9" t="n">
        <v>2</v>
      </c>
      <c r="H13" s="9" t="n">
        <v>200</v>
      </c>
      <c r="I13" s="10" t="s">
        <v>77</v>
      </c>
      <c r="J13" s="9" t="s">
        <v>78</v>
      </c>
      <c r="K13" s="11" t="s">
        <v>79</v>
      </c>
      <c r="L13" s="12" t="str">
        <f aca="false">"'"&amp;D13&amp;"'!$"&amp;E13&amp;"$"&amp;G13&amp;":$"&amp;E13&amp;"$"&amp;H13</f>
        <v>'Data_Quarterly'!$A$2:$A$200</v>
      </c>
      <c r="M13" s="12" t="str">
        <f aca="false">"'"&amp;D13&amp;"'!$"&amp;F13&amp;"$"&amp;G13&amp;":$"&amp;F13&amp;"$"&amp;H13</f>
        <v>'Data_Quarterly'!$D$2:$D$200</v>
      </c>
    </row>
    <row r="14" customFormat="false" ht="15" hidden="false" customHeight="false" outlineLevel="0" collapsed="false">
      <c r="A14" s="8" t="s">
        <v>80</v>
      </c>
      <c r="B14" s="8" t="s">
        <v>81</v>
      </c>
      <c r="C14" s="9" t="s">
        <v>46</v>
      </c>
      <c r="D14" s="10" t="s">
        <v>47</v>
      </c>
      <c r="E14" s="9" t="s">
        <v>48</v>
      </c>
      <c r="F14" s="9" t="s">
        <v>68</v>
      </c>
      <c r="G14" s="9" t="n">
        <v>2</v>
      </c>
      <c r="H14" s="9" t="n">
        <v>200</v>
      </c>
      <c r="I14" s="10" t="s">
        <v>77</v>
      </c>
      <c r="J14" s="9" t="s">
        <v>72</v>
      </c>
      <c r="K14" s="11"/>
      <c r="L14" s="12" t="str">
        <f aca="false">"'"&amp;D14&amp;"'!$"&amp;E14&amp;"$"&amp;G14&amp;":$"&amp;E14&amp;"$"&amp;H14</f>
        <v>'Data_Quarterly'!$A$2:$A$200</v>
      </c>
      <c r="M14" s="12" t="str">
        <f aca="false">"'"&amp;D14&amp;"'!$"&amp;F14&amp;"$"&amp;G14&amp;":$"&amp;F14&amp;"$"&amp;H14</f>
        <v>'Data_Quarterly'!$E$2:$E$200</v>
      </c>
    </row>
    <row r="15" customFormat="false" ht="15" hidden="false" customHeight="false" outlineLevel="0" collapsed="false">
      <c r="A15" s="8" t="s">
        <v>82</v>
      </c>
      <c r="B15" s="8" t="s">
        <v>81</v>
      </c>
      <c r="C15" s="9" t="s">
        <v>56</v>
      </c>
      <c r="D15" s="10" t="s">
        <v>57</v>
      </c>
      <c r="E15" s="9" t="s">
        <v>48</v>
      </c>
      <c r="F15" s="9" t="s">
        <v>83</v>
      </c>
      <c r="G15" s="9" t="n">
        <v>2</v>
      </c>
      <c r="H15" s="9" t="n">
        <v>400</v>
      </c>
      <c r="I15" s="10" t="s">
        <v>77</v>
      </c>
      <c r="J15" s="9" t="s">
        <v>72</v>
      </c>
      <c r="K15" s="11" t="s">
        <v>84</v>
      </c>
      <c r="L15" s="12" t="str">
        <f aca="false">"'"&amp;D15&amp;"'!$"&amp;E15&amp;"$"&amp;G15&amp;":$"&amp;E15&amp;"$"&amp;H15</f>
        <v>'Data_Monthly'!$A$2:$A$400</v>
      </c>
      <c r="M15" s="12" t="str">
        <f aca="false">"'"&amp;D15&amp;"'!$"&amp;F15&amp;"$"&amp;G15&amp;":$"&amp;F15&amp;"$"&amp;H15</f>
        <v>'Data_Monthly'!$H$2:$H$400</v>
      </c>
    </row>
    <row r="16" customFormat="false" ht="15" hidden="false" customHeight="false" outlineLevel="0" collapsed="false">
      <c r="A16" s="8" t="s">
        <v>85</v>
      </c>
      <c r="B16" s="8" t="s">
        <v>81</v>
      </c>
      <c r="C16" s="9" t="s">
        <v>46</v>
      </c>
      <c r="D16" s="10" t="s">
        <v>47</v>
      </c>
      <c r="E16" s="9" t="s">
        <v>48</v>
      </c>
      <c r="F16" s="9" t="s">
        <v>71</v>
      </c>
      <c r="G16" s="9" t="n">
        <v>2</v>
      </c>
      <c r="H16" s="9" t="n">
        <v>200</v>
      </c>
      <c r="I16" s="10" t="s">
        <v>77</v>
      </c>
      <c r="J16" s="9" t="s">
        <v>72</v>
      </c>
      <c r="K16" s="11"/>
      <c r="L16" s="12" t="str">
        <f aca="false">"'"&amp;D16&amp;"'!$"&amp;E16&amp;"$"&amp;G16&amp;":$"&amp;E16&amp;"$"&amp;H16</f>
        <v>'Data_Quarterly'!$A$2:$A$200</v>
      </c>
      <c r="M16" s="12" t="str">
        <f aca="false">"'"&amp;D16&amp;"'!$"&amp;F16&amp;"$"&amp;G16&amp;":$"&amp;F16&amp;"$"&amp;H16</f>
        <v>'Data_Quarterly'!$F$2:$F$200</v>
      </c>
    </row>
    <row r="17" customFormat="false" ht="15" hidden="false" customHeight="false" outlineLevel="0" collapsed="false">
      <c r="A17" s="8" t="s">
        <v>86</v>
      </c>
      <c r="B17" s="8" t="s">
        <v>87</v>
      </c>
      <c r="C17" s="9" t="s">
        <v>56</v>
      </c>
      <c r="D17" s="10" t="s">
        <v>57</v>
      </c>
      <c r="E17" s="9" t="s">
        <v>48</v>
      </c>
      <c r="F17" s="9" t="s">
        <v>88</v>
      </c>
      <c r="G17" s="9" t="n">
        <v>2</v>
      </c>
      <c r="H17" s="9" t="n">
        <v>400</v>
      </c>
      <c r="I17" s="10" t="s">
        <v>77</v>
      </c>
      <c r="J17" s="9" t="s">
        <v>78</v>
      </c>
      <c r="K17" s="11" t="s">
        <v>89</v>
      </c>
      <c r="L17" s="12" t="str">
        <f aca="false">"'"&amp;D17&amp;"'!$"&amp;E17&amp;"$"&amp;G17&amp;":$"&amp;E17&amp;"$"&amp;H17</f>
        <v>'Data_Monthly'!$A$2:$A$400</v>
      </c>
      <c r="M17" s="12" t="str">
        <f aca="false">"'"&amp;D17&amp;"'!$"&amp;F17&amp;"$"&amp;G17&amp;":$"&amp;F17&amp;"$"&amp;H17</f>
        <v>'Data_Monthly'!$I$2:$I$400</v>
      </c>
    </row>
    <row r="18" customFormat="false" ht="15" hidden="false" customHeight="false" outlineLevel="0" collapsed="false">
      <c r="A18" s="8" t="s">
        <v>90</v>
      </c>
      <c r="B18" s="8" t="s">
        <v>87</v>
      </c>
      <c r="C18" s="9" t="s">
        <v>56</v>
      </c>
      <c r="D18" s="10" t="s">
        <v>57</v>
      </c>
      <c r="E18" s="9" t="s">
        <v>48</v>
      </c>
      <c r="F18" s="9" t="s">
        <v>91</v>
      </c>
      <c r="G18" s="9" t="n">
        <v>2</v>
      </c>
      <c r="H18" s="9" t="n">
        <v>400</v>
      </c>
      <c r="I18" s="10" t="s">
        <v>77</v>
      </c>
      <c r="J18" s="9" t="s">
        <v>78</v>
      </c>
      <c r="K18" s="11" t="s">
        <v>92</v>
      </c>
      <c r="L18" s="12" t="str">
        <f aca="false">"'"&amp;D18&amp;"'!$"&amp;E18&amp;"$"&amp;G18&amp;":$"&amp;E18&amp;"$"&amp;H18</f>
        <v>'Data_Monthly'!$A$2:$A$400</v>
      </c>
      <c r="M18" s="12" t="str">
        <f aca="false">"'"&amp;D18&amp;"'!$"&amp;F18&amp;"$"&amp;G18&amp;":$"&amp;F18&amp;"$"&amp;H18</f>
        <v>'Data_Monthly'!$J$2:$J$400</v>
      </c>
    </row>
  </sheetData>
  <mergeCells count="1">
    <mergeCell ref="A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11" min="2" style="0" width="16"/>
  </cols>
  <sheetData>
    <row r="1" customFormat="false" ht="22.05" hidden="false" customHeight="false" outlineLevel="0" collapsed="false">
      <c r="A1" s="1" t="s">
        <v>93</v>
      </c>
      <c r="B1" s="13" t="s">
        <v>94</v>
      </c>
    </row>
    <row r="2" customFormat="false" ht="15" hidden="false" customHeight="false" outlineLevel="0" collapsed="false">
      <c r="A2" s="14" t="s">
        <v>95</v>
      </c>
      <c r="B2" s="14" t="s">
        <v>96</v>
      </c>
      <c r="C2" s="14" t="s">
        <v>52</v>
      </c>
      <c r="D2" s="14" t="s">
        <v>76</v>
      </c>
      <c r="E2" s="14" t="s">
        <v>97</v>
      </c>
      <c r="F2" s="14" t="s">
        <v>98</v>
      </c>
    </row>
    <row r="3" customFormat="false" ht="15" hidden="false" customHeight="false" outlineLevel="0" collapsed="false">
      <c r="A3" s="15" t="n">
        <v>39448</v>
      </c>
      <c r="B3" s="16"/>
      <c r="C3" s="16"/>
      <c r="D3" s="16"/>
      <c r="E3" s="16"/>
      <c r="F3" s="16"/>
      <c r="G3" s="16"/>
      <c r="H3" s="16"/>
      <c r="I3" s="16"/>
      <c r="J3" s="16"/>
      <c r="K3" s="16"/>
    </row>
    <row r="4" customFormat="false" ht="15" hidden="false" customHeight="false" outlineLevel="0" collapsed="false">
      <c r="A4" s="15" t="n">
        <v>39539</v>
      </c>
      <c r="B4" s="16"/>
      <c r="C4" s="16"/>
      <c r="D4" s="16"/>
      <c r="E4" s="16"/>
      <c r="F4" s="16"/>
      <c r="G4" s="16"/>
      <c r="H4" s="16"/>
      <c r="I4" s="16"/>
      <c r="J4" s="16"/>
      <c r="K4" s="16"/>
    </row>
    <row r="5" customFormat="false" ht="15" hidden="false" customHeight="false" outlineLevel="0" collapsed="false">
      <c r="A5" s="15" t="n">
        <v>39630</v>
      </c>
      <c r="B5" s="16"/>
      <c r="C5" s="16"/>
      <c r="D5" s="16"/>
      <c r="E5" s="16"/>
      <c r="F5" s="16"/>
      <c r="G5" s="16"/>
      <c r="H5" s="16"/>
      <c r="I5" s="16"/>
      <c r="J5" s="16"/>
      <c r="K5" s="16"/>
    </row>
    <row r="6" customFormat="false" ht="15" hidden="false" customHeight="false" outlineLevel="0" collapsed="false">
      <c r="A6" s="15" t="n">
        <v>39722</v>
      </c>
      <c r="B6" s="16"/>
      <c r="C6" s="16"/>
      <c r="D6" s="16"/>
      <c r="E6" s="16"/>
      <c r="F6" s="16"/>
      <c r="G6" s="16"/>
      <c r="H6" s="16"/>
      <c r="I6" s="16"/>
      <c r="J6" s="16"/>
      <c r="K6" s="16"/>
    </row>
    <row r="7" customFormat="false" ht="15" hidden="false" customHeight="false" outlineLevel="0" collapsed="false">
      <c r="A7" s="15" t="n">
        <v>39814</v>
      </c>
      <c r="B7" s="16"/>
      <c r="C7" s="16"/>
      <c r="D7" s="16"/>
      <c r="E7" s="16"/>
      <c r="F7" s="16"/>
      <c r="G7" s="16"/>
      <c r="H7" s="16"/>
      <c r="I7" s="16"/>
      <c r="J7" s="16"/>
      <c r="K7" s="16"/>
    </row>
    <row r="8" customFormat="false" ht="15" hidden="false" customHeight="false" outlineLevel="0" collapsed="false">
      <c r="A8" s="15" t="n">
        <v>39904</v>
      </c>
      <c r="B8" s="16"/>
      <c r="C8" s="16"/>
      <c r="D8" s="16"/>
      <c r="E8" s="16"/>
      <c r="F8" s="16"/>
      <c r="G8" s="16"/>
      <c r="H8" s="16"/>
      <c r="I8" s="16"/>
      <c r="J8" s="16"/>
      <c r="K8" s="16"/>
    </row>
    <row r="9" customFormat="false" ht="15" hidden="false" customHeight="false" outlineLevel="0" collapsed="false">
      <c r="A9" s="15" t="n">
        <v>39995</v>
      </c>
      <c r="B9" s="16"/>
      <c r="C9" s="16"/>
      <c r="D9" s="16"/>
      <c r="E9" s="16"/>
      <c r="F9" s="16"/>
      <c r="G9" s="16"/>
      <c r="H9" s="16"/>
      <c r="I9" s="16"/>
      <c r="J9" s="16"/>
      <c r="K9" s="16"/>
    </row>
    <row r="10" customFormat="false" ht="15" hidden="false" customHeight="false" outlineLevel="0" collapsed="false">
      <c r="A10" s="15" t="n">
        <v>40087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</row>
    <row r="11" customFormat="false" ht="15" hidden="false" customHeight="false" outlineLevel="0" collapsed="false">
      <c r="A11" s="15" t="n">
        <v>40179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</row>
    <row r="12" customFormat="false" ht="15" hidden="false" customHeight="false" outlineLevel="0" collapsed="false">
      <c r="A12" s="15" t="n">
        <v>40269</v>
      </c>
      <c r="B12" s="16"/>
      <c r="C12" s="16"/>
      <c r="D12" s="16"/>
      <c r="E12" s="16"/>
      <c r="F12" s="16"/>
      <c r="G12" s="16"/>
      <c r="H12" s="16"/>
      <c r="I12" s="16"/>
      <c r="J12" s="16"/>
      <c r="K12" s="16"/>
    </row>
    <row r="13" customFormat="false" ht="15" hidden="false" customHeight="false" outlineLevel="0" collapsed="false">
      <c r="A13" s="15" t="n">
        <v>40360</v>
      </c>
      <c r="B13" s="16"/>
      <c r="C13" s="16"/>
      <c r="D13" s="16"/>
      <c r="E13" s="16"/>
      <c r="F13" s="16"/>
      <c r="G13" s="16"/>
      <c r="H13" s="16"/>
      <c r="I13" s="16"/>
      <c r="J13" s="16"/>
      <c r="K13" s="16"/>
    </row>
    <row r="14" customFormat="false" ht="15" hidden="false" customHeight="false" outlineLevel="0" collapsed="false">
      <c r="A14" s="15" t="n">
        <v>40452</v>
      </c>
      <c r="B14" s="16"/>
      <c r="C14" s="16"/>
      <c r="D14" s="16"/>
      <c r="E14" s="16"/>
      <c r="F14" s="16"/>
      <c r="G14" s="16"/>
      <c r="H14" s="16"/>
      <c r="I14" s="16"/>
      <c r="J14" s="16"/>
      <c r="K14" s="16"/>
    </row>
    <row r="15" customFormat="false" ht="15" hidden="false" customHeight="false" outlineLevel="0" collapsed="false">
      <c r="A15" s="15" t="n">
        <v>40544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</row>
    <row r="16" customFormat="false" ht="15" hidden="false" customHeight="false" outlineLevel="0" collapsed="false">
      <c r="A16" s="15" t="n">
        <v>40634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</row>
    <row r="17" customFormat="false" ht="15" hidden="false" customHeight="false" outlineLevel="0" collapsed="false">
      <c r="A17" s="15" t="n">
        <v>40725</v>
      </c>
      <c r="B17" s="16"/>
      <c r="C17" s="16"/>
      <c r="D17" s="16"/>
      <c r="E17" s="16"/>
      <c r="F17" s="16"/>
      <c r="G17" s="16"/>
      <c r="H17" s="16"/>
      <c r="I17" s="16"/>
      <c r="J17" s="16"/>
      <c r="K17" s="16"/>
    </row>
    <row r="18" customFormat="false" ht="15" hidden="false" customHeight="false" outlineLevel="0" collapsed="false">
      <c r="A18" s="15" t="n">
        <v>40817</v>
      </c>
      <c r="B18" s="16"/>
      <c r="C18" s="16"/>
      <c r="D18" s="16"/>
      <c r="E18" s="16"/>
      <c r="F18" s="16"/>
      <c r="G18" s="16"/>
      <c r="H18" s="16"/>
      <c r="I18" s="16"/>
      <c r="J18" s="16"/>
      <c r="K18" s="16"/>
    </row>
    <row r="19" customFormat="false" ht="15" hidden="false" customHeight="false" outlineLevel="0" collapsed="false">
      <c r="A19" s="15" t="n">
        <v>40909</v>
      </c>
      <c r="B19" s="16"/>
      <c r="C19" s="16"/>
      <c r="D19" s="16"/>
      <c r="E19" s="16"/>
      <c r="F19" s="16"/>
      <c r="G19" s="16"/>
      <c r="H19" s="16"/>
      <c r="I19" s="16"/>
      <c r="J19" s="16"/>
      <c r="K19" s="16"/>
    </row>
    <row r="20" customFormat="false" ht="15" hidden="false" customHeight="false" outlineLevel="0" collapsed="false">
      <c r="A20" s="15" t="n">
        <v>41000</v>
      </c>
      <c r="B20" s="16"/>
      <c r="C20" s="16"/>
      <c r="D20" s="16"/>
      <c r="E20" s="16"/>
      <c r="F20" s="16"/>
      <c r="G20" s="16"/>
      <c r="H20" s="16"/>
      <c r="I20" s="16"/>
      <c r="J20" s="16"/>
      <c r="K20" s="16"/>
    </row>
    <row r="21" customFormat="false" ht="15" hidden="false" customHeight="false" outlineLevel="0" collapsed="false">
      <c r="A21" s="15" t="n">
        <v>41091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</row>
    <row r="22" customFormat="false" ht="15" hidden="false" customHeight="false" outlineLevel="0" collapsed="false">
      <c r="A22" s="15" t="n">
        <v>41183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</row>
    <row r="23" customFormat="false" ht="15" hidden="false" customHeight="false" outlineLevel="0" collapsed="false">
      <c r="A23" s="15" t="n">
        <v>41275</v>
      </c>
      <c r="B23" s="16"/>
      <c r="C23" s="16"/>
      <c r="D23" s="16"/>
      <c r="E23" s="16"/>
      <c r="F23" s="16"/>
      <c r="G23" s="16"/>
      <c r="H23" s="16"/>
      <c r="I23" s="16"/>
      <c r="J23" s="16"/>
      <c r="K23" s="16"/>
    </row>
    <row r="24" customFormat="false" ht="15" hidden="false" customHeight="false" outlineLevel="0" collapsed="false">
      <c r="A24" s="15" t="n">
        <v>41365</v>
      </c>
      <c r="B24" s="16"/>
      <c r="C24" s="16"/>
      <c r="D24" s="16"/>
      <c r="E24" s="16"/>
      <c r="F24" s="16"/>
      <c r="G24" s="16"/>
      <c r="H24" s="16"/>
      <c r="I24" s="16"/>
      <c r="J24" s="16"/>
      <c r="K24" s="16"/>
    </row>
    <row r="25" customFormat="false" ht="15" hidden="false" customHeight="false" outlineLevel="0" collapsed="false">
      <c r="A25" s="15" t="n">
        <v>41456</v>
      </c>
      <c r="B25" s="16"/>
      <c r="C25" s="16"/>
      <c r="D25" s="16"/>
      <c r="E25" s="16"/>
      <c r="F25" s="16"/>
      <c r="G25" s="16"/>
      <c r="H25" s="16"/>
      <c r="I25" s="16"/>
      <c r="J25" s="16"/>
      <c r="K25" s="16"/>
    </row>
    <row r="26" customFormat="false" ht="15" hidden="false" customHeight="false" outlineLevel="0" collapsed="false">
      <c r="A26" s="15" t="n">
        <v>41548</v>
      </c>
      <c r="B26" s="16"/>
      <c r="C26" s="16"/>
      <c r="D26" s="16"/>
      <c r="E26" s="16"/>
      <c r="F26" s="16"/>
      <c r="G26" s="16"/>
      <c r="H26" s="16"/>
      <c r="I26" s="16"/>
      <c r="J26" s="16"/>
      <c r="K26" s="16"/>
    </row>
    <row r="27" customFormat="false" ht="15" hidden="false" customHeight="false" outlineLevel="0" collapsed="false">
      <c r="A27" s="15" t="n">
        <v>41640</v>
      </c>
      <c r="B27" s="16"/>
      <c r="C27" s="16"/>
      <c r="D27" s="16"/>
      <c r="E27" s="16"/>
      <c r="F27" s="16"/>
      <c r="G27" s="16"/>
      <c r="H27" s="16"/>
      <c r="I27" s="16"/>
      <c r="J27" s="16"/>
      <c r="K27" s="16"/>
    </row>
    <row r="28" customFormat="false" ht="15" hidden="false" customHeight="false" outlineLevel="0" collapsed="false">
      <c r="A28" s="15" t="n">
        <v>41730</v>
      </c>
      <c r="B28" s="16"/>
      <c r="C28" s="16"/>
      <c r="D28" s="16"/>
      <c r="E28" s="16"/>
      <c r="F28" s="16"/>
      <c r="G28" s="16"/>
      <c r="H28" s="16"/>
      <c r="I28" s="16"/>
      <c r="J28" s="16"/>
      <c r="K28" s="16"/>
    </row>
    <row r="29" customFormat="false" ht="15" hidden="false" customHeight="false" outlineLevel="0" collapsed="false">
      <c r="A29" s="15" t="n">
        <v>41821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</row>
    <row r="30" customFormat="false" ht="15" hidden="false" customHeight="false" outlineLevel="0" collapsed="false">
      <c r="A30" s="15" t="n">
        <v>41913</v>
      </c>
      <c r="B30" s="16"/>
      <c r="C30" s="16"/>
      <c r="D30" s="16"/>
      <c r="E30" s="16"/>
      <c r="F30" s="16"/>
      <c r="G30" s="16"/>
      <c r="H30" s="16"/>
      <c r="I30" s="16"/>
      <c r="J30" s="16"/>
      <c r="K30" s="16"/>
    </row>
    <row r="31" customFormat="false" ht="15" hidden="false" customHeight="false" outlineLevel="0" collapsed="false">
      <c r="A31" s="15" t="n">
        <v>42005</v>
      </c>
      <c r="B31" s="16"/>
      <c r="C31" s="16"/>
      <c r="D31" s="16"/>
      <c r="E31" s="16"/>
      <c r="F31" s="16"/>
      <c r="G31" s="16"/>
      <c r="H31" s="16"/>
      <c r="I31" s="16"/>
      <c r="J31" s="16"/>
      <c r="K31" s="16"/>
    </row>
    <row r="32" customFormat="false" ht="15" hidden="false" customHeight="false" outlineLevel="0" collapsed="false">
      <c r="A32" s="15" t="n">
        <v>42095</v>
      </c>
      <c r="B32" s="16"/>
      <c r="C32" s="16"/>
      <c r="D32" s="16"/>
      <c r="E32" s="16"/>
      <c r="F32" s="16"/>
      <c r="G32" s="16"/>
      <c r="H32" s="16"/>
      <c r="I32" s="16"/>
      <c r="J32" s="16"/>
      <c r="K32" s="16"/>
    </row>
    <row r="33" customFormat="false" ht="15" hidden="false" customHeight="false" outlineLevel="0" collapsed="false">
      <c r="A33" s="15" t="n">
        <v>42186</v>
      </c>
      <c r="B33" s="16"/>
      <c r="C33" s="16"/>
      <c r="D33" s="16"/>
      <c r="E33" s="16"/>
      <c r="F33" s="16"/>
      <c r="G33" s="16"/>
      <c r="H33" s="16"/>
      <c r="I33" s="16"/>
      <c r="J33" s="16"/>
      <c r="K33" s="16"/>
    </row>
    <row r="34" customFormat="false" ht="15" hidden="false" customHeight="false" outlineLevel="0" collapsed="false">
      <c r="A34" s="15" t="n">
        <v>42278</v>
      </c>
      <c r="B34" s="16"/>
      <c r="C34" s="16"/>
      <c r="D34" s="16"/>
      <c r="E34" s="16"/>
      <c r="F34" s="16"/>
      <c r="G34" s="16"/>
      <c r="H34" s="16"/>
      <c r="I34" s="16"/>
      <c r="J34" s="16"/>
      <c r="K34" s="16"/>
    </row>
    <row r="35" customFormat="false" ht="15" hidden="false" customHeight="false" outlineLevel="0" collapsed="false">
      <c r="A35" s="15" t="n">
        <v>42370</v>
      </c>
      <c r="B35" s="16"/>
      <c r="C35" s="16"/>
      <c r="D35" s="16"/>
      <c r="E35" s="16"/>
      <c r="F35" s="16"/>
      <c r="G35" s="16"/>
      <c r="H35" s="16"/>
      <c r="I35" s="16"/>
      <c r="J35" s="16"/>
      <c r="K35" s="16"/>
    </row>
    <row r="36" customFormat="false" ht="15" hidden="false" customHeight="false" outlineLevel="0" collapsed="false">
      <c r="A36" s="15" t="n">
        <v>42461</v>
      </c>
      <c r="B36" s="16"/>
      <c r="C36" s="16"/>
      <c r="D36" s="16"/>
      <c r="E36" s="16"/>
      <c r="F36" s="16"/>
      <c r="G36" s="16"/>
      <c r="H36" s="16"/>
      <c r="I36" s="16"/>
      <c r="J36" s="16"/>
      <c r="K36" s="16"/>
    </row>
    <row r="37" customFormat="false" ht="15" hidden="false" customHeight="false" outlineLevel="0" collapsed="false">
      <c r="A37" s="15" t="n">
        <v>42552</v>
      </c>
      <c r="B37" s="16"/>
      <c r="C37" s="16"/>
      <c r="D37" s="16"/>
      <c r="E37" s="16"/>
      <c r="F37" s="16"/>
      <c r="G37" s="16"/>
      <c r="H37" s="16"/>
      <c r="I37" s="16"/>
      <c r="J37" s="16"/>
      <c r="K37" s="16"/>
    </row>
    <row r="38" customFormat="false" ht="15" hidden="false" customHeight="false" outlineLevel="0" collapsed="false">
      <c r="A38" s="15" t="n">
        <v>42644</v>
      </c>
      <c r="B38" s="16"/>
      <c r="C38" s="16"/>
      <c r="D38" s="16"/>
      <c r="E38" s="16"/>
      <c r="F38" s="16"/>
      <c r="G38" s="16"/>
      <c r="H38" s="16"/>
      <c r="I38" s="16"/>
      <c r="J38" s="16"/>
      <c r="K38" s="16"/>
    </row>
    <row r="39" customFormat="false" ht="15" hidden="false" customHeight="false" outlineLevel="0" collapsed="false">
      <c r="A39" s="15" t="n">
        <v>42736</v>
      </c>
      <c r="B39" s="16"/>
      <c r="C39" s="16"/>
      <c r="D39" s="16"/>
      <c r="E39" s="16"/>
      <c r="F39" s="16"/>
      <c r="G39" s="16"/>
      <c r="H39" s="16"/>
      <c r="I39" s="16"/>
      <c r="J39" s="16"/>
      <c r="K39" s="16"/>
    </row>
    <row r="40" customFormat="false" ht="15" hidden="false" customHeight="false" outlineLevel="0" collapsed="false">
      <c r="A40" s="15" t="n">
        <v>42826</v>
      </c>
      <c r="B40" s="16"/>
      <c r="C40" s="16"/>
      <c r="D40" s="16"/>
      <c r="E40" s="16"/>
      <c r="F40" s="16"/>
      <c r="G40" s="16"/>
      <c r="H40" s="16"/>
      <c r="I40" s="16"/>
      <c r="J40" s="16"/>
      <c r="K40" s="16"/>
    </row>
    <row r="41" customFormat="false" ht="15" hidden="false" customHeight="false" outlineLevel="0" collapsed="false">
      <c r="A41" s="15" t="n">
        <v>42917</v>
      </c>
      <c r="B41" s="16"/>
      <c r="C41" s="16"/>
      <c r="D41" s="16"/>
      <c r="E41" s="16"/>
      <c r="F41" s="16"/>
      <c r="G41" s="16"/>
      <c r="H41" s="16"/>
      <c r="I41" s="16"/>
      <c r="J41" s="16"/>
      <c r="K41" s="16"/>
    </row>
    <row r="42" customFormat="false" ht="15" hidden="false" customHeight="false" outlineLevel="0" collapsed="false">
      <c r="A42" s="15" t="n">
        <v>43009</v>
      </c>
      <c r="B42" s="16"/>
      <c r="C42" s="16"/>
      <c r="D42" s="16"/>
      <c r="E42" s="16"/>
      <c r="F42" s="16"/>
      <c r="G42" s="16"/>
      <c r="H42" s="16"/>
      <c r="I42" s="16"/>
      <c r="J42" s="16"/>
      <c r="K42" s="16"/>
    </row>
    <row r="43" customFormat="false" ht="15" hidden="false" customHeight="false" outlineLevel="0" collapsed="false">
      <c r="A43" s="15" t="n">
        <v>43101</v>
      </c>
      <c r="B43" s="16"/>
      <c r="C43" s="16"/>
      <c r="D43" s="16"/>
      <c r="E43" s="16"/>
      <c r="F43" s="16"/>
      <c r="G43" s="16"/>
      <c r="H43" s="16"/>
      <c r="I43" s="16"/>
      <c r="J43" s="16"/>
      <c r="K43" s="16"/>
    </row>
    <row r="44" customFormat="false" ht="15" hidden="false" customHeight="false" outlineLevel="0" collapsed="false">
      <c r="A44" s="15" t="n">
        <v>43191</v>
      </c>
      <c r="B44" s="16"/>
      <c r="C44" s="16"/>
      <c r="D44" s="16"/>
      <c r="E44" s="16"/>
      <c r="F44" s="16"/>
      <c r="G44" s="16"/>
      <c r="H44" s="16"/>
      <c r="I44" s="16"/>
      <c r="J44" s="16"/>
      <c r="K44" s="16"/>
    </row>
    <row r="45" customFormat="false" ht="15" hidden="false" customHeight="false" outlineLevel="0" collapsed="false">
      <c r="A45" s="15" t="n">
        <v>43282</v>
      </c>
      <c r="B45" s="16"/>
      <c r="C45" s="16"/>
      <c r="D45" s="16"/>
      <c r="E45" s="16"/>
      <c r="F45" s="16"/>
      <c r="G45" s="16"/>
      <c r="H45" s="16"/>
      <c r="I45" s="16"/>
      <c r="J45" s="16"/>
      <c r="K45" s="16"/>
    </row>
    <row r="46" customFormat="false" ht="15" hidden="false" customHeight="false" outlineLevel="0" collapsed="false">
      <c r="A46" s="15" t="n">
        <v>43374</v>
      </c>
      <c r="B46" s="16"/>
      <c r="C46" s="16"/>
      <c r="D46" s="16"/>
      <c r="E46" s="16"/>
      <c r="F46" s="16"/>
      <c r="G46" s="16"/>
      <c r="H46" s="16"/>
      <c r="I46" s="16"/>
      <c r="J46" s="16"/>
      <c r="K46" s="16"/>
    </row>
    <row r="47" customFormat="false" ht="15" hidden="false" customHeight="false" outlineLevel="0" collapsed="false">
      <c r="A47" s="15" t="n">
        <v>43466</v>
      </c>
      <c r="B47" s="16"/>
      <c r="C47" s="16"/>
      <c r="D47" s="16"/>
      <c r="E47" s="16"/>
      <c r="F47" s="16"/>
      <c r="G47" s="16"/>
      <c r="H47" s="16"/>
      <c r="I47" s="16"/>
      <c r="J47" s="16"/>
      <c r="K47" s="16"/>
    </row>
    <row r="48" customFormat="false" ht="15" hidden="false" customHeight="false" outlineLevel="0" collapsed="false">
      <c r="A48" s="15" t="n">
        <v>43556</v>
      </c>
      <c r="B48" s="16"/>
      <c r="C48" s="16"/>
      <c r="D48" s="16"/>
      <c r="E48" s="16"/>
      <c r="F48" s="16"/>
      <c r="G48" s="16"/>
      <c r="H48" s="16"/>
      <c r="I48" s="16"/>
      <c r="J48" s="16"/>
      <c r="K48" s="16"/>
    </row>
    <row r="49" customFormat="false" ht="15" hidden="false" customHeight="false" outlineLevel="0" collapsed="false">
      <c r="A49" s="15" t="n">
        <v>43647</v>
      </c>
      <c r="B49" s="16"/>
      <c r="C49" s="16"/>
      <c r="D49" s="16"/>
      <c r="E49" s="16"/>
      <c r="F49" s="16"/>
      <c r="G49" s="16"/>
      <c r="H49" s="16"/>
      <c r="I49" s="16"/>
      <c r="J49" s="16"/>
      <c r="K49" s="16"/>
    </row>
    <row r="50" customFormat="false" ht="15" hidden="false" customHeight="false" outlineLevel="0" collapsed="false">
      <c r="A50" s="15" t="n">
        <v>43739</v>
      </c>
      <c r="B50" s="16"/>
      <c r="C50" s="16"/>
      <c r="D50" s="16"/>
      <c r="E50" s="16"/>
      <c r="F50" s="16"/>
      <c r="G50" s="16"/>
      <c r="H50" s="16"/>
      <c r="I50" s="16"/>
      <c r="J50" s="16"/>
      <c r="K50" s="16"/>
    </row>
    <row r="51" customFormat="false" ht="15" hidden="false" customHeight="false" outlineLevel="0" collapsed="false">
      <c r="A51" s="15" t="n">
        <v>43831</v>
      </c>
      <c r="B51" s="16"/>
      <c r="C51" s="16"/>
      <c r="D51" s="16"/>
      <c r="E51" s="16"/>
      <c r="F51" s="16"/>
      <c r="G51" s="16"/>
      <c r="H51" s="16"/>
      <c r="I51" s="16"/>
      <c r="J51" s="16"/>
      <c r="K51" s="16"/>
    </row>
    <row r="52" customFormat="false" ht="15" hidden="false" customHeight="false" outlineLevel="0" collapsed="false">
      <c r="A52" s="15" t="n">
        <v>43922</v>
      </c>
      <c r="B52" s="16"/>
      <c r="C52" s="16"/>
      <c r="D52" s="16"/>
      <c r="E52" s="16"/>
      <c r="F52" s="16"/>
      <c r="G52" s="16"/>
      <c r="H52" s="16"/>
      <c r="I52" s="16"/>
      <c r="J52" s="16"/>
      <c r="K52" s="16"/>
    </row>
    <row r="53" customFormat="false" ht="15" hidden="false" customHeight="false" outlineLevel="0" collapsed="false">
      <c r="A53" s="15" t="n">
        <v>44013</v>
      </c>
      <c r="B53" s="16"/>
      <c r="C53" s="16"/>
      <c r="D53" s="16"/>
      <c r="E53" s="16"/>
      <c r="F53" s="16"/>
      <c r="G53" s="16"/>
      <c r="H53" s="16"/>
      <c r="I53" s="16"/>
      <c r="J53" s="16"/>
      <c r="K53" s="16"/>
    </row>
    <row r="54" customFormat="false" ht="15" hidden="false" customHeight="false" outlineLevel="0" collapsed="false">
      <c r="A54" s="15" t="n">
        <v>44105</v>
      </c>
      <c r="B54" s="16"/>
      <c r="C54" s="16"/>
      <c r="D54" s="16"/>
      <c r="E54" s="16"/>
      <c r="F54" s="16"/>
      <c r="G54" s="16"/>
      <c r="H54" s="16"/>
      <c r="I54" s="16"/>
      <c r="J54" s="16"/>
      <c r="K54" s="16"/>
    </row>
    <row r="55" customFormat="false" ht="15" hidden="false" customHeight="false" outlineLevel="0" collapsed="false">
      <c r="A55" s="15" t="n">
        <v>44197</v>
      </c>
      <c r="B55" s="16"/>
      <c r="C55" s="16"/>
      <c r="D55" s="16"/>
      <c r="E55" s="16"/>
      <c r="F55" s="16"/>
      <c r="G55" s="16"/>
      <c r="H55" s="16"/>
      <c r="I55" s="16"/>
      <c r="J55" s="16"/>
      <c r="K55" s="16"/>
    </row>
    <row r="56" customFormat="false" ht="15" hidden="false" customHeight="false" outlineLevel="0" collapsed="false">
      <c r="A56" s="15" t="n">
        <v>44287</v>
      </c>
      <c r="B56" s="16"/>
      <c r="C56" s="16"/>
      <c r="D56" s="16"/>
      <c r="E56" s="16"/>
      <c r="F56" s="16"/>
      <c r="G56" s="16"/>
      <c r="H56" s="16"/>
      <c r="I56" s="16"/>
      <c r="J56" s="16"/>
      <c r="K56" s="16"/>
    </row>
    <row r="57" customFormat="false" ht="15" hidden="false" customHeight="false" outlineLevel="0" collapsed="false">
      <c r="A57" s="15" t="n">
        <v>44378</v>
      </c>
      <c r="B57" s="16"/>
      <c r="C57" s="16"/>
      <c r="D57" s="16"/>
      <c r="E57" s="16"/>
      <c r="F57" s="16"/>
      <c r="G57" s="16"/>
      <c r="H57" s="16"/>
      <c r="I57" s="16"/>
      <c r="J57" s="16"/>
      <c r="K57" s="16"/>
    </row>
    <row r="58" customFormat="false" ht="15" hidden="false" customHeight="false" outlineLevel="0" collapsed="false">
      <c r="A58" s="15" t="n">
        <v>44470</v>
      </c>
      <c r="B58" s="16"/>
      <c r="C58" s="16"/>
      <c r="D58" s="16"/>
      <c r="E58" s="16"/>
      <c r="F58" s="16"/>
      <c r="G58" s="16"/>
      <c r="H58" s="16"/>
      <c r="I58" s="16"/>
      <c r="J58" s="16"/>
      <c r="K58" s="16"/>
    </row>
    <row r="59" customFormat="false" ht="15" hidden="false" customHeight="false" outlineLevel="0" collapsed="false">
      <c r="A59" s="15" t="n">
        <v>44562</v>
      </c>
      <c r="B59" s="16"/>
      <c r="C59" s="16"/>
      <c r="D59" s="16"/>
      <c r="E59" s="16"/>
      <c r="F59" s="16"/>
      <c r="G59" s="16"/>
      <c r="H59" s="16"/>
      <c r="I59" s="16"/>
      <c r="J59" s="16"/>
      <c r="K59" s="16"/>
    </row>
    <row r="60" customFormat="false" ht="15" hidden="false" customHeight="false" outlineLevel="0" collapsed="false">
      <c r="A60" s="15" t="n">
        <v>44652</v>
      </c>
      <c r="B60" s="16"/>
      <c r="C60" s="16"/>
      <c r="D60" s="16"/>
      <c r="E60" s="16"/>
      <c r="F60" s="16"/>
      <c r="G60" s="16"/>
      <c r="H60" s="16"/>
      <c r="I60" s="16"/>
      <c r="J60" s="16"/>
      <c r="K60" s="16"/>
    </row>
    <row r="61" customFormat="false" ht="15" hidden="false" customHeight="false" outlineLevel="0" collapsed="false">
      <c r="A61" s="15" t="n">
        <v>44743</v>
      </c>
      <c r="B61" s="16"/>
      <c r="C61" s="16"/>
      <c r="D61" s="16"/>
      <c r="E61" s="16"/>
      <c r="F61" s="16"/>
      <c r="G61" s="16"/>
      <c r="H61" s="16"/>
      <c r="I61" s="16"/>
      <c r="J61" s="16"/>
      <c r="K61" s="16"/>
    </row>
    <row r="62" customFormat="false" ht="15" hidden="false" customHeight="false" outlineLevel="0" collapsed="false">
      <c r="A62" s="15" t="n">
        <v>44835</v>
      </c>
      <c r="B62" s="16"/>
      <c r="C62" s="16"/>
      <c r="D62" s="16"/>
      <c r="E62" s="16"/>
      <c r="F62" s="16"/>
      <c r="G62" s="16"/>
      <c r="H62" s="16"/>
      <c r="I62" s="16"/>
      <c r="J62" s="16"/>
      <c r="K62" s="16"/>
    </row>
    <row r="63" customFormat="false" ht="15" hidden="false" customHeight="false" outlineLevel="0" collapsed="false">
      <c r="A63" s="15" t="n">
        <v>44927</v>
      </c>
      <c r="B63" s="16"/>
      <c r="C63" s="16"/>
      <c r="D63" s="16"/>
      <c r="E63" s="16"/>
      <c r="F63" s="16"/>
      <c r="G63" s="16"/>
      <c r="H63" s="16"/>
      <c r="I63" s="16"/>
      <c r="J63" s="16"/>
      <c r="K63" s="16"/>
    </row>
    <row r="64" customFormat="false" ht="15" hidden="false" customHeight="false" outlineLevel="0" collapsed="false">
      <c r="A64" s="15" t="n">
        <v>45017</v>
      </c>
      <c r="B64" s="16"/>
      <c r="C64" s="16"/>
      <c r="D64" s="16"/>
      <c r="E64" s="16"/>
      <c r="F64" s="16"/>
      <c r="G64" s="16"/>
      <c r="H64" s="16"/>
      <c r="I64" s="16"/>
      <c r="J64" s="16"/>
      <c r="K64" s="16"/>
    </row>
    <row r="65" customFormat="false" ht="15" hidden="false" customHeight="false" outlineLevel="0" collapsed="false">
      <c r="A65" s="15" t="n">
        <v>45108</v>
      </c>
      <c r="B65" s="16"/>
      <c r="C65" s="16"/>
      <c r="D65" s="16"/>
      <c r="E65" s="16"/>
      <c r="F65" s="16"/>
      <c r="G65" s="16"/>
      <c r="H65" s="16"/>
      <c r="I65" s="16"/>
      <c r="J65" s="16"/>
      <c r="K65" s="16"/>
    </row>
    <row r="66" customFormat="false" ht="15" hidden="false" customHeight="false" outlineLevel="0" collapsed="false">
      <c r="A66" s="15" t="n">
        <v>45200</v>
      </c>
      <c r="B66" s="16"/>
      <c r="C66" s="16"/>
      <c r="D66" s="16"/>
      <c r="E66" s="16"/>
      <c r="F66" s="16"/>
      <c r="G66" s="16"/>
      <c r="H66" s="16"/>
      <c r="I66" s="16"/>
      <c r="J66" s="16"/>
      <c r="K66" s="16"/>
    </row>
    <row r="67" customFormat="false" ht="15" hidden="false" customHeight="false" outlineLevel="0" collapsed="false">
      <c r="A67" s="15" t="n">
        <v>45292</v>
      </c>
      <c r="B67" s="16"/>
      <c r="C67" s="16"/>
      <c r="D67" s="16"/>
      <c r="E67" s="16"/>
      <c r="F67" s="16"/>
      <c r="G67" s="16"/>
      <c r="H67" s="16"/>
      <c r="I67" s="16"/>
      <c r="J67" s="16"/>
      <c r="K67" s="16"/>
    </row>
    <row r="68" customFormat="false" ht="15" hidden="false" customHeight="false" outlineLevel="0" collapsed="false">
      <c r="A68" s="15" t="n">
        <v>45383</v>
      </c>
      <c r="B68" s="16"/>
      <c r="C68" s="16"/>
      <c r="D68" s="16"/>
      <c r="E68" s="16"/>
      <c r="F68" s="16"/>
      <c r="G68" s="16"/>
      <c r="H68" s="16"/>
      <c r="I68" s="16"/>
      <c r="J68" s="16"/>
      <c r="K68" s="16"/>
    </row>
    <row r="69" customFormat="false" ht="15" hidden="false" customHeight="false" outlineLevel="0" collapsed="false">
      <c r="A69" s="15" t="n">
        <v>45474</v>
      </c>
      <c r="B69" s="16"/>
      <c r="C69" s="16"/>
      <c r="D69" s="16"/>
      <c r="E69" s="16"/>
      <c r="F69" s="16"/>
      <c r="G69" s="16"/>
      <c r="H69" s="16"/>
      <c r="I69" s="16"/>
      <c r="J69" s="16"/>
      <c r="K69" s="16"/>
    </row>
    <row r="70" customFormat="false" ht="15" hidden="false" customHeight="false" outlineLevel="0" collapsed="false">
      <c r="A70" s="15" t="n">
        <v>45566</v>
      </c>
      <c r="B70" s="16"/>
      <c r="C70" s="16"/>
      <c r="D70" s="16"/>
      <c r="E70" s="16"/>
      <c r="F70" s="16"/>
      <c r="G70" s="16"/>
      <c r="H70" s="16"/>
      <c r="I70" s="16"/>
      <c r="J70" s="16"/>
      <c r="K70" s="16"/>
    </row>
    <row r="71" customFormat="false" ht="15" hidden="false" customHeight="false" outlineLevel="0" collapsed="false">
      <c r="A71" s="15" t="n">
        <v>45658</v>
      </c>
      <c r="B71" s="16"/>
      <c r="C71" s="16"/>
      <c r="D71" s="16"/>
      <c r="E71" s="16"/>
      <c r="F71" s="16"/>
      <c r="G71" s="16"/>
      <c r="H71" s="16"/>
      <c r="I71" s="16"/>
      <c r="J71" s="16"/>
      <c r="K71" s="16"/>
    </row>
    <row r="72" customFormat="false" ht="15" hidden="false" customHeight="false" outlineLevel="0" collapsed="false">
      <c r="A72" s="15" t="n">
        <v>45748</v>
      </c>
      <c r="B72" s="16"/>
      <c r="C72" s="16"/>
      <c r="D72" s="16"/>
      <c r="E72" s="16"/>
      <c r="F72" s="16"/>
      <c r="G72" s="16"/>
      <c r="H72" s="16"/>
      <c r="I72" s="16"/>
      <c r="J72" s="16"/>
      <c r="K72" s="16"/>
    </row>
    <row r="73" customFormat="false" ht="15" hidden="false" customHeight="false" outlineLevel="0" collapsed="false">
      <c r="A73" s="15" t="n">
        <v>45839</v>
      </c>
      <c r="B73" s="16"/>
      <c r="C73" s="16"/>
      <c r="D73" s="16"/>
      <c r="E73" s="16"/>
      <c r="F73" s="16"/>
      <c r="G73" s="16"/>
      <c r="H73" s="16"/>
      <c r="I73" s="16"/>
      <c r="J73" s="16"/>
      <c r="K73" s="16"/>
    </row>
    <row r="74" customFormat="false" ht="15" hidden="false" customHeight="false" outlineLevel="0" collapsed="false">
      <c r="A74" s="15" t="n">
        <v>45931</v>
      </c>
      <c r="B74" s="16"/>
      <c r="C74" s="16"/>
      <c r="D74" s="16"/>
      <c r="E74" s="16"/>
      <c r="F74" s="16"/>
      <c r="G74" s="16"/>
      <c r="H74" s="16"/>
      <c r="I74" s="16"/>
      <c r="J74" s="16"/>
      <c r="K74" s="16"/>
    </row>
    <row r="75" customFormat="false" ht="15" hidden="false" customHeight="false" outlineLevel="0" collapsed="false">
      <c r="A75" s="15" t="n">
        <v>46023</v>
      </c>
      <c r="B75" s="16"/>
      <c r="C75" s="16"/>
      <c r="D75" s="16"/>
      <c r="E75" s="16"/>
      <c r="F75" s="16"/>
      <c r="G75" s="16"/>
      <c r="H75" s="16"/>
      <c r="I75" s="16"/>
      <c r="J75" s="16"/>
      <c r="K75" s="16"/>
    </row>
    <row r="76" customFormat="false" ht="15" hidden="false" customHeight="false" outlineLevel="0" collapsed="false">
      <c r="A76" s="15" t="n">
        <v>46113</v>
      </c>
      <c r="B76" s="16"/>
      <c r="C76" s="16"/>
      <c r="D76" s="16"/>
      <c r="E76" s="16"/>
      <c r="F76" s="16"/>
      <c r="G76" s="16"/>
      <c r="H76" s="16"/>
      <c r="I76" s="16"/>
      <c r="J76" s="16"/>
      <c r="K76" s="16"/>
    </row>
    <row r="77" customFormat="false" ht="15" hidden="false" customHeight="false" outlineLevel="0" collapsed="false">
      <c r="A77" s="15" t="n">
        <v>46204</v>
      </c>
      <c r="B77" s="16"/>
      <c r="C77" s="16"/>
      <c r="D77" s="16"/>
      <c r="E77" s="16"/>
      <c r="F77" s="16"/>
      <c r="G77" s="16"/>
      <c r="H77" s="16"/>
      <c r="I77" s="16"/>
      <c r="J77" s="16"/>
      <c r="K77" s="16"/>
    </row>
    <row r="78" customFormat="false" ht="15" hidden="false" customHeight="false" outlineLevel="0" collapsed="false">
      <c r="A78" s="15" t="n">
        <v>46296</v>
      </c>
      <c r="B78" s="16"/>
      <c r="C78" s="16"/>
      <c r="D78" s="16"/>
      <c r="E78" s="16"/>
      <c r="F78" s="16"/>
      <c r="G78" s="16"/>
      <c r="H78" s="16"/>
      <c r="I78" s="16"/>
      <c r="J78" s="16"/>
      <c r="K78" s="16"/>
    </row>
    <row r="79" customFormat="false" ht="15" hidden="false" customHeight="false" outlineLevel="0" collapsed="false">
      <c r="A79" s="15" t="n">
        <v>46388</v>
      </c>
      <c r="B79" s="16"/>
      <c r="C79" s="16"/>
      <c r="D79" s="16"/>
      <c r="E79" s="16"/>
      <c r="F79" s="16"/>
      <c r="G79" s="16"/>
      <c r="H79" s="16"/>
      <c r="I79" s="16"/>
      <c r="J79" s="16"/>
      <c r="K79" s="16"/>
    </row>
    <row r="80" customFormat="false" ht="15" hidden="false" customHeight="false" outlineLevel="0" collapsed="false">
      <c r="A80" s="15" t="n">
        <v>46478</v>
      </c>
      <c r="B80" s="16"/>
      <c r="C80" s="16"/>
      <c r="D80" s="16"/>
      <c r="E80" s="16"/>
      <c r="F80" s="16"/>
      <c r="G80" s="16"/>
      <c r="H80" s="16"/>
      <c r="I80" s="16"/>
      <c r="J80" s="16"/>
      <c r="K80" s="16"/>
    </row>
    <row r="81" customFormat="false" ht="15" hidden="false" customHeight="false" outlineLevel="0" collapsed="false">
      <c r="A81" s="15" t="n">
        <v>46569</v>
      </c>
      <c r="B81" s="16"/>
      <c r="C81" s="16"/>
      <c r="D81" s="16"/>
      <c r="E81" s="16"/>
      <c r="F81" s="16"/>
      <c r="G81" s="16"/>
      <c r="H81" s="16"/>
      <c r="I81" s="16"/>
      <c r="J81" s="16"/>
      <c r="K81" s="16"/>
    </row>
    <row r="82" customFormat="false" ht="15" hidden="false" customHeight="false" outlineLevel="0" collapsed="false">
      <c r="A82" s="15" t="n">
        <v>46661</v>
      </c>
      <c r="B82" s="16"/>
      <c r="C82" s="16"/>
      <c r="D82" s="16"/>
      <c r="E82" s="16"/>
      <c r="F82" s="16"/>
      <c r="G82" s="16"/>
      <c r="H82" s="16"/>
      <c r="I82" s="16"/>
      <c r="J82" s="16"/>
      <c r="K82" s="16"/>
    </row>
    <row r="83" customFormat="false" ht="15" hidden="false" customHeight="false" outlineLevel="0" collapsed="false">
      <c r="A83" s="15" t="n">
        <v>46753</v>
      </c>
      <c r="B83" s="16"/>
      <c r="C83" s="16"/>
      <c r="D83" s="16"/>
      <c r="E83" s="16"/>
      <c r="F83" s="16"/>
      <c r="G83" s="16"/>
      <c r="H83" s="16"/>
      <c r="I83" s="16"/>
      <c r="J83" s="16"/>
      <c r="K83" s="16"/>
    </row>
    <row r="84" customFormat="false" ht="15" hidden="false" customHeight="false" outlineLevel="0" collapsed="false">
      <c r="A84" s="15" t="n">
        <v>46844</v>
      </c>
      <c r="B84" s="16"/>
      <c r="C84" s="16"/>
      <c r="D84" s="16"/>
      <c r="E84" s="16"/>
      <c r="F84" s="16"/>
      <c r="G84" s="16"/>
      <c r="H84" s="16"/>
      <c r="I84" s="16"/>
      <c r="J84" s="16"/>
      <c r="K84" s="16"/>
    </row>
    <row r="85" customFormat="false" ht="15" hidden="false" customHeight="false" outlineLevel="0" collapsed="false">
      <c r="A85" s="15" t="n">
        <v>46935</v>
      </c>
      <c r="B85" s="16"/>
      <c r="C85" s="16"/>
      <c r="D85" s="16"/>
      <c r="E85" s="16"/>
      <c r="F85" s="16"/>
      <c r="G85" s="16"/>
      <c r="H85" s="16"/>
      <c r="I85" s="16"/>
      <c r="J85" s="16"/>
      <c r="K85" s="16"/>
    </row>
    <row r="86" customFormat="false" ht="15" hidden="false" customHeight="false" outlineLevel="0" collapsed="false">
      <c r="A86" s="15" t="n">
        <v>47027</v>
      </c>
      <c r="B86" s="16"/>
      <c r="C86" s="16"/>
      <c r="D86" s="16"/>
      <c r="E86" s="16"/>
      <c r="F86" s="16"/>
      <c r="G86" s="16"/>
      <c r="H86" s="16"/>
      <c r="I86" s="16"/>
      <c r="J86" s="16"/>
      <c r="K86" s="16"/>
    </row>
    <row r="87" customFormat="false" ht="15" hidden="false" customHeight="false" outlineLevel="0" collapsed="false">
      <c r="A87" s="15" t="n">
        <v>47119</v>
      </c>
      <c r="B87" s="16"/>
      <c r="C87" s="16"/>
      <c r="D87" s="16"/>
      <c r="E87" s="16"/>
      <c r="F87" s="16"/>
      <c r="G87" s="16"/>
      <c r="H87" s="16"/>
      <c r="I87" s="16"/>
      <c r="J87" s="16"/>
      <c r="K87" s="16"/>
    </row>
    <row r="88" customFormat="false" ht="15" hidden="false" customHeight="false" outlineLevel="0" collapsed="false">
      <c r="A88" s="15" t="n">
        <v>47209</v>
      </c>
      <c r="B88" s="16"/>
      <c r="C88" s="16"/>
      <c r="D88" s="16"/>
      <c r="E88" s="16"/>
      <c r="F88" s="16"/>
      <c r="G88" s="16"/>
      <c r="H88" s="16"/>
      <c r="I88" s="16"/>
      <c r="J88" s="16"/>
      <c r="K88" s="16"/>
    </row>
    <row r="89" customFormat="false" ht="15" hidden="false" customHeight="false" outlineLevel="0" collapsed="false">
      <c r="A89" s="15" t="n">
        <v>47300</v>
      </c>
      <c r="B89" s="16"/>
      <c r="C89" s="16"/>
      <c r="D89" s="16"/>
      <c r="E89" s="16"/>
      <c r="F89" s="16"/>
      <c r="G89" s="16"/>
      <c r="H89" s="16"/>
      <c r="I89" s="16"/>
      <c r="J89" s="16"/>
      <c r="K89" s="16"/>
    </row>
    <row r="90" customFormat="false" ht="15" hidden="false" customHeight="false" outlineLevel="0" collapsed="false">
      <c r="A90" s="15" t="n">
        <v>47392</v>
      </c>
      <c r="B90" s="16"/>
      <c r="C90" s="16"/>
      <c r="D90" s="16"/>
      <c r="E90" s="16"/>
      <c r="F90" s="16"/>
      <c r="G90" s="16"/>
      <c r="H90" s="16"/>
      <c r="I90" s="16"/>
      <c r="J90" s="16"/>
      <c r="K90" s="16"/>
    </row>
    <row r="91" customFormat="false" ht="15" hidden="false" customHeight="false" outlineLevel="0" collapsed="false">
      <c r="A91" s="15" t="n">
        <v>47484</v>
      </c>
      <c r="B91" s="16"/>
      <c r="C91" s="16"/>
      <c r="D91" s="16"/>
      <c r="E91" s="16"/>
      <c r="F91" s="16"/>
      <c r="G91" s="16"/>
      <c r="H91" s="16"/>
      <c r="I91" s="16"/>
      <c r="J91" s="16"/>
      <c r="K91" s="16"/>
    </row>
    <row r="92" customFormat="false" ht="15" hidden="false" customHeight="false" outlineLevel="0" collapsed="false">
      <c r="A92" s="15" t="n">
        <v>47574</v>
      </c>
      <c r="B92" s="16"/>
      <c r="C92" s="16"/>
      <c r="D92" s="16"/>
      <c r="E92" s="16"/>
      <c r="F92" s="16"/>
      <c r="G92" s="16"/>
      <c r="H92" s="16"/>
      <c r="I92" s="16"/>
      <c r="J92" s="16"/>
      <c r="K92" s="16"/>
    </row>
    <row r="93" customFormat="false" ht="15" hidden="false" customHeight="false" outlineLevel="0" collapsed="false">
      <c r="A93" s="15" t="n">
        <v>47665</v>
      </c>
      <c r="B93" s="16"/>
      <c r="C93" s="16"/>
      <c r="D93" s="16"/>
      <c r="E93" s="16"/>
      <c r="F93" s="16"/>
      <c r="G93" s="16"/>
      <c r="H93" s="16"/>
      <c r="I93" s="16"/>
      <c r="J93" s="16"/>
      <c r="K93" s="16"/>
    </row>
    <row r="94" customFormat="false" ht="15" hidden="false" customHeight="false" outlineLevel="0" collapsed="false">
      <c r="A94" s="15" t="n">
        <v>47757</v>
      </c>
      <c r="B94" s="16"/>
      <c r="C94" s="16"/>
      <c r="D94" s="16"/>
      <c r="E94" s="16"/>
      <c r="F94" s="16"/>
      <c r="G94" s="16"/>
      <c r="H94" s="16"/>
      <c r="I94" s="16"/>
      <c r="J94" s="16"/>
      <c r="K94" s="1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11" min="2" style="0" width="16"/>
  </cols>
  <sheetData>
    <row r="1" customFormat="false" ht="22.05" hidden="false" customHeight="false" outlineLevel="0" collapsed="false">
      <c r="A1" s="1" t="s">
        <v>99</v>
      </c>
      <c r="B1" s="13" t="s">
        <v>94</v>
      </c>
    </row>
    <row r="2" customFormat="false" ht="15" hidden="false" customHeight="false" outlineLevel="0" collapsed="false">
      <c r="A2" s="14" t="s">
        <v>95</v>
      </c>
      <c r="B2" s="14" t="s">
        <v>100</v>
      </c>
      <c r="C2" s="14" t="s">
        <v>60</v>
      </c>
      <c r="D2" s="14" t="s">
        <v>64</v>
      </c>
      <c r="E2" s="14" t="s">
        <v>101</v>
      </c>
      <c r="F2" s="14" t="s">
        <v>69</v>
      </c>
      <c r="G2" s="14" t="s">
        <v>74</v>
      </c>
      <c r="H2" s="14" t="s">
        <v>82</v>
      </c>
      <c r="I2" s="14" t="s">
        <v>102</v>
      </c>
      <c r="J2" s="14" t="s">
        <v>103</v>
      </c>
    </row>
    <row r="3" customFormat="false" ht="15" hidden="false" customHeight="false" outlineLevel="0" collapsed="false">
      <c r="A3" s="15" t="n">
        <v>38353</v>
      </c>
      <c r="B3" s="16"/>
      <c r="C3" s="16"/>
      <c r="D3" s="16"/>
      <c r="E3" s="16"/>
      <c r="F3" s="16"/>
      <c r="G3" s="16"/>
      <c r="H3" s="16"/>
      <c r="I3" s="16"/>
      <c r="J3" s="16"/>
      <c r="K3" s="16"/>
    </row>
    <row r="4" customFormat="false" ht="15" hidden="false" customHeight="false" outlineLevel="0" collapsed="false">
      <c r="A4" s="15" t="n">
        <v>38384</v>
      </c>
      <c r="B4" s="16"/>
      <c r="C4" s="16"/>
      <c r="D4" s="16"/>
      <c r="E4" s="16"/>
      <c r="F4" s="16"/>
      <c r="G4" s="16"/>
      <c r="H4" s="16"/>
      <c r="I4" s="16"/>
      <c r="J4" s="16"/>
      <c r="K4" s="16"/>
    </row>
    <row r="5" customFormat="false" ht="15" hidden="false" customHeight="false" outlineLevel="0" collapsed="false">
      <c r="A5" s="15" t="n">
        <v>38412</v>
      </c>
      <c r="B5" s="16"/>
      <c r="C5" s="16"/>
      <c r="D5" s="16"/>
      <c r="E5" s="16"/>
      <c r="F5" s="16"/>
      <c r="G5" s="16"/>
      <c r="H5" s="16"/>
      <c r="I5" s="16"/>
      <c r="J5" s="16"/>
      <c r="K5" s="16"/>
    </row>
    <row r="6" customFormat="false" ht="15" hidden="false" customHeight="false" outlineLevel="0" collapsed="false">
      <c r="A6" s="15" t="n">
        <v>38443</v>
      </c>
      <c r="B6" s="16"/>
      <c r="C6" s="16"/>
      <c r="D6" s="16"/>
      <c r="E6" s="16"/>
      <c r="F6" s="16"/>
      <c r="G6" s="16"/>
      <c r="H6" s="16"/>
      <c r="I6" s="16"/>
      <c r="J6" s="16"/>
      <c r="K6" s="16"/>
    </row>
    <row r="7" customFormat="false" ht="15" hidden="false" customHeight="false" outlineLevel="0" collapsed="false">
      <c r="A7" s="15" t="n">
        <v>38473</v>
      </c>
      <c r="B7" s="16"/>
      <c r="C7" s="16"/>
      <c r="D7" s="16"/>
      <c r="E7" s="16"/>
      <c r="F7" s="16"/>
      <c r="G7" s="16"/>
      <c r="H7" s="16"/>
      <c r="I7" s="16"/>
      <c r="J7" s="16"/>
      <c r="K7" s="16"/>
    </row>
    <row r="8" customFormat="false" ht="15" hidden="false" customHeight="false" outlineLevel="0" collapsed="false">
      <c r="A8" s="15" t="n">
        <v>38504</v>
      </c>
      <c r="B8" s="16"/>
      <c r="C8" s="16"/>
      <c r="D8" s="16"/>
      <c r="E8" s="16"/>
      <c r="F8" s="16"/>
      <c r="G8" s="16"/>
      <c r="H8" s="16"/>
      <c r="I8" s="16"/>
      <c r="J8" s="16"/>
      <c r="K8" s="16"/>
    </row>
    <row r="9" customFormat="false" ht="15" hidden="false" customHeight="false" outlineLevel="0" collapsed="false">
      <c r="A9" s="15" t="n">
        <v>38534</v>
      </c>
      <c r="B9" s="16"/>
      <c r="C9" s="16"/>
      <c r="D9" s="16"/>
      <c r="E9" s="16"/>
      <c r="F9" s="16"/>
      <c r="G9" s="16"/>
      <c r="H9" s="16"/>
      <c r="I9" s="16"/>
      <c r="J9" s="16"/>
      <c r="K9" s="16"/>
    </row>
    <row r="10" customFormat="false" ht="15" hidden="false" customHeight="false" outlineLevel="0" collapsed="false">
      <c r="A10" s="15" t="n">
        <v>38565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</row>
    <row r="11" customFormat="false" ht="15" hidden="false" customHeight="false" outlineLevel="0" collapsed="false">
      <c r="A11" s="15" t="n">
        <v>38596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</row>
    <row r="12" customFormat="false" ht="15" hidden="false" customHeight="false" outlineLevel="0" collapsed="false">
      <c r="A12" s="15" t="n">
        <v>38626</v>
      </c>
      <c r="B12" s="16"/>
      <c r="C12" s="16"/>
      <c r="D12" s="16"/>
      <c r="E12" s="16"/>
      <c r="F12" s="16"/>
      <c r="G12" s="16"/>
      <c r="H12" s="16"/>
      <c r="I12" s="16"/>
      <c r="J12" s="16"/>
      <c r="K12" s="16"/>
    </row>
    <row r="13" customFormat="false" ht="15" hidden="false" customHeight="false" outlineLevel="0" collapsed="false">
      <c r="A13" s="15" t="n">
        <v>38657</v>
      </c>
      <c r="B13" s="16"/>
      <c r="C13" s="16"/>
      <c r="D13" s="16"/>
      <c r="E13" s="16"/>
      <c r="F13" s="16"/>
      <c r="G13" s="16"/>
      <c r="H13" s="16"/>
      <c r="I13" s="16"/>
      <c r="J13" s="16"/>
      <c r="K13" s="16"/>
    </row>
    <row r="14" customFormat="false" ht="15" hidden="false" customHeight="false" outlineLevel="0" collapsed="false">
      <c r="A14" s="15" t="n">
        <v>38687</v>
      </c>
      <c r="B14" s="16"/>
      <c r="C14" s="16"/>
      <c r="D14" s="16"/>
      <c r="E14" s="16"/>
      <c r="F14" s="16"/>
      <c r="G14" s="16"/>
      <c r="H14" s="16"/>
      <c r="I14" s="16"/>
      <c r="J14" s="16"/>
      <c r="K14" s="16"/>
    </row>
    <row r="15" customFormat="false" ht="15" hidden="false" customHeight="false" outlineLevel="0" collapsed="false">
      <c r="A15" s="15" t="n">
        <v>38718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</row>
    <row r="16" customFormat="false" ht="15" hidden="false" customHeight="false" outlineLevel="0" collapsed="false">
      <c r="A16" s="15" t="n">
        <v>38749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</row>
    <row r="17" customFormat="false" ht="15" hidden="false" customHeight="false" outlineLevel="0" collapsed="false">
      <c r="A17" s="15" t="n">
        <v>38777</v>
      </c>
      <c r="B17" s="16"/>
      <c r="C17" s="16"/>
      <c r="D17" s="16"/>
      <c r="E17" s="16"/>
      <c r="F17" s="16"/>
      <c r="G17" s="16"/>
      <c r="H17" s="16"/>
      <c r="I17" s="16"/>
      <c r="J17" s="16"/>
      <c r="K17" s="16"/>
    </row>
    <row r="18" customFormat="false" ht="15" hidden="false" customHeight="false" outlineLevel="0" collapsed="false">
      <c r="A18" s="15" t="n">
        <v>38808</v>
      </c>
      <c r="B18" s="16"/>
      <c r="C18" s="16"/>
      <c r="D18" s="16"/>
      <c r="E18" s="16"/>
      <c r="F18" s="16"/>
      <c r="G18" s="16"/>
      <c r="H18" s="16"/>
      <c r="I18" s="16"/>
      <c r="J18" s="16"/>
      <c r="K18" s="16"/>
    </row>
    <row r="19" customFormat="false" ht="15" hidden="false" customHeight="false" outlineLevel="0" collapsed="false">
      <c r="A19" s="15" t="n">
        <v>38838</v>
      </c>
      <c r="B19" s="16"/>
      <c r="C19" s="16"/>
      <c r="D19" s="16"/>
      <c r="E19" s="16"/>
      <c r="F19" s="16"/>
      <c r="G19" s="16"/>
      <c r="H19" s="16"/>
      <c r="I19" s="16"/>
      <c r="J19" s="16"/>
      <c r="K19" s="16"/>
    </row>
    <row r="20" customFormat="false" ht="15" hidden="false" customHeight="false" outlineLevel="0" collapsed="false">
      <c r="A20" s="15" t="n">
        <v>38869</v>
      </c>
      <c r="B20" s="16"/>
      <c r="C20" s="16"/>
      <c r="D20" s="16"/>
      <c r="E20" s="16"/>
      <c r="F20" s="16"/>
      <c r="G20" s="16"/>
      <c r="H20" s="16"/>
      <c r="I20" s="16"/>
      <c r="J20" s="16"/>
      <c r="K20" s="16"/>
    </row>
    <row r="21" customFormat="false" ht="15" hidden="false" customHeight="false" outlineLevel="0" collapsed="false">
      <c r="A21" s="15" t="n">
        <v>38899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</row>
    <row r="22" customFormat="false" ht="15" hidden="false" customHeight="false" outlineLevel="0" collapsed="false">
      <c r="A22" s="15" t="n">
        <v>38930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</row>
    <row r="23" customFormat="false" ht="15" hidden="false" customHeight="false" outlineLevel="0" collapsed="false">
      <c r="A23" s="15" t="n">
        <v>38961</v>
      </c>
      <c r="B23" s="16"/>
      <c r="C23" s="16"/>
      <c r="D23" s="16"/>
      <c r="E23" s="16"/>
      <c r="F23" s="16"/>
      <c r="G23" s="16"/>
      <c r="H23" s="16"/>
      <c r="I23" s="16"/>
      <c r="J23" s="16"/>
      <c r="K23" s="16"/>
    </row>
    <row r="24" customFormat="false" ht="15" hidden="false" customHeight="false" outlineLevel="0" collapsed="false">
      <c r="A24" s="15" t="n">
        <v>38991</v>
      </c>
      <c r="B24" s="16"/>
      <c r="C24" s="16"/>
      <c r="D24" s="16"/>
      <c r="E24" s="16"/>
      <c r="F24" s="16"/>
      <c r="G24" s="16"/>
      <c r="H24" s="16"/>
      <c r="I24" s="16"/>
      <c r="J24" s="16"/>
      <c r="K24" s="16"/>
    </row>
    <row r="25" customFormat="false" ht="15" hidden="false" customHeight="false" outlineLevel="0" collapsed="false">
      <c r="A25" s="15" t="n">
        <v>39022</v>
      </c>
      <c r="B25" s="16"/>
      <c r="C25" s="16"/>
      <c r="D25" s="16"/>
      <c r="E25" s="16"/>
      <c r="F25" s="16"/>
      <c r="G25" s="16"/>
      <c r="H25" s="16"/>
      <c r="I25" s="16"/>
      <c r="J25" s="16"/>
      <c r="K25" s="16"/>
    </row>
    <row r="26" customFormat="false" ht="15" hidden="false" customHeight="false" outlineLevel="0" collapsed="false">
      <c r="A26" s="15" t="n">
        <v>39052</v>
      </c>
      <c r="B26" s="16"/>
      <c r="C26" s="16"/>
      <c r="D26" s="16"/>
      <c r="E26" s="16"/>
      <c r="F26" s="16"/>
      <c r="G26" s="16"/>
      <c r="H26" s="16"/>
      <c r="I26" s="16"/>
      <c r="J26" s="16"/>
      <c r="K26" s="16"/>
    </row>
    <row r="27" customFormat="false" ht="15" hidden="false" customHeight="false" outlineLevel="0" collapsed="false">
      <c r="A27" s="15" t="n">
        <v>39083</v>
      </c>
      <c r="B27" s="16"/>
      <c r="C27" s="16"/>
      <c r="D27" s="16"/>
      <c r="E27" s="16"/>
      <c r="F27" s="16"/>
      <c r="G27" s="16"/>
      <c r="H27" s="16"/>
      <c r="I27" s="16"/>
      <c r="J27" s="16"/>
      <c r="K27" s="16"/>
    </row>
    <row r="28" customFormat="false" ht="15" hidden="false" customHeight="false" outlineLevel="0" collapsed="false">
      <c r="A28" s="15" t="n">
        <v>39114</v>
      </c>
      <c r="B28" s="16"/>
      <c r="C28" s="16"/>
      <c r="D28" s="16"/>
      <c r="E28" s="16"/>
      <c r="F28" s="16"/>
      <c r="G28" s="16"/>
      <c r="H28" s="16"/>
      <c r="I28" s="16"/>
      <c r="J28" s="16"/>
      <c r="K28" s="16"/>
    </row>
    <row r="29" customFormat="false" ht="15" hidden="false" customHeight="false" outlineLevel="0" collapsed="false">
      <c r="A29" s="15" t="n">
        <v>39142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</row>
    <row r="30" customFormat="false" ht="15" hidden="false" customHeight="false" outlineLevel="0" collapsed="false">
      <c r="A30" s="15" t="n">
        <v>39173</v>
      </c>
      <c r="B30" s="16"/>
      <c r="C30" s="16"/>
      <c r="D30" s="16"/>
      <c r="E30" s="16"/>
      <c r="F30" s="16"/>
      <c r="G30" s="16"/>
      <c r="H30" s="16"/>
      <c r="I30" s="16"/>
      <c r="J30" s="16"/>
      <c r="K30" s="16"/>
    </row>
    <row r="31" customFormat="false" ht="15" hidden="false" customHeight="false" outlineLevel="0" collapsed="false">
      <c r="A31" s="15" t="n">
        <v>39203</v>
      </c>
      <c r="B31" s="16"/>
      <c r="C31" s="16"/>
      <c r="D31" s="16"/>
      <c r="E31" s="16"/>
      <c r="F31" s="16"/>
      <c r="G31" s="16"/>
      <c r="H31" s="16"/>
      <c r="I31" s="16"/>
      <c r="J31" s="16"/>
      <c r="K31" s="16"/>
    </row>
    <row r="32" customFormat="false" ht="15" hidden="false" customHeight="false" outlineLevel="0" collapsed="false">
      <c r="A32" s="15" t="n">
        <v>39234</v>
      </c>
      <c r="B32" s="16"/>
      <c r="C32" s="16"/>
      <c r="D32" s="16"/>
      <c r="E32" s="16"/>
      <c r="F32" s="16"/>
      <c r="G32" s="16"/>
      <c r="H32" s="16"/>
      <c r="I32" s="16"/>
      <c r="J32" s="16"/>
      <c r="K32" s="16"/>
    </row>
    <row r="33" customFormat="false" ht="15" hidden="false" customHeight="false" outlineLevel="0" collapsed="false">
      <c r="A33" s="15" t="n">
        <v>39264</v>
      </c>
      <c r="B33" s="16"/>
      <c r="C33" s="16"/>
      <c r="D33" s="16"/>
      <c r="E33" s="16"/>
      <c r="F33" s="16"/>
      <c r="G33" s="16"/>
      <c r="H33" s="16"/>
      <c r="I33" s="16"/>
      <c r="J33" s="16"/>
      <c r="K33" s="16"/>
    </row>
    <row r="34" customFormat="false" ht="15" hidden="false" customHeight="false" outlineLevel="0" collapsed="false">
      <c r="A34" s="15" t="n">
        <v>39295</v>
      </c>
      <c r="B34" s="16"/>
      <c r="C34" s="16"/>
      <c r="D34" s="16"/>
      <c r="E34" s="16"/>
      <c r="F34" s="16"/>
      <c r="G34" s="16"/>
      <c r="H34" s="16"/>
      <c r="I34" s="16"/>
      <c r="J34" s="16"/>
      <c r="K34" s="16"/>
    </row>
    <row r="35" customFormat="false" ht="15" hidden="false" customHeight="false" outlineLevel="0" collapsed="false">
      <c r="A35" s="15" t="n">
        <v>39326</v>
      </c>
      <c r="B35" s="16"/>
      <c r="C35" s="16"/>
      <c r="D35" s="16"/>
      <c r="E35" s="16"/>
      <c r="F35" s="16"/>
      <c r="G35" s="16"/>
      <c r="H35" s="16"/>
      <c r="I35" s="16"/>
      <c r="J35" s="16"/>
      <c r="K35" s="16"/>
    </row>
    <row r="36" customFormat="false" ht="15" hidden="false" customHeight="false" outlineLevel="0" collapsed="false">
      <c r="A36" s="15" t="n">
        <v>39356</v>
      </c>
      <c r="B36" s="16"/>
      <c r="C36" s="16"/>
      <c r="D36" s="16"/>
      <c r="E36" s="16"/>
      <c r="F36" s="16"/>
      <c r="G36" s="16"/>
      <c r="H36" s="16"/>
      <c r="I36" s="16"/>
      <c r="J36" s="16"/>
      <c r="K36" s="16"/>
    </row>
    <row r="37" customFormat="false" ht="15" hidden="false" customHeight="false" outlineLevel="0" collapsed="false">
      <c r="A37" s="15" t="n">
        <v>39387</v>
      </c>
      <c r="B37" s="16"/>
      <c r="C37" s="16"/>
      <c r="D37" s="16"/>
      <c r="E37" s="16"/>
      <c r="F37" s="16"/>
      <c r="G37" s="16"/>
      <c r="H37" s="16"/>
      <c r="I37" s="16"/>
      <c r="J37" s="16"/>
      <c r="K37" s="16"/>
    </row>
    <row r="38" customFormat="false" ht="15" hidden="false" customHeight="false" outlineLevel="0" collapsed="false">
      <c r="A38" s="15" t="n">
        <v>39417</v>
      </c>
      <c r="B38" s="16"/>
      <c r="C38" s="16"/>
      <c r="D38" s="16"/>
      <c r="E38" s="16"/>
      <c r="F38" s="16"/>
      <c r="G38" s="16"/>
      <c r="H38" s="16"/>
      <c r="I38" s="16"/>
      <c r="J38" s="16"/>
      <c r="K38" s="16"/>
    </row>
    <row r="39" customFormat="false" ht="15" hidden="false" customHeight="false" outlineLevel="0" collapsed="false">
      <c r="A39" s="15" t="n">
        <v>39448</v>
      </c>
      <c r="B39" s="16"/>
      <c r="C39" s="16"/>
      <c r="D39" s="16"/>
      <c r="E39" s="16"/>
      <c r="F39" s="16"/>
      <c r="G39" s="16"/>
      <c r="H39" s="16"/>
      <c r="I39" s="16"/>
      <c r="J39" s="16"/>
      <c r="K39" s="16"/>
    </row>
    <row r="40" customFormat="false" ht="15" hidden="false" customHeight="false" outlineLevel="0" collapsed="false">
      <c r="A40" s="15" t="n">
        <v>39479</v>
      </c>
      <c r="B40" s="16"/>
      <c r="C40" s="16"/>
      <c r="D40" s="16"/>
      <c r="E40" s="16"/>
      <c r="F40" s="16"/>
      <c r="G40" s="16"/>
      <c r="H40" s="16"/>
      <c r="I40" s="16"/>
      <c r="J40" s="16"/>
      <c r="K40" s="16"/>
    </row>
    <row r="41" customFormat="false" ht="15" hidden="false" customHeight="false" outlineLevel="0" collapsed="false">
      <c r="A41" s="15" t="n">
        <v>39508</v>
      </c>
      <c r="B41" s="16"/>
      <c r="C41" s="16"/>
      <c r="D41" s="16"/>
      <c r="E41" s="16"/>
      <c r="F41" s="16"/>
      <c r="G41" s="16"/>
      <c r="H41" s="16"/>
      <c r="I41" s="16"/>
      <c r="J41" s="16"/>
      <c r="K41" s="16"/>
    </row>
    <row r="42" customFormat="false" ht="15" hidden="false" customHeight="false" outlineLevel="0" collapsed="false">
      <c r="A42" s="15" t="n">
        <v>39539</v>
      </c>
      <c r="B42" s="16"/>
      <c r="C42" s="16"/>
      <c r="D42" s="16"/>
      <c r="E42" s="16"/>
      <c r="F42" s="16"/>
      <c r="G42" s="16"/>
      <c r="H42" s="16"/>
      <c r="I42" s="16"/>
      <c r="J42" s="16"/>
      <c r="K42" s="16"/>
    </row>
    <row r="43" customFormat="false" ht="15" hidden="false" customHeight="false" outlineLevel="0" collapsed="false">
      <c r="A43" s="15" t="n">
        <v>39569</v>
      </c>
      <c r="B43" s="16"/>
      <c r="C43" s="16"/>
      <c r="D43" s="16"/>
      <c r="E43" s="16"/>
      <c r="F43" s="16"/>
      <c r="G43" s="16"/>
      <c r="H43" s="16"/>
      <c r="I43" s="16"/>
      <c r="J43" s="16"/>
      <c r="K43" s="16"/>
    </row>
    <row r="44" customFormat="false" ht="15" hidden="false" customHeight="false" outlineLevel="0" collapsed="false">
      <c r="A44" s="15" t="n">
        <v>39600</v>
      </c>
      <c r="B44" s="16"/>
      <c r="C44" s="16"/>
      <c r="D44" s="16"/>
      <c r="E44" s="16"/>
      <c r="F44" s="16"/>
      <c r="G44" s="16"/>
      <c r="H44" s="16"/>
      <c r="I44" s="16"/>
      <c r="J44" s="16"/>
      <c r="K44" s="16"/>
    </row>
    <row r="45" customFormat="false" ht="15" hidden="false" customHeight="false" outlineLevel="0" collapsed="false">
      <c r="A45" s="15" t="n">
        <v>39630</v>
      </c>
      <c r="B45" s="16"/>
      <c r="C45" s="16"/>
      <c r="D45" s="16"/>
      <c r="E45" s="16"/>
      <c r="F45" s="16"/>
      <c r="G45" s="16"/>
      <c r="H45" s="16"/>
      <c r="I45" s="16"/>
      <c r="J45" s="16"/>
      <c r="K45" s="16"/>
    </row>
    <row r="46" customFormat="false" ht="15" hidden="false" customHeight="false" outlineLevel="0" collapsed="false">
      <c r="A46" s="15" t="n">
        <v>39661</v>
      </c>
      <c r="B46" s="16"/>
      <c r="C46" s="16"/>
      <c r="D46" s="16"/>
      <c r="E46" s="16"/>
      <c r="F46" s="16"/>
      <c r="G46" s="16"/>
      <c r="H46" s="16"/>
      <c r="I46" s="16"/>
      <c r="J46" s="16"/>
      <c r="K46" s="16"/>
    </row>
    <row r="47" customFormat="false" ht="15" hidden="false" customHeight="false" outlineLevel="0" collapsed="false">
      <c r="A47" s="15" t="n">
        <v>39692</v>
      </c>
      <c r="B47" s="16"/>
      <c r="C47" s="16"/>
      <c r="D47" s="16"/>
      <c r="E47" s="16"/>
      <c r="F47" s="16"/>
      <c r="G47" s="16"/>
      <c r="H47" s="16"/>
      <c r="I47" s="16"/>
      <c r="J47" s="16"/>
      <c r="K47" s="16"/>
    </row>
    <row r="48" customFormat="false" ht="15" hidden="false" customHeight="false" outlineLevel="0" collapsed="false">
      <c r="A48" s="15" t="n">
        <v>39722</v>
      </c>
      <c r="B48" s="16"/>
      <c r="C48" s="16"/>
      <c r="D48" s="16"/>
      <c r="E48" s="16"/>
      <c r="F48" s="16"/>
      <c r="G48" s="16"/>
      <c r="H48" s="16"/>
      <c r="I48" s="16"/>
      <c r="J48" s="16"/>
      <c r="K48" s="16"/>
    </row>
    <row r="49" customFormat="false" ht="15" hidden="false" customHeight="false" outlineLevel="0" collapsed="false">
      <c r="A49" s="15" t="n">
        <v>39753</v>
      </c>
      <c r="B49" s="16"/>
      <c r="C49" s="16"/>
      <c r="D49" s="16"/>
      <c r="E49" s="16"/>
      <c r="F49" s="16"/>
      <c r="G49" s="16"/>
      <c r="H49" s="16"/>
      <c r="I49" s="16"/>
      <c r="J49" s="16"/>
      <c r="K49" s="16"/>
    </row>
    <row r="50" customFormat="false" ht="15" hidden="false" customHeight="false" outlineLevel="0" collapsed="false">
      <c r="A50" s="15" t="n">
        <v>39783</v>
      </c>
      <c r="B50" s="16"/>
      <c r="C50" s="16"/>
      <c r="D50" s="16"/>
      <c r="E50" s="16"/>
      <c r="F50" s="16"/>
      <c r="G50" s="16"/>
      <c r="H50" s="16"/>
      <c r="I50" s="16"/>
      <c r="J50" s="16"/>
      <c r="K50" s="16"/>
    </row>
    <row r="51" customFormat="false" ht="15" hidden="false" customHeight="false" outlineLevel="0" collapsed="false">
      <c r="A51" s="15" t="n">
        <v>39814</v>
      </c>
      <c r="B51" s="16"/>
      <c r="C51" s="16"/>
      <c r="D51" s="16"/>
      <c r="E51" s="16"/>
      <c r="F51" s="16"/>
      <c r="G51" s="16"/>
      <c r="H51" s="16"/>
      <c r="I51" s="16"/>
      <c r="J51" s="16"/>
      <c r="K51" s="16"/>
    </row>
    <row r="52" customFormat="false" ht="15" hidden="false" customHeight="false" outlineLevel="0" collapsed="false">
      <c r="A52" s="15" t="n">
        <v>39845</v>
      </c>
      <c r="B52" s="16"/>
      <c r="C52" s="16"/>
      <c r="D52" s="16"/>
      <c r="E52" s="16"/>
      <c r="F52" s="16"/>
      <c r="G52" s="16"/>
      <c r="H52" s="16"/>
      <c r="I52" s="16"/>
      <c r="J52" s="16"/>
      <c r="K52" s="16"/>
    </row>
    <row r="53" customFormat="false" ht="15" hidden="false" customHeight="false" outlineLevel="0" collapsed="false">
      <c r="A53" s="15" t="n">
        <v>39873</v>
      </c>
      <c r="B53" s="16"/>
      <c r="C53" s="16"/>
      <c r="D53" s="16"/>
      <c r="E53" s="16"/>
      <c r="F53" s="16"/>
      <c r="G53" s="16"/>
      <c r="H53" s="16"/>
      <c r="I53" s="16"/>
      <c r="J53" s="16"/>
      <c r="K53" s="16"/>
    </row>
    <row r="54" customFormat="false" ht="15" hidden="false" customHeight="false" outlineLevel="0" collapsed="false">
      <c r="A54" s="15" t="n">
        <v>39904</v>
      </c>
      <c r="B54" s="16"/>
      <c r="C54" s="16"/>
      <c r="D54" s="16"/>
      <c r="E54" s="16"/>
      <c r="F54" s="16"/>
      <c r="G54" s="16"/>
      <c r="H54" s="16"/>
      <c r="I54" s="16"/>
      <c r="J54" s="16"/>
      <c r="K54" s="16"/>
    </row>
    <row r="55" customFormat="false" ht="15" hidden="false" customHeight="false" outlineLevel="0" collapsed="false">
      <c r="A55" s="15" t="n">
        <v>39934</v>
      </c>
      <c r="B55" s="16"/>
      <c r="C55" s="16"/>
      <c r="D55" s="16"/>
      <c r="E55" s="16"/>
      <c r="F55" s="16"/>
      <c r="G55" s="16"/>
      <c r="H55" s="16"/>
      <c r="I55" s="16"/>
      <c r="J55" s="16"/>
      <c r="K55" s="16"/>
    </row>
    <row r="56" customFormat="false" ht="15" hidden="false" customHeight="false" outlineLevel="0" collapsed="false">
      <c r="A56" s="15" t="n">
        <v>39965</v>
      </c>
      <c r="B56" s="16"/>
      <c r="C56" s="16"/>
      <c r="D56" s="16"/>
      <c r="E56" s="16"/>
      <c r="F56" s="16"/>
      <c r="G56" s="16"/>
      <c r="H56" s="16"/>
      <c r="I56" s="16"/>
      <c r="J56" s="16"/>
      <c r="K56" s="16"/>
    </row>
    <row r="57" customFormat="false" ht="15" hidden="false" customHeight="false" outlineLevel="0" collapsed="false">
      <c r="A57" s="15" t="n">
        <v>39995</v>
      </c>
      <c r="B57" s="16"/>
      <c r="C57" s="16"/>
      <c r="D57" s="16"/>
      <c r="E57" s="16"/>
      <c r="F57" s="16"/>
      <c r="G57" s="16"/>
      <c r="H57" s="16"/>
      <c r="I57" s="16"/>
      <c r="J57" s="16"/>
      <c r="K57" s="16"/>
    </row>
    <row r="58" customFormat="false" ht="15" hidden="false" customHeight="false" outlineLevel="0" collapsed="false">
      <c r="A58" s="15" t="n">
        <v>40026</v>
      </c>
      <c r="B58" s="16"/>
      <c r="C58" s="16"/>
      <c r="D58" s="16"/>
      <c r="E58" s="16"/>
      <c r="F58" s="16"/>
      <c r="G58" s="16"/>
      <c r="H58" s="16"/>
      <c r="I58" s="16"/>
      <c r="J58" s="16"/>
      <c r="K58" s="16"/>
    </row>
    <row r="59" customFormat="false" ht="15" hidden="false" customHeight="false" outlineLevel="0" collapsed="false">
      <c r="A59" s="15" t="n">
        <v>40057</v>
      </c>
      <c r="B59" s="16"/>
      <c r="C59" s="16"/>
      <c r="D59" s="16"/>
      <c r="E59" s="16"/>
      <c r="F59" s="16"/>
      <c r="G59" s="16"/>
      <c r="H59" s="16"/>
      <c r="I59" s="16"/>
      <c r="J59" s="16"/>
      <c r="K59" s="16"/>
    </row>
    <row r="60" customFormat="false" ht="15" hidden="false" customHeight="false" outlineLevel="0" collapsed="false">
      <c r="A60" s="15" t="n">
        <v>40087</v>
      </c>
      <c r="B60" s="16"/>
      <c r="C60" s="16"/>
      <c r="D60" s="16"/>
      <c r="E60" s="16"/>
      <c r="F60" s="16"/>
      <c r="G60" s="16"/>
      <c r="H60" s="16"/>
      <c r="I60" s="16"/>
      <c r="J60" s="16"/>
      <c r="K60" s="16"/>
    </row>
    <row r="61" customFormat="false" ht="15" hidden="false" customHeight="false" outlineLevel="0" collapsed="false">
      <c r="A61" s="15" t="n">
        <v>40118</v>
      </c>
      <c r="B61" s="16"/>
      <c r="C61" s="16"/>
      <c r="D61" s="16"/>
      <c r="E61" s="16"/>
      <c r="F61" s="16"/>
      <c r="G61" s="16"/>
      <c r="H61" s="16"/>
      <c r="I61" s="16"/>
      <c r="J61" s="16"/>
      <c r="K61" s="16"/>
    </row>
    <row r="62" customFormat="false" ht="15" hidden="false" customHeight="false" outlineLevel="0" collapsed="false">
      <c r="A62" s="15" t="n">
        <v>40148</v>
      </c>
      <c r="B62" s="16"/>
      <c r="C62" s="16"/>
      <c r="D62" s="16"/>
      <c r="E62" s="16"/>
      <c r="F62" s="16"/>
      <c r="G62" s="16"/>
      <c r="H62" s="16"/>
      <c r="I62" s="16"/>
      <c r="J62" s="16"/>
      <c r="K62" s="16"/>
    </row>
    <row r="63" customFormat="false" ht="15" hidden="false" customHeight="false" outlineLevel="0" collapsed="false">
      <c r="A63" s="15" t="n">
        <v>40179</v>
      </c>
      <c r="B63" s="16"/>
      <c r="C63" s="16"/>
      <c r="D63" s="16"/>
      <c r="E63" s="16"/>
      <c r="F63" s="16"/>
      <c r="G63" s="16"/>
      <c r="H63" s="16"/>
      <c r="I63" s="16"/>
      <c r="J63" s="16"/>
      <c r="K63" s="16"/>
    </row>
    <row r="64" customFormat="false" ht="15" hidden="false" customHeight="false" outlineLevel="0" collapsed="false">
      <c r="A64" s="15" t="n">
        <v>40210</v>
      </c>
      <c r="B64" s="16"/>
      <c r="C64" s="16"/>
      <c r="D64" s="16"/>
      <c r="E64" s="16"/>
      <c r="F64" s="16"/>
      <c r="G64" s="16"/>
      <c r="H64" s="16"/>
      <c r="I64" s="16"/>
      <c r="J64" s="16"/>
      <c r="K64" s="16"/>
    </row>
    <row r="65" customFormat="false" ht="15" hidden="false" customHeight="false" outlineLevel="0" collapsed="false">
      <c r="A65" s="15" t="n">
        <v>40238</v>
      </c>
      <c r="B65" s="16"/>
      <c r="C65" s="16"/>
      <c r="D65" s="16"/>
      <c r="E65" s="16"/>
      <c r="F65" s="16"/>
      <c r="G65" s="16"/>
      <c r="H65" s="16"/>
      <c r="I65" s="16"/>
      <c r="J65" s="16"/>
      <c r="K65" s="16"/>
    </row>
    <row r="66" customFormat="false" ht="15" hidden="false" customHeight="false" outlineLevel="0" collapsed="false">
      <c r="A66" s="15" t="n">
        <v>40269</v>
      </c>
      <c r="B66" s="16"/>
      <c r="C66" s="16"/>
      <c r="D66" s="16"/>
      <c r="E66" s="16"/>
      <c r="F66" s="16"/>
      <c r="G66" s="16"/>
      <c r="H66" s="16"/>
      <c r="I66" s="16"/>
      <c r="J66" s="16"/>
      <c r="K66" s="16"/>
    </row>
    <row r="67" customFormat="false" ht="15" hidden="false" customHeight="false" outlineLevel="0" collapsed="false">
      <c r="A67" s="15" t="n">
        <v>40299</v>
      </c>
      <c r="B67" s="16"/>
      <c r="C67" s="16"/>
      <c r="D67" s="16"/>
      <c r="E67" s="16"/>
      <c r="F67" s="16"/>
      <c r="G67" s="16"/>
      <c r="H67" s="16"/>
      <c r="I67" s="16"/>
      <c r="J67" s="16"/>
      <c r="K67" s="16"/>
    </row>
    <row r="68" customFormat="false" ht="15" hidden="false" customHeight="false" outlineLevel="0" collapsed="false">
      <c r="A68" s="15" t="n">
        <v>40330</v>
      </c>
      <c r="B68" s="16"/>
      <c r="C68" s="16"/>
      <c r="D68" s="16"/>
      <c r="E68" s="16"/>
      <c r="F68" s="16"/>
      <c r="G68" s="16"/>
      <c r="H68" s="16"/>
      <c r="I68" s="16"/>
      <c r="J68" s="16"/>
      <c r="K68" s="16"/>
    </row>
    <row r="69" customFormat="false" ht="15" hidden="false" customHeight="false" outlineLevel="0" collapsed="false">
      <c r="A69" s="15" t="n">
        <v>40360</v>
      </c>
      <c r="B69" s="16"/>
      <c r="C69" s="16"/>
      <c r="D69" s="16"/>
      <c r="E69" s="16"/>
      <c r="F69" s="16"/>
      <c r="G69" s="16"/>
      <c r="H69" s="16"/>
      <c r="I69" s="16"/>
      <c r="J69" s="16"/>
      <c r="K69" s="16"/>
    </row>
    <row r="70" customFormat="false" ht="15" hidden="false" customHeight="false" outlineLevel="0" collapsed="false">
      <c r="A70" s="15" t="n">
        <v>40391</v>
      </c>
      <c r="B70" s="16"/>
      <c r="C70" s="16"/>
      <c r="D70" s="16"/>
      <c r="E70" s="16"/>
      <c r="F70" s="16"/>
      <c r="G70" s="16"/>
      <c r="H70" s="16"/>
      <c r="I70" s="16"/>
      <c r="J70" s="16"/>
      <c r="K70" s="16"/>
    </row>
    <row r="71" customFormat="false" ht="15" hidden="false" customHeight="false" outlineLevel="0" collapsed="false">
      <c r="A71" s="15" t="n">
        <v>40422</v>
      </c>
      <c r="B71" s="16"/>
      <c r="C71" s="16"/>
      <c r="D71" s="16"/>
      <c r="E71" s="16"/>
      <c r="F71" s="16"/>
      <c r="G71" s="16"/>
      <c r="H71" s="16"/>
      <c r="I71" s="16"/>
      <c r="J71" s="16"/>
      <c r="K71" s="16"/>
    </row>
    <row r="72" customFormat="false" ht="15" hidden="false" customHeight="false" outlineLevel="0" collapsed="false">
      <c r="A72" s="15" t="n">
        <v>40452</v>
      </c>
      <c r="B72" s="16"/>
      <c r="C72" s="16"/>
      <c r="D72" s="16"/>
      <c r="E72" s="16"/>
      <c r="F72" s="16"/>
      <c r="G72" s="16"/>
      <c r="H72" s="16"/>
      <c r="I72" s="16"/>
      <c r="J72" s="16"/>
      <c r="K72" s="16"/>
    </row>
    <row r="73" customFormat="false" ht="15" hidden="false" customHeight="false" outlineLevel="0" collapsed="false">
      <c r="A73" s="15" t="n">
        <v>40483</v>
      </c>
      <c r="B73" s="16"/>
      <c r="C73" s="16"/>
      <c r="D73" s="16"/>
      <c r="E73" s="16"/>
      <c r="F73" s="16"/>
      <c r="G73" s="16"/>
      <c r="H73" s="16"/>
      <c r="I73" s="16"/>
      <c r="J73" s="16"/>
      <c r="K73" s="16"/>
    </row>
    <row r="74" customFormat="false" ht="15" hidden="false" customHeight="false" outlineLevel="0" collapsed="false">
      <c r="A74" s="15" t="n">
        <v>40513</v>
      </c>
      <c r="B74" s="16"/>
      <c r="C74" s="16"/>
      <c r="D74" s="16"/>
      <c r="E74" s="16"/>
      <c r="F74" s="16"/>
      <c r="G74" s="16"/>
      <c r="H74" s="16"/>
      <c r="I74" s="16"/>
      <c r="J74" s="16"/>
      <c r="K74" s="16"/>
    </row>
    <row r="75" customFormat="false" ht="15" hidden="false" customHeight="false" outlineLevel="0" collapsed="false">
      <c r="A75" s="15" t="n">
        <v>40544</v>
      </c>
      <c r="B75" s="16"/>
      <c r="C75" s="16"/>
      <c r="D75" s="16"/>
      <c r="E75" s="16"/>
      <c r="F75" s="16"/>
      <c r="G75" s="16"/>
      <c r="H75" s="16"/>
      <c r="I75" s="16"/>
      <c r="J75" s="16"/>
      <c r="K75" s="16"/>
    </row>
    <row r="76" customFormat="false" ht="15" hidden="false" customHeight="false" outlineLevel="0" collapsed="false">
      <c r="A76" s="15" t="n">
        <v>40575</v>
      </c>
      <c r="B76" s="16"/>
      <c r="C76" s="16"/>
      <c r="D76" s="16"/>
      <c r="E76" s="16"/>
      <c r="F76" s="16"/>
      <c r="G76" s="16"/>
      <c r="H76" s="16"/>
      <c r="I76" s="16"/>
      <c r="J76" s="16"/>
      <c r="K76" s="16"/>
    </row>
    <row r="77" customFormat="false" ht="15" hidden="false" customHeight="false" outlineLevel="0" collapsed="false">
      <c r="A77" s="15" t="n">
        <v>40603</v>
      </c>
      <c r="B77" s="16"/>
      <c r="C77" s="16"/>
      <c r="D77" s="16"/>
      <c r="E77" s="16"/>
      <c r="F77" s="16"/>
      <c r="G77" s="16"/>
      <c r="H77" s="16"/>
      <c r="I77" s="16"/>
      <c r="J77" s="16"/>
      <c r="K77" s="16"/>
    </row>
    <row r="78" customFormat="false" ht="15" hidden="false" customHeight="false" outlineLevel="0" collapsed="false">
      <c r="A78" s="15" t="n">
        <v>40634</v>
      </c>
      <c r="B78" s="16"/>
      <c r="C78" s="16"/>
      <c r="D78" s="16"/>
      <c r="E78" s="16"/>
      <c r="F78" s="16"/>
      <c r="G78" s="16"/>
      <c r="H78" s="16"/>
      <c r="I78" s="16"/>
      <c r="J78" s="16"/>
      <c r="K78" s="16"/>
    </row>
    <row r="79" customFormat="false" ht="15" hidden="false" customHeight="false" outlineLevel="0" collapsed="false">
      <c r="A79" s="15" t="n">
        <v>40664</v>
      </c>
      <c r="B79" s="16"/>
      <c r="C79" s="16"/>
      <c r="D79" s="16"/>
      <c r="E79" s="16"/>
      <c r="F79" s="16"/>
      <c r="G79" s="16"/>
      <c r="H79" s="16"/>
      <c r="I79" s="16"/>
      <c r="J79" s="16"/>
      <c r="K79" s="16"/>
    </row>
    <row r="80" customFormat="false" ht="15" hidden="false" customHeight="false" outlineLevel="0" collapsed="false">
      <c r="A80" s="15" t="n">
        <v>40695</v>
      </c>
      <c r="B80" s="16"/>
      <c r="C80" s="16"/>
      <c r="D80" s="16"/>
      <c r="E80" s="16"/>
      <c r="F80" s="16"/>
      <c r="G80" s="16"/>
      <c r="H80" s="16"/>
      <c r="I80" s="16"/>
      <c r="J80" s="16"/>
      <c r="K80" s="16"/>
    </row>
    <row r="81" customFormat="false" ht="15" hidden="false" customHeight="false" outlineLevel="0" collapsed="false">
      <c r="A81" s="15" t="n">
        <v>40725</v>
      </c>
      <c r="B81" s="16"/>
      <c r="C81" s="16"/>
      <c r="D81" s="16"/>
      <c r="E81" s="16"/>
      <c r="F81" s="16"/>
      <c r="G81" s="16"/>
      <c r="H81" s="16"/>
      <c r="I81" s="16"/>
      <c r="J81" s="16"/>
      <c r="K81" s="16"/>
    </row>
    <row r="82" customFormat="false" ht="15" hidden="false" customHeight="false" outlineLevel="0" collapsed="false">
      <c r="A82" s="15" t="n">
        <v>40756</v>
      </c>
      <c r="B82" s="16"/>
      <c r="C82" s="16"/>
      <c r="D82" s="16"/>
      <c r="E82" s="16"/>
      <c r="F82" s="16"/>
      <c r="G82" s="16"/>
      <c r="H82" s="16"/>
      <c r="I82" s="16"/>
      <c r="J82" s="16"/>
      <c r="K82" s="16"/>
    </row>
    <row r="83" customFormat="false" ht="15" hidden="false" customHeight="false" outlineLevel="0" collapsed="false">
      <c r="A83" s="15" t="n">
        <v>40787</v>
      </c>
      <c r="B83" s="16"/>
      <c r="C83" s="16"/>
      <c r="D83" s="16"/>
      <c r="E83" s="16"/>
      <c r="F83" s="16"/>
      <c r="G83" s="16"/>
      <c r="H83" s="16"/>
      <c r="I83" s="16"/>
      <c r="J83" s="16"/>
      <c r="K83" s="16"/>
    </row>
    <row r="84" customFormat="false" ht="15" hidden="false" customHeight="false" outlineLevel="0" collapsed="false">
      <c r="A84" s="15" t="n">
        <v>40817</v>
      </c>
      <c r="B84" s="16"/>
      <c r="C84" s="16"/>
      <c r="D84" s="16"/>
      <c r="E84" s="16"/>
      <c r="F84" s="16"/>
      <c r="G84" s="16"/>
      <c r="H84" s="16"/>
      <c r="I84" s="16"/>
      <c r="J84" s="16"/>
      <c r="K84" s="16"/>
    </row>
    <row r="85" customFormat="false" ht="15" hidden="false" customHeight="false" outlineLevel="0" collapsed="false">
      <c r="A85" s="15" t="n">
        <v>40848</v>
      </c>
      <c r="B85" s="16"/>
      <c r="C85" s="16"/>
      <c r="D85" s="16"/>
      <c r="E85" s="16"/>
      <c r="F85" s="16"/>
      <c r="G85" s="16"/>
      <c r="H85" s="16"/>
      <c r="I85" s="16"/>
      <c r="J85" s="16"/>
      <c r="K85" s="16"/>
    </row>
    <row r="86" customFormat="false" ht="15" hidden="false" customHeight="false" outlineLevel="0" collapsed="false">
      <c r="A86" s="15" t="n">
        <v>40878</v>
      </c>
      <c r="B86" s="16"/>
      <c r="C86" s="16"/>
      <c r="D86" s="16"/>
      <c r="E86" s="16"/>
      <c r="F86" s="16"/>
      <c r="G86" s="16"/>
      <c r="H86" s="16"/>
      <c r="I86" s="16"/>
      <c r="J86" s="16"/>
      <c r="K86" s="16"/>
    </row>
    <row r="87" customFormat="false" ht="15" hidden="false" customHeight="false" outlineLevel="0" collapsed="false">
      <c r="A87" s="15" t="n">
        <v>40909</v>
      </c>
      <c r="B87" s="16"/>
      <c r="C87" s="16"/>
      <c r="D87" s="16"/>
      <c r="E87" s="16"/>
      <c r="F87" s="16"/>
      <c r="G87" s="16"/>
      <c r="H87" s="16"/>
      <c r="I87" s="16"/>
      <c r="J87" s="16"/>
      <c r="K87" s="16"/>
    </row>
    <row r="88" customFormat="false" ht="15" hidden="false" customHeight="false" outlineLevel="0" collapsed="false">
      <c r="A88" s="15" t="n">
        <v>40940</v>
      </c>
      <c r="B88" s="16"/>
      <c r="C88" s="16"/>
      <c r="D88" s="16"/>
      <c r="E88" s="16"/>
      <c r="F88" s="16"/>
      <c r="G88" s="16"/>
      <c r="H88" s="16"/>
      <c r="I88" s="16"/>
      <c r="J88" s="16"/>
      <c r="K88" s="16"/>
    </row>
    <row r="89" customFormat="false" ht="15" hidden="false" customHeight="false" outlineLevel="0" collapsed="false">
      <c r="A89" s="15" t="n">
        <v>40969</v>
      </c>
      <c r="B89" s="16"/>
      <c r="C89" s="16"/>
      <c r="D89" s="16"/>
      <c r="E89" s="16"/>
      <c r="F89" s="16"/>
      <c r="G89" s="16"/>
      <c r="H89" s="16"/>
      <c r="I89" s="16"/>
      <c r="J89" s="16"/>
      <c r="K89" s="16"/>
    </row>
    <row r="90" customFormat="false" ht="15" hidden="false" customHeight="false" outlineLevel="0" collapsed="false">
      <c r="A90" s="15" t="n">
        <v>41000</v>
      </c>
      <c r="B90" s="16"/>
      <c r="C90" s="16"/>
      <c r="D90" s="16"/>
      <c r="E90" s="16"/>
      <c r="F90" s="16"/>
      <c r="G90" s="16"/>
      <c r="H90" s="16"/>
      <c r="I90" s="16"/>
      <c r="J90" s="16"/>
      <c r="K90" s="16"/>
    </row>
    <row r="91" customFormat="false" ht="15" hidden="false" customHeight="false" outlineLevel="0" collapsed="false">
      <c r="A91" s="15" t="n">
        <v>41030</v>
      </c>
      <c r="B91" s="16"/>
      <c r="C91" s="16"/>
      <c r="D91" s="16"/>
      <c r="E91" s="16"/>
      <c r="F91" s="16"/>
      <c r="G91" s="16"/>
      <c r="H91" s="16"/>
      <c r="I91" s="16"/>
      <c r="J91" s="16"/>
      <c r="K91" s="16"/>
    </row>
    <row r="92" customFormat="false" ht="15" hidden="false" customHeight="false" outlineLevel="0" collapsed="false">
      <c r="A92" s="15" t="n">
        <v>41061</v>
      </c>
      <c r="B92" s="16"/>
      <c r="C92" s="16"/>
      <c r="D92" s="16"/>
      <c r="E92" s="16"/>
      <c r="F92" s="16"/>
      <c r="G92" s="16"/>
      <c r="H92" s="16"/>
      <c r="I92" s="16"/>
      <c r="J92" s="16"/>
      <c r="K92" s="16"/>
    </row>
    <row r="93" customFormat="false" ht="15" hidden="false" customHeight="false" outlineLevel="0" collapsed="false">
      <c r="A93" s="15" t="n">
        <v>41091</v>
      </c>
      <c r="B93" s="16"/>
      <c r="C93" s="16"/>
      <c r="D93" s="16"/>
      <c r="E93" s="16"/>
      <c r="F93" s="16"/>
      <c r="G93" s="16"/>
      <c r="H93" s="16"/>
      <c r="I93" s="16"/>
      <c r="J93" s="16"/>
      <c r="K93" s="16"/>
    </row>
    <row r="94" customFormat="false" ht="15" hidden="false" customHeight="false" outlineLevel="0" collapsed="false">
      <c r="A94" s="15" t="n">
        <v>41122</v>
      </c>
      <c r="B94" s="16"/>
      <c r="C94" s="16"/>
      <c r="D94" s="16"/>
      <c r="E94" s="16"/>
      <c r="F94" s="16"/>
      <c r="G94" s="16"/>
      <c r="H94" s="16"/>
      <c r="I94" s="16"/>
      <c r="J94" s="16"/>
      <c r="K94" s="16"/>
    </row>
    <row r="95" customFormat="false" ht="15" hidden="false" customHeight="false" outlineLevel="0" collapsed="false">
      <c r="A95" s="15" t="n">
        <v>41153</v>
      </c>
      <c r="B95" s="16"/>
      <c r="C95" s="16"/>
      <c r="D95" s="16"/>
      <c r="E95" s="16"/>
      <c r="F95" s="16"/>
      <c r="G95" s="16"/>
      <c r="H95" s="16"/>
      <c r="I95" s="16"/>
      <c r="J95" s="16"/>
      <c r="K95" s="16"/>
    </row>
    <row r="96" customFormat="false" ht="15" hidden="false" customHeight="false" outlineLevel="0" collapsed="false">
      <c r="A96" s="15" t="n">
        <v>41183</v>
      </c>
      <c r="B96" s="16"/>
      <c r="C96" s="16"/>
      <c r="D96" s="16"/>
      <c r="E96" s="16"/>
      <c r="F96" s="16"/>
      <c r="G96" s="16"/>
      <c r="H96" s="16"/>
      <c r="I96" s="16"/>
      <c r="J96" s="16"/>
      <c r="K96" s="16"/>
    </row>
    <row r="97" customFormat="false" ht="15" hidden="false" customHeight="false" outlineLevel="0" collapsed="false">
      <c r="A97" s="15" t="n">
        <v>41214</v>
      </c>
      <c r="B97" s="16"/>
      <c r="C97" s="16"/>
      <c r="D97" s="16"/>
      <c r="E97" s="16"/>
      <c r="F97" s="16"/>
      <c r="G97" s="16"/>
      <c r="H97" s="16"/>
      <c r="I97" s="16"/>
      <c r="J97" s="16"/>
      <c r="K97" s="16"/>
    </row>
    <row r="98" customFormat="false" ht="15" hidden="false" customHeight="false" outlineLevel="0" collapsed="false">
      <c r="A98" s="15" t="n">
        <v>41244</v>
      </c>
      <c r="B98" s="16"/>
      <c r="C98" s="16"/>
      <c r="D98" s="16"/>
      <c r="E98" s="16"/>
      <c r="F98" s="16"/>
      <c r="G98" s="16"/>
      <c r="H98" s="16"/>
      <c r="I98" s="16"/>
      <c r="J98" s="16"/>
      <c r="K98" s="16"/>
    </row>
    <row r="99" customFormat="false" ht="15" hidden="false" customHeight="false" outlineLevel="0" collapsed="false">
      <c r="A99" s="15" t="n">
        <v>41275</v>
      </c>
      <c r="B99" s="16"/>
      <c r="C99" s="16"/>
      <c r="D99" s="16"/>
      <c r="E99" s="16"/>
      <c r="F99" s="16"/>
      <c r="G99" s="16"/>
      <c r="H99" s="16"/>
      <c r="I99" s="16"/>
      <c r="J99" s="16"/>
      <c r="K99" s="16"/>
    </row>
    <row r="100" customFormat="false" ht="15" hidden="false" customHeight="false" outlineLevel="0" collapsed="false">
      <c r="A100" s="15" t="n">
        <v>41306</v>
      </c>
      <c r="B100" s="16"/>
      <c r="C100" s="16"/>
      <c r="D100" s="16"/>
      <c r="E100" s="16"/>
      <c r="F100" s="16"/>
      <c r="G100" s="16"/>
      <c r="H100" s="16"/>
      <c r="I100" s="16"/>
      <c r="J100" s="16"/>
      <c r="K100" s="16"/>
    </row>
    <row r="101" customFormat="false" ht="15" hidden="false" customHeight="false" outlineLevel="0" collapsed="false">
      <c r="A101" s="15" t="n">
        <v>41334</v>
      </c>
      <c r="B101" s="16"/>
      <c r="C101" s="16"/>
      <c r="D101" s="16"/>
      <c r="E101" s="16"/>
      <c r="F101" s="16"/>
      <c r="G101" s="16"/>
      <c r="H101" s="16"/>
      <c r="I101" s="16"/>
      <c r="J101" s="16"/>
      <c r="K101" s="16"/>
    </row>
    <row r="102" customFormat="false" ht="15" hidden="false" customHeight="false" outlineLevel="0" collapsed="false">
      <c r="A102" s="15" t="n">
        <v>41365</v>
      </c>
      <c r="B102" s="16"/>
      <c r="C102" s="16"/>
      <c r="D102" s="16"/>
      <c r="E102" s="16"/>
      <c r="F102" s="16"/>
      <c r="G102" s="16"/>
      <c r="H102" s="16"/>
      <c r="I102" s="16"/>
      <c r="J102" s="16"/>
      <c r="K102" s="16"/>
    </row>
    <row r="103" customFormat="false" ht="15" hidden="false" customHeight="false" outlineLevel="0" collapsed="false">
      <c r="A103" s="15" t="n">
        <v>41395</v>
      </c>
      <c r="B103" s="16"/>
      <c r="C103" s="16"/>
      <c r="D103" s="16"/>
      <c r="E103" s="16"/>
      <c r="F103" s="16"/>
      <c r="G103" s="16"/>
      <c r="H103" s="16"/>
      <c r="I103" s="16"/>
      <c r="J103" s="16"/>
      <c r="K103" s="16"/>
    </row>
    <row r="104" customFormat="false" ht="15" hidden="false" customHeight="false" outlineLevel="0" collapsed="false">
      <c r="A104" s="15" t="n">
        <v>41426</v>
      </c>
      <c r="B104" s="16"/>
      <c r="C104" s="16"/>
      <c r="D104" s="16"/>
      <c r="E104" s="16"/>
      <c r="F104" s="16"/>
      <c r="G104" s="16"/>
      <c r="H104" s="16"/>
      <c r="I104" s="16"/>
      <c r="J104" s="16"/>
      <c r="K104" s="16"/>
    </row>
    <row r="105" customFormat="false" ht="15" hidden="false" customHeight="false" outlineLevel="0" collapsed="false">
      <c r="A105" s="15" t="n">
        <v>41456</v>
      </c>
      <c r="B105" s="16"/>
      <c r="C105" s="16"/>
      <c r="D105" s="16"/>
      <c r="E105" s="16"/>
      <c r="F105" s="16"/>
      <c r="G105" s="16"/>
      <c r="H105" s="16"/>
      <c r="I105" s="16"/>
      <c r="J105" s="16"/>
      <c r="K105" s="16"/>
    </row>
    <row r="106" customFormat="false" ht="15" hidden="false" customHeight="false" outlineLevel="0" collapsed="false">
      <c r="A106" s="15" t="n">
        <v>41487</v>
      </c>
      <c r="B106" s="16"/>
      <c r="C106" s="16"/>
      <c r="D106" s="16"/>
      <c r="E106" s="16"/>
      <c r="F106" s="16"/>
      <c r="G106" s="16"/>
      <c r="H106" s="16"/>
      <c r="I106" s="16"/>
      <c r="J106" s="16"/>
      <c r="K106" s="16"/>
    </row>
    <row r="107" customFormat="false" ht="15" hidden="false" customHeight="false" outlineLevel="0" collapsed="false">
      <c r="A107" s="15" t="n">
        <v>41518</v>
      </c>
      <c r="B107" s="16"/>
      <c r="C107" s="16"/>
      <c r="D107" s="16"/>
      <c r="E107" s="16"/>
      <c r="F107" s="16"/>
      <c r="G107" s="16"/>
      <c r="H107" s="16"/>
      <c r="I107" s="16"/>
      <c r="J107" s="16"/>
      <c r="K107" s="16"/>
    </row>
    <row r="108" customFormat="false" ht="15" hidden="false" customHeight="false" outlineLevel="0" collapsed="false">
      <c r="A108" s="15" t="n">
        <v>41548</v>
      </c>
      <c r="B108" s="16"/>
      <c r="C108" s="16"/>
      <c r="D108" s="16"/>
      <c r="E108" s="16"/>
      <c r="F108" s="16"/>
      <c r="G108" s="16"/>
      <c r="H108" s="16"/>
      <c r="I108" s="16"/>
      <c r="J108" s="16"/>
      <c r="K108" s="16"/>
    </row>
    <row r="109" customFormat="false" ht="15" hidden="false" customHeight="false" outlineLevel="0" collapsed="false">
      <c r="A109" s="15" t="n">
        <v>41579</v>
      </c>
      <c r="B109" s="16"/>
      <c r="C109" s="16"/>
      <c r="D109" s="16"/>
      <c r="E109" s="16"/>
      <c r="F109" s="16"/>
      <c r="G109" s="16"/>
      <c r="H109" s="16"/>
      <c r="I109" s="16"/>
      <c r="J109" s="16"/>
      <c r="K109" s="16"/>
    </row>
    <row r="110" customFormat="false" ht="15" hidden="false" customHeight="false" outlineLevel="0" collapsed="false">
      <c r="A110" s="15" t="n">
        <v>41609</v>
      </c>
      <c r="B110" s="16"/>
      <c r="C110" s="16"/>
      <c r="D110" s="16"/>
      <c r="E110" s="16"/>
      <c r="F110" s="16"/>
      <c r="G110" s="16"/>
      <c r="H110" s="16"/>
      <c r="I110" s="16"/>
      <c r="J110" s="16"/>
      <c r="K110" s="16"/>
    </row>
    <row r="111" customFormat="false" ht="15" hidden="false" customHeight="false" outlineLevel="0" collapsed="false">
      <c r="A111" s="15" t="n">
        <v>41640</v>
      </c>
      <c r="B111" s="16"/>
      <c r="C111" s="16"/>
      <c r="D111" s="16"/>
      <c r="E111" s="16"/>
      <c r="F111" s="16"/>
      <c r="G111" s="16"/>
      <c r="H111" s="16"/>
      <c r="I111" s="16"/>
      <c r="J111" s="16"/>
      <c r="K111" s="16"/>
    </row>
    <row r="112" customFormat="false" ht="15" hidden="false" customHeight="false" outlineLevel="0" collapsed="false">
      <c r="A112" s="15" t="n">
        <v>41671</v>
      </c>
      <c r="B112" s="16"/>
      <c r="C112" s="16"/>
      <c r="D112" s="16"/>
      <c r="E112" s="16"/>
      <c r="F112" s="16"/>
      <c r="G112" s="16"/>
      <c r="H112" s="16"/>
      <c r="I112" s="16"/>
      <c r="J112" s="16"/>
      <c r="K112" s="16"/>
    </row>
    <row r="113" customFormat="false" ht="15" hidden="false" customHeight="false" outlineLevel="0" collapsed="false">
      <c r="A113" s="15" t="n">
        <v>41699</v>
      </c>
      <c r="B113" s="16"/>
      <c r="C113" s="16"/>
      <c r="D113" s="16"/>
      <c r="E113" s="16"/>
      <c r="F113" s="16"/>
      <c r="G113" s="16"/>
      <c r="H113" s="16"/>
      <c r="I113" s="16"/>
      <c r="J113" s="16"/>
      <c r="K113" s="16"/>
    </row>
    <row r="114" customFormat="false" ht="15" hidden="false" customHeight="false" outlineLevel="0" collapsed="false">
      <c r="A114" s="15" t="n">
        <v>41730</v>
      </c>
      <c r="B114" s="16"/>
      <c r="C114" s="16"/>
      <c r="D114" s="16"/>
      <c r="E114" s="16"/>
      <c r="F114" s="16"/>
      <c r="G114" s="16"/>
      <c r="H114" s="16"/>
      <c r="I114" s="16"/>
      <c r="J114" s="16"/>
      <c r="K114" s="16"/>
    </row>
    <row r="115" customFormat="false" ht="15" hidden="false" customHeight="false" outlineLevel="0" collapsed="false">
      <c r="A115" s="15" t="n">
        <v>41760</v>
      </c>
      <c r="B115" s="16"/>
      <c r="C115" s="16"/>
      <c r="D115" s="16"/>
      <c r="E115" s="16"/>
      <c r="F115" s="16"/>
      <c r="G115" s="16"/>
      <c r="H115" s="16"/>
      <c r="I115" s="16"/>
      <c r="J115" s="16"/>
      <c r="K115" s="16"/>
    </row>
    <row r="116" customFormat="false" ht="15" hidden="false" customHeight="false" outlineLevel="0" collapsed="false">
      <c r="A116" s="15" t="n">
        <v>41791</v>
      </c>
      <c r="B116" s="16"/>
      <c r="C116" s="16"/>
      <c r="D116" s="16"/>
      <c r="E116" s="16"/>
      <c r="F116" s="16"/>
      <c r="G116" s="16"/>
      <c r="H116" s="16"/>
      <c r="I116" s="16"/>
      <c r="J116" s="16"/>
      <c r="K116" s="16"/>
    </row>
    <row r="117" customFormat="false" ht="15" hidden="false" customHeight="false" outlineLevel="0" collapsed="false">
      <c r="A117" s="15" t="n">
        <v>41821</v>
      </c>
      <c r="B117" s="16"/>
      <c r="C117" s="16"/>
      <c r="D117" s="16"/>
      <c r="E117" s="16"/>
      <c r="F117" s="16"/>
      <c r="G117" s="16"/>
      <c r="H117" s="16"/>
      <c r="I117" s="16"/>
      <c r="J117" s="16"/>
      <c r="K117" s="16"/>
    </row>
    <row r="118" customFormat="false" ht="15" hidden="false" customHeight="false" outlineLevel="0" collapsed="false">
      <c r="A118" s="15" t="n">
        <v>41852</v>
      </c>
      <c r="B118" s="16"/>
      <c r="C118" s="16"/>
      <c r="D118" s="16"/>
      <c r="E118" s="16"/>
      <c r="F118" s="16"/>
      <c r="G118" s="16"/>
      <c r="H118" s="16"/>
      <c r="I118" s="16"/>
      <c r="J118" s="16"/>
      <c r="K118" s="16"/>
    </row>
    <row r="119" customFormat="false" ht="15" hidden="false" customHeight="false" outlineLevel="0" collapsed="false">
      <c r="A119" s="15" t="n">
        <v>41883</v>
      </c>
      <c r="B119" s="16"/>
      <c r="C119" s="16"/>
      <c r="D119" s="16"/>
      <c r="E119" s="16"/>
      <c r="F119" s="16"/>
      <c r="G119" s="16"/>
      <c r="H119" s="16"/>
      <c r="I119" s="16"/>
      <c r="J119" s="16"/>
      <c r="K119" s="16"/>
    </row>
    <row r="120" customFormat="false" ht="15" hidden="false" customHeight="false" outlineLevel="0" collapsed="false">
      <c r="A120" s="15" t="n">
        <v>41913</v>
      </c>
      <c r="B120" s="16"/>
      <c r="C120" s="16"/>
      <c r="D120" s="16"/>
      <c r="E120" s="16"/>
      <c r="F120" s="16"/>
      <c r="G120" s="16"/>
      <c r="H120" s="16"/>
      <c r="I120" s="16"/>
      <c r="J120" s="16"/>
      <c r="K120" s="16"/>
    </row>
    <row r="121" customFormat="false" ht="15" hidden="false" customHeight="false" outlineLevel="0" collapsed="false">
      <c r="A121" s="15" t="n">
        <v>41944</v>
      </c>
      <c r="B121" s="16"/>
      <c r="C121" s="16"/>
      <c r="D121" s="16"/>
      <c r="E121" s="16"/>
      <c r="F121" s="16"/>
      <c r="G121" s="16"/>
      <c r="H121" s="16"/>
      <c r="I121" s="16"/>
      <c r="J121" s="16"/>
      <c r="K121" s="16"/>
    </row>
    <row r="122" customFormat="false" ht="15" hidden="false" customHeight="false" outlineLevel="0" collapsed="false">
      <c r="A122" s="15" t="n">
        <v>41974</v>
      </c>
      <c r="B122" s="16"/>
      <c r="C122" s="16"/>
      <c r="D122" s="16"/>
      <c r="E122" s="16"/>
      <c r="F122" s="16"/>
      <c r="G122" s="16"/>
      <c r="H122" s="16"/>
      <c r="I122" s="16"/>
      <c r="J122" s="16"/>
      <c r="K122" s="16"/>
    </row>
    <row r="123" customFormat="false" ht="15" hidden="false" customHeight="false" outlineLevel="0" collapsed="false">
      <c r="A123" s="15" t="n">
        <v>42005</v>
      </c>
      <c r="B123" s="16"/>
      <c r="C123" s="16"/>
      <c r="D123" s="16"/>
      <c r="E123" s="16"/>
      <c r="F123" s="16"/>
      <c r="G123" s="16"/>
      <c r="H123" s="16"/>
      <c r="I123" s="16"/>
      <c r="J123" s="16"/>
      <c r="K123" s="16"/>
    </row>
    <row r="124" customFormat="false" ht="15" hidden="false" customHeight="false" outlineLevel="0" collapsed="false">
      <c r="A124" s="15" t="n">
        <v>42036</v>
      </c>
      <c r="B124" s="16"/>
      <c r="C124" s="16"/>
      <c r="D124" s="16"/>
      <c r="E124" s="16"/>
      <c r="F124" s="16"/>
      <c r="G124" s="16"/>
      <c r="H124" s="16"/>
      <c r="I124" s="16"/>
      <c r="J124" s="16"/>
      <c r="K124" s="16"/>
    </row>
    <row r="125" customFormat="false" ht="15" hidden="false" customHeight="false" outlineLevel="0" collapsed="false">
      <c r="A125" s="15" t="n">
        <v>42064</v>
      </c>
      <c r="B125" s="16"/>
      <c r="C125" s="16"/>
      <c r="D125" s="16"/>
      <c r="E125" s="16"/>
      <c r="F125" s="16"/>
      <c r="G125" s="16"/>
      <c r="H125" s="16"/>
      <c r="I125" s="16"/>
      <c r="J125" s="16"/>
      <c r="K125" s="16"/>
    </row>
    <row r="126" customFormat="false" ht="15" hidden="false" customHeight="false" outlineLevel="0" collapsed="false">
      <c r="A126" s="15" t="n">
        <v>42095</v>
      </c>
      <c r="B126" s="16"/>
      <c r="C126" s="16"/>
      <c r="D126" s="16"/>
      <c r="E126" s="16"/>
      <c r="F126" s="16"/>
      <c r="G126" s="16"/>
      <c r="H126" s="16"/>
      <c r="I126" s="16"/>
      <c r="J126" s="16"/>
      <c r="K126" s="16"/>
    </row>
    <row r="127" customFormat="false" ht="15" hidden="false" customHeight="false" outlineLevel="0" collapsed="false">
      <c r="A127" s="15" t="n">
        <v>42125</v>
      </c>
      <c r="B127" s="16"/>
      <c r="C127" s="16"/>
      <c r="D127" s="16"/>
      <c r="E127" s="16"/>
      <c r="F127" s="16"/>
      <c r="G127" s="16"/>
      <c r="H127" s="16"/>
      <c r="I127" s="16"/>
      <c r="J127" s="16"/>
      <c r="K127" s="16"/>
    </row>
    <row r="128" customFormat="false" ht="15" hidden="false" customHeight="false" outlineLevel="0" collapsed="false">
      <c r="A128" s="15" t="n">
        <v>42156</v>
      </c>
      <c r="B128" s="16"/>
      <c r="C128" s="16"/>
      <c r="D128" s="16"/>
      <c r="E128" s="16"/>
      <c r="F128" s="16"/>
      <c r="G128" s="16"/>
      <c r="H128" s="16"/>
      <c r="I128" s="16"/>
      <c r="J128" s="16"/>
      <c r="K128" s="16"/>
    </row>
    <row r="129" customFormat="false" ht="15" hidden="false" customHeight="false" outlineLevel="0" collapsed="false">
      <c r="A129" s="15" t="n">
        <v>42186</v>
      </c>
      <c r="B129" s="16"/>
      <c r="C129" s="16"/>
      <c r="D129" s="16"/>
      <c r="E129" s="16"/>
      <c r="F129" s="16"/>
      <c r="G129" s="16"/>
      <c r="H129" s="16"/>
      <c r="I129" s="16"/>
      <c r="J129" s="16"/>
      <c r="K129" s="16"/>
    </row>
    <row r="130" customFormat="false" ht="15" hidden="false" customHeight="false" outlineLevel="0" collapsed="false">
      <c r="A130" s="15" t="n">
        <v>42217</v>
      </c>
      <c r="B130" s="16"/>
      <c r="C130" s="16"/>
      <c r="D130" s="16"/>
      <c r="E130" s="16"/>
      <c r="F130" s="16"/>
      <c r="G130" s="16"/>
      <c r="H130" s="16"/>
      <c r="I130" s="16"/>
      <c r="J130" s="16"/>
      <c r="K130" s="16"/>
    </row>
    <row r="131" customFormat="false" ht="15" hidden="false" customHeight="false" outlineLevel="0" collapsed="false">
      <c r="A131" s="15" t="n">
        <v>42248</v>
      </c>
      <c r="B131" s="16"/>
      <c r="C131" s="16"/>
      <c r="D131" s="16"/>
      <c r="E131" s="16"/>
      <c r="F131" s="16"/>
      <c r="G131" s="16"/>
      <c r="H131" s="16"/>
      <c r="I131" s="16"/>
      <c r="J131" s="16"/>
      <c r="K131" s="16"/>
    </row>
    <row r="132" customFormat="false" ht="15" hidden="false" customHeight="false" outlineLevel="0" collapsed="false">
      <c r="A132" s="15" t="n">
        <v>42278</v>
      </c>
      <c r="B132" s="16"/>
      <c r="C132" s="16"/>
      <c r="D132" s="16"/>
      <c r="E132" s="16"/>
      <c r="F132" s="16"/>
      <c r="G132" s="16"/>
      <c r="H132" s="16"/>
      <c r="I132" s="16"/>
      <c r="J132" s="16"/>
      <c r="K132" s="16"/>
    </row>
    <row r="133" customFormat="false" ht="15" hidden="false" customHeight="false" outlineLevel="0" collapsed="false">
      <c r="A133" s="15" t="n">
        <v>42309</v>
      </c>
      <c r="B133" s="16"/>
      <c r="C133" s="16"/>
      <c r="D133" s="16"/>
      <c r="E133" s="16"/>
      <c r="F133" s="16"/>
      <c r="G133" s="16"/>
      <c r="H133" s="16"/>
      <c r="I133" s="16"/>
      <c r="J133" s="16"/>
      <c r="K133" s="16"/>
    </row>
    <row r="134" customFormat="false" ht="15" hidden="false" customHeight="false" outlineLevel="0" collapsed="false">
      <c r="A134" s="15" t="n">
        <v>42339</v>
      </c>
      <c r="B134" s="16"/>
      <c r="C134" s="16"/>
      <c r="D134" s="16"/>
      <c r="E134" s="16"/>
      <c r="F134" s="16"/>
      <c r="G134" s="16"/>
      <c r="H134" s="16"/>
      <c r="I134" s="16"/>
      <c r="J134" s="16"/>
      <c r="K134" s="16"/>
    </row>
    <row r="135" customFormat="false" ht="15" hidden="false" customHeight="false" outlineLevel="0" collapsed="false">
      <c r="A135" s="15" t="n">
        <v>42370</v>
      </c>
      <c r="B135" s="16"/>
      <c r="C135" s="16"/>
      <c r="D135" s="16"/>
      <c r="E135" s="16"/>
      <c r="F135" s="16"/>
      <c r="G135" s="16"/>
      <c r="H135" s="16"/>
      <c r="I135" s="16"/>
      <c r="J135" s="16"/>
      <c r="K135" s="16"/>
    </row>
    <row r="136" customFormat="false" ht="15" hidden="false" customHeight="false" outlineLevel="0" collapsed="false">
      <c r="A136" s="15" t="n">
        <v>42401</v>
      </c>
      <c r="B136" s="16"/>
      <c r="C136" s="16"/>
      <c r="D136" s="16"/>
      <c r="E136" s="16"/>
      <c r="F136" s="16"/>
      <c r="G136" s="16"/>
      <c r="H136" s="16"/>
      <c r="I136" s="16"/>
      <c r="J136" s="16"/>
      <c r="K136" s="16"/>
    </row>
    <row r="137" customFormat="false" ht="15" hidden="false" customHeight="false" outlineLevel="0" collapsed="false">
      <c r="A137" s="15" t="n">
        <v>42430</v>
      </c>
      <c r="B137" s="16"/>
      <c r="C137" s="16"/>
      <c r="D137" s="16"/>
      <c r="E137" s="16"/>
      <c r="F137" s="16"/>
      <c r="G137" s="16"/>
      <c r="H137" s="16"/>
      <c r="I137" s="16"/>
      <c r="J137" s="16"/>
      <c r="K137" s="16"/>
    </row>
    <row r="138" customFormat="false" ht="15" hidden="false" customHeight="false" outlineLevel="0" collapsed="false">
      <c r="A138" s="15" t="n">
        <v>42461</v>
      </c>
      <c r="B138" s="16"/>
      <c r="C138" s="16"/>
      <c r="D138" s="16"/>
      <c r="E138" s="16"/>
      <c r="F138" s="16"/>
      <c r="G138" s="16"/>
      <c r="H138" s="16"/>
      <c r="I138" s="16"/>
      <c r="J138" s="16"/>
      <c r="K138" s="16"/>
    </row>
    <row r="139" customFormat="false" ht="15" hidden="false" customHeight="false" outlineLevel="0" collapsed="false">
      <c r="A139" s="15" t="n">
        <v>42491</v>
      </c>
      <c r="B139" s="16"/>
      <c r="C139" s="16"/>
      <c r="D139" s="16"/>
      <c r="E139" s="16"/>
      <c r="F139" s="16"/>
      <c r="G139" s="16"/>
      <c r="H139" s="16"/>
      <c r="I139" s="16"/>
      <c r="J139" s="16"/>
      <c r="K139" s="16"/>
    </row>
    <row r="140" customFormat="false" ht="15" hidden="false" customHeight="false" outlineLevel="0" collapsed="false">
      <c r="A140" s="15" t="n">
        <v>42522</v>
      </c>
      <c r="B140" s="16"/>
      <c r="C140" s="16"/>
      <c r="D140" s="16"/>
      <c r="E140" s="16"/>
      <c r="F140" s="16"/>
      <c r="G140" s="16"/>
      <c r="H140" s="16"/>
      <c r="I140" s="16"/>
      <c r="J140" s="16"/>
      <c r="K140" s="16"/>
    </row>
    <row r="141" customFormat="false" ht="15" hidden="false" customHeight="false" outlineLevel="0" collapsed="false">
      <c r="A141" s="15" t="n">
        <v>42552</v>
      </c>
      <c r="B141" s="16"/>
      <c r="C141" s="16"/>
      <c r="D141" s="16"/>
      <c r="E141" s="16"/>
      <c r="F141" s="16"/>
      <c r="G141" s="16"/>
      <c r="H141" s="16"/>
      <c r="I141" s="16"/>
      <c r="J141" s="16"/>
      <c r="K141" s="16"/>
    </row>
    <row r="142" customFormat="false" ht="15" hidden="false" customHeight="false" outlineLevel="0" collapsed="false">
      <c r="A142" s="15" t="n">
        <v>42583</v>
      </c>
      <c r="B142" s="16"/>
      <c r="C142" s="16"/>
      <c r="D142" s="16"/>
      <c r="E142" s="16"/>
      <c r="F142" s="16"/>
      <c r="G142" s="16"/>
      <c r="H142" s="16"/>
      <c r="I142" s="16"/>
      <c r="J142" s="16"/>
      <c r="K142" s="16"/>
    </row>
    <row r="143" customFormat="false" ht="15" hidden="false" customHeight="false" outlineLevel="0" collapsed="false">
      <c r="A143" s="15" t="n">
        <v>42614</v>
      </c>
      <c r="B143" s="16"/>
      <c r="C143" s="16"/>
      <c r="D143" s="16"/>
      <c r="E143" s="16"/>
      <c r="F143" s="16"/>
      <c r="G143" s="16"/>
      <c r="H143" s="16"/>
      <c r="I143" s="16"/>
      <c r="J143" s="16"/>
      <c r="K143" s="16"/>
    </row>
    <row r="144" customFormat="false" ht="15" hidden="false" customHeight="false" outlineLevel="0" collapsed="false">
      <c r="A144" s="15" t="n">
        <v>42644</v>
      </c>
      <c r="B144" s="16"/>
      <c r="C144" s="16"/>
      <c r="D144" s="16"/>
      <c r="E144" s="16"/>
      <c r="F144" s="16"/>
      <c r="G144" s="16"/>
      <c r="H144" s="16"/>
      <c r="I144" s="16"/>
      <c r="J144" s="16"/>
      <c r="K144" s="16"/>
    </row>
    <row r="145" customFormat="false" ht="15" hidden="false" customHeight="false" outlineLevel="0" collapsed="false">
      <c r="A145" s="15" t="n">
        <v>42675</v>
      </c>
      <c r="B145" s="16"/>
      <c r="C145" s="16"/>
      <c r="D145" s="16"/>
      <c r="E145" s="16"/>
      <c r="F145" s="16"/>
      <c r="G145" s="16"/>
      <c r="H145" s="16"/>
      <c r="I145" s="16"/>
      <c r="J145" s="16"/>
      <c r="K145" s="16"/>
    </row>
    <row r="146" customFormat="false" ht="15" hidden="false" customHeight="false" outlineLevel="0" collapsed="false">
      <c r="A146" s="15" t="n">
        <v>42705</v>
      </c>
      <c r="B146" s="16"/>
      <c r="C146" s="16"/>
      <c r="D146" s="16"/>
      <c r="E146" s="16"/>
      <c r="F146" s="16"/>
      <c r="G146" s="16"/>
      <c r="H146" s="16"/>
      <c r="I146" s="16"/>
      <c r="J146" s="16"/>
      <c r="K146" s="16"/>
    </row>
    <row r="147" customFormat="false" ht="15" hidden="false" customHeight="false" outlineLevel="0" collapsed="false">
      <c r="A147" s="15" t="n">
        <v>42736</v>
      </c>
      <c r="B147" s="16"/>
      <c r="C147" s="16"/>
      <c r="D147" s="16"/>
      <c r="E147" s="16"/>
      <c r="F147" s="16"/>
      <c r="G147" s="16"/>
      <c r="H147" s="16"/>
      <c r="I147" s="16"/>
      <c r="J147" s="16"/>
      <c r="K147" s="16"/>
    </row>
    <row r="148" customFormat="false" ht="15" hidden="false" customHeight="false" outlineLevel="0" collapsed="false">
      <c r="A148" s="15" t="n">
        <v>42767</v>
      </c>
      <c r="B148" s="16"/>
      <c r="C148" s="16"/>
      <c r="D148" s="16"/>
      <c r="E148" s="16"/>
      <c r="F148" s="16"/>
      <c r="G148" s="16"/>
      <c r="H148" s="16"/>
      <c r="I148" s="16"/>
      <c r="J148" s="16"/>
      <c r="K148" s="16"/>
    </row>
    <row r="149" customFormat="false" ht="15" hidden="false" customHeight="false" outlineLevel="0" collapsed="false">
      <c r="A149" s="15" t="n">
        <v>42795</v>
      </c>
      <c r="B149" s="16"/>
      <c r="C149" s="16"/>
      <c r="D149" s="16"/>
      <c r="E149" s="16"/>
      <c r="F149" s="16"/>
      <c r="G149" s="16"/>
      <c r="H149" s="16"/>
      <c r="I149" s="16"/>
      <c r="J149" s="16"/>
      <c r="K149" s="16"/>
    </row>
    <row r="150" customFormat="false" ht="15" hidden="false" customHeight="false" outlineLevel="0" collapsed="false">
      <c r="A150" s="15" t="n">
        <v>42826</v>
      </c>
      <c r="B150" s="16"/>
      <c r="C150" s="16"/>
      <c r="D150" s="16"/>
      <c r="E150" s="16"/>
      <c r="F150" s="16"/>
      <c r="G150" s="16"/>
      <c r="H150" s="16"/>
      <c r="I150" s="16"/>
      <c r="J150" s="16"/>
      <c r="K150" s="16"/>
    </row>
    <row r="151" customFormat="false" ht="15" hidden="false" customHeight="false" outlineLevel="0" collapsed="false">
      <c r="A151" s="15" t="n">
        <v>42856</v>
      </c>
      <c r="B151" s="16"/>
      <c r="C151" s="16"/>
      <c r="D151" s="16"/>
      <c r="E151" s="16"/>
      <c r="F151" s="16"/>
      <c r="G151" s="16"/>
      <c r="H151" s="16"/>
      <c r="I151" s="16"/>
      <c r="J151" s="16"/>
      <c r="K151" s="16"/>
    </row>
    <row r="152" customFormat="false" ht="15" hidden="false" customHeight="false" outlineLevel="0" collapsed="false">
      <c r="A152" s="15" t="n">
        <v>42887</v>
      </c>
      <c r="B152" s="16"/>
      <c r="C152" s="16"/>
      <c r="D152" s="16"/>
      <c r="E152" s="16"/>
      <c r="F152" s="16"/>
      <c r="G152" s="16"/>
      <c r="H152" s="16"/>
      <c r="I152" s="16"/>
      <c r="J152" s="16"/>
      <c r="K152" s="16"/>
    </row>
    <row r="153" customFormat="false" ht="15" hidden="false" customHeight="false" outlineLevel="0" collapsed="false">
      <c r="A153" s="15" t="n">
        <v>42917</v>
      </c>
      <c r="B153" s="16"/>
      <c r="C153" s="16"/>
      <c r="D153" s="16"/>
      <c r="E153" s="16"/>
      <c r="F153" s="16"/>
      <c r="G153" s="16"/>
      <c r="H153" s="16"/>
      <c r="I153" s="16"/>
      <c r="J153" s="16"/>
      <c r="K153" s="16"/>
    </row>
    <row r="154" customFormat="false" ht="15" hidden="false" customHeight="false" outlineLevel="0" collapsed="false">
      <c r="A154" s="15" t="n">
        <v>42948</v>
      </c>
      <c r="B154" s="16"/>
      <c r="C154" s="16"/>
      <c r="D154" s="16"/>
      <c r="E154" s="16"/>
      <c r="F154" s="16"/>
      <c r="G154" s="16"/>
      <c r="H154" s="16"/>
      <c r="I154" s="16"/>
      <c r="J154" s="16"/>
      <c r="K154" s="16"/>
    </row>
    <row r="155" customFormat="false" ht="15" hidden="false" customHeight="false" outlineLevel="0" collapsed="false">
      <c r="A155" s="15" t="n">
        <v>42979</v>
      </c>
      <c r="B155" s="16"/>
      <c r="C155" s="16"/>
      <c r="D155" s="16"/>
      <c r="E155" s="16"/>
      <c r="F155" s="16"/>
      <c r="G155" s="16"/>
      <c r="H155" s="16"/>
      <c r="I155" s="16"/>
      <c r="J155" s="16"/>
      <c r="K155" s="16"/>
    </row>
    <row r="156" customFormat="false" ht="15" hidden="false" customHeight="false" outlineLevel="0" collapsed="false">
      <c r="A156" s="15" t="n">
        <v>43009</v>
      </c>
      <c r="B156" s="16"/>
      <c r="C156" s="16"/>
      <c r="D156" s="16"/>
      <c r="E156" s="16"/>
      <c r="F156" s="16"/>
      <c r="G156" s="16"/>
      <c r="H156" s="16"/>
      <c r="I156" s="16"/>
      <c r="J156" s="16"/>
      <c r="K156" s="16"/>
    </row>
    <row r="157" customFormat="false" ht="15" hidden="false" customHeight="false" outlineLevel="0" collapsed="false">
      <c r="A157" s="15" t="n">
        <v>43040</v>
      </c>
      <c r="B157" s="16"/>
      <c r="C157" s="16"/>
      <c r="D157" s="16"/>
      <c r="E157" s="16"/>
      <c r="F157" s="16"/>
      <c r="G157" s="16"/>
      <c r="H157" s="16"/>
      <c r="I157" s="16"/>
      <c r="J157" s="16"/>
      <c r="K157" s="16"/>
    </row>
    <row r="158" customFormat="false" ht="15" hidden="false" customHeight="false" outlineLevel="0" collapsed="false">
      <c r="A158" s="15" t="n">
        <v>43070</v>
      </c>
      <c r="B158" s="16"/>
      <c r="C158" s="16"/>
      <c r="D158" s="16"/>
      <c r="E158" s="16"/>
      <c r="F158" s="16"/>
      <c r="G158" s="16"/>
      <c r="H158" s="16"/>
      <c r="I158" s="16"/>
      <c r="J158" s="16"/>
      <c r="K158" s="16"/>
    </row>
    <row r="159" customFormat="false" ht="15" hidden="false" customHeight="false" outlineLevel="0" collapsed="false">
      <c r="A159" s="15" t="n">
        <v>43101</v>
      </c>
      <c r="B159" s="16"/>
      <c r="C159" s="16"/>
      <c r="D159" s="16"/>
      <c r="E159" s="16"/>
      <c r="F159" s="16"/>
      <c r="G159" s="16"/>
      <c r="H159" s="16"/>
      <c r="I159" s="16"/>
      <c r="J159" s="16"/>
      <c r="K159" s="16"/>
    </row>
    <row r="160" customFormat="false" ht="15" hidden="false" customHeight="false" outlineLevel="0" collapsed="false">
      <c r="A160" s="15" t="n">
        <v>43132</v>
      </c>
      <c r="B160" s="16"/>
      <c r="C160" s="16"/>
      <c r="D160" s="16"/>
      <c r="E160" s="16"/>
      <c r="F160" s="16"/>
      <c r="G160" s="16"/>
      <c r="H160" s="16"/>
      <c r="I160" s="16"/>
      <c r="J160" s="16"/>
      <c r="K160" s="16"/>
    </row>
    <row r="161" customFormat="false" ht="15" hidden="false" customHeight="false" outlineLevel="0" collapsed="false">
      <c r="A161" s="15" t="n">
        <v>43160</v>
      </c>
      <c r="B161" s="16"/>
      <c r="C161" s="16"/>
      <c r="D161" s="16"/>
      <c r="E161" s="16"/>
      <c r="F161" s="16"/>
      <c r="G161" s="16"/>
      <c r="H161" s="16"/>
      <c r="I161" s="16"/>
      <c r="J161" s="16"/>
      <c r="K161" s="16"/>
    </row>
    <row r="162" customFormat="false" ht="15" hidden="false" customHeight="false" outlineLevel="0" collapsed="false">
      <c r="A162" s="15" t="n">
        <v>43191</v>
      </c>
      <c r="B162" s="16"/>
      <c r="C162" s="16"/>
      <c r="D162" s="16"/>
      <c r="E162" s="16"/>
      <c r="F162" s="16"/>
      <c r="G162" s="16"/>
      <c r="H162" s="16"/>
      <c r="I162" s="16"/>
      <c r="J162" s="16"/>
      <c r="K162" s="16"/>
    </row>
    <row r="163" customFormat="false" ht="15" hidden="false" customHeight="false" outlineLevel="0" collapsed="false">
      <c r="A163" s="15" t="n">
        <v>43221</v>
      </c>
      <c r="B163" s="16"/>
      <c r="C163" s="16"/>
      <c r="D163" s="16"/>
      <c r="E163" s="16"/>
      <c r="F163" s="16"/>
      <c r="G163" s="16"/>
      <c r="H163" s="16"/>
      <c r="I163" s="16"/>
      <c r="J163" s="16"/>
      <c r="K163" s="16"/>
    </row>
    <row r="164" customFormat="false" ht="15" hidden="false" customHeight="false" outlineLevel="0" collapsed="false">
      <c r="A164" s="15" t="n">
        <v>43252</v>
      </c>
      <c r="B164" s="16"/>
      <c r="C164" s="16"/>
      <c r="D164" s="16"/>
      <c r="E164" s="16"/>
      <c r="F164" s="16"/>
      <c r="G164" s="16"/>
      <c r="H164" s="16"/>
      <c r="I164" s="16"/>
      <c r="J164" s="16"/>
      <c r="K164" s="16"/>
    </row>
    <row r="165" customFormat="false" ht="15" hidden="false" customHeight="false" outlineLevel="0" collapsed="false">
      <c r="A165" s="15" t="n">
        <v>43282</v>
      </c>
      <c r="B165" s="16"/>
      <c r="C165" s="16"/>
      <c r="D165" s="16"/>
      <c r="E165" s="16"/>
      <c r="F165" s="16"/>
      <c r="G165" s="16"/>
      <c r="H165" s="16"/>
      <c r="I165" s="16"/>
      <c r="J165" s="16"/>
      <c r="K165" s="16"/>
    </row>
    <row r="166" customFormat="false" ht="15" hidden="false" customHeight="false" outlineLevel="0" collapsed="false">
      <c r="A166" s="15" t="n">
        <v>43313</v>
      </c>
      <c r="B166" s="16"/>
      <c r="C166" s="16"/>
      <c r="D166" s="16"/>
      <c r="E166" s="16"/>
      <c r="F166" s="16"/>
      <c r="G166" s="16"/>
      <c r="H166" s="16"/>
      <c r="I166" s="16"/>
      <c r="J166" s="16"/>
      <c r="K166" s="16"/>
    </row>
    <row r="167" customFormat="false" ht="15" hidden="false" customHeight="false" outlineLevel="0" collapsed="false">
      <c r="A167" s="15" t="n">
        <v>43344</v>
      </c>
      <c r="B167" s="16"/>
      <c r="C167" s="16"/>
      <c r="D167" s="16"/>
      <c r="E167" s="16"/>
      <c r="F167" s="16"/>
      <c r="G167" s="16"/>
      <c r="H167" s="16"/>
      <c r="I167" s="16"/>
      <c r="J167" s="16"/>
      <c r="K167" s="16"/>
    </row>
    <row r="168" customFormat="false" ht="15" hidden="false" customHeight="false" outlineLevel="0" collapsed="false">
      <c r="A168" s="15" t="n">
        <v>43374</v>
      </c>
      <c r="B168" s="16"/>
      <c r="C168" s="16"/>
      <c r="D168" s="16"/>
      <c r="E168" s="16"/>
      <c r="F168" s="16"/>
      <c r="G168" s="16"/>
      <c r="H168" s="16"/>
      <c r="I168" s="16"/>
      <c r="J168" s="16"/>
      <c r="K168" s="16"/>
    </row>
    <row r="169" customFormat="false" ht="15" hidden="false" customHeight="false" outlineLevel="0" collapsed="false">
      <c r="A169" s="15" t="n">
        <v>43405</v>
      </c>
      <c r="B169" s="16"/>
      <c r="C169" s="16"/>
      <c r="D169" s="16"/>
      <c r="E169" s="16"/>
      <c r="F169" s="16"/>
      <c r="G169" s="16"/>
      <c r="H169" s="16"/>
      <c r="I169" s="16"/>
      <c r="J169" s="16"/>
      <c r="K169" s="16"/>
    </row>
    <row r="170" customFormat="false" ht="15" hidden="false" customHeight="false" outlineLevel="0" collapsed="false">
      <c r="A170" s="15" t="n">
        <v>43435</v>
      </c>
      <c r="B170" s="16"/>
      <c r="C170" s="16"/>
      <c r="D170" s="16"/>
      <c r="E170" s="16"/>
      <c r="F170" s="16"/>
      <c r="G170" s="16"/>
      <c r="H170" s="16"/>
      <c r="I170" s="16"/>
      <c r="J170" s="16"/>
      <c r="K170" s="16"/>
    </row>
    <row r="171" customFormat="false" ht="15" hidden="false" customHeight="false" outlineLevel="0" collapsed="false">
      <c r="A171" s="15" t="n">
        <v>43466</v>
      </c>
      <c r="B171" s="16"/>
      <c r="C171" s="16"/>
      <c r="D171" s="16"/>
      <c r="E171" s="16"/>
      <c r="F171" s="16"/>
      <c r="G171" s="16"/>
      <c r="H171" s="16"/>
      <c r="I171" s="16"/>
      <c r="J171" s="16"/>
      <c r="K171" s="16"/>
    </row>
    <row r="172" customFormat="false" ht="15" hidden="false" customHeight="false" outlineLevel="0" collapsed="false">
      <c r="A172" s="15" t="n">
        <v>43497</v>
      </c>
      <c r="B172" s="16"/>
      <c r="C172" s="16"/>
      <c r="D172" s="16"/>
      <c r="E172" s="16"/>
      <c r="F172" s="16"/>
      <c r="G172" s="16"/>
      <c r="H172" s="16"/>
      <c r="I172" s="16"/>
      <c r="J172" s="16"/>
      <c r="K172" s="16"/>
    </row>
    <row r="173" customFormat="false" ht="15" hidden="false" customHeight="false" outlineLevel="0" collapsed="false">
      <c r="A173" s="15" t="n">
        <v>43525</v>
      </c>
      <c r="B173" s="16"/>
      <c r="C173" s="16"/>
      <c r="D173" s="16"/>
      <c r="E173" s="16"/>
      <c r="F173" s="16"/>
      <c r="G173" s="16"/>
      <c r="H173" s="16"/>
      <c r="I173" s="16"/>
      <c r="J173" s="16"/>
      <c r="K173" s="16"/>
    </row>
    <row r="174" customFormat="false" ht="15" hidden="false" customHeight="false" outlineLevel="0" collapsed="false">
      <c r="A174" s="15" t="n">
        <v>43556</v>
      </c>
      <c r="B174" s="16"/>
      <c r="C174" s="16"/>
      <c r="D174" s="16"/>
      <c r="E174" s="16"/>
      <c r="F174" s="16"/>
      <c r="G174" s="16"/>
      <c r="H174" s="16"/>
      <c r="I174" s="16"/>
      <c r="J174" s="16"/>
      <c r="K174" s="16"/>
    </row>
    <row r="175" customFormat="false" ht="15" hidden="false" customHeight="false" outlineLevel="0" collapsed="false">
      <c r="A175" s="15" t="n">
        <v>43586</v>
      </c>
      <c r="B175" s="16"/>
      <c r="C175" s="16"/>
      <c r="D175" s="16"/>
      <c r="E175" s="16"/>
      <c r="F175" s="16"/>
      <c r="G175" s="16"/>
      <c r="H175" s="16"/>
      <c r="I175" s="16"/>
      <c r="J175" s="16"/>
      <c r="K175" s="16"/>
    </row>
    <row r="176" customFormat="false" ht="15" hidden="false" customHeight="false" outlineLevel="0" collapsed="false">
      <c r="A176" s="15" t="n">
        <v>43617</v>
      </c>
      <c r="B176" s="16"/>
      <c r="C176" s="16"/>
      <c r="D176" s="16"/>
      <c r="E176" s="16"/>
      <c r="F176" s="16"/>
      <c r="G176" s="16"/>
      <c r="H176" s="16"/>
      <c r="I176" s="16"/>
      <c r="J176" s="16"/>
      <c r="K176" s="16"/>
    </row>
    <row r="177" customFormat="false" ht="15" hidden="false" customHeight="false" outlineLevel="0" collapsed="false">
      <c r="A177" s="15" t="n">
        <v>43647</v>
      </c>
      <c r="B177" s="16"/>
      <c r="C177" s="16"/>
      <c r="D177" s="16"/>
      <c r="E177" s="16"/>
      <c r="F177" s="16"/>
      <c r="G177" s="16"/>
      <c r="H177" s="16"/>
      <c r="I177" s="16"/>
      <c r="J177" s="16"/>
      <c r="K177" s="16"/>
    </row>
    <row r="178" customFormat="false" ht="15" hidden="false" customHeight="false" outlineLevel="0" collapsed="false">
      <c r="A178" s="15" t="n">
        <v>43678</v>
      </c>
      <c r="B178" s="16"/>
      <c r="C178" s="16"/>
      <c r="D178" s="16"/>
      <c r="E178" s="16"/>
      <c r="F178" s="16"/>
      <c r="G178" s="16"/>
      <c r="H178" s="16"/>
      <c r="I178" s="16"/>
      <c r="J178" s="16"/>
      <c r="K178" s="16"/>
    </row>
    <row r="179" customFormat="false" ht="15" hidden="false" customHeight="false" outlineLevel="0" collapsed="false">
      <c r="A179" s="15" t="n">
        <v>43709</v>
      </c>
      <c r="B179" s="16"/>
      <c r="C179" s="16"/>
      <c r="D179" s="16"/>
      <c r="E179" s="16"/>
      <c r="F179" s="16"/>
      <c r="G179" s="16"/>
      <c r="H179" s="16"/>
      <c r="I179" s="16"/>
      <c r="J179" s="16"/>
      <c r="K179" s="16"/>
    </row>
    <row r="180" customFormat="false" ht="15" hidden="false" customHeight="false" outlineLevel="0" collapsed="false">
      <c r="A180" s="15" t="n">
        <v>43739</v>
      </c>
      <c r="B180" s="16"/>
      <c r="C180" s="16"/>
      <c r="D180" s="16"/>
      <c r="E180" s="16"/>
      <c r="F180" s="16"/>
      <c r="G180" s="16"/>
      <c r="H180" s="16"/>
      <c r="I180" s="16"/>
      <c r="J180" s="16"/>
      <c r="K180" s="16"/>
    </row>
    <row r="181" customFormat="false" ht="15" hidden="false" customHeight="false" outlineLevel="0" collapsed="false">
      <c r="A181" s="15" t="n">
        <v>43770</v>
      </c>
      <c r="B181" s="16"/>
      <c r="C181" s="16"/>
      <c r="D181" s="16"/>
      <c r="E181" s="16"/>
      <c r="F181" s="16"/>
      <c r="G181" s="16"/>
      <c r="H181" s="16"/>
      <c r="I181" s="16"/>
      <c r="J181" s="16"/>
      <c r="K181" s="16"/>
    </row>
    <row r="182" customFormat="false" ht="15" hidden="false" customHeight="false" outlineLevel="0" collapsed="false">
      <c r="A182" s="15" t="n">
        <v>43800</v>
      </c>
      <c r="B182" s="16"/>
      <c r="C182" s="16"/>
      <c r="D182" s="16"/>
      <c r="E182" s="16"/>
      <c r="F182" s="16"/>
      <c r="G182" s="16"/>
      <c r="H182" s="16"/>
      <c r="I182" s="16"/>
      <c r="J182" s="16"/>
      <c r="K182" s="16"/>
    </row>
    <row r="183" customFormat="false" ht="15" hidden="false" customHeight="false" outlineLevel="0" collapsed="false">
      <c r="A183" s="15" t="n">
        <v>43831</v>
      </c>
      <c r="B183" s="16"/>
      <c r="C183" s="16"/>
      <c r="D183" s="16"/>
      <c r="E183" s="16"/>
      <c r="F183" s="16"/>
      <c r="G183" s="16"/>
      <c r="H183" s="16"/>
      <c r="I183" s="16"/>
      <c r="J183" s="16"/>
      <c r="K183" s="16"/>
    </row>
    <row r="184" customFormat="false" ht="15" hidden="false" customHeight="false" outlineLevel="0" collapsed="false">
      <c r="A184" s="15" t="n">
        <v>43862</v>
      </c>
      <c r="B184" s="16"/>
      <c r="C184" s="16"/>
      <c r="D184" s="16"/>
      <c r="E184" s="16"/>
      <c r="F184" s="16"/>
      <c r="G184" s="16"/>
      <c r="H184" s="16"/>
      <c r="I184" s="16"/>
      <c r="J184" s="16"/>
      <c r="K184" s="16"/>
    </row>
    <row r="185" customFormat="false" ht="15" hidden="false" customHeight="false" outlineLevel="0" collapsed="false">
      <c r="A185" s="15" t="n">
        <v>43891</v>
      </c>
      <c r="B185" s="16"/>
      <c r="C185" s="16"/>
      <c r="D185" s="16"/>
      <c r="E185" s="16"/>
      <c r="F185" s="16"/>
      <c r="G185" s="16"/>
      <c r="H185" s="16"/>
      <c r="I185" s="16"/>
      <c r="J185" s="16"/>
      <c r="K185" s="16"/>
    </row>
    <row r="186" customFormat="false" ht="15" hidden="false" customHeight="false" outlineLevel="0" collapsed="false">
      <c r="A186" s="15" t="n">
        <v>43922</v>
      </c>
      <c r="B186" s="16"/>
      <c r="C186" s="16"/>
      <c r="D186" s="16"/>
      <c r="E186" s="16"/>
      <c r="F186" s="16"/>
      <c r="G186" s="16"/>
      <c r="H186" s="16"/>
      <c r="I186" s="16"/>
      <c r="J186" s="16"/>
      <c r="K186" s="16"/>
    </row>
    <row r="187" customFormat="false" ht="15" hidden="false" customHeight="false" outlineLevel="0" collapsed="false">
      <c r="A187" s="15" t="n">
        <v>43952</v>
      </c>
      <c r="B187" s="16"/>
      <c r="C187" s="16"/>
      <c r="D187" s="16"/>
      <c r="E187" s="16"/>
      <c r="F187" s="16"/>
      <c r="G187" s="16"/>
      <c r="H187" s="16"/>
      <c r="I187" s="16"/>
      <c r="J187" s="16"/>
      <c r="K187" s="16"/>
    </row>
    <row r="188" customFormat="false" ht="15" hidden="false" customHeight="false" outlineLevel="0" collapsed="false">
      <c r="A188" s="15" t="n">
        <v>43983</v>
      </c>
      <c r="B188" s="16"/>
      <c r="C188" s="16"/>
      <c r="D188" s="16"/>
      <c r="E188" s="16"/>
      <c r="F188" s="16"/>
      <c r="G188" s="16"/>
      <c r="H188" s="16"/>
      <c r="I188" s="16"/>
      <c r="J188" s="16"/>
      <c r="K188" s="16"/>
    </row>
    <row r="189" customFormat="false" ht="15" hidden="false" customHeight="false" outlineLevel="0" collapsed="false">
      <c r="A189" s="15" t="n">
        <v>44013</v>
      </c>
      <c r="B189" s="16"/>
      <c r="C189" s="16"/>
      <c r="D189" s="16"/>
      <c r="E189" s="16"/>
      <c r="F189" s="16"/>
      <c r="G189" s="16"/>
      <c r="H189" s="16"/>
      <c r="I189" s="16"/>
      <c r="J189" s="16"/>
      <c r="K189" s="16"/>
    </row>
    <row r="190" customFormat="false" ht="15" hidden="false" customHeight="false" outlineLevel="0" collapsed="false">
      <c r="A190" s="15" t="n">
        <v>44044</v>
      </c>
      <c r="B190" s="16"/>
      <c r="C190" s="16"/>
      <c r="D190" s="16"/>
      <c r="E190" s="16"/>
      <c r="F190" s="16"/>
      <c r="G190" s="16"/>
      <c r="H190" s="16"/>
      <c r="I190" s="16"/>
      <c r="J190" s="16"/>
      <c r="K190" s="16"/>
    </row>
    <row r="191" customFormat="false" ht="15" hidden="false" customHeight="false" outlineLevel="0" collapsed="false">
      <c r="A191" s="15" t="n">
        <v>44075</v>
      </c>
      <c r="B191" s="16"/>
      <c r="C191" s="16"/>
      <c r="D191" s="16"/>
      <c r="E191" s="16"/>
      <c r="F191" s="16"/>
      <c r="G191" s="16"/>
      <c r="H191" s="16"/>
      <c r="I191" s="16"/>
      <c r="J191" s="16"/>
      <c r="K191" s="16"/>
    </row>
    <row r="192" customFormat="false" ht="15" hidden="false" customHeight="false" outlineLevel="0" collapsed="false">
      <c r="A192" s="15" t="n">
        <v>44105</v>
      </c>
      <c r="B192" s="16"/>
      <c r="C192" s="16"/>
      <c r="D192" s="16"/>
      <c r="E192" s="16"/>
      <c r="F192" s="16"/>
      <c r="G192" s="16"/>
      <c r="H192" s="16"/>
      <c r="I192" s="16"/>
      <c r="J192" s="16"/>
      <c r="K192" s="16"/>
    </row>
    <row r="193" customFormat="false" ht="15" hidden="false" customHeight="false" outlineLevel="0" collapsed="false">
      <c r="A193" s="15" t="n">
        <v>44136</v>
      </c>
      <c r="B193" s="16"/>
      <c r="C193" s="16"/>
      <c r="D193" s="16"/>
      <c r="E193" s="16"/>
      <c r="F193" s="16"/>
      <c r="G193" s="16"/>
      <c r="H193" s="16"/>
      <c r="I193" s="16"/>
      <c r="J193" s="16"/>
      <c r="K193" s="16"/>
    </row>
    <row r="194" customFormat="false" ht="15" hidden="false" customHeight="false" outlineLevel="0" collapsed="false">
      <c r="A194" s="15" t="n">
        <v>44166</v>
      </c>
      <c r="B194" s="16"/>
      <c r="C194" s="16"/>
      <c r="D194" s="16"/>
      <c r="E194" s="16"/>
      <c r="F194" s="16"/>
      <c r="G194" s="16"/>
      <c r="H194" s="16"/>
      <c r="I194" s="16"/>
      <c r="J194" s="16"/>
      <c r="K194" s="16"/>
    </row>
    <row r="195" customFormat="false" ht="15" hidden="false" customHeight="false" outlineLevel="0" collapsed="false">
      <c r="A195" s="15" t="n">
        <v>44197</v>
      </c>
      <c r="B195" s="16"/>
      <c r="C195" s="16"/>
      <c r="D195" s="16"/>
      <c r="E195" s="16"/>
      <c r="F195" s="16"/>
      <c r="G195" s="16"/>
      <c r="H195" s="16"/>
      <c r="I195" s="16"/>
      <c r="J195" s="16"/>
      <c r="K195" s="16"/>
    </row>
    <row r="196" customFormat="false" ht="15" hidden="false" customHeight="false" outlineLevel="0" collapsed="false">
      <c r="A196" s="15" t="n">
        <v>44228</v>
      </c>
      <c r="B196" s="16"/>
      <c r="C196" s="16"/>
      <c r="D196" s="16"/>
      <c r="E196" s="16"/>
      <c r="F196" s="16"/>
      <c r="G196" s="16"/>
      <c r="H196" s="16"/>
      <c r="I196" s="16"/>
      <c r="J196" s="16"/>
      <c r="K196" s="16"/>
    </row>
    <row r="197" customFormat="false" ht="15" hidden="false" customHeight="false" outlineLevel="0" collapsed="false">
      <c r="A197" s="15" t="n">
        <v>44256</v>
      </c>
      <c r="B197" s="16"/>
      <c r="C197" s="16"/>
      <c r="D197" s="16"/>
      <c r="E197" s="16"/>
      <c r="F197" s="16"/>
      <c r="G197" s="16"/>
      <c r="H197" s="16"/>
      <c r="I197" s="16"/>
      <c r="J197" s="16"/>
      <c r="K197" s="16"/>
    </row>
    <row r="198" customFormat="false" ht="15" hidden="false" customHeight="false" outlineLevel="0" collapsed="false">
      <c r="A198" s="15" t="n">
        <v>44287</v>
      </c>
      <c r="B198" s="16"/>
      <c r="C198" s="16"/>
      <c r="D198" s="16"/>
      <c r="E198" s="16"/>
      <c r="F198" s="16"/>
      <c r="G198" s="16"/>
      <c r="H198" s="16"/>
      <c r="I198" s="16"/>
      <c r="J198" s="16"/>
      <c r="K198" s="16"/>
    </row>
    <row r="199" customFormat="false" ht="15" hidden="false" customHeight="false" outlineLevel="0" collapsed="false">
      <c r="A199" s="15" t="n">
        <v>44317</v>
      </c>
      <c r="B199" s="16"/>
      <c r="C199" s="16"/>
      <c r="D199" s="16"/>
      <c r="E199" s="16"/>
      <c r="F199" s="16"/>
      <c r="G199" s="16"/>
      <c r="H199" s="16"/>
      <c r="I199" s="16"/>
      <c r="J199" s="16"/>
      <c r="K199" s="16"/>
    </row>
    <row r="200" customFormat="false" ht="15" hidden="false" customHeight="false" outlineLevel="0" collapsed="false">
      <c r="A200" s="15" t="n">
        <v>44348</v>
      </c>
      <c r="B200" s="16"/>
      <c r="C200" s="16"/>
      <c r="D200" s="16"/>
      <c r="E200" s="16"/>
      <c r="F200" s="16"/>
      <c r="G200" s="16"/>
      <c r="H200" s="16"/>
      <c r="I200" s="16"/>
      <c r="J200" s="16"/>
      <c r="K200" s="16"/>
    </row>
    <row r="201" customFormat="false" ht="15" hidden="false" customHeight="false" outlineLevel="0" collapsed="false">
      <c r="A201" s="15" t="n">
        <v>44378</v>
      </c>
      <c r="B201" s="16"/>
      <c r="C201" s="16"/>
      <c r="D201" s="16"/>
      <c r="E201" s="16"/>
      <c r="F201" s="16"/>
      <c r="G201" s="16"/>
      <c r="H201" s="16"/>
      <c r="I201" s="16"/>
      <c r="J201" s="16"/>
      <c r="K201" s="16"/>
    </row>
    <row r="202" customFormat="false" ht="15" hidden="false" customHeight="false" outlineLevel="0" collapsed="false">
      <c r="A202" s="15" t="n">
        <v>44409</v>
      </c>
      <c r="B202" s="16"/>
      <c r="C202" s="16"/>
      <c r="D202" s="16"/>
      <c r="E202" s="16"/>
      <c r="F202" s="16"/>
      <c r="G202" s="16"/>
      <c r="H202" s="16"/>
      <c r="I202" s="16"/>
      <c r="J202" s="16"/>
      <c r="K202" s="16"/>
    </row>
    <row r="203" customFormat="false" ht="15" hidden="false" customHeight="false" outlineLevel="0" collapsed="false">
      <c r="A203" s="15" t="n">
        <v>44440</v>
      </c>
      <c r="B203" s="16"/>
      <c r="C203" s="16"/>
      <c r="D203" s="16"/>
      <c r="E203" s="16"/>
      <c r="F203" s="16"/>
      <c r="G203" s="16"/>
      <c r="H203" s="16"/>
      <c r="I203" s="16"/>
      <c r="J203" s="16"/>
      <c r="K203" s="16"/>
    </row>
    <row r="204" customFormat="false" ht="15" hidden="false" customHeight="false" outlineLevel="0" collapsed="false">
      <c r="A204" s="15" t="n">
        <v>44470</v>
      </c>
      <c r="B204" s="16"/>
      <c r="C204" s="16"/>
      <c r="D204" s="16"/>
      <c r="E204" s="16"/>
      <c r="F204" s="16"/>
      <c r="G204" s="16"/>
      <c r="H204" s="16"/>
      <c r="I204" s="16"/>
      <c r="J204" s="16"/>
      <c r="K204" s="16"/>
    </row>
    <row r="205" customFormat="false" ht="15" hidden="false" customHeight="false" outlineLevel="0" collapsed="false">
      <c r="A205" s="15" t="n">
        <v>44501</v>
      </c>
      <c r="B205" s="16"/>
      <c r="C205" s="16"/>
      <c r="D205" s="16"/>
      <c r="E205" s="16"/>
      <c r="F205" s="16"/>
      <c r="G205" s="16"/>
      <c r="H205" s="16"/>
      <c r="I205" s="16"/>
      <c r="J205" s="16"/>
      <c r="K205" s="16"/>
    </row>
    <row r="206" customFormat="false" ht="15" hidden="false" customHeight="false" outlineLevel="0" collapsed="false">
      <c r="A206" s="15" t="n">
        <v>44531</v>
      </c>
      <c r="B206" s="16"/>
      <c r="C206" s="16"/>
      <c r="D206" s="16"/>
      <c r="E206" s="16"/>
      <c r="F206" s="16"/>
      <c r="G206" s="16"/>
      <c r="H206" s="16"/>
      <c r="I206" s="16"/>
      <c r="J206" s="16"/>
      <c r="K206" s="16"/>
    </row>
    <row r="207" customFormat="false" ht="15" hidden="false" customHeight="false" outlineLevel="0" collapsed="false">
      <c r="A207" s="15" t="n">
        <v>44562</v>
      </c>
      <c r="B207" s="16"/>
      <c r="C207" s="16"/>
      <c r="D207" s="16"/>
      <c r="E207" s="16"/>
      <c r="F207" s="16"/>
      <c r="G207" s="16"/>
      <c r="H207" s="16"/>
      <c r="I207" s="16"/>
      <c r="J207" s="16"/>
      <c r="K207" s="16"/>
    </row>
    <row r="208" customFormat="false" ht="15" hidden="false" customHeight="false" outlineLevel="0" collapsed="false">
      <c r="A208" s="15" t="n">
        <v>44593</v>
      </c>
      <c r="B208" s="16"/>
      <c r="C208" s="16"/>
      <c r="D208" s="16"/>
      <c r="E208" s="16"/>
      <c r="F208" s="16"/>
      <c r="G208" s="16"/>
      <c r="H208" s="16"/>
      <c r="I208" s="16"/>
      <c r="J208" s="16"/>
      <c r="K208" s="16"/>
    </row>
    <row r="209" customFormat="false" ht="15" hidden="false" customHeight="false" outlineLevel="0" collapsed="false">
      <c r="A209" s="15" t="n">
        <v>44621</v>
      </c>
      <c r="B209" s="16"/>
      <c r="C209" s="16"/>
      <c r="D209" s="16"/>
      <c r="E209" s="16"/>
      <c r="F209" s="16"/>
      <c r="G209" s="16"/>
      <c r="H209" s="16"/>
      <c r="I209" s="16"/>
      <c r="J209" s="16"/>
      <c r="K209" s="16"/>
    </row>
    <row r="210" customFormat="false" ht="15" hidden="false" customHeight="false" outlineLevel="0" collapsed="false">
      <c r="A210" s="15" t="n">
        <v>44652</v>
      </c>
      <c r="B210" s="16"/>
      <c r="C210" s="16"/>
      <c r="D210" s="16"/>
      <c r="E210" s="16"/>
      <c r="F210" s="16"/>
      <c r="G210" s="16"/>
      <c r="H210" s="16"/>
      <c r="I210" s="16"/>
      <c r="J210" s="16"/>
      <c r="K210" s="16"/>
    </row>
    <row r="211" customFormat="false" ht="15" hidden="false" customHeight="false" outlineLevel="0" collapsed="false">
      <c r="A211" s="15" t="n">
        <v>44682</v>
      </c>
      <c r="B211" s="16"/>
      <c r="C211" s="16"/>
      <c r="D211" s="16"/>
      <c r="E211" s="16"/>
      <c r="F211" s="16"/>
      <c r="G211" s="16"/>
      <c r="H211" s="16"/>
      <c r="I211" s="16"/>
      <c r="J211" s="16"/>
      <c r="K211" s="16"/>
    </row>
    <row r="212" customFormat="false" ht="15" hidden="false" customHeight="false" outlineLevel="0" collapsed="false">
      <c r="A212" s="15" t="n">
        <v>44713</v>
      </c>
      <c r="B212" s="16"/>
      <c r="C212" s="16"/>
      <c r="D212" s="16"/>
      <c r="E212" s="16"/>
      <c r="F212" s="16"/>
      <c r="G212" s="16"/>
      <c r="H212" s="16"/>
      <c r="I212" s="16"/>
      <c r="J212" s="16"/>
      <c r="K212" s="16"/>
    </row>
    <row r="213" customFormat="false" ht="15" hidden="false" customHeight="false" outlineLevel="0" collapsed="false">
      <c r="A213" s="15" t="n">
        <v>44743</v>
      </c>
      <c r="B213" s="16"/>
      <c r="C213" s="16"/>
      <c r="D213" s="16"/>
      <c r="E213" s="16"/>
      <c r="F213" s="16"/>
      <c r="G213" s="16"/>
      <c r="H213" s="16"/>
      <c r="I213" s="16"/>
      <c r="J213" s="16"/>
      <c r="K213" s="16"/>
    </row>
    <row r="214" customFormat="false" ht="15" hidden="false" customHeight="false" outlineLevel="0" collapsed="false">
      <c r="A214" s="15" t="n">
        <v>44774</v>
      </c>
      <c r="B214" s="16"/>
      <c r="C214" s="16"/>
      <c r="D214" s="16"/>
      <c r="E214" s="16"/>
      <c r="F214" s="16"/>
      <c r="G214" s="16"/>
      <c r="H214" s="16"/>
      <c r="I214" s="16"/>
      <c r="J214" s="16"/>
      <c r="K214" s="16"/>
    </row>
    <row r="215" customFormat="false" ht="15" hidden="false" customHeight="false" outlineLevel="0" collapsed="false">
      <c r="A215" s="15" t="n">
        <v>44805</v>
      </c>
      <c r="B215" s="16"/>
      <c r="C215" s="16"/>
      <c r="D215" s="16"/>
      <c r="E215" s="16"/>
      <c r="F215" s="16"/>
      <c r="G215" s="16"/>
      <c r="H215" s="16"/>
      <c r="I215" s="16"/>
      <c r="J215" s="16"/>
      <c r="K215" s="16"/>
    </row>
    <row r="216" customFormat="false" ht="15" hidden="false" customHeight="false" outlineLevel="0" collapsed="false">
      <c r="A216" s="15" t="n">
        <v>44835</v>
      </c>
      <c r="B216" s="16"/>
      <c r="C216" s="16"/>
      <c r="D216" s="16"/>
      <c r="E216" s="16"/>
      <c r="F216" s="16"/>
      <c r="G216" s="16"/>
      <c r="H216" s="16"/>
      <c r="I216" s="16"/>
      <c r="J216" s="16"/>
      <c r="K216" s="16"/>
    </row>
    <row r="217" customFormat="false" ht="15" hidden="false" customHeight="false" outlineLevel="0" collapsed="false">
      <c r="A217" s="15" t="n">
        <v>44866</v>
      </c>
      <c r="B217" s="16"/>
      <c r="C217" s="16"/>
      <c r="D217" s="16"/>
      <c r="E217" s="16"/>
      <c r="F217" s="16"/>
      <c r="G217" s="16"/>
      <c r="H217" s="16"/>
      <c r="I217" s="16"/>
      <c r="J217" s="16"/>
      <c r="K217" s="16"/>
    </row>
    <row r="218" customFormat="false" ht="15" hidden="false" customHeight="false" outlineLevel="0" collapsed="false">
      <c r="A218" s="15" t="n">
        <v>44896</v>
      </c>
      <c r="B218" s="16"/>
      <c r="C218" s="16"/>
      <c r="D218" s="16"/>
      <c r="E218" s="16"/>
      <c r="F218" s="16"/>
      <c r="G218" s="16"/>
      <c r="H218" s="16"/>
      <c r="I218" s="16"/>
      <c r="J218" s="16"/>
      <c r="K218" s="16"/>
    </row>
    <row r="219" customFormat="false" ht="15" hidden="false" customHeight="false" outlineLevel="0" collapsed="false">
      <c r="A219" s="15" t="n">
        <v>44927</v>
      </c>
      <c r="B219" s="16"/>
      <c r="C219" s="16"/>
      <c r="D219" s="16"/>
      <c r="E219" s="16"/>
      <c r="F219" s="16"/>
      <c r="G219" s="16"/>
      <c r="H219" s="16"/>
      <c r="I219" s="16"/>
      <c r="J219" s="16"/>
      <c r="K219" s="16"/>
    </row>
    <row r="220" customFormat="false" ht="15" hidden="false" customHeight="false" outlineLevel="0" collapsed="false">
      <c r="A220" s="15" t="n">
        <v>44958</v>
      </c>
      <c r="B220" s="16"/>
      <c r="C220" s="16"/>
      <c r="D220" s="16"/>
      <c r="E220" s="16"/>
      <c r="F220" s="16"/>
      <c r="G220" s="16"/>
      <c r="H220" s="16"/>
      <c r="I220" s="16"/>
      <c r="J220" s="16"/>
      <c r="K220" s="16"/>
    </row>
    <row r="221" customFormat="false" ht="15" hidden="false" customHeight="false" outlineLevel="0" collapsed="false">
      <c r="A221" s="15" t="n">
        <v>44986</v>
      </c>
      <c r="B221" s="16"/>
      <c r="C221" s="16"/>
      <c r="D221" s="16"/>
      <c r="E221" s="16"/>
      <c r="F221" s="16"/>
      <c r="G221" s="16"/>
      <c r="H221" s="16"/>
      <c r="I221" s="16"/>
      <c r="J221" s="16"/>
      <c r="K221" s="16"/>
    </row>
    <row r="222" customFormat="false" ht="15" hidden="false" customHeight="false" outlineLevel="0" collapsed="false">
      <c r="A222" s="15" t="n">
        <v>45017</v>
      </c>
      <c r="B222" s="16"/>
      <c r="C222" s="16"/>
      <c r="D222" s="16"/>
      <c r="E222" s="16"/>
      <c r="F222" s="16"/>
      <c r="G222" s="16"/>
      <c r="H222" s="16"/>
      <c r="I222" s="16"/>
      <c r="J222" s="16"/>
      <c r="K222" s="16"/>
    </row>
    <row r="223" customFormat="false" ht="15" hidden="false" customHeight="false" outlineLevel="0" collapsed="false">
      <c r="A223" s="15" t="n">
        <v>45047</v>
      </c>
      <c r="B223" s="16"/>
      <c r="C223" s="16"/>
      <c r="D223" s="16"/>
      <c r="E223" s="16"/>
      <c r="F223" s="16"/>
      <c r="G223" s="16"/>
      <c r="H223" s="16"/>
      <c r="I223" s="16"/>
      <c r="J223" s="16"/>
      <c r="K223" s="16"/>
    </row>
    <row r="224" customFormat="false" ht="15" hidden="false" customHeight="false" outlineLevel="0" collapsed="false">
      <c r="A224" s="15" t="n">
        <v>45078</v>
      </c>
      <c r="B224" s="16"/>
      <c r="C224" s="16"/>
      <c r="D224" s="16"/>
      <c r="E224" s="16"/>
      <c r="F224" s="16"/>
      <c r="G224" s="16"/>
      <c r="H224" s="16"/>
      <c r="I224" s="16"/>
      <c r="J224" s="16"/>
      <c r="K224" s="16"/>
    </row>
    <row r="225" customFormat="false" ht="15" hidden="false" customHeight="false" outlineLevel="0" collapsed="false">
      <c r="A225" s="15" t="n">
        <v>45108</v>
      </c>
      <c r="B225" s="16"/>
      <c r="C225" s="16"/>
      <c r="D225" s="16"/>
      <c r="E225" s="16"/>
      <c r="F225" s="16"/>
      <c r="G225" s="16"/>
      <c r="H225" s="16"/>
      <c r="I225" s="16"/>
      <c r="J225" s="16"/>
      <c r="K225" s="16"/>
    </row>
    <row r="226" customFormat="false" ht="15" hidden="false" customHeight="false" outlineLevel="0" collapsed="false">
      <c r="A226" s="15" t="n">
        <v>45139</v>
      </c>
      <c r="B226" s="16"/>
      <c r="C226" s="16"/>
      <c r="D226" s="16"/>
      <c r="E226" s="16"/>
      <c r="F226" s="16"/>
      <c r="G226" s="16"/>
      <c r="H226" s="16"/>
      <c r="I226" s="16"/>
      <c r="J226" s="16"/>
      <c r="K226" s="16"/>
    </row>
    <row r="227" customFormat="false" ht="15" hidden="false" customHeight="false" outlineLevel="0" collapsed="false">
      <c r="A227" s="15" t="n">
        <v>45170</v>
      </c>
      <c r="B227" s="16"/>
      <c r="C227" s="16"/>
      <c r="D227" s="16"/>
      <c r="E227" s="16"/>
      <c r="F227" s="16"/>
      <c r="G227" s="16"/>
      <c r="H227" s="16"/>
      <c r="I227" s="16"/>
      <c r="J227" s="16"/>
      <c r="K227" s="16"/>
    </row>
    <row r="228" customFormat="false" ht="15" hidden="false" customHeight="false" outlineLevel="0" collapsed="false">
      <c r="A228" s="15" t="n">
        <v>45200</v>
      </c>
      <c r="B228" s="16"/>
      <c r="C228" s="16"/>
      <c r="D228" s="16"/>
      <c r="E228" s="16"/>
      <c r="F228" s="16"/>
      <c r="G228" s="16"/>
      <c r="H228" s="16"/>
      <c r="I228" s="16"/>
      <c r="J228" s="16"/>
      <c r="K228" s="16"/>
    </row>
    <row r="229" customFormat="false" ht="15" hidden="false" customHeight="false" outlineLevel="0" collapsed="false">
      <c r="A229" s="15" t="n">
        <v>45231</v>
      </c>
      <c r="B229" s="16"/>
      <c r="C229" s="16"/>
      <c r="D229" s="16"/>
      <c r="E229" s="16"/>
      <c r="F229" s="16"/>
      <c r="G229" s="16"/>
      <c r="H229" s="16"/>
      <c r="I229" s="16"/>
      <c r="J229" s="16"/>
      <c r="K229" s="16"/>
    </row>
    <row r="230" customFormat="false" ht="15" hidden="false" customHeight="false" outlineLevel="0" collapsed="false">
      <c r="A230" s="15" t="n">
        <v>45261</v>
      </c>
      <c r="B230" s="16"/>
      <c r="C230" s="16"/>
      <c r="D230" s="16"/>
      <c r="E230" s="16"/>
      <c r="F230" s="16"/>
      <c r="G230" s="16"/>
      <c r="H230" s="16"/>
      <c r="I230" s="16"/>
      <c r="J230" s="16"/>
      <c r="K230" s="16"/>
    </row>
    <row r="231" customFormat="false" ht="15" hidden="false" customHeight="false" outlineLevel="0" collapsed="false">
      <c r="A231" s="15" t="n">
        <v>45292</v>
      </c>
      <c r="B231" s="16"/>
      <c r="C231" s="16"/>
      <c r="D231" s="16"/>
      <c r="E231" s="16"/>
      <c r="F231" s="16"/>
      <c r="G231" s="16"/>
      <c r="H231" s="16"/>
      <c r="I231" s="16"/>
      <c r="J231" s="16"/>
      <c r="K231" s="16"/>
    </row>
    <row r="232" customFormat="false" ht="15" hidden="false" customHeight="false" outlineLevel="0" collapsed="false">
      <c r="A232" s="15" t="n">
        <v>45323</v>
      </c>
      <c r="B232" s="16"/>
      <c r="C232" s="16"/>
      <c r="D232" s="16"/>
      <c r="E232" s="16"/>
      <c r="F232" s="16"/>
      <c r="G232" s="16"/>
      <c r="H232" s="16"/>
      <c r="I232" s="16"/>
      <c r="J232" s="16"/>
      <c r="K232" s="16"/>
    </row>
    <row r="233" customFormat="false" ht="15" hidden="false" customHeight="false" outlineLevel="0" collapsed="false">
      <c r="A233" s="15" t="n">
        <v>45352</v>
      </c>
      <c r="B233" s="16"/>
      <c r="C233" s="16"/>
      <c r="D233" s="16"/>
      <c r="E233" s="16"/>
      <c r="F233" s="16"/>
      <c r="G233" s="16"/>
      <c r="H233" s="16"/>
      <c r="I233" s="16"/>
      <c r="J233" s="16"/>
      <c r="K233" s="16"/>
    </row>
    <row r="234" customFormat="false" ht="15" hidden="false" customHeight="false" outlineLevel="0" collapsed="false">
      <c r="A234" s="15" t="n">
        <v>45383</v>
      </c>
      <c r="B234" s="16"/>
      <c r="C234" s="16"/>
      <c r="D234" s="16"/>
      <c r="E234" s="16"/>
      <c r="F234" s="16"/>
      <c r="G234" s="16"/>
      <c r="H234" s="16"/>
      <c r="I234" s="16"/>
      <c r="J234" s="16"/>
      <c r="K234" s="16"/>
    </row>
    <row r="235" customFormat="false" ht="15" hidden="false" customHeight="false" outlineLevel="0" collapsed="false">
      <c r="A235" s="15" t="n">
        <v>45413</v>
      </c>
      <c r="B235" s="16"/>
      <c r="C235" s="16"/>
      <c r="D235" s="16"/>
      <c r="E235" s="16"/>
      <c r="F235" s="16"/>
      <c r="G235" s="16"/>
      <c r="H235" s="16"/>
      <c r="I235" s="16"/>
      <c r="J235" s="16"/>
      <c r="K235" s="16"/>
    </row>
    <row r="236" customFormat="false" ht="15" hidden="false" customHeight="false" outlineLevel="0" collapsed="false">
      <c r="A236" s="15" t="n">
        <v>45444</v>
      </c>
      <c r="B236" s="16"/>
      <c r="C236" s="16"/>
      <c r="D236" s="16"/>
      <c r="E236" s="16"/>
      <c r="F236" s="16"/>
      <c r="G236" s="16"/>
      <c r="H236" s="16"/>
      <c r="I236" s="16"/>
      <c r="J236" s="16"/>
      <c r="K236" s="16"/>
    </row>
    <row r="237" customFormat="false" ht="15" hidden="false" customHeight="false" outlineLevel="0" collapsed="false">
      <c r="A237" s="15" t="n">
        <v>45474</v>
      </c>
      <c r="B237" s="16"/>
      <c r="C237" s="16"/>
      <c r="D237" s="16"/>
      <c r="E237" s="16"/>
      <c r="F237" s="16"/>
      <c r="G237" s="16"/>
      <c r="H237" s="16"/>
      <c r="I237" s="16"/>
      <c r="J237" s="16"/>
      <c r="K237" s="16"/>
    </row>
    <row r="238" customFormat="false" ht="15" hidden="false" customHeight="false" outlineLevel="0" collapsed="false">
      <c r="A238" s="15" t="n">
        <v>45505</v>
      </c>
      <c r="B238" s="16"/>
      <c r="C238" s="16"/>
      <c r="D238" s="16"/>
      <c r="E238" s="16"/>
      <c r="F238" s="16"/>
      <c r="G238" s="16"/>
      <c r="H238" s="16"/>
      <c r="I238" s="16"/>
      <c r="J238" s="16"/>
      <c r="K238" s="16"/>
    </row>
    <row r="239" customFormat="false" ht="15" hidden="false" customHeight="false" outlineLevel="0" collapsed="false">
      <c r="A239" s="15" t="n">
        <v>45536</v>
      </c>
      <c r="B239" s="16"/>
      <c r="C239" s="16"/>
      <c r="D239" s="16"/>
      <c r="E239" s="16"/>
      <c r="F239" s="16"/>
      <c r="G239" s="16"/>
      <c r="H239" s="16"/>
      <c r="I239" s="16"/>
      <c r="J239" s="16"/>
      <c r="K239" s="16"/>
    </row>
    <row r="240" customFormat="false" ht="15" hidden="false" customHeight="false" outlineLevel="0" collapsed="false">
      <c r="A240" s="15" t="n">
        <v>45566</v>
      </c>
      <c r="B240" s="16"/>
      <c r="C240" s="16"/>
      <c r="D240" s="16"/>
      <c r="E240" s="16"/>
      <c r="F240" s="16"/>
      <c r="G240" s="16"/>
      <c r="H240" s="16"/>
      <c r="I240" s="16"/>
      <c r="J240" s="16"/>
      <c r="K240" s="16"/>
    </row>
    <row r="241" customFormat="false" ht="15" hidden="false" customHeight="false" outlineLevel="0" collapsed="false">
      <c r="A241" s="15" t="n">
        <v>45597</v>
      </c>
      <c r="B241" s="16"/>
      <c r="C241" s="16"/>
      <c r="D241" s="16"/>
      <c r="E241" s="16"/>
      <c r="F241" s="16"/>
      <c r="G241" s="16"/>
      <c r="H241" s="16"/>
      <c r="I241" s="16"/>
      <c r="J241" s="16"/>
      <c r="K241" s="16"/>
    </row>
    <row r="242" customFormat="false" ht="15" hidden="false" customHeight="false" outlineLevel="0" collapsed="false">
      <c r="A242" s="15" t="n">
        <v>45627</v>
      </c>
      <c r="B242" s="16"/>
      <c r="C242" s="16"/>
      <c r="D242" s="16"/>
      <c r="E242" s="16"/>
      <c r="F242" s="16"/>
      <c r="G242" s="16"/>
      <c r="H242" s="16"/>
      <c r="I242" s="16"/>
      <c r="J242" s="16"/>
      <c r="K242" s="16"/>
    </row>
    <row r="243" customFormat="false" ht="15" hidden="false" customHeight="false" outlineLevel="0" collapsed="false">
      <c r="A243" s="15" t="n">
        <v>45658</v>
      </c>
      <c r="B243" s="16"/>
      <c r="C243" s="16"/>
      <c r="D243" s="16"/>
      <c r="E243" s="16"/>
      <c r="F243" s="16"/>
      <c r="G243" s="16"/>
      <c r="H243" s="16"/>
      <c r="I243" s="16"/>
      <c r="J243" s="16"/>
      <c r="K243" s="16"/>
    </row>
    <row r="244" customFormat="false" ht="15" hidden="false" customHeight="false" outlineLevel="0" collapsed="false">
      <c r="A244" s="15" t="n">
        <v>45689</v>
      </c>
      <c r="B244" s="16"/>
      <c r="C244" s="16"/>
      <c r="D244" s="16"/>
      <c r="E244" s="16"/>
      <c r="F244" s="16"/>
      <c r="G244" s="16"/>
      <c r="H244" s="16"/>
      <c r="I244" s="16"/>
      <c r="J244" s="16"/>
      <c r="K244" s="16"/>
    </row>
    <row r="245" customFormat="false" ht="15" hidden="false" customHeight="false" outlineLevel="0" collapsed="false">
      <c r="A245" s="15" t="n">
        <v>45717</v>
      </c>
      <c r="B245" s="16"/>
      <c r="C245" s="16"/>
      <c r="D245" s="16"/>
      <c r="E245" s="16"/>
      <c r="F245" s="16"/>
      <c r="G245" s="16"/>
      <c r="H245" s="16"/>
      <c r="I245" s="16"/>
      <c r="J245" s="16"/>
      <c r="K245" s="16"/>
    </row>
    <row r="246" customFormat="false" ht="15" hidden="false" customHeight="false" outlineLevel="0" collapsed="false">
      <c r="A246" s="15" t="n">
        <v>45748</v>
      </c>
      <c r="B246" s="16"/>
      <c r="C246" s="16"/>
      <c r="D246" s="16"/>
      <c r="E246" s="16"/>
      <c r="F246" s="16"/>
      <c r="G246" s="16"/>
      <c r="H246" s="16"/>
      <c r="I246" s="16"/>
      <c r="J246" s="16"/>
      <c r="K246" s="16"/>
    </row>
    <row r="247" customFormat="false" ht="15" hidden="false" customHeight="false" outlineLevel="0" collapsed="false">
      <c r="A247" s="15" t="n">
        <v>45778</v>
      </c>
      <c r="B247" s="16"/>
      <c r="C247" s="16"/>
      <c r="D247" s="16"/>
      <c r="E247" s="16"/>
      <c r="F247" s="16"/>
      <c r="G247" s="16"/>
      <c r="H247" s="16"/>
      <c r="I247" s="16"/>
      <c r="J247" s="16"/>
      <c r="K247" s="16"/>
    </row>
    <row r="248" customFormat="false" ht="15" hidden="false" customHeight="false" outlineLevel="0" collapsed="false">
      <c r="A248" s="15" t="n">
        <v>45809</v>
      </c>
      <c r="B248" s="16"/>
      <c r="C248" s="16"/>
      <c r="D248" s="16"/>
      <c r="E248" s="16"/>
      <c r="F248" s="16"/>
      <c r="G248" s="16"/>
      <c r="H248" s="16"/>
      <c r="I248" s="16"/>
      <c r="J248" s="16"/>
      <c r="K248" s="16"/>
    </row>
    <row r="249" customFormat="false" ht="15" hidden="false" customHeight="false" outlineLevel="0" collapsed="false">
      <c r="A249" s="15" t="n">
        <v>45839</v>
      </c>
      <c r="B249" s="16"/>
      <c r="C249" s="16"/>
      <c r="D249" s="16"/>
      <c r="E249" s="16"/>
      <c r="F249" s="16"/>
      <c r="G249" s="16"/>
      <c r="H249" s="16"/>
      <c r="I249" s="16"/>
      <c r="J249" s="16"/>
      <c r="K249" s="16"/>
    </row>
    <row r="250" customFormat="false" ht="15" hidden="false" customHeight="false" outlineLevel="0" collapsed="false">
      <c r="A250" s="15" t="n">
        <v>45870</v>
      </c>
      <c r="B250" s="16"/>
      <c r="C250" s="16"/>
      <c r="D250" s="16"/>
      <c r="E250" s="16"/>
      <c r="F250" s="16"/>
      <c r="G250" s="16"/>
      <c r="H250" s="16"/>
      <c r="I250" s="16"/>
      <c r="J250" s="16"/>
      <c r="K250" s="16"/>
    </row>
    <row r="251" customFormat="false" ht="15" hidden="false" customHeight="false" outlineLevel="0" collapsed="false">
      <c r="A251" s="15" t="n">
        <v>45901</v>
      </c>
      <c r="B251" s="16"/>
      <c r="C251" s="16"/>
      <c r="D251" s="16"/>
      <c r="E251" s="16"/>
      <c r="F251" s="16"/>
      <c r="G251" s="16"/>
      <c r="H251" s="16"/>
      <c r="I251" s="16"/>
      <c r="J251" s="16"/>
      <c r="K251" s="16"/>
    </row>
    <row r="252" customFormat="false" ht="15" hidden="false" customHeight="false" outlineLevel="0" collapsed="false">
      <c r="A252" s="15" t="n">
        <v>45931</v>
      </c>
      <c r="B252" s="16"/>
      <c r="C252" s="16"/>
      <c r="D252" s="16"/>
      <c r="E252" s="16"/>
      <c r="F252" s="16"/>
      <c r="G252" s="16"/>
      <c r="H252" s="16"/>
      <c r="I252" s="16"/>
      <c r="J252" s="16"/>
      <c r="K252" s="16"/>
    </row>
    <row r="253" customFormat="false" ht="15" hidden="false" customHeight="false" outlineLevel="0" collapsed="false">
      <c r="A253" s="15" t="n">
        <v>45962</v>
      </c>
      <c r="B253" s="16"/>
      <c r="C253" s="16"/>
      <c r="D253" s="16"/>
      <c r="E253" s="16"/>
      <c r="F253" s="16"/>
      <c r="G253" s="16"/>
      <c r="H253" s="16"/>
      <c r="I253" s="16"/>
      <c r="J253" s="16"/>
      <c r="K253" s="16"/>
    </row>
    <row r="254" customFormat="false" ht="15" hidden="false" customHeight="false" outlineLevel="0" collapsed="false">
      <c r="A254" s="15" t="n">
        <v>45992</v>
      </c>
      <c r="B254" s="16"/>
      <c r="C254" s="16"/>
      <c r="D254" s="16"/>
      <c r="E254" s="16"/>
      <c r="F254" s="16"/>
      <c r="G254" s="16"/>
      <c r="H254" s="16"/>
      <c r="I254" s="16"/>
      <c r="J254" s="16"/>
      <c r="K254" s="16"/>
    </row>
    <row r="255" customFormat="false" ht="15" hidden="false" customHeight="false" outlineLevel="0" collapsed="false">
      <c r="A255" s="15" t="n">
        <v>46023</v>
      </c>
      <c r="B255" s="16"/>
      <c r="C255" s="16"/>
      <c r="D255" s="16"/>
      <c r="E255" s="16"/>
      <c r="F255" s="16"/>
      <c r="G255" s="16"/>
      <c r="H255" s="16"/>
      <c r="I255" s="16"/>
      <c r="J255" s="16"/>
      <c r="K255" s="16"/>
    </row>
    <row r="256" customFormat="false" ht="15" hidden="false" customHeight="false" outlineLevel="0" collapsed="false">
      <c r="A256" s="15" t="n">
        <v>46054</v>
      </c>
      <c r="B256" s="16"/>
      <c r="C256" s="16"/>
      <c r="D256" s="16"/>
      <c r="E256" s="16"/>
      <c r="F256" s="16"/>
      <c r="G256" s="16"/>
      <c r="H256" s="16"/>
      <c r="I256" s="16"/>
      <c r="J256" s="16"/>
      <c r="K256" s="16"/>
    </row>
    <row r="257" customFormat="false" ht="15" hidden="false" customHeight="false" outlineLevel="0" collapsed="false">
      <c r="A257" s="15" t="n">
        <v>46082</v>
      </c>
      <c r="B257" s="16"/>
      <c r="C257" s="16"/>
      <c r="D257" s="16"/>
      <c r="E257" s="16"/>
      <c r="F257" s="16"/>
      <c r="G257" s="16"/>
      <c r="H257" s="16"/>
      <c r="I257" s="16"/>
      <c r="J257" s="16"/>
      <c r="K257" s="16"/>
    </row>
    <row r="258" customFormat="false" ht="15" hidden="false" customHeight="false" outlineLevel="0" collapsed="false">
      <c r="A258" s="15" t="n">
        <v>46113</v>
      </c>
      <c r="B258" s="16"/>
      <c r="C258" s="16"/>
      <c r="D258" s="16"/>
      <c r="E258" s="16"/>
      <c r="F258" s="16"/>
      <c r="G258" s="16"/>
      <c r="H258" s="16"/>
      <c r="I258" s="16"/>
      <c r="J258" s="16"/>
      <c r="K258" s="16"/>
    </row>
    <row r="259" customFormat="false" ht="15" hidden="false" customHeight="false" outlineLevel="0" collapsed="false">
      <c r="A259" s="15" t="n">
        <v>46143</v>
      </c>
      <c r="B259" s="16"/>
      <c r="C259" s="16"/>
      <c r="D259" s="16"/>
      <c r="E259" s="16"/>
      <c r="F259" s="16"/>
      <c r="G259" s="16"/>
      <c r="H259" s="16"/>
      <c r="I259" s="16"/>
      <c r="J259" s="16"/>
      <c r="K259" s="16"/>
    </row>
    <row r="260" customFormat="false" ht="15" hidden="false" customHeight="false" outlineLevel="0" collapsed="false">
      <c r="A260" s="15" t="n">
        <v>46174</v>
      </c>
      <c r="B260" s="16"/>
      <c r="C260" s="16"/>
      <c r="D260" s="16"/>
      <c r="E260" s="16"/>
      <c r="F260" s="16"/>
      <c r="G260" s="16"/>
      <c r="H260" s="16"/>
      <c r="I260" s="16"/>
      <c r="J260" s="16"/>
      <c r="K260" s="16"/>
    </row>
    <row r="261" customFormat="false" ht="15" hidden="false" customHeight="false" outlineLevel="0" collapsed="false">
      <c r="A261" s="15" t="n">
        <v>46204</v>
      </c>
      <c r="B261" s="16"/>
      <c r="C261" s="16"/>
      <c r="D261" s="16"/>
      <c r="E261" s="16"/>
      <c r="F261" s="16"/>
      <c r="G261" s="16"/>
      <c r="H261" s="16"/>
      <c r="I261" s="16"/>
      <c r="J261" s="16"/>
      <c r="K261" s="16"/>
    </row>
    <row r="262" customFormat="false" ht="15" hidden="false" customHeight="false" outlineLevel="0" collapsed="false">
      <c r="A262" s="15" t="n">
        <v>46235</v>
      </c>
      <c r="B262" s="16"/>
      <c r="C262" s="16"/>
      <c r="D262" s="16"/>
      <c r="E262" s="16"/>
      <c r="F262" s="16"/>
      <c r="G262" s="16"/>
      <c r="H262" s="16"/>
      <c r="I262" s="16"/>
      <c r="J262" s="16"/>
      <c r="K262" s="16"/>
    </row>
    <row r="263" customFormat="false" ht="15" hidden="false" customHeight="false" outlineLevel="0" collapsed="false">
      <c r="A263" s="15" t="n">
        <v>46266</v>
      </c>
      <c r="B263" s="16"/>
      <c r="C263" s="16"/>
      <c r="D263" s="16"/>
      <c r="E263" s="16"/>
      <c r="F263" s="16"/>
      <c r="G263" s="16"/>
      <c r="H263" s="16"/>
      <c r="I263" s="16"/>
      <c r="J263" s="16"/>
      <c r="K263" s="16"/>
    </row>
    <row r="264" customFormat="false" ht="15" hidden="false" customHeight="false" outlineLevel="0" collapsed="false">
      <c r="A264" s="15" t="n">
        <v>46296</v>
      </c>
      <c r="B264" s="16"/>
      <c r="C264" s="16"/>
      <c r="D264" s="16"/>
      <c r="E264" s="16"/>
      <c r="F264" s="16"/>
      <c r="G264" s="16"/>
      <c r="H264" s="16"/>
      <c r="I264" s="16"/>
      <c r="J264" s="16"/>
      <c r="K264" s="16"/>
    </row>
    <row r="265" customFormat="false" ht="15" hidden="false" customHeight="false" outlineLevel="0" collapsed="false">
      <c r="A265" s="15" t="n">
        <v>46327</v>
      </c>
      <c r="B265" s="16"/>
      <c r="C265" s="16"/>
      <c r="D265" s="16"/>
      <c r="E265" s="16"/>
      <c r="F265" s="16"/>
      <c r="G265" s="16"/>
      <c r="H265" s="16"/>
      <c r="I265" s="16"/>
      <c r="J265" s="16"/>
      <c r="K265" s="16"/>
    </row>
    <row r="266" customFormat="false" ht="15" hidden="false" customHeight="false" outlineLevel="0" collapsed="false">
      <c r="A266" s="15" t="n">
        <v>46357</v>
      </c>
      <c r="B266" s="16"/>
      <c r="C266" s="16"/>
      <c r="D266" s="16"/>
      <c r="E266" s="16"/>
      <c r="F266" s="16"/>
      <c r="G266" s="16"/>
      <c r="H266" s="16"/>
      <c r="I266" s="16"/>
      <c r="J266" s="16"/>
      <c r="K266" s="16"/>
    </row>
    <row r="267" customFormat="false" ht="15" hidden="false" customHeight="false" outlineLevel="0" collapsed="false">
      <c r="A267" s="15" t="n">
        <v>46388</v>
      </c>
      <c r="B267" s="16"/>
      <c r="C267" s="16"/>
      <c r="D267" s="16"/>
      <c r="E267" s="16"/>
      <c r="F267" s="16"/>
      <c r="G267" s="16"/>
      <c r="H267" s="16"/>
      <c r="I267" s="16"/>
      <c r="J267" s="16"/>
      <c r="K267" s="16"/>
    </row>
    <row r="268" customFormat="false" ht="15" hidden="false" customHeight="false" outlineLevel="0" collapsed="false">
      <c r="A268" s="15" t="n">
        <v>46419</v>
      </c>
      <c r="B268" s="16"/>
      <c r="C268" s="16"/>
      <c r="D268" s="16"/>
      <c r="E268" s="16"/>
      <c r="F268" s="16"/>
      <c r="G268" s="16"/>
      <c r="H268" s="16"/>
      <c r="I268" s="16"/>
      <c r="J268" s="16"/>
      <c r="K268" s="16"/>
    </row>
    <row r="269" customFormat="false" ht="15" hidden="false" customHeight="false" outlineLevel="0" collapsed="false">
      <c r="A269" s="15" t="n">
        <v>46447</v>
      </c>
      <c r="B269" s="16"/>
      <c r="C269" s="16"/>
      <c r="D269" s="16"/>
      <c r="E269" s="16"/>
      <c r="F269" s="16"/>
      <c r="G269" s="16"/>
      <c r="H269" s="16"/>
      <c r="I269" s="16"/>
      <c r="J269" s="16"/>
      <c r="K269" s="16"/>
    </row>
    <row r="270" customFormat="false" ht="15" hidden="false" customHeight="false" outlineLevel="0" collapsed="false">
      <c r="A270" s="15" t="n">
        <v>46478</v>
      </c>
      <c r="B270" s="16"/>
      <c r="C270" s="16"/>
      <c r="D270" s="16"/>
      <c r="E270" s="16"/>
      <c r="F270" s="16"/>
      <c r="G270" s="16"/>
      <c r="H270" s="16"/>
      <c r="I270" s="16"/>
      <c r="J270" s="16"/>
      <c r="K270" s="16"/>
    </row>
    <row r="271" customFormat="false" ht="15" hidden="false" customHeight="false" outlineLevel="0" collapsed="false">
      <c r="A271" s="15" t="n">
        <v>46508</v>
      </c>
      <c r="B271" s="16"/>
      <c r="C271" s="16"/>
      <c r="D271" s="16"/>
      <c r="E271" s="16"/>
      <c r="F271" s="16"/>
      <c r="G271" s="16"/>
      <c r="H271" s="16"/>
      <c r="I271" s="16"/>
      <c r="J271" s="16"/>
      <c r="K271" s="16"/>
    </row>
    <row r="272" customFormat="false" ht="15" hidden="false" customHeight="false" outlineLevel="0" collapsed="false">
      <c r="A272" s="15" t="n">
        <v>46539</v>
      </c>
      <c r="B272" s="16"/>
      <c r="C272" s="16"/>
      <c r="D272" s="16"/>
      <c r="E272" s="16"/>
      <c r="F272" s="16"/>
      <c r="G272" s="16"/>
      <c r="H272" s="16"/>
      <c r="I272" s="16"/>
      <c r="J272" s="16"/>
      <c r="K272" s="16"/>
    </row>
    <row r="273" customFormat="false" ht="15" hidden="false" customHeight="false" outlineLevel="0" collapsed="false">
      <c r="A273" s="15" t="n">
        <v>46569</v>
      </c>
      <c r="B273" s="16"/>
      <c r="C273" s="16"/>
      <c r="D273" s="16"/>
      <c r="E273" s="16"/>
      <c r="F273" s="16"/>
      <c r="G273" s="16"/>
      <c r="H273" s="16"/>
      <c r="I273" s="16"/>
      <c r="J273" s="16"/>
      <c r="K273" s="16"/>
    </row>
    <row r="274" customFormat="false" ht="15" hidden="false" customHeight="false" outlineLevel="0" collapsed="false">
      <c r="A274" s="15" t="n">
        <v>46600</v>
      </c>
      <c r="B274" s="16"/>
      <c r="C274" s="16"/>
      <c r="D274" s="16"/>
      <c r="E274" s="16"/>
      <c r="F274" s="16"/>
      <c r="G274" s="16"/>
      <c r="H274" s="16"/>
      <c r="I274" s="16"/>
      <c r="J274" s="16"/>
      <c r="K274" s="16"/>
    </row>
    <row r="275" customFormat="false" ht="15" hidden="false" customHeight="false" outlineLevel="0" collapsed="false">
      <c r="A275" s="15" t="n">
        <v>46631</v>
      </c>
      <c r="B275" s="16"/>
      <c r="C275" s="16"/>
      <c r="D275" s="16"/>
      <c r="E275" s="16"/>
      <c r="F275" s="16"/>
      <c r="G275" s="16"/>
      <c r="H275" s="16"/>
      <c r="I275" s="16"/>
      <c r="J275" s="16"/>
      <c r="K275" s="16"/>
    </row>
    <row r="276" customFormat="false" ht="15" hidden="false" customHeight="false" outlineLevel="0" collapsed="false">
      <c r="A276" s="15" t="n">
        <v>46661</v>
      </c>
      <c r="B276" s="16"/>
      <c r="C276" s="16"/>
      <c r="D276" s="16"/>
      <c r="E276" s="16"/>
      <c r="F276" s="16"/>
      <c r="G276" s="16"/>
      <c r="H276" s="16"/>
      <c r="I276" s="16"/>
      <c r="J276" s="16"/>
      <c r="K276" s="16"/>
    </row>
    <row r="277" customFormat="false" ht="15" hidden="false" customHeight="false" outlineLevel="0" collapsed="false">
      <c r="A277" s="15" t="n">
        <v>46692</v>
      </c>
      <c r="B277" s="16"/>
      <c r="C277" s="16"/>
      <c r="D277" s="16"/>
      <c r="E277" s="16"/>
      <c r="F277" s="16"/>
      <c r="G277" s="16"/>
      <c r="H277" s="16"/>
      <c r="I277" s="16"/>
      <c r="J277" s="16"/>
      <c r="K277" s="16"/>
    </row>
    <row r="278" customFormat="false" ht="15" hidden="false" customHeight="false" outlineLevel="0" collapsed="false">
      <c r="A278" s="15" t="n">
        <v>46722</v>
      </c>
      <c r="B278" s="16"/>
      <c r="C278" s="16"/>
      <c r="D278" s="16"/>
      <c r="E278" s="16"/>
      <c r="F278" s="16"/>
      <c r="G278" s="16"/>
      <c r="H278" s="16"/>
      <c r="I278" s="16"/>
      <c r="J278" s="16"/>
      <c r="K278" s="16"/>
    </row>
    <row r="279" customFormat="false" ht="15" hidden="false" customHeight="false" outlineLevel="0" collapsed="false">
      <c r="A279" s="15" t="n">
        <v>46753</v>
      </c>
      <c r="B279" s="16"/>
      <c r="C279" s="16"/>
      <c r="D279" s="16"/>
      <c r="E279" s="16"/>
      <c r="F279" s="16"/>
      <c r="G279" s="16"/>
      <c r="H279" s="16"/>
      <c r="I279" s="16"/>
      <c r="J279" s="16"/>
      <c r="K279" s="16"/>
    </row>
    <row r="280" customFormat="false" ht="15" hidden="false" customHeight="false" outlineLevel="0" collapsed="false">
      <c r="A280" s="15" t="n">
        <v>46784</v>
      </c>
      <c r="B280" s="16"/>
      <c r="C280" s="16"/>
      <c r="D280" s="16"/>
      <c r="E280" s="16"/>
      <c r="F280" s="16"/>
      <c r="G280" s="16"/>
      <c r="H280" s="16"/>
      <c r="I280" s="16"/>
      <c r="J280" s="16"/>
      <c r="K280" s="16"/>
    </row>
    <row r="281" customFormat="false" ht="15" hidden="false" customHeight="false" outlineLevel="0" collapsed="false">
      <c r="A281" s="15" t="n">
        <v>46813</v>
      </c>
      <c r="B281" s="16"/>
      <c r="C281" s="16"/>
      <c r="D281" s="16"/>
      <c r="E281" s="16"/>
      <c r="F281" s="16"/>
      <c r="G281" s="16"/>
      <c r="H281" s="16"/>
      <c r="I281" s="16"/>
      <c r="J281" s="16"/>
      <c r="K281" s="16"/>
    </row>
    <row r="282" customFormat="false" ht="15" hidden="false" customHeight="false" outlineLevel="0" collapsed="false">
      <c r="A282" s="15" t="n">
        <v>46844</v>
      </c>
      <c r="B282" s="16"/>
      <c r="C282" s="16"/>
      <c r="D282" s="16"/>
      <c r="E282" s="16"/>
      <c r="F282" s="16"/>
      <c r="G282" s="16"/>
      <c r="H282" s="16"/>
      <c r="I282" s="16"/>
      <c r="J282" s="16"/>
      <c r="K282" s="16"/>
    </row>
    <row r="283" customFormat="false" ht="15" hidden="false" customHeight="false" outlineLevel="0" collapsed="false">
      <c r="A283" s="15" t="n">
        <v>46874</v>
      </c>
      <c r="B283" s="16"/>
      <c r="C283" s="16"/>
      <c r="D283" s="16"/>
      <c r="E283" s="16"/>
      <c r="F283" s="16"/>
      <c r="G283" s="16"/>
      <c r="H283" s="16"/>
      <c r="I283" s="16"/>
      <c r="J283" s="16"/>
      <c r="K283" s="16"/>
    </row>
    <row r="284" customFormat="false" ht="15" hidden="false" customHeight="false" outlineLevel="0" collapsed="false">
      <c r="A284" s="15" t="n">
        <v>46905</v>
      </c>
      <c r="B284" s="16"/>
      <c r="C284" s="16"/>
      <c r="D284" s="16"/>
      <c r="E284" s="16"/>
      <c r="F284" s="16"/>
      <c r="G284" s="16"/>
      <c r="H284" s="16"/>
      <c r="I284" s="16"/>
      <c r="J284" s="16"/>
      <c r="K284" s="16"/>
    </row>
    <row r="285" customFormat="false" ht="15" hidden="false" customHeight="false" outlineLevel="0" collapsed="false">
      <c r="A285" s="15" t="n">
        <v>46935</v>
      </c>
      <c r="B285" s="16"/>
      <c r="C285" s="16"/>
      <c r="D285" s="16"/>
      <c r="E285" s="16"/>
      <c r="F285" s="16"/>
      <c r="G285" s="16"/>
      <c r="H285" s="16"/>
      <c r="I285" s="16"/>
      <c r="J285" s="16"/>
      <c r="K285" s="16"/>
    </row>
    <row r="286" customFormat="false" ht="15" hidden="false" customHeight="false" outlineLevel="0" collapsed="false">
      <c r="A286" s="15" t="n">
        <v>46966</v>
      </c>
      <c r="B286" s="16"/>
      <c r="C286" s="16"/>
      <c r="D286" s="16"/>
      <c r="E286" s="16"/>
      <c r="F286" s="16"/>
      <c r="G286" s="16"/>
      <c r="H286" s="16"/>
      <c r="I286" s="16"/>
      <c r="J286" s="16"/>
      <c r="K286" s="16"/>
    </row>
    <row r="287" customFormat="false" ht="15" hidden="false" customHeight="false" outlineLevel="0" collapsed="false">
      <c r="A287" s="15" t="n">
        <v>46997</v>
      </c>
      <c r="B287" s="16"/>
      <c r="C287" s="16"/>
      <c r="D287" s="16"/>
      <c r="E287" s="16"/>
      <c r="F287" s="16"/>
      <c r="G287" s="16"/>
      <c r="H287" s="16"/>
      <c r="I287" s="16"/>
      <c r="J287" s="16"/>
      <c r="K287" s="16"/>
    </row>
    <row r="288" customFormat="false" ht="15" hidden="false" customHeight="false" outlineLevel="0" collapsed="false">
      <c r="A288" s="15" t="n">
        <v>47027</v>
      </c>
      <c r="B288" s="16"/>
      <c r="C288" s="16"/>
      <c r="D288" s="16"/>
      <c r="E288" s="16"/>
      <c r="F288" s="16"/>
      <c r="G288" s="16"/>
      <c r="H288" s="16"/>
      <c r="I288" s="16"/>
      <c r="J288" s="16"/>
      <c r="K288" s="16"/>
    </row>
    <row r="289" customFormat="false" ht="15" hidden="false" customHeight="false" outlineLevel="0" collapsed="false">
      <c r="A289" s="15" t="n">
        <v>47058</v>
      </c>
      <c r="B289" s="16"/>
      <c r="C289" s="16"/>
      <c r="D289" s="16"/>
      <c r="E289" s="16"/>
      <c r="F289" s="16"/>
      <c r="G289" s="16"/>
      <c r="H289" s="16"/>
      <c r="I289" s="16"/>
      <c r="J289" s="16"/>
      <c r="K289" s="16"/>
    </row>
    <row r="290" customFormat="false" ht="15" hidden="false" customHeight="false" outlineLevel="0" collapsed="false">
      <c r="A290" s="15" t="n">
        <v>47088</v>
      </c>
      <c r="B290" s="16"/>
      <c r="C290" s="16"/>
      <c r="D290" s="16"/>
      <c r="E290" s="16"/>
      <c r="F290" s="16"/>
      <c r="G290" s="16"/>
      <c r="H290" s="16"/>
      <c r="I290" s="16"/>
      <c r="J290" s="16"/>
      <c r="K290" s="16"/>
    </row>
    <row r="291" customFormat="false" ht="15" hidden="false" customHeight="false" outlineLevel="0" collapsed="false">
      <c r="A291" s="15" t="n">
        <v>47119</v>
      </c>
      <c r="B291" s="16"/>
      <c r="C291" s="16"/>
      <c r="D291" s="16"/>
      <c r="E291" s="16"/>
      <c r="F291" s="16"/>
      <c r="G291" s="16"/>
      <c r="H291" s="16"/>
      <c r="I291" s="16"/>
      <c r="J291" s="16"/>
      <c r="K291" s="16"/>
    </row>
    <row r="292" customFormat="false" ht="15" hidden="false" customHeight="false" outlineLevel="0" collapsed="false">
      <c r="A292" s="15" t="n">
        <v>47150</v>
      </c>
      <c r="B292" s="16"/>
      <c r="C292" s="16"/>
      <c r="D292" s="16"/>
      <c r="E292" s="16"/>
      <c r="F292" s="16"/>
      <c r="G292" s="16"/>
      <c r="H292" s="16"/>
      <c r="I292" s="16"/>
      <c r="J292" s="16"/>
      <c r="K292" s="16"/>
    </row>
    <row r="293" customFormat="false" ht="15" hidden="false" customHeight="false" outlineLevel="0" collapsed="false">
      <c r="A293" s="15" t="n">
        <v>47178</v>
      </c>
      <c r="B293" s="16"/>
      <c r="C293" s="16"/>
      <c r="D293" s="16"/>
      <c r="E293" s="16"/>
      <c r="F293" s="16"/>
      <c r="G293" s="16"/>
      <c r="H293" s="16"/>
      <c r="I293" s="16"/>
      <c r="J293" s="16"/>
      <c r="K293" s="16"/>
    </row>
    <row r="294" customFormat="false" ht="15" hidden="false" customHeight="false" outlineLevel="0" collapsed="false">
      <c r="A294" s="15" t="n">
        <v>47209</v>
      </c>
      <c r="B294" s="16"/>
      <c r="C294" s="16"/>
      <c r="D294" s="16"/>
      <c r="E294" s="16"/>
      <c r="F294" s="16"/>
      <c r="G294" s="16"/>
      <c r="H294" s="16"/>
      <c r="I294" s="16"/>
      <c r="J294" s="16"/>
      <c r="K294" s="16"/>
    </row>
    <row r="295" customFormat="false" ht="15" hidden="false" customHeight="false" outlineLevel="0" collapsed="false">
      <c r="A295" s="15" t="n">
        <v>47239</v>
      </c>
      <c r="B295" s="16"/>
      <c r="C295" s="16"/>
      <c r="D295" s="16"/>
      <c r="E295" s="16"/>
      <c r="F295" s="16"/>
      <c r="G295" s="16"/>
      <c r="H295" s="16"/>
      <c r="I295" s="16"/>
      <c r="J295" s="16"/>
      <c r="K295" s="16"/>
    </row>
    <row r="296" customFormat="false" ht="15" hidden="false" customHeight="false" outlineLevel="0" collapsed="false">
      <c r="A296" s="15" t="n">
        <v>47270</v>
      </c>
      <c r="B296" s="16"/>
      <c r="C296" s="16"/>
      <c r="D296" s="16"/>
      <c r="E296" s="16"/>
      <c r="F296" s="16"/>
      <c r="G296" s="16"/>
      <c r="H296" s="16"/>
      <c r="I296" s="16"/>
      <c r="J296" s="16"/>
      <c r="K296" s="16"/>
    </row>
    <row r="297" customFormat="false" ht="15" hidden="false" customHeight="false" outlineLevel="0" collapsed="false">
      <c r="A297" s="15" t="n">
        <v>47300</v>
      </c>
      <c r="B297" s="16"/>
      <c r="C297" s="16"/>
      <c r="D297" s="16"/>
      <c r="E297" s="16"/>
      <c r="F297" s="16"/>
      <c r="G297" s="16"/>
      <c r="H297" s="16"/>
      <c r="I297" s="16"/>
      <c r="J297" s="16"/>
      <c r="K297" s="16"/>
    </row>
    <row r="298" customFormat="false" ht="15" hidden="false" customHeight="false" outlineLevel="0" collapsed="false">
      <c r="A298" s="15" t="n">
        <v>47331</v>
      </c>
      <c r="B298" s="16"/>
      <c r="C298" s="16"/>
      <c r="D298" s="16"/>
      <c r="E298" s="16"/>
      <c r="F298" s="16"/>
      <c r="G298" s="16"/>
      <c r="H298" s="16"/>
      <c r="I298" s="16"/>
      <c r="J298" s="16"/>
      <c r="K298" s="16"/>
    </row>
    <row r="299" customFormat="false" ht="15" hidden="false" customHeight="false" outlineLevel="0" collapsed="false">
      <c r="A299" s="15" t="n">
        <v>47362</v>
      </c>
      <c r="B299" s="16"/>
      <c r="C299" s="16"/>
      <c r="D299" s="16"/>
      <c r="E299" s="16"/>
      <c r="F299" s="16"/>
      <c r="G299" s="16"/>
      <c r="H299" s="16"/>
      <c r="I299" s="16"/>
      <c r="J299" s="16"/>
      <c r="K299" s="16"/>
    </row>
    <row r="300" customFormat="false" ht="15" hidden="false" customHeight="false" outlineLevel="0" collapsed="false">
      <c r="A300" s="15" t="n">
        <v>47392</v>
      </c>
      <c r="B300" s="16"/>
      <c r="C300" s="16"/>
      <c r="D300" s="16"/>
      <c r="E300" s="16"/>
      <c r="F300" s="16"/>
      <c r="G300" s="16"/>
      <c r="H300" s="16"/>
      <c r="I300" s="16"/>
      <c r="J300" s="16"/>
      <c r="K300" s="16"/>
    </row>
    <row r="301" customFormat="false" ht="15" hidden="false" customHeight="false" outlineLevel="0" collapsed="false">
      <c r="A301" s="15" t="n">
        <v>47423</v>
      </c>
      <c r="B301" s="16"/>
      <c r="C301" s="16"/>
      <c r="D301" s="16"/>
      <c r="E301" s="16"/>
      <c r="F301" s="16"/>
      <c r="G301" s="16"/>
      <c r="H301" s="16"/>
      <c r="I301" s="16"/>
      <c r="J301" s="16"/>
      <c r="K301" s="16"/>
    </row>
    <row r="302" customFormat="false" ht="15" hidden="false" customHeight="false" outlineLevel="0" collapsed="false">
      <c r="A302" s="15" t="n">
        <v>47453</v>
      </c>
      <c r="B302" s="16"/>
      <c r="C302" s="16"/>
      <c r="D302" s="16"/>
      <c r="E302" s="16"/>
      <c r="F302" s="16"/>
      <c r="G302" s="16"/>
      <c r="H302" s="16"/>
      <c r="I302" s="16"/>
      <c r="J302" s="16"/>
      <c r="K302" s="16"/>
    </row>
    <row r="303" customFormat="false" ht="15" hidden="false" customHeight="false" outlineLevel="0" collapsed="false">
      <c r="A303" s="15" t="n">
        <v>47484</v>
      </c>
      <c r="B303" s="16"/>
      <c r="C303" s="16"/>
      <c r="D303" s="16"/>
      <c r="E303" s="16"/>
      <c r="F303" s="16"/>
      <c r="G303" s="16"/>
      <c r="H303" s="16"/>
      <c r="I303" s="16"/>
      <c r="J303" s="16"/>
      <c r="K303" s="16"/>
    </row>
    <row r="304" customFormat="false" ht="15" hidden="false" customHeight="false" outlineLevel="0" collapsed="false">
      <c r="A304" s="15" t="n">
        <v>47515</v>
      </c>
      <c r="B304" s="16"/>
      <c r="C304" s="16"/>
      <c r="D304" s="16"/>
      <c r="E304" s="16"/>
      <c r="F304" s="16"/>
      <c r="G304" s="16"/>
      <c r="H304" s="16"/>
      <c r="I304" s="16"/>
      <c r="J304" s="16"/>
      <c r="K304" s="16"/>
    </row>
    <row r="305" customFormat="false" ht="15" hidden="false" customHeight="false" outlineLevel="0" collapsed="false">
      <c r="A305" s="15" t="n">
        <v>47543</v>
      </c>
      <c r="B305" s="16"/>
      <c r="C305" s="16"/>
      <c r="D305" s="16"/>
      <c r="E305" s="16"/>
      <c r="F305" s="16"/>
      <c r="G305" s="16"/>
      <c r="H305" s="16"/>
      <c r="I305" s="16"/>
      <c r="J305" s="16"/>
      <c r="K305" s="16"/>
    </row>
    <row r="306" customFormat="false" ht="15" hidden="false" customHeight="false" outlineLevel="0" collapsed="false">
      <c r="A306" s="15" t="n">
        <v>47574</v>
      </c>
      <c r="B306" s="16"/>
      <c r="C306" s="16"/>
      <c r="D306" s="16"/>
      <c r="E306" s="16"/>
      <c r="F306" s="16"/>
      <c r="G306" s="16"/>
      <c r="H306" s="16"/>
      <c r="I306" s="16"/>
      <c r="J306" s="16"/>
      <c r="K306" s="16"/>
    </row>
    <row r="307" customFormat="false" ht="15" hidden="false" customHeight="false" outlineLevel="0" collapsed="false">
      <c r="A307" s="15" t="n">
        <v>47604</v>
      </c>
      <c r="B307" s="16"/>
      <c r="C307" s="16"/>
      <c r="D307" s="16"/>
      <c r="E307" s="16"/>
      <c r="F307" s="16"/>
      <c r="G307" s="16"/>
      <c r="H307" s="16"/>
      <c r="I307" s="16"/>
      <c r="J307" s="16"/>
      <c r="K307" s="16"/>
    </row>
    <row r="308" customFormat="false" ht="15" hidden="false" customHeight="false" outlineLevel="0" collapsed="false">
      <c r="A308" s="15" t="n">
        <v>47635</v>
      </c>
      <c r="B308" s="16"/>
      <c r="C308" s="16"/>
      <c r="D308" s="16"/>
      <c r="E308" s="16"/>
      <c r="F308" s="16"/>
      <c r="G308" s="16"/>
      <c r="H308" s="16"/>
      <c r="I308" s="16"/>
      <c r="J308" s="16"/>
      <c r="K308" s="16"/>
    </row>
    <row r="309" customFormat="false" ht="15" hidden="false" customHeight="false" outlineLevel="0" collapsed="false">
      <c r="A309" s="15" t="n">
        <v>47665</v>
      </c>
      <c r="B309" s="16"/>
      <c r="C309" s="16"/>
      <c r="D309" s="16"/>
      <c r="E309" s="16"/>
      <c r="F309" s="16"/>
      <c r="G309" s="16"/>
      <c r="H309" s="16"/>
      <c r="I309" s="16"/>
      <c r="J309" s="16"/>
      <c r="K309" s="16"/>
    </row>
    <row r="310" customFormat="false" ht="15" hidden="false" customHeight="false" outlineLevel="0" collapsed="false">
      <c r="A310" s="15" t="n">
        <v>47696</v>
      </c>
      <c r="B310" s="16"/>
      <c r="C310" s="16"/>
      <c r="D310" s="16"/>
      <c r="E310" s="16"/>
      <c r="F310" s="16"/>
      <c r="G310" s="16"/>
      <c r="H310" s="16"/>
      <c r="I310" s="16"/>
      <c r="J310" s="16"/>
      <c r="K310" s="16"/>
    </row>
    <row r="311" customFormat="false" ht="15" hidden="false" customHeight="false" outlineLevel="0" collapsed="false">
      <c r="A311" s="15" t="n">
        <v>47727</v>
      </c>
      <c r="B311" s="16"/>
      <c r="C311" s="16"/>
      <c r="D311" s="16"/>
      <c r="E311" s="16"/>
      <c r="F311" s="16"/>
      <c r="G311" s="16"/>
      <c r="H311" s="16"/>
      <c r="I311" s="16"/>
      <c r="J311" s="16"/>
      <c r="K311" s="16"/>
    </row>
    <row r="312" customFormat="false" ht="15" hidden="false" customHeight="false" outlineLevel="0" collapsed="false">
      <c r="A312" s="15" t="n">
        <v>47757</v>
      </c>
      <c r="B312" s="16"/>
      <c r="C312" s="16"/>
      <c r="D312" s="16"/>
      <c r="E312" s="16"/>
      <c r="F312" s="16"/>
      <c r="G312" s="16"/>
      <c r="H312" s="16"/>
      <c r="I312" s="16"/>
      <c r="J312" s="16"/>
      <c r="K312" s="16"/>
    </row>
    <row r="313" customFormat="false" ht="15" hidden="false" customHeight="false" outlineLevel="0" collapsed="false">
      <c r="A313" s="15" t="n">
        <v>47788</v>
      </c>
      <c r="B313" s="16"/>
      <c r="C313" s="16"/>
      <c r="D313" s="16"/>
      <c r="E313" s="16"/>
      <c r="F313" s="16"/>
      <c r="G313" s="16"/>
      <c r="H313" s="16"/>
      <c r="I313" s="16"/>
      <c r="J313" s="16"/>
      <c r="K313" s="16"/>
    </row>
    <row r="314" customFormat="false" ht="15" hidden="false" customHeight="false" outlineLevel="0" collapsed="false">
      <c r="A314" s="15" t="n">
        <v>47818</v>
      </c>
      <c r="B314" s="16"/>
      <c r="C314" s="16"/>
      <c r="D314" s="16"/>
      <c r="E314" s="16"/>
      <c r="F314" s="16"/>
      <c r="G314" s="16"/>
      <c r="H314" s="16"/>
      <c r="I314" s="16"/>
      <c r="J314" s="16"/>
      <c r="K314" s="1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4" min="3" style="0" width="9"/>
    <col collapsed="false" customWidth="true" hidden="false" outlineLevel="0" max="8" min="5" style="0" width="12"/>
    <col collapsed="false" customWidth="true" hidden="false" outlineLevel="0" max="9" min="9" style="0" width="2"/>
    <col collapsed="false" customWidth="true" hidden="false" outlineLevel="0" max="10" min="10" style="0" width="7"/>
    <col collapsed="false" customWidth="true" hidden="false" outlineLevel="0" max="11" min="11" style="0" width="14"/>
    <col collapsed="false" customWidth="true" hidden="false" outlineLevel="0" max="12" min="12" style="0" width="9"/>
    <col collapsed="false" customWidth="true" hidden="false" outlineLevel="0" max="13" min="13" style="0" width="14"/>
    <col collapsed="false" customWidth="true" hidden="false" outlineLevel="0" max="14" min="14" style="0" width="2"/>
  </cols>
  <sheetData>
    <row r="1" customFormat="false" ht="22.05" hidden="false" customHeight="false" outlineLevel="0" collapsed="false">
      <c r="A1" s="1" t="s">
        <v>104</v>
      </c>
    </row>
    <row r="2" customFormat="false" ht="15" hidden="false" customHeight="false" outlineLevel="0" collapsed="false">
      <c r="A2" s="6" t="s">
        <v>105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4" customFormat="false" ht="21.75" hidden="false" customHeight="true" outlineLevel="0" collapsed="false">
      <c r="A4" s="17" t="str">
        <f aca="false">Index!$A$5&amp;"   ("&amp;Index!$I$5&amp;")"</f>
        <v>Real GDP (SA)   (Mn 2004 ARS)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</row>
    <row r="5" customFormat="false" ht="15" hidden="false" customHeight="false" outlineLevel="0" collapsed="false">
      <c r="A5" s="4" t="s">
        <v>106</v>
      </c>
      <c r="B5" s="18" t="str">
        <f aca="false">Index!$J$5</f>
        <v>avg</v>
      </c>
      <c r="C5" s="4" t="s">
        <v>107</v>
      </c>
      <c r="D5" s="19" t="str">
        <f aca="false">Index!$D$5&amp;" ["&amp;Index!$F$5&amp;Index!$G$5&amp;":"&amp;Index!$F$5&amp;Index!$H$5&amp;"]"</f>
        <v>Data_Quarterly [B2:B200]</v>
      </c>
      <c r="E5" s="19"/>
      <c r="F5" s="19"/>
      <c r="G5" s="19"/>
      <c r="H5" s="19"/>
    </row>
    <row r="6" customFormat="false" ht="15" hidden="false" customHeight="false" outlineLevel="0" collapsed="false">
      <c r="A6" s="4" t="s">
        <v>108</v>
      </c>
      <c r="B6" s="6" t="str">
        <f aca="false">IF(Index!$K$5="","",Index!$K$5)</f>
        <v/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</row>
    <row r="7" customFormat="false" ht="15" hidden="false" customHeight="false" outlineLevel="0" collapsed="false">
      <c r="A7" s="4" t="s">
        <v>109</v>
      </c>
      <c r="B7" s="4" t="s">
        <v>110</v>
      </c>
      <c r="C7" s="20" t="str">
        <f aca="false">IFERROR(LOOKUP(2,1/($B$10:$B$101&lt;&gt;""),$B$10:$B$101),"")</f>
        <v/>
      </c>
      <c r="D7" s="4" t="s">
        <v>111</v>
      </c>
      <c r="E7" s="21" t="str">
        <f aca="false">IFERROR(LOOKUP(2,1/($B$10:$B$101&lt;&gt;""),$A$10:$A$101),"")</f>
        <v/>
      </c>
      <c r="F7" s="4" t="s">
        <v>112</v>
      </c>
      <c r="G7" s="22" t="str">
        <f aca="false">IFERROR(C7/INDEX($B$10:$B$101,MATCH(EDATE(E7,-12),$A$10:$A$101,0))-1,"")</f>
        <v/>
      </c>
    </row>
    <row r="8" customFormat="false" ht="18" hidden="false" customHeight="true" outlineLevel="0" collapsed="false">
      <c r="A8" s="23" t="s">
        <v>113</v>
      </c>
      <c r="B8" s="23"/>
      <c r="C8" s="23"/>
      <c r="D8" s="23"/>
      <c r="E8" s="23"/>
      <c r="F8" s="23"/>
      <c r="J8" s="23" t="s">
        <v>114</v>
      </c>
      <c r="K8" s="23"/>
      <c r="L8" s="23"/>
      <c r="M8" s="23"/>
    </row>
    <row r="9" customFormat="false" ht="15" hidden="false" customHeight="false" outlineLevel="0" collapsed="false">
      <c r="A9" s="7" t="s">
        <v>95</v>
      </c>
      <c r="B9" s="7" t="s">
        <v>115</v>
      </c>
      <c r="C9" s="7" t="s">
        <v>116</v>
      </c>
      <c r="D9" s="7" t="s">
        <v>117</v>
      </c>
      <c r="E9" s="7" t="s">
        <v>118</v>
      </c>
      <c r="F9" s="7" t="s">
        <v>119</v>
      </c>
      <c r="J9" s="7" t="s">
        <v>120</v>
      </c>
      <c r="K9" s="7" t="s">
        <v>115</v>
      </c>
      <c r="L9" s="7" t="s">
        <v>117</v>
      </c>
      <c r="M9" s="7" t="s">
        <v>121</v>
      </c>
    </row>
    <row r="10" customFormat="false" ht="15" hidden="false" customHeight="false" outlineLevel="0" collapsed="false">
      <c r="A10" s="15" t="n">
        <v>39448</v>
      </c>
      <c r="B10" s="20" t="str">
        <f aca="true">IFERROR(IF(AVERAGEIFS(INDIRECT(Index!$M$5),INDIRECT(Index!$L$5),"&gt;="&amp;$A10,INDIRECT(Index!$L$5),"&lt;"&amp;EDATE($A10,3))=0,"",AVERAGEIFS(INDIRECT(Index!$M$5),INDIRECT(Index!$L$5),"&gt;="&amp;$A10,INDIRECT(Index!$L$5),"&lt;"&amp;EDATE($A10,3))),"")</f>
        <v/>
      </c>
      <c r="C10" s="24"/>
      <c r="D10" s="24"/>
      <c r="E10" s="25" t="str">
        <f aca="false">IFERROR(IF(AND(B10="",ISNUMBER($C$7),ISNUMBER($G$7)),$C$7*(1+$G$7)^(($A10-$E$7)/365.25),""),"")</f>
        <v/>
      </c>
      <c r="F10" s="25" t="str">
        <f aca="false">IFERROR(IF(AND(B10="",ISNUMBER($C$7),ISNUMBER($G$7)),$C$7*(1+$G$7*0.85^MAX(0,($A10-$E$7)/91.25))^(($A10-$E$7)/365.25),""),"")</f>
        <v/>
      </c>
      <c r="J10" s="26" t="n">
        <v>2008</v>
      </c>
      <c r="K10" s="25" t="str">
        <f aca="false">IFERROR(AVERAGEIFS($B$10:$B$101,$A$10:$A$101,"&gt;="&amp;DATE(J10,1,1),$A$10:$A$101,"&lt;="&amp;DATE(J10,12,31)),"")</f>
        <v/>
      </c>
      <c r="L10" s="24"/>
      <c r="M10" s="25" t="str">
        <f aca="false">IFERROR(AVERAGEIFS($E$10:$E$101,$A$10:$A$101,"&gt;="&amp;DATE(J10,1,1),$A$10:$A$101,"&lt;="&amp;DATE(J10,12,31)),"")</f>
        <v/>
      </c>
    </row>
    <row r="11" customFormat="false" ht="15" hidden="false" customHeight="false" outlineLevel="0" collapsed="false">
      <c r="A11" s="27" t="n">
        <v>39539</v>
      </c>
      <c r="B11" s="28" t="str">
        <f aca="true">IFERROR(IF(AVERAGEIFS(INDIRECT(Index!$M$5),INDIRECT(Index!$L$5),"&gt;="&amp;$A11,INDIRECT(Index!$L$5),"&lt;"&amp;EDATE($A11,3))=0,"",AVERAGEIFS(INDIRECT(Index!$M$5),INDIRECT(Index!$L$5),"&gt;="&amp;$A11,INDIRECT(Index!$L$5),"&lt;"&amp;EDATE($A11,3))),"")</f>
        <v/>
      </c>
      <c r="C11" s="29" t="str">
        <f aca="false">IFERROR(B11/B10-1,"")</f>
        <v/>
      </c>
      <c r="D11" s="30"/>
      <c r="E11" s="31" t="str">
        <f aca="false">IFERROR(IF(AND(B11="",ISNUMBER($C$7),ISNUMBER($G$7)),$C$7*(1+$G$7)^(($A11-$E$7)/365.25),""),"")</f>
        <v/>
      </c>
      <c r="F11" s="31" t="str">
        <f aca="false">IFERROR(IF(AND(B11="",ISNUMBER($C$7),ISNUMBER($G$7)),$C$7*(1+$G$7*0.85^MAX(0,($A11-$E$7)/91.25))^(($A11-$E$7)/365.25),""),"")</f>
        <v/>
      </c>
      <c r="J11" s="32" t="n">
        <v>2009</v>
      </c>
      <c r="K11" s="31" t="str">
        <f aca="false">IFERROR(AVERAGEIFS($B$10:$B$101,$A$10:$A$101,"&gt;="&amp;DATE(J11,1,1),$A$10:$A$101,"&lt;="&amp;DATE(J11,12,31)),"")</f>
        <v/>
      </c>
      <c r="L11" s="29" t="str">
        <f aca="false">IFERROR(K11/K10-1,"")</f>
        <v/>
      </c>
      <c r="M11" s="31" t="str">
        <f aca="false">IFERROR(AVERAGEIFS($E$10:$E$101,$A$10:$A$101,"&gt;="&amp;DATE(J11,1,1),$A$10:$A$101,"&lt;="&amp;DATE(J11,12,31)),"")</f>
        <v/>
      </c>
    </row>
    <row r="12" customFormat="false" ht="15" hidden="false" customHeight="false" outlineLevel="0" collapsed="false">
      <c r="A12" s="15" t="n">
        <v>39630</v>
      </c>
      <c r="B12" s="20" t="str">
        <f aca="true">IFERROR(IF(AVERAGEIFS(INDIRECT(Index!$M$5),INDIRECT(Index!$L$5),"&gt;="&amp;$A12,INDIRECT(Index!$L$5),"&lt;"&amp;EDATE($A12,3))=0,"",AVERAGEIFS(INDIRECT(Index!$M$5),INDIRECT(Index!$L$5),"&gt;="&amp;$A12,INDIRECT(Index!$L$5),"&lt;"&amp;EDATE($A12,3))),"")</f>
        <v/>
      </c>
      <c r="C12" s="33" t="str">
        <f aca="false">IFERROR(B12/B11-1,"")</f>
        <v/>
      </c>
      <c r="D12" s="24"/>
      <c r="E12" s="25" t="str">
        <f aca="false">IFERROR(IF(AND(B12="",ISNUMBER($C$7),ISNUMBER($G$7)),$C$7*(1+$G$7)^(($A12-$E$7)/365.25),""),"")</f>
        <v/>
      </c>
      <c r="F12" s="25" t="str">
        <f aca="false">IFERROR(IF(AND(B12="",ISNUMBER($C$7),ISNUMBER($G$7)),$C$7*(1+$G$7*0.85^MAX(0,($A12-$E$7)/91.25))^(($A12-$E$7)/365.25),""),"")</f>
        <v/>
      </c>
      <c r="J12" s="26" t="n">
        <v>2010</v>
      </c>
      <c r="K12" s="25" t="str">
        <f aca="false">IFERROR(AVERAGEIFS($B$10:$B$101,$A$10:$A$101,"&gt;="&amp;DATE(J12,1,1),$A$10:$A$101,"&lt;="&amp;DATE(J12,12,31)),"")</f>
        <v/>
      </c>
      <c r="L12" s="33" t="str">
        <f aca="false">IFERROR(K12/K11-1,"")</f>
        <v/>
      </c>
      <c r="M12" s="25" t="str">
        <f aca="false">IFERROR(AVERAGEIFS($E$10:$E$101,$A$10:$A$101,"&gt;="&amp;DATE(J12,1,1),$A$10:$A$101,"&lt;="&amp;DATE(J12,12,31)),"")</f>
        <v/>
      </c>
    </row>
    <row r="13" customFormat="false" ht="15" hidden="false" customHeight="false" outlineLevel="0" collapsed="false">
      <c r="A13" s="27" t="n">
        <v>39722</v>
      </c>
      <c r="B13" s="28" t="str">
        <f aca="true">IFERROR(IF(AVERAGEIFS(INDIRECT(Index!$M$5),INDIRECT(Index!$L$5),"&gt;="&amp;$A13,INDIRECT(Index!$L$5),"&lt;"&amp;EDATE($A13,3))=0,"",AVERAGEIFS(INDIRECT(Index!$M$5),INDIRECT(Index!$L$5),"&gt;="&amp;$A13,INDIRECT(Index!$L$5),"&lt;"&amp;EDATE($A13,3))),"")</f>
        <v/>
      </c>
      <c r="C13" s="29" t="str">
        <f aca="false">IFERROR(B13/B12-1,"")</f>
        <v/>
      </c>
      <c r="D13" s="30"/>
      <c r="E13" s="31" t="str">
        <f aca="false">IFERROR(IF(AND(B13="",ISNUMBER($C$7),ISNUMBER($G$7)),$C$7*(1+$G$7)^(($A13-$E$7)/365.25),""),"")</f>
        <v/>
      </c>
      <c r="F13" s="31" t="str">
        <f aca="false">IFERROR(IF(AND(B13="",ISNUMBER($C$7),ISNUMBER($G$7)),$C$7*(1+$G$7*0.85^MAX(0,($A13-$E$7)/91.25))^(($A13-$E$7)/365.25),""),"")</f>
        <v/>
      </c>
      <c r="J13" s="32" t="n">
        <v>2011</v>
      </c>
      <c r="K13" s="31" t="str">
        <f aca="false">IFERROR(AVERAGEIFS($B$10:$B$101,$A$10:$A$101,"&gt;="&amp;DATE(J13,1,1),$A$10:$A$101,"&lt;="&amp;DATE(J13,12,31)),"")</f>
        <v/>
      </c>
      <c r="L13" s="29" t="str">
        <f aca="false">IFERROR(K13/K12-1,"")</f>
        <v/>
      </c>
      <c r="M13" s="31" t="str">
        <f aca="false">IFERROR(AVERAGEIFS($E$10:$E$101,$A$10:$A$101,"&gt;="&amp;DATE(J13,1,1),$A$10:$A$101,"&lt;="&amp;DATE(J13,12,31)),"")</f>
        <v/>
      </c>
    </row>
    <row r="14" customFormat="false" ht="15" hidden="false" customHeight="false" outlineLevel="0" collapsed="false">
      <c r="A14" s="15" t="n">
        <v>39814</v>
      </c>
      <c r="B14" s="20" t="str">
        <f aca="true">IFERROR(IF(AVERAGEIFS(INDIRECT(Index!$M$5),INDIRECT(Index!$L$5),"&gt;="&amp;$A14,INDIRECT(Index!$L$5),"&lt;"&amp;EDATE($A14,3))=0,"",AVERAGEIFS(INDIRECT(Index!$M$5),INDIRECT(Index!$L$5),"&gt;="&amp;$A14,INDIRECT(Index!$L$5),"&lt;"&amp;EDATE($A14,3))),"")</f>
        <v/>
      </c>
      <c r="C14" s="33" t="str">
        <f aca="false">IFERROR(B14/B13-1,"")</f>
        <v/>
      </c>
      <c r="D14" s="33" t="str">
        <f aca="false">IFERROR(B14/B10-1,"")</f>
        <v/>
      </c>
      <c r="E14" s="25" t="str">
        <f aca="false">IFERROR(IF(AND(B14="",ISNUMBER($C$7),ISNUMBER($G$7)),$C$7*(1+$G$7)^(($A14-$E$7)/365.25),""),"")</f>
        <v/>
      </c>
      <c r="F14" s="25" t="str">
        <f aca="false">IFERROR(IF(AND(B14="",ISNUMBER($C$7),ISNUMBER($G$7)),$C$7*(1+$G$7*0.85^MAX(0,($A14-$E$7)/91.25))^(($A14-$E$7)/365.25),""),"")</f>
        <v/>
      </c>
      <c r="J14" s="26" t="n">
        <v>2012</v>
      </c>
      <c r="K14" s="25" t="str">
        <f aca="false">IFERROR(AVERAGEIFS($B$10:$B$101,$A$10:$A$101,"&gt;="&amp;DATE(J14,1,1),$A$10:$A$101,"&lt;="&amp;DATE(J14,12,31)),"")</f>
        <v/>
      </c>
      <c r="L14" s="33" t="str">
        <f aca="false">IFERROR(K14/K13-1,"")</f>
        <v/>
      </c>
      <c r="M14" s="25" t="str">
        <f aca="false">IFERROR(AVERAGEIFS($E$10:$E$101,$A$10:$A$101,"&gt;="&amp;DATE(J14,1,1),$A$10:$A$101,"&lt;="&amp;DATE(J14,12,31)),"")</f>
        <v/>
      </c>
    </row>
    <row r="15" customFormat="false" ht="15" hidden="false" customHeight="false" outlineLevel="0" collapsed="false">
      <c r="A15" s="27" t="n">
        <v>39904</v>
      </c>
      <c r="B15" s="28" t="str">
        <f aca="true">IFERROR(IF(AVERAGEIFS(INDIRECT(Index!$M$5),INDIRECT(Index!$L$5),"&gt;="&amp;$A15,INDIRECT(Index!$L$5),"&lt;"&amp;EDATE($A15,3))=0,"",AVERAGEIFS(INDIRECT(Index!$M$5),INDIRECT(Index!$L$5),"&gt;="&amp;$A15,INDIRECT(Index!$L$5),"&lt;"&amp;EDATE($A15,3))),"")</f>
        <v/>
      </c>
      <c r="C15" s="29" t="str">
        <f aca="false">IFERROR(B15/B14-1,"")</f>
        <v/>
      </c>
      <c r="D15" s="29" t="str">
        <f aca="false">IFERROR(B15/B11-1,"")</f>
        <v/>
      </c>
      <c r="E15" s="31" t="str">
        <f aca="false">IFERROR(IF(AND(B15="",ISNUMBER($C$7),ISNUMBER($G$7)),$C$7*(1+$G$7)^(($A15-$E$7)/365.25),""),"")</f>
        <v/>
      </c>
      <c r="F15" s="31" t="str">
        <f aca="false">IFERROR(IF(AND(B15="",ISNUMBER($C$7),ISNUMBER($G$7)),$C$7*(1+$G$7*0.85^MAX(0,($A15-$E$7)/91.25))^(($A15-$E$7)/365.25),""),"")</f>
        <v/>
      </c>
      <c r="J15" s="32" t="n">
        <v>2013</v>
      </c>
      <c r="K15" s="31" t="str">
        <f aca="false">IFERROR(AVERAGEIFS($B$10:$B$101,$A$10:$A$101,"&gt;="&amp;DATE(J15,1,1),$A$10:$A$101,"&lt;="&amp;DATE(J15,12,31)),"")</f>
        <v/>
      </c>
      <c r="L15" s="29" t="str">
        <f aca="false">IFERROR(K15/K14-1,"")</f>
        <v/>
      </c>
      <c r="M15" s="31" t="str">
        <f aca="false">IFERROR(AVERAGEIFS($E$10:$E$101,$A$10:$A$101,"&gt;="&amp;DATE(J15,1,1),$A$10:$A$101,"&lt;="&amp;DATE(J15,12,31)),"")</f>
        <v/>
      </c>
    </row>
    <row r="16" customFormat="false" ht="15" hidden="false" customHeight="false" outlineLevel="0" collapsed="false">
      <c r="A16" s="15" t="n">
        <v>39995</v>
      </c>
      <c r="B16" s="20" t="str">
        <f aca="true">IFERROR(IF(AVERAGEIFS(INDIRECT(Index!$M$5),INDIRECT(Index!$L$5),"&gt;="&amp;$A16,INDIRECT(Index!$L$5),"&lt;"&amp;EDATE($A16,3))=0,"",AVERAGEIFS(INDIRECT(Index!$M$5),INDIRECT(Index!$L$5),"&gt;="&amp;$A16,INDIRECT(Index!$L$5),"&lt;"&amp;EDATE($A16,3))),"")</f>
        <v/>
      </c>
      <c r="C16" s="33" t="str">
        <f aca="false">IFERROR(B16/B15-1,"")</f>
        <v/>
      </c>
      <c r="D16" s="33" t="str">
        <f aca="false">IFERROR(B16/B12-1,"")</f>
        <v/>
      </c>
      <c r="E16" s="25" t="str">
        <f aca="false">IFERROR(IF(AND(B16="",ISNUMBER($C$7),ISNUMBER($G$7)),$C$7*(1+$G$7)^(($A16-$E$7)/365.25),""),"")</f>
        <v/>
      </c>
      <c r="F16" s="25" t="str">
        <f aca="false">IFERROR(IF(AND(B16="",ISNUMBER($C$7),ISNUMBER($G$7)),$C$7*(1+$G$7*0.85^MAX(0,($A16-$E$7)/91.25))^(($A16-$E$7)/365.25),""),"")</f>
        <v/>
      </c>
      <c r="J16" s="26" t="n">
        <v>2014</v>
      </c>
      <c r="K16" s="25" t="str">
        <f aca="false">IFERROR(AVERAGEIFS($B$10:$B$101,$A$10:$A$101,"&gt;="&amp;DATE(J16,1,1),$A$10:$A$101,"&lt;="&amp;DATE(J16,12,31)),"")</f>
        <v/>
      </c>
      <c r="L16" s="33" t="str">
        <f aca="false">IFERROR(K16/K15-1,"")</f>
        <v/>
      </c>
      <c r="M16" s="25" t="str">
        <f aca="false">IFERROR(AVERAGEIFS($E$10:$E$101,$A$10:$A$101,"&gt;="&amp;DATE(J16,1,1),$A$10:$A$101,"&lt;="&amp;DATE(J16,12,31)),"")</f>
        <v/>
      </c>
    </row>
    <row r="17" customFormat="false" ht="15" hidden="false" customHeight="false" outlineLevel="0" collapsed="false">
      <c r="A17" s="27" t="n">
        <v>40087</v>
      </c>
      <c r="B17" s="28" t="str">
        <f aca="true">IFERROR(IF(AVERAGEIFS(INDIRECT(Index!$M$5),INDIRECT(Index!$L$5),"&gt;="&amp;$A17,INDIRECT(Index!$L$5),"&lt;"&amp;EDATE($A17,3))=0,"",AVERAGEIFS(INDIRECT(Index!$M$5),INDIRECT(Index!$L$5),"&gt;="&amp;$A17,INDIRECT(Index!$L$5),"&lt;"&amp;EDATE($A17,3))),"")</f>
        <v/>
      </c>
      <c r="C17" s="29" t="str">
        <f aca="false">IFERROR(B17/B16-1,"")</f>
        <v/>
      </c>
      <c r="D17" s="29" t="str">
        <f aca="false">IFERROR(B17/B13-1,"")</f>
        <v/>
      </c>
      <c r="E17" s="31" t="str">
        <f aca="false">IFERROR(IF(AND(B17="",ISNUMBER($C$7),ISNUMBER($G$7)),$C$7*(1+$G$7)^(($A17-$E$7)/365.25),""),"")</f>
        <v/>
      </c>
      <c r="F17" s="31" t="str">
        <f aca="false">IFERROR(IF(AND(B17="",ISNUMBER($C$7),ISNUMBER($G$7)),$C$7*(1+$G$7*0.85^MAX(0,($A17-$E$7)/91.25))^(($A17-$E$7)/365.25),""),"")</f>
        <v/>
      </c>
      <c r="J17" s="32" t="n">
        <v>2015</v>
      </c>
      <c r="K17" s="31" t="str">
        <f aca="false">IFERROR(AVERAGEIFS($B$10:$B$101,$A$10:$A$101,"&gt;="&amp;DATE(J17,1,1),$A$10:$A$101,"&lt;="&amp;DATE(J17,12,31)),"")</f>
        <v/>
      </c>
      <c r="L17" s="29" t="str">
        <f aca="false">IFERROR(K17/K16-1,"")</f>
        <v/>
      </c>
      <c r="M17" s="31" t="str">
        <f aca="false">IFERROR(AVERAGEIFS($E$10:$E$101,$A$10:$A$101,"&gt;="&amp;DATE(J17,1,1),$A$10:$A$101,"&lt;="&amp;DATE(J17,12,31)),"")</f>
        <v/>
      </c>
    </row>
    <row r="18" customFormat="false" ht="15" hidden="false" customHeight="false" outlineLevel="0" collapsed="false">
      <c r="A18" s="15" t="n">
        <v>40179</v>
      </c>
      <c r="B18" s="20" t="str">
        <f aca="true">IFERROR(IF(AVERAGEIFS(INDIRECT(Index!$M$5),INDIRECT(Index!$L$5),"&gt;="&amp;$A18,INDIRECT(Index!$L$5),"&lt;"&amp;EDATE($A18,3))=0,"",AVERAGEIFS(INDIRECT(Index!$M$5),INDIRECT(Index!$L$5),"&gt;="&amp;$A18,INDIRECT(Index!$L$5),"&lt;"&amp;EDATE($A18,3))),"")</f>
        <v/>
      </c>
      <c r="C18" s="33" t="str">
        <f aca="false">IFERROR(B18/B17-1,"")</f>
        <v/>
      </c>
      <c r="D18" s="33" t="str">
        <f aca="false">IFERROR(B18/B14-1,"")</f>
        <v/>
      </c>
      <c r="E18" s="25" t="str">
        <f aca="false">IFERROR(IF(AND(B18="",ISNUMBER($C$7),ISNUMBER($G$7)),$C$7*(1+$G$7)^(($A18-$E$7)/365.25),""),"")</f>
        <v/>
      </c>
      <c r="F18" s="25" t="str">
        <f aca="false">IFERROR(IF(AND(B18="",ISNUMBER($C$7),ISNUMBER($G$7)),$C$7*(1+$G$7*0.85^MAX(0,($A18-$E$7)/91.25))^(($A18-$E$7)/365.25),""),"")</f>
        <v/>
      </c>
      <c r="J18" s="26" t="n">
        <v>2016</v>
      </c>
      <c r="K18" s="25" t="str">
        <f aca="false">IFERROR(AVERAGEIFS($B$10:$B$101,$A$10:$A$101,"&gt;="&amp;DATE(J18,1,1),$A$10:$A$101,"&lt;="&amp;DATE(J18,12,31)),"")</f>
        <v/>
      </c>
      <c r="L18" s="33" t="str">
        <f aca="false">IFERROR(K18/K17-1,"")</f>
        <v/>
      </c>
      <c r="M18" s="25" t="str">
        <f aca="false">IFERROR(AVERAGEIFS($E$10:$E$101,$A$10:$A$101,"&gt;="&amp;DATE(J18,1,1),$A$10:$A$101,"&lt;="&amp;DATE(J18,12,31)),"")</f>
        <v/>
      </c>
    </row>
    <row r="19" customFormat="false" ht="15" hidden="false" customHeight="false" outlineLevel="0" collapsed="false">
      <c r="A19" s="27" t="n">
        <v>40269</v>
      </c>
      <c r="B19" s="28" t="str">
        <f aca="true">IFERROR(IF(AVERAGEIFS(INDIRECT(Index!$M$5),INDIRECT(Index!$L$5),"&gt;="&amp;$A19,INDIRECT(Index!$L$5),"&lt;"&amp;EDATE($A19,3))=0,"",AVERAGEIFS(INDIRECT(Index!$M$5),INDIRECT(Index!$L$5),"&gt;="&amp;$A19,INDIRECT(Index!$L$5),"&lt;"&amp;EDATE($A19,3))),"")</f>
        <v/>
      </c>
      <c r="C19" s="29" t="str">
        <f aca="false">IFERROR(B19/B18-1,"")</f>
        <v/>
      </c>
      <c r="D19" s="29" t="str">
        <f aca="false">IFERROR(B19/B15-1,"")</f>
        <v/>
      </c>
      <c r="E19" s="31" t="str">
        <f aca="false">IFERROR(IF(AND(B19="",ISNUMBER($C$7),ISNUMBER($G$7)),$C$7*(1+$G$7)^(($A19-$E$7)/365.25),""),"")</f>
        <v/>
      </c>
      <c r="F19" s="31" t="str">
        <f aca="false">IFERROR(IF(AND(B19="",ISNUMBER($C$7),ISNUMBER($G$7)),$C$7*(1+$G$7*0.85^MAX(0,($A19-$E$7)/91.25))^(($A19-$E$7)/365.25),""),"")</f>
        <v/>
      </c>
      <c r="J19" s="32" t="n">
        <v>2017</v>
      </c>
      <c r="K19" s="31" t="str">
        <f aca="false">IFERROR(AVERAGEIFS($B$10:$B$101,$A$10:$A$101,"&gt;="&amp;DATE(J19,1,1),$A$10:$A$101,"&lt;="&amp;DATE(J19,12,31)),"")</f>
        <v/>
      </c>
      <c r="L19" s="29" t="str">
        <f aca="false">IFERROR(K19/K18-1,"")</f>
        <v/>
      </c>
      <c r="M19" s="31" t="str">
        <f aca="false">IFERROR(AVERAGEIFS($E$10:$E$101,$A$10:$A$101,"&gt;="&amp;DATE(J19,1,1),$A$10:$A$101,"&lt;="&amp;DATE(J19,12,31)),"")</f>
        <v/>
      </c>
    </row>
    <row r="20" customFormat="false" ht="15" hidden="false" customHeight="false" outlineLevel="0" collapsed="false">
      <c r="A20" s="15" t="n">
        <v>40360</v>
      </c>
      <c r="B20" s="20" t="str">
        <f aca="true">IFERROR(IF(AVERAGEIFS(INDIRECT(Index!$M$5),INDIRECT(Index!$L$5),"&gt;="&amp;$A20,INDIRECT(Index!$L$5),"&lt;"&amp;EDATE($A20,3))=0,"",AVERAGEIFS(INDIRECT(Index!$M$5),INDIRECT(Index!$L$5),"&gt;="&amp;$A20,INDIRECT(Index!$L$5),"&lt;"&amp;EDATE($A20,3))),"")</f>
        <v/>
      </c>
      <c r="C20" s="33" t="str">
        <f aca="false">IFERROR(B20/B19-1,"")</f>
        <v/>
      </c>
      <c r="D20" s="33" t="str">
        <f aca="false">IFERROR(B20/B16-1,"")</f>
        <v/>
      </c>
      <c r="E20" s="25" t="str">
        <f aca="false">IFERROR(IF(AND(B20="",ISNUMBER($C$7),ISNUMBER($G$7)),$C$7*(1+$G$7)^(($A20-$E$7)/365.25),""),"")</f>
        <v/>
      </c>
      <c r="F20" s="25" t="str">
        <f aca="false">IFERROR(IF(AND(B20="",ISNUMBER($C$7),ISNUMBER($G$7)),$C$7*(1+$G$7*0.85^MAX(0,($A20-$E$7)/91.25))^(($A20-$E$7)/365.25),""),"")</f>
        <v/>
      </c>
      <c r="J20" s="26" t="n">
        <v>2018</v>
      </c>
      <c r="K20" s="25" t="str">
        <f aca="false">IFERROR(AVERAGEIFS($B$10:$B$101,$A$10:$A$101,"&gt;="&amp;DATE(J20,1,1),$A$10:$A$101,"&lt;="&amp;DATE(J20,12,31)),"")</f>
        <v/>
      </c>
      <c r="L20" s="33" t="str">
        <f aca="false">IFERROR(K20/K19-1,"")</f>
        <v/>
      </c>
      <c r="M20" s="25" t="str">
        <f aca="false">IFERROR(AVERAGEIFS($E$10:$E$101,$A$10:$A$101,"&gt;="&amp;DATE(J20,1,1),$A$10:$A$101,"&lt;="&amp;DATE(J20,12,31)),"")</f>
        <v/>
      </c>
    </row>
    <row r="21" customFormat="false" ht="15" hidden="false" customHeight="false" outlineLevel="0" collapsed="false">
      <c r="A21" s="27" t="n">
        <v>40452</v>
      </c>
      <c r="B21" s="28" t="str">
        <f aca="true">IFERROR(IF(AVERAGEIFS(INDIRECT(Index!$M$5),INDIRECT(Index!$L$5),"&gt;="&amp;$A21,INDIRECT(Index!$L$5),"&lt;"&amp;EDATE($A21,3))=0,"",AVERAGEIFS(INDIRECT(Index!$M$5),INDIRECT(Index!$L$5),"&gt;="&amp;$A21,INDIRECT(Index!$L$5),"&lt;"&amp;EDATE($A21,3))),"")</f>
        <v/>
      </c>
      <c r="C21" s="29" t="str">
        <f aca="false">IFERROR(B21/B20-1,"")</f>
        <v/>
      </c>
      <c r="D21" s="29" t="str">
        <f aca="false">IFERROR(B21/B17-1,"")</f>
        <v/>
      </c>
      <c r="E21" s="31" t="str">
        <f aca="false">IFERROR(IF(AND(B21="",ISNUMBER($C$7),ISNUMBER($G$7)),$C$7*(1+$G$7)^(($A21-$E$7)/365.25),""),"")</f>
        <v/>
      </c>
      <c r="F21" s="31" t="str">
        <f aca="false">IFERROR(IF(AND(B21="",ISNUMBER($C$7),ISNUMBER($G$7)),$C$7*(1+$G$7*0.85^MAX(0,($A21-$E$7)/91.25))^(($A21-$E$7)/365.25),""),"")</f>
        <v/>
      </c>
      <c r="J21" s="32" t="n">
        <v>2019</v>
      </c>
      <c r="K21" s="31" t="str">
        <f aca="false">IFERROR(AVERAGEIFS($B$10:$B$101,$A$10:$A$101,"&gt;="&amp;DATE(J21,1,1),$A$10:$A$101,"&lt;="&amp;DATE(J21,12,31)),"")</f>
        <v/>
      </c>
      <c r="L21" s="29" t="str">
        <f aca="false">IFERROR(K21/K20-1,"")</f>
        <v/>
      </c>
      <c r="M21" s="31" t="str">
        <f aca="false">IFERROR(AVERAGEIFS($E$10:$E$101,$A$10:$A$101,"&gt;="&amp;DATE(J21,1,1),$A$10:$A$101,"&lt;="&amp;DATE(J21,12,31)),"")</f>
        <v/>
      </c>
    </row>
    <row r="22" customFormat="false" ht="15" hidden="false" customHeight="false" outlineLevel="0" collapsed="false">
      <c r="A22" s="15" t="n">
        <v>40544</v>
      </c>
      <c r="B22" s="20" t="str">
        <f aca="true">IFERROR(IF(AVERAGEIFS(INDIRECT(Index!$M$5),INDIRECT(Index!$L$5),"&gt;="&amp;$A22,INDIRECT(Index!$L$5),"&lt;"&amp;EDATE($A22,3))=0,"",AVERAGEIFS(INDIRECT(Index!$M$5),INDIRECT(Index!$L$5),"&gt;="&amp;$A22,INDIRECT(Index!$L$5),"&lt;"&amp;EDATE($A22,3))),"")</f>
        <v/>
      </c>
      <c r="C22" s="33" t="str">
        <f aca="false">IFERROR(B22/B21-1,"")</f>
        <v/>
      </c>
      <c r="D22" s="33" t="str">
        <f aca="false">IFERROR(B22/B18-1,"")</f>
        <v/>
      </c>
      <c r="E22" s="25" t="str">
        <f aca="false">IFERROR(IF(AND(B22="",ISNUMBER($C$7),ISNUMBER($G$7)),$C$7*(1+$G$7)^(($A22-$E$7)/365.25),""),"")</f>
        <v/>
      </c>
      <c r="F22" s="25" t="str">
        <f aca="false">IFERROR(IF(AND(B22="",ISNUMBER($C$7),ISNUMBER($G$7)),$C$7*(1+$G$7*0.85^MAX(0,($A22-$E$7)/91.25))^(($A22-$E$7)/365.25),""),"")</f>
        <v/>
      </c>
      <c r="J22" s="26" t="n">
        <v>2020</v>
      </c>
      <c r="K22" s="25" t="str">
        <f aca="false">IFERROR(AVERAGEIFS($B$10:$B$101,$A$10:$A$101,"&gt;="&amp;DATE(J22,1,1),$A$10:$A$101,"&lt;="&amp;DATE(J22,12,31)),"")</f>
        <v/>
      </c>
      <c r="L22" s="33" t="str">
        <f aca="false">IFERROR(K22/K21-1,"")</f>
        <v/>
      </c>
      <c r="M22" s="25" t="str">
        <f aca="false">IFERROR(AVERAGEIFS($E$10:$E$101,$A$10:$A$101,"&gt;="&amp;DATE(J22,1,1),$A$10:$A$101,"&lt;="&amp;DATE(J22,12,31)),"")</f>
        <v/>
      </c>
    </row>
    <row r="23" customFormat="false" ht="15" hidden="false" customHeight="false" outlineLevel="0" collapsed="false">
      <c r="A23" s="27" t="n">
        <v>40634</v>
      </c>
      <c r="B23" s="28" t="str">
        <f aca="true">IFERROR(IF(AVERAGEIFS(INDIRECT(Index!$M$5),INDIRECT(Index!$L$5),"&gt;="&amp;$A23,INDIRECT(Index!$L$5),"&lt;"&amp;EDATE($A23,3))=0,"",AVERAGEIFS(INDIRECT(Index!$M$5),INDIRECT(Index!$L$5),"&gt;="&amp;$A23,INDIRECT(Index!$L$5),"&lt;"&amp;EDATE($A23,3))),"")</f>
        <v/>
      </c>
      <c r="C23" s="29" t="str">
        <f aca="false">IFERROR(B23/B22-1,"")</f>
        <v/>
      </c>
      <c r="D23" s="29" t="str">
        <f aca="false">IFERROR(B23/B19-1,"")</f>
        <v/>
      </c>
      <c r="E23" s="31" t="str">
        <f aca="false">IFERROR(IF(AND(B23="",ISNUMBER($C$7),ISNUMBER($G$7)),$C$7*(1+$G$7)^(($A23-$E$7)/365.25),""),"")</f>
        <v/>
      </c>
      <c r="F23" s="31" t="str">
        <f aca="false">IFERROR(IF(AND(B23="",ISNUMBER($C$7),ISNUMBER($G$7)),$C$7*(1+$G$7*0.85^MAX(0,($A23-$E$7)/91.25))^(($A23-$E$7)/365.25),""),"")</f>
        <v/>
      </c>
      <c r="J23" s="32" t="n">
        <v>2021</v>
      </c>
      <c r="K23" s="31" t="str">
        <f aca="false">IFERROR(AVERAGEIFS($B$10:$B$101,$A$10:$A$101,"&gt;="&amp;DATE(J23,1,1),$A$10:$A$101,"&lt;="&amp;DATE(J23,12,31)),"")</f>
        <v/>
      </c>
      <c r="L23" s="29" t="str">
        <f aca="false">IFERROR(K23/K22-1,"")</f>
        <v/>
      </c>
      <c r="M23" s="31" t="str">
        <f aca="false">IFERROR(AVERAGEIFS($E$10:$E$101,$A$10:$A$101,"&gt;="&amp;DATE(J23,1,1),$A$10:$A$101,"&lt;="&amp;DATE(J23,12,31)),"")</f>
        <v/>
      </c>
    </row>
    <row r="24" customFormat="false" ht="15" hidden="false" customHeight="false" outlineLevel="0" collapsed="false">
      <c r="A24" s="15" t="n">
        <v>40725</v>
      </c>
      <c r="B24" s="20" t="str">
        <f aca="true">IFERROR(IF(AVERAGEIFS(INDIRECT(Index!$M$5),INDIRECT(Index!$L$5),"&gt;="&amp;$A24,INDIRECT(Index!$L$5),"&lt;"&amp;EDATE($A24,3))=0,"",AVERAGEIFS(INDIRECT(Index!$M$5),INDIRECT(Index!$L$5),"&gt;="&amp;$A24,INDIRECT(Index!$L$5),"&lt;"&amp;EDATE($A24,3))),"")</f>
        <v/>
      </c>
      <c r="C24" s="33" t="str">
        <f aca="false">IFERROR(B24/B23-1,"")</f>
        <v/>
      </c>
      <c r="D24" s="33" t="str">
        <f aca="false">IFERROR(B24/B20-1,"")</f>
        <v/>
      </c>
      <c r="E24" s="25" t="str">
        <f aca="false">IFERROR(IF(AND(B24="",ISNUMBER($C$7),ISNUMBER($G$7)),$C$7*(1+$G$7)^(($A24-$E$7)/365.25),""),"")</f>
        <v/>
      </c>
      <c r="F24" s="25" t="str">
        <f aca="false">IFERROR(IF(AND(B24="",ISNUMBER($C$7),ISNUMBER($G$7)),$C$7*(1+$G$7*0.85^MAX(0,($A24-$E$7)/91.25))^(($A24-$E$7)/365.25),""),"")</f>
        <v/>
      </c>
      <c r="J24" s="26" t="n">
        <v>2022</v>
      </c>
      <c r="K24" s="25" t="str">
        <f aca="false">IFERROR(AVERAGEIFS($B$10:$B$101,$A$10:$A$101,"&gt;="&amp;DATE(J24,1,1),$A$10:$A$101,"&lt;="&amp;DATE(J24,12,31)),"")</f>
        <v/>
      </c>
      <c r="L24" s="33" t="str">
        <f aca="false">IFERROR(K24/K23-1,"")</f>
        <v/>
      </c>
      <c r="M24" s="25" t="str">
        <f aca="false">IFERROR(AVERAGEIFS($E$10:$E$101,$A$10:$A$101,"&gt;="&amp;DATE(J24,1,1),$A$10:$A$101,"&lt;="&amp;DATE(J24,12,31)),"")</f>
        <v/>
      </c>
    </row>
    <row r="25" customFormat="false" ht="15" hidden="false" customHeight="false" outlineLevel="0" collapsed="false">
      <c r="A25" s="27" t="n">
        <v>40817</v>
      </c>
      <c r="B25" s="28" t="str">
        <f aca="true">IFERROR(IF(AVERAGEIFS(INDIRECT(Index!$M$5),INDIRECT(Index!$L$5),"&gt;="&amp;$A25,INDIRECT(Index!$L$5),"&lt;"&amp;EDATE($A25,3))=0,"",AVERAGEIFS(INDIRECT(Index!$M$5),INDIRECT(Index!$L$5),"&gt;="&amp;$A25,INDIRECT(Index!$L$5),"&lt;"&amp;EDATE($A25,3))),"")</f>
        <v/>
      </c>
      <c r="C25" s="29" t="str">
        <f aca="false">IFERROR(B25/B24-1,"")</f>
        <v/>
      </c>
      <c r="D25" s="29" t="str">
        <f aca="false">IFERROR(B25/B21-1,"")</f>
        <v/>
      </c>
      <c r="E25" s="31" t="str">
        <f aca="false">IFERROR(IF(AND(B25="",ISNUMBER($C$7),ISNUMBER($G$7)),$C$7*(1+$G$7)^(($A25-$E$7)/365.25),""),"")</f>
        <v/>
      </c>
      <c r="F25" s="31" t="str">
        <f aca="false">IFERROR(IF(AND(B25="",ISNUMBER($C$7),ISNUMBER($G$7)),$C$7*(1+$G$7*0.85^MAX(0,($A25-$E$7)/91.25))^(($A25-$E$7)/365.25),""),"")</f>
        <v/>
      </c>
      <c r="J25" s="32" t="n">
        <v>2023</v>
      </c>
      <c r="K25" s="31" t="str">
        <f aca="false">IFERROR(AVERAGEIFS($B$10:$B$101,$A$10:$A$101,"&gt;="&amp;DATE(J25,1,1),$A$10:$A$101,"&lt;="&amp;DATE(J25,12,31)),"")</f>
        <v/>
      </c>
      <c r="L25" s="29" t="str">
        <f aca="false">IFERROR(K25/K24-1,"")</f>
        <v/>
      </c>
      <c r="M25" s="31" t="str">
        <f aca="false">IFERROR(AVERAGEIFS($E$10:$E$101,$A$10:$A$101,"&gt;="&amp;DATE(J25,1,1),$A$10:$A$101,"&lt;="&amp;DATE(J25,12,31)),"")</f>
        <v/>
      </c>
    </row>
    <row r="26" customFormat="false" ht="15" hidden="false" customHeight="false" outlineLevel="0" collapsed="false">
      <c r="A26" s="15" t="n">
        <v>40909</v>
      </c>
      <c r="B26" s="20" t="str">
        <f aca="true">IFERROR(IF(AVERAGEIFS(INDIRECT(Index!$M$5),INDIRECT(Index!$L$5),"&gt;="&amp;$A26,INDIRECT(Index!$L$5),"&lt;"&amp;EDATE($A26,3))=0,"",AVERAGEIFS(INDIRECT(Index!$M$5),INDIRECT(Index!$L$5),"&gt;="&amp;$A26,INDIRECT(Index!$L$5),"&lt;"&amp;EDATE($A26,3))),"")</f>
        <v/>
      </c>
      <c r="C26" s="33" t="str">
        <f aca="false">IFERROR(B26/B25-1,"")</f>
        <v/>
      </c>
      <c r="D26" s="33" t="str">
        <f aca="false">IFERROR(B26/B22-1,"")</f>
        <v/>
      </c>
      <c r="E26" s="25" t="str">
        <f aca="false">IFERROR(IF(AND(B26="",ISNUMBER($C$7),ISNUMBER($G$7)),$C$7*(1+$G$7)^(($A26-$E$7)/365.25),""),"")</f>
        <v/>
      </c>
      <c r="F26" s="25" t="str">
        <f aca="false">IFERROR(IF(AND(B26="",ISNUMBER($C$7),ISNUMBER($G$7)),$C$7*(1+$G$7*0.85^MAX(0,($A26-$E$7)/91.25))^(($A26-$E$7)/365.25),""),"")</f>
        <v/>
      </c>
      <c r="J26" s="26" t="n">
        <v>2024</v>
      </c>
      <c r="K26" s="25" t="str">
        <f aca="false">IFERROR(AVERAGEIFS($B$10:$B$101,$A$10:$A$101,"&gt;="&amp;DATE(J26,1,1),$A$10:$A$101,"&lt;="&amp;DATE(J26,12,31)),"")</f>
        <v/>
      </c>
      <c r="L26" s="33" t="str">
        <f aca="false">IFERROR(K26/K25-1,"")</f>
        <v/>
      </c>
      <c r="M26" s="25" t="str">
        <f aca="false">IFERROR(AVERAGEIFS($E$10:$E$101,$A$10:$A$101,"&gt;="&amp;DATE(J26,1,1),$A$10:$A$101,"&lt;="&amp;DATE(J26,12,31)),"")</f>
        <v/>
      </c>
    </row>
    <row r="27" customFormat="false" ht="15" hidden="false" customHeight="false" outlineLevel="0" collapsed="false">
      <c r="A27" s="27" t="n">
        <v>41000</v>
      </c>
      <c r="B27" s="28" t="str">
        <f aca="true">IFERROR(IF(AVERAGEIFS(INDIRECT(Index!$M$5),INDIRECT(Index!$L$5),"&gt;="&amp;$A27,INDIRECT(Index!$L$5),"&lt;"&amp;EDATE($A27,3))=0,"",AVERAGEIFS(INDIRECT(Index!$M$5),INDIRECT(Index!$L$5),"&gt;="&amp;$A27,INDIRECT(Index!$L$5),"&lt;"&amp;EDATE($A27,3))),"")</f>
        <v/>
      </c>
      <c r="C27" s="29" t="str">
        <f aca="false">IFERROR(B27/B26-1,"")</f>
        <v/>
      </c>
      <c r="D27" s="29" t="str">
        <f aca="false">IFERROR(B27/B23-1,"")</f>
        <v/>
      </c>
      <c r="E27" s="31" t="str">
        <f aca="false">IFERROR(IF(AND(B27="",ISNUMBER($C$7),ISNUMBER($G$7)),$C$7*(1+$G$7)^(($A27-$E$7)/365.25),""),"")</f>
        <v/>
      </c>
      <c r="F27" s="31" t="str">
        <f aca="false">IFERROR(IF(AND(B27="",ISNUMBER($C$7),ISNUMBER($G$7)),$C$7*(1+$G$7*0.85^MAX(0,($A27-$E$7)/91.25))^(($A27-$E$7)/365.25),""),"")</f>
        <v/>
      </c>
      <c r="J27" s="32" t="n">
        <v>2025</v>
      </c>
      <c r="K27" s="31" t="str">
        <f aca="false">IFERROR(AVERAGEIFS($B$10:$B$101,$A$10:$A$101,"&gt;="&amp;DATE(J27,1,1),$A$10:$A$101,"&lt;="&amp;DATE(J27,12,31)),"")</f>
        <v/>
      </c>
      <c r="L27" s="29" t="str">
        <f aca="false">IFERROR(K27/K26-1,"")</f>
        <v/>
      </c>
      <c r="M27" s="31" t="str">
        <f aca="false">IFERROR(AVERAGEIFS($E$10:$E$101,$A$10:$A$101,"&gt;="&amp;DATE(J27,1,1),$A$10:$A$101,"&lt;="&amp;DATE(J27,12,31)),"")</f>
        <v/>
      </c>
    </row>
    <row r="28" customFormat="false" ht="15" hidden="false" customHeight="false" outlineLevel="0" collapsed="false">
      <c r="A28" s="15" t="n">
        <v>41091</v>
      </c>
      <c r="B28" s="20" t="str">
        <f aca="true">IFERROR(IF(AVERAGEIFS(INDIRECT(Index!$M$5),INDIRECT(Index!$L$5),"&gt;="&amp;$A28,INDIRECT(Index!$L$5),"&lt;"&amp;EDATE($A28,3))=0,"",AVERAGEIFS(INDIRECT(Index!$M$5),INDIRECT(Index!$L$5),"&gt;="&amp;$A28,INDIRECT(Index!$L$5),"&lt;"&amp;EDATE($A28,3))),"")</f>
        <v/>
      </c>
      <c r="C28" s="33" t="str">
        <f aca="false">IFERROR(B28/B27-1,"")</f>
        <v/>
      </c>
      <c r="D28" s="33" t="str">
        <f aca="false">IFERROR(B28/B24-1,"")</f>
        <v/>
      </c>
      <c r="E28" s="25" t="str">
        <f aca="false">IFERROR(IF(AND(B28="",ISNUMBER($C$7),ISNUMBER($G$7)),$C$7*(1+$G$7)^(($A28-$E$7)/365.25),""),"")</f>
        <v/>
      </c>
      <c r="F28" s="25" t="str">
        <f aca="false">IFERROR(IF(AND(B28="",ISNUMBER($C$7),ISNUMBER($G$7)),$C$7*(1+$G$7*0.85^MAX(0,($A28-$E$7)/91.25))^(($A28-$E$7)/365.25),""),"")</f>
        <v/>
      </c>
      <c r="J28" s="26" t="n">
        <v>2026</v>
      </c>
      <c r="K28" s="25" t="str">
        <f aca="false">IFERROR(AVERAGEIFS($B$10:$B$101,$A$10:$A$101,"&gt;="&amp;DATE(J28,1,1),$A$10:$A$101,"&lt;="&amp;DATE(J28,12,31)),"")</f>
        <v/>
      </c>
      <c r="L28" s="33" t="str">
        <f aca="false">IFERROR(K28/K27-1,"")</f>
        <v/>
      </c>
      <c r="M28" s="25" t="str">
        <f aca="false">IFERROR(AVERAGEIFS($E$10:$E$101,$A$10:$A$101,"&gt;="&amp;DATE(J28,1,1),$A$10:$A$101,"&lt;="&amp;DATE(J28,12,31)),"")</f>
        <v/>
      </c>
    </row>
    <row r="29" customFormat="false" ht="15" hidden="false" customHeight="false" outlineLevel="0" collapsed="false">
      <c r="A29" s="27" t="n">
        <v>41183</v>
      </c>
      <c r="B29" s="28" t="str">
        <f aca="true">IFERROR(IF(AVERAGEIFS(INDIRECT(Index!$M$5),INDIRECT(Index!$L$5),"&gt;="&amp;$A29,INDIRECT(Index!$L$5),"&lt;"&amp;EDATE($A29,3))=0,"",AVERAGEIFS(INDIRECT(Index!$M$5),INDIRECT(Index!$L$5),"&gt;="&amp;$A29,INDIRECT(Index!$L$5),"&lt;"&amp;EDATE($A29,3))),"")</f>
        <v/>
      </c>
      <c r="C29" s="29" t="str">
        <f aca="false">IFERROR(B29/B28-1,"")</f>
        <v/>
      </c>
      <c r="D29" s="29" t="str">
        <f aca="false">IFERROR(B29/B25-1,"")</f>
        <v/>
      </c>
      <c r="E29" s="31" t="str">
        <f aca="false">IFERROR(IF(AND(B29="",ISNUMBER($C$7),ISNUMBER($G$7)),$C$7*(1+$G$7)^(($A29-$E$7)/365.25),""),"")</f>
        <v/>
      </c>
      <c r="F29" s="31" t="str">
        <f aca="false">IFERROR(IF(AND(B29="",ISNUMBER($C$7),ISNUMBER($G$7)),$C$7*(1+$G$7*0.85^MAX(0,($A29-$E$7)/91.25))^(($A29-$E$7)/365.25),""),"")</f>
        <v/>
      </c>
      <c r="J29" s="32" t="n">
        <v>2027</v>
      </c>
      <c r="K29" s="31" t="str">
        <f aca="false">IFERROR(AVERAGEIFS($B$10:$B$101,$A$10:$A$101,"&gt;="&amp;DATE(J29,1,1),$A$10:$A$101,"&lt;="&amp;DATE(J29,12,31)),"")</f>
        <v/>
      </c>
      <c r="L29" s="29" t="str">
        <f aca="false">IFERROR(K29/K28-1,"")</f>
        <v/>
      </c>
      <c r="M29" s="31" t="str">
        <f aca="false">IFERROR(AVERAGEIFS($E$10:$E$101,$A$10:$A$101,"&gt;="&amp;DATE(J29,1,1),$A$10:$A$101,"&lt;="&amp;DATE(J29,12,31)),"")</f>
        <v/>
      </c>
    </row>
    <row r="30" customFormat="false" ht="15" hidden="false" customHeight="false" outlineLevel="0" collapsed="false">
      <c r="A30" s="15" t="n">
        <v>41275</v>
      </c>
      <c r="B30" s="20" t="str">
        <f aca="true">IFERROR(IF(AVERAGEIFS(INDIRECT(Index!$M$5),INDIRECT(Index!$L$5),"&gt;="&amp;$A30,INDIRECT(Index!$L$5),"&lt;"&amp;EDATE($A30,3))=0,"",AVERAGEIFS(INDIRECT(Index!$M$5),INDIRECT(Index!$L$5),"&gt;="&amp;$A30,INDIRECT(Index!$L$5),"&lt;"&amp;EDATE($A30,3))),"")</f>
        <v/>
      </c>
      <c r="C30" s="33" t="str">
        <f aca="false">IFERROR(B30/B29-1,"")</f>
        <v/>
      </c>
      <c r="D30" s="33" t="str">
        <f aca="false">IFERROR(B30/B26-1,"")</f>
        <v/>
      </c>
      <c r="E30" s="25" t="str">
        <f aca="false">IFERROR(IF(AND(B30="",ISNUMBER($C$7),ISNUMBER($G$7)),$C$7*(1+$G$7)^(($A30-$E$7)/365.25),""),"")</f>
        <v/>
      </c>
      <c r="F30" s="25" t="str">
        <f aca="false">IFERROR(IF(AND(B30="",ISNUMBER($C$7),ISNUMBER($G$7)),$C$7*(1+$G$7*0.85^MAX(0,($A30-$E$7)/91.25))^(($A30-$E$7)/365.25),""),"")</f>
        <v/>
      </c>
      <c r="J30" s="26" t="n">
        <v>2028</v>
      </c>
      <c r="K30" s="25" t="str">
        <f aca="false">IFERROR(AVERAGEIFS($B$10:$B$101,$A$10:$A$101,"&gt;="&amp;DATE(J30,1,1),$A$10:$A$101,"&lt;="&amp;DATE(J30,12,31)),"")</f>
        <v/>
      </c>
      <c r="L30" s="33" t="str">
        <f aca="false">IFERROR(K30/K29-1,"")</f>
        <v/>
      </c>
      <c r="M30" s="25" t="str">
        <f aca="false">IFERROR(AVERAGEIFS($E$10:$E$101,$A$10:$A$101,"&gt;="&amp;DATE(J30,1,1),$A$10:$A$101,"&lt;="&amp;DATE(J30,12,31)),"")</f>
        <v/>
      </c>
    </row>
    <row r="31" customFormat="false" ht="15" hidden="false" customHeight="false" outlineLevel="0" collapsed="false">
      <c r="A31" s="27" t="n">
        <v>41365</v>
      </c>
      <c r="B31" s="28" t="str">
        <f aca="true">IFERROR(IF(AVERAGEIFS(INDIRECT(Index!$M$5),INDIRECT(Index!$L$5),"&gt;="&amp;$A31,INDIRECT(Index!$L$5),"&lt;"&amp;EDATE($A31,3))=0,"",AVERAGEIFS(INDIRECT(Index!$M$5),INDIRECT(Index!$L$5),"&gt;="&amp;$A31,INDIRECT(Index!$L$5),"&lt;"&amp;EDATE($A31,3))),"")</f>
        <v/>
      </c>
      <c r="C31" s="29" t="str">
        <f aca="false">IFERROR(B31/B30-1,"")</f>
        <v/>
      </c>
      <c r="D31" s="29" t="str">
        <f aca="false">IFERROR(B31/B27-1,"")</f>
        <v/>
      </c>
      <c r="E31" s="31" t="str">
        <f aca="false">IFERROR(IF(AND(B31="",ISNUMBER($C$7),ISNUMBER($G$7)),$C$7*(1+$G$7)^(($A31-$E$7)/365.25),""),"")</f>
        <v/>
      </c>
      <c r="F31" s="31" t="str">
        <f aca="false">IFERROR(IF(AND(B31="",ISNUMBER($C$7),ISNUMBER($G$7)),$C$7*(1+$G$7*0.85^MAX(0,($A31-$E$7)/91.25))^(($A31-$E$7)/365.25),""),"")</f>
        <v/>
      </c>
      <c r="J31" s="32" t="n">
        <v>2029</v>
      </c>
      <c r="K31" s="31" t="str">
        <f aca="false">IFERROR(AVERAGEIFS($B$10:$B$101,$A$10:$A$101,"&gt;="&amp;DATE(J31,1,1),$A$10:$A$101,"&lt;="&amp;DATE(J31,12,31)),"")</f>
        <v/>
      </c>
      <c r="L31" s="29" t="str">
        <f aca="false">IFERROR(K31/K30-1,"")</f>
        <v/>
      </c>
      <c r="M31" s="31" t="str">
        <f aca="false">IFERROR(AVERAGEIFS($E$10:$E$101,$A$10:$A$101,"&gt;="&amp;DATE(J31,1,1),$A$10:$A$101,"&lt;="&amp;DATE(J31,12,31)),"")</f>
        <v/>
      </c>
    </row>
    <row r="32" customFormat="false" ht="15" hidden="false" customHeight="false" outlineLevel="0" collapsed="false">
      <c r="A32" s="15" t="n">
        <v>41456</v>
      </c>
      <c r="B32" s="20" t="str">
        <f aca="true">IFERROR(IF(AVERAGEIFS(INDIRECT(Index!$M$5),INDIRECT(Index!$L$5),"&gt;="&amp;$A32,INDIRECT(Index!$L$5),"&lt;"&amp;EDATE($A32,3))=0,"",AVERAGEIFS(INDIRECT(Index!$M$5),INDIRECT(Index!$L$5),"&gt;="&amp;$A32,INDIRECT(Index!$L$5),"&lt;"&amp;EDATE($A32,3))),"")</f>
        <v/>
      </c>
      <c r="C32" s="33" t="str">
        <f aca="false">IFERROR(B32/B31-1,"")</f>
        <v/>
      </c>
      <c r="D32" s="33" t="str">
        <f aca="false">IFERROR(B32/B28-1,"")</f>
        <v/>
      </c>
      <c r="E32" s="25" t="str">
        <f aca="false">IFERROR(IF(AND(B32="",ISNUMBER($C$7),ISNUMBER($G$7)),$C$7*(1+$G$7)^(($A32-$E$7)/365.25),""),"")</f>
        <v/>
      </c>
      <c r="F32" s="25" t="str">
        <f aca="false">IFERROR(IF(AND(B32="",ISNUMBER($C$7),ISNUMBER($G$7)),$C$7*(1+$G$7*0.85^MAX(0,($A32-$E$7)/91.25))^(($A32-$E$7)/365.25),""),"")</f>
        <v/>
      </c>
      <c r="J32" s="26" t="n">
        <v>2030</v>
      </c>
      <c r="K32" s="25" t="str">
        <f aca="false">IFERROR(AVERAGEIFS($B$10:$B$101,$A$10:$A$101,"&gt;="&amp;DATE(J32,1,1),$A$10:$A$101,"&lt;="&amp;DATE(J32,12,31)),"")</f>
        <v/>
      </c>
      <c r="L32" s="33" t="str">
        <f aca="false">IFERROR(K32/K31-1,"")</f>
        <v/>
      </c>
      <c r="M32" s="25" t="str">
        <f aca="false">IFERROR(AVERAGEIFS($E$10:$E$101,$A$10:$A$101,"&gt;="&amp;DATE(J32,1,1),$A$10:$A$101,"&lt;="&amp;DATE(J32,12,31)),"")</f>
        <v/>
      </c>
    </row>
    <row r="33" customFormat="false" ht="15" hidden="false" customHeight="false" outlineLevel="0" collapsed="false">
      <c r="A33" s="27" t="n">
        <v>41548</v>
      </c>
      <c r="B33" s="28" t="str">
        <f aca="true">IFERROR(IF(AVERAGEIFS(INDIRECT(Index!$M$5),INDIRECT(Index!$L$5),"&gt;="&amp;$A33,INDIRECT(Index!$L$5),"&lt;"&amp;EDATE($A33,3))=0,"",AVERAGEIFS(INDIRECT(Index!$M$5),INDIRECT(Index!$L$5),"&gt;="&amp;$A33,INDIRECT(Index!$L$5),"&lt;"&amp;EDATE($A33,3))),"")</f>
        <v/>
      </c>
      <c r="C33" s="29" t="str">
        <f aca="false">IFERROR(B33/B32-1,"")</f>
        <v/>
      </c>
      <c r="D33" s="29" t="str">
        <f aca="false">IFERROR(B33/B29-1,"")</f>
        <v/>
      </c>
      <c r="E33" s="31" t="str">
        <f aca="false">IFERROR(IF(AND(B33="",ISNUMBER($C$7),ISNUMBER($G$7)),$C$7*(1+$G$7)^(($A33-$E$7)/365.25),""),"")</f>
        <v/>
      </c>
      <c r="F33" s="31" t="str">
        <f aca="false">IFERROR(IF(AND(B33="",ISNUMBER($C$7),ISNUMBER($G$7)),$C$7*(1+$G$7*0.85^MAX(0,($A33-$E$7)/91.25))^(($A33-$E$7)/365.25),""),"")</f>
        <v/>
      </c>
    </row>
    <row r="34" customFormat="false" ht="15" hidden="false" customHeight="false" outlineLevel="0" collapsed="false">
      <c r="A34" s="15" t="n">
        <v>41640</v>
      </c>
      <c r="B34" s="20" t="str">
        <f aca="true">IFERROR(IF(AVERAGEIFS(INDIRECT(Index!$M$5),INDIRECT(Index!$L$5),"&gt;="&amp;$A34,INDIRECT(Index!$L$5),"&lt;"&amp;EDATE($A34,3))=0,"",AVERAGEIFS(INDIRECT(Index!$M$5),INDIRECT(Index!$L$5),"&gt;="&amp;$A34,INDIRECT(Index!$L$5),"&lt;"&amp;EDATE($A34,3))),"")</f>
        <v/>
      </c>
      <c r="C34" s="33" t="str">
        <f aca="false">IFERROR(B34/B33-1,"")</f>
        <v/>
      </c>
      <c r="D34" s="33" t="str">
        <f aca="false">IFERROR(B34/B30-1,"")</f>
        <v/>
      </c>
      <c r="E34" s="25" t="str">
        <f aca="false">IFERROR(IF(AND(B34="",ISNUMBER($C$7),ISNUMBER($G$7)),$C$7*(1+$G$7)^(($A34-$E$7)/365.25),""),"")</f>
        <v/>
      </c>
      <c r="F34" s="25" t="str">
        <f aca="false">IFERROR(IF(AND(B34="",ISNUMBER($C$7),ISNUMBER($G$7)),$C$7*(1+$G$7*0.85^MAX(0,($A34-$E$7)/91.25))^(($A34-$E$7)/365.25),""),"")</f>
        <v/>
      </c>
    </row>
    <row r="35" customFormat="false" ht="15" hidden="false" customHeight="false" outlineLevel="0" collapsed="false">
      <c r="A35" s="27" t="n">
        <v>41730</v>
      </c>
      <c r="B35" s="28" t="str">
        <f aca="true">IFERROR(IF(AVERAGEIFS(INDIRECT(Index!$M$5),INDIRECT(Index!$L$5),"&gt;="&amp;$A35,INDIRECT(Index!$L$5),"&lt;"&amp;EDATE($A35,3))=0,"",AVERAGEIFS(INDIRECT(Index!$M$5),INDIRECT(Index!$L$5),"&gt;="&amp;$A35,INDIRECT(Index!$L$5),"&lt;"&amp;EDATE($A35,3))),"")</f>
        <v/>
      </c>
      <c r="C35" s="29" t="str">
        <f aca="false">IFERROR(B35/B34-1,"")</f>
        <v/>
      </c>
      <c r="D35" s="29" t="str">
        <f aca="false">IFERROR(B35/B31-1,"")</f>
        <v/>
      </c>
      <c r="E35" s="31" t="str">
        <f aca="false">IFERROR(IF(AND(B35="",ISNUMBER($C$7),ISNUMBER($G$7)),$C$7*(1+$G$7)^(($A35-$E$7)/365.25),""),"")</f>
        <v/>
      </c>
      <c r="F35" s="31" t="str">
        <f aca="false">IFERROR(IF(AND(B35="",ISNUMBER($C$7),ISNUMBER($G$7)),$C$7*(1+$G$7*0.85^MAX(0,($A35-$E$7)/91.25))^(($A35-$E$7)/365.25),""),"")</f>
        <v/>
      </c>
    </row>
    <row r="36" customFormat="false" ht="15" hidden="false" customHeight="false" outlineLevel="0" collapsed="false">
      <c r="A36" s="15" t="n">
        <v>41821</v>
      </c>
      <c r="B36" s="20" t="str">
        <f aca="true">IFERROR(IF(AVERAGEIFS(INDIRECT(Index!$M$5),INDIRECT(Index!$L$5),"&gt;="&amp;$A36,INDIRECT(Index!$L$5),"&lt;"&amp;EDATE($A36,3))=0,"",AVERAGEIFS(INDIRECT(Index!$M$5),INDIRECT(Index!$L$5),"&gt;="&amp;$A36,INDIRECT(Index!$L$5),"&lt;"&amp;EDATE($A36,3))),"")</f>
        <v/>
      </c>
      <c r="C36" s="33" t="str">
        <f aca="false">IFERROR(B36/B35-1,"")</f>
        <v/>
      </c>
      <c r="D36" s="33" t="str">
        <f aca="false">IFERROR(B36/B32-1,"")</f>
        <v/>
      </c>
      <c r="E36" s="25" t="str">
        <f aca="false">IFERROR(IF(AND(B36="",ISNUMBER($C$7),ISNUMBER($G$7)),$C$7*(1+$G$7)^(($A36-$E$7)/365.25),""),"")</f>
        <v/>
      </c>
      <c r="F36" s="25" t="str">
        <f aca="false">IFERROR(IF(AND(B36="",ISNUMBER($C$7),ISNUMBER($G$7)),$C$7*(1+$G$7*0.85^MAX(0,($A36-$E$7)/91.25))^(($A36-$E$7)/365.25),""),"")</f>
        <v/>
      </c>
    </row>
    <row r="37" customFormat="false" ht="15" hidden="false" customHeight="false" outlineLevel="0" collapsed="false">
      <c r="A37" s="27" t="n">
        <v>41913</v>
      </c>
      <c r="B37" s="28" t="str">
        <f aca="true">IFERROR(IF(AVERAGEIFS(INDIRECT(Index!$M$5),INDIRECT(Index!$L$5),"&gt;="&amp;$A37,INDIRECT(Index!$L$5),"&lt;"&amp;EDATE($A37,3))=0,"",AVERAGEIFS(INDIRECT(Index!$M$5),INDIRECT(Index!$L$5),"&gt;="&amp;$A37,INDIRECT(Index!$L$5),"&lt;"&amp;EDATE($A37,3))),"")</f>
        <v/>
      </c>
      <c r="C37" s="29" t="str">
        <f aca="false">IFERROR(B37/B36-1,"")</f>
        <v/>
      </c>
      <c r="D37" s="29" t="str">
        <f aca="false">IFERROR(B37/B33-1,"")</f>
        <v/>
      </c>
      <c r="E37" s="31" t="str">
        <f aca="false">IFERROR(IF(AND(B37="",ISNUMBER($C$7),ISNUMBER($G$7)),$C$7*(1+$G$7)^(($A37-$E$7)/365.25),""),"")</f>
        <v/>
      </c>
      <c r="F37" s="31" t="str">
        <f aca="false">IFERROR(IF(AND(B37="",ISNUMBER($C$7),ISNUMBER($G$7)),$C$7*(1+$G$7*0.85^MAX(0,($A37-$E$7)/91.25))^(($A37-$E$7)/365.25),""),"")</f>
        <v/>
      </c>
    </row>
    <row r="38" customFormat="false" ht="15" hidden="false" customHeight="false" outlineLevel="0" collapsed="false">
      <c r="A38" s="15" t="n">
        <v>42005</v>
      </c>
      <c r="B38" s="20" t="str">
        <f aca="true">IFERROR(IF(AVERAGEIFS(INDIRECT(Index!$M$5),INDIRECT(Index!$L$5),"&gt;="&amp;$A38,INDIRECT(Index!$L$5),"&lt;"&amp;EDATE($A38,3))=0,"",AVERAGEIFS(INDIRECT(Index!$M$5),INDIRECT(Index!$L$5),"&gt;="&amp;$A38,INDIRECT(Index!$L$5),"&lt;"&amp;EDATE($A38,3))),"")</f>
        <v/>
      </c>
      <c r="C38" s="33" t="str">
        <f aca="false">IFERROR(B38/B37-1,"")</f>
        <v/>
      </c>
      <c r="D38" s="33" t="str">
        <f aca="false">IFERROR(B38/B34-1,"")</f>
        <v/>
      </c>
      <c r="E38" s="25" t="str">
        <f aca="false">IFERROR(IF(AND(B38="",ISNUMBER($C$7),ISNUMBER($G$7)),$C$7*(1+$G$7)^(($A38-$E$7)/365.25),""),"")</f>
        <v/>
      </c>
      <c r="F38" s="25" t="str">
        <f aca="false">IFERROR(IF(AND(B38="",ISNUMBER($C$7),ISNUMBER($G$7)),$C$7*(1+$G$7*0.85^MAX(0,($A38-$E$7)/91.25))^(($A38-$E$7)/365.25),""),"")</f>
        <v/>
      </c>
    </row>
    <row r="39" customFormat="false" ht="15" hidden="false" customHeight="false" outlineLevel="0" collapsed="false">
      <c r="A39" s="27" t="n">
        <v>42095</v>
      </c>
      <c r="B39" s="28" t="str">
        <f aca="true">IFERROR(IF(AVERAGEIFS(INDIRECT(Index!$M$5),INDIRECT(Index!$L$5),"&gt;="&amp;$A39,INDIRECT(Index!$L$5),"&lt;"&amp;EDATE($A39,3))=0,"",AVERAGEIFS(INDIRECT(Index!$M$5),INDIRECT(Index!$L$5),"&gt;="&amp;$A39,INDIRECT(Index!$L$5),"&lt;"&amp;EDATE($A39,3))),"")</f>
        <v/>
      </c>
      <c r="C39" s="29" t="str">
        <f aca="false">IFERROR(B39/B38-1,"")</f>
        <v/>
      </c>
      <c r="D39" s="29" t="str">
        <f aca="false">IFERROR(B39/B35-1,"")</f>
        <v/>
      </c>
      <c r="E39" s="31" t="str">
        <f aca="false">IFERROR(IF(AND(B39="",ISNUMBER($C$7),ISNUMBER($G$7)),$C$7*(1+$G$7)^(($A39-$E$7)/365.25),""),"")</f>
        <v/>
      </c>
      <c r="F39" s="31" t="str">
        <f aca="false">IFERROR(IF(AND(B39="",ISNUMBER($C$7),ISNUMBER($G$7)),$C$7*(1+$G$7*0.85^MAX(0,($A39-$E$7)/91.25))^(($A39-$E$7)/365.25),""),"")</f>
        <v/>
      </c>
    </row>
    <row r="40" customFormat="false" ht="15" hidden="false" customHeight="false" outlineLevel="0" collapsed="false">
      <c r="A40" s="15" t="n">
        <v>42186</v>
      </c>
      <c r="B40" s="20" t="str">
        <f aca="true">IFERROR(IF(AVERAGEIFS(INDIRECT(Index!$M$5),INDIRECT(Index!$L$5),"&gt;="&amp;$A40,INDIRECT(Index!$L$5),"&lt;"&amp;EDATE($A40,3))=0,"",AVERAGEIFS(INDIRECT(Index!$M$5),INDIRECT(Index!$L$5),"&gt;="&amp;$A40,INDIRECT(Index!$L$5),"&lt;"&amp;EDATE($A40,3))),"")</f>
        <v/>
      </c>
      <c r="C40" s="33" t="str">
        <f aca="false">IFERROR(B40/B39-1,"")</f>
        <v/>
      </c>
      <c r="D40" s="33" t="str">
        <f aca="false">IFERROR(B40/B36-1,"")</f>
        <v/>
      </c>
      <c r="E40" s="25" t="str">
        <f aca="false">IFERROR(IF(AND(B40="",ISNUMBER($C$7),ISNUMBER($G$7)),$C$7*(1+$G$7)^(($A40-$E$7)/365.25),""),"")</f>
        <v/>
      </c>
      <c r="F40" s="25" t="str">
        <f aca="false">IFERROR(IF(AND(B40="",ISNUMBER($C$7),ISNUMBER($G$7)),$C$7*(1+$G$7*0.85^MAX(0,($A40-$E$7)/91.25))^(($A40-$E$7)/365.25),""),"")</f>
        <v/>
      </c>
    </row>
    <row r="41" customFormat="false" ht="15" hidden="false" customHeight="false" outlineLevel="0" collapsed="false">
      <c r="A41" s="27" t="n">
        <v>42278</v>
      </c>
      <c r="B41" s="28" t="str">
        <f aca="true">IFERROR(IF(AVERAGEIFS(INDIRECT(Index!$M$5),INDIRECT(Index!$L$5),"&gt;="&amp;$A41,INDIRECT(Index!$L$5),"&lt;"&amp;EDATE($A41,3))=0,"",AVERAGEIFS(INDIRECT(Index!$M$5),INDIRECT(Index!$L$5),"&gt;="&amp;$A41,INDIRECT(Index!$L$5),"&lt;"&amp;EDATE($A41,3))),"")</f>
        <v/>
      </c>
      <c r="C41" s="29" t="str">
        <f aca="false">IFERROR(B41/B40-1,"")</f>
        <v/>
      </c>
      <c r="D41" s="29" t="str">
        <f aca="false">IFERROR(B41/B37-1,"")</f>
        <v/>
      </c>
      <c r="E41" s="31" t="str">
        <f aca="false">IFERROR(IF(AND(B41="",ISNUMBER($C$7),ISNUMBER($G$7)),$C$7*(1+$G$7)^(($A41-$E$7)/365.25),""),"")</f>
        <v/>
      </c>
      <c r="F41" s="31" t="str">
        <f aca="false">IFERROR(IF(AND(B41="",ISNUMBER($C$7),ISNUMBER($G$7)),$C$7*(1+$G$7*0.85^MAX(0,($A41-$E$7)/91.25))^(($A41-$E$7)/365.25),""),"")</f>
        <v/>
      </c>
    </row>
    <row r="42" customFormat="false" ht="15" hidden="false" customHeight="false" outlineLevel="0" collapsed="false">
      <c r="A42" s="15" t="n">
        <v>42370</v>
      </c>
      <c r="B42" s="20" t="str">
        <f aca="true">IFERROR(IF(AVERAGEIFS(INDIRECT(Index!$M$5),INDIRECT(Index!$L$5),"&gt;="&amp;$A42,INDIRECT(Index!$L$5),"&lt;"&amp;EDATE($A42,3))=0,"",AVERAGEIFS(INDIRECT(Index!$M$5),INDIRECT(Index!$L$5),"&gt;="&amp;$A42,INDIRECT(Index!$L$5),"&lt;"&amp;EDATE($A42,3))),"")</f>
        <v/>
      </c>
      <c r="C42" s="33" t="str">
        <f aca="false">IFERROR(B42/B41-1,"")</f>
        <v/>
      </c>
      <c r="D42" s="33" t="str">
        <f aca="false">IFERROR(B42/B38-1,"")</f>
        <v/>
      </c>
      <c r="E42" s="25" t="str">
        <f aca="false">IFERROR(IF(AND(B42="",ISNUMBER($C$7),ISNUMBER($G$7)),$C$7*(1+$G$7)^(($A42-$E$7)/365.25),""),"")</f>
        <v/>
      </c>
      <c r="F42" s="25" t="str">
        <f aca="false">IFERROR(IF(AND(B42="",ISNUMBER($C$7),ISNUMBER($G$7)),$C$7*(1+$G$7*0.85^MAX(0,($A42-$E$7)/91.25))^(($A42-$E$7)/365.25),""),"")</f>
        <v/>
      </c>
    </row>
    <row r="43" customFormat="false" ht="15" hidden="false" customHeight="false" outlineLevel="0" collapsed="false">
      <c r="A43" s="27" t="n">
        <v>42461</v>
      </c>
      <c r="B43" s="28" t="str">
        <f aca="true">IFERROR(IF(AVERAGEIFS(INDIRECT(Index!$M$5),INDIRECT(Index!$L$5),"&gt;="&amp;$A43,INDIRECT(Index!$L$5),"&lt;"&amp;EDATE($A43,3))=0,"",AVERAGEIFS(INDIRECT(Index!$M$5),INDIRECT(Index!$L$5),"&gt;="&amp;$A43,INDIRECT(Index!$L$5),"&lt;"&amp;EDATE($A43,3))),"")</f>
        <v/>
      </c>
      <c r="C43" s="29" t="str">
        <f aca="false">IFERROR(B43/B42-1,"")</f>
        <v/>
      </c>
      <c r="D43" s="29" t="str">
        <f aca="false">IFERROR(B43/B39-1,"")</f>
        <v/>
      </c>
      <c r="E43" s="31" t="str">
        <f aca="false">IFERROR(IF(AND(B43="",ISNUMBER($C$7),ISNUMBER($G$7)),$C$7*(1+$G$7)^(($A43-$E$7)/365.25),""),"")</f>
        <v/>
      </c>
      <c r="F43" s="31" t="str">
        <f aca="false">IFERROR(IF(AND(B43="",ISNUMBER($C$7),ISNUMBER($G$7)),$C$7*(1+$G$7*0.85^MAX(0,($A43-$E$7)/91.25))^(($A43-$E$7)/365.25),""),"")</f>
        <v/>
      </c>
    </row>
    <row r="44" customFormat="false" ht="15" hidden="false" customHeight="false" outlineLevel="0" collapsed="false">
      <c r="A44" s="15" t="n">
        <v>42552</v>
      </c>
      <c r="B44" s="20" t="str">
        <f aca="true">IFERROR(IF(AVERAGEIFS(INDIRECT(Index!$M$5),INDIRECT(Index!$L$5),"&gt;="&amp;$A44,INDIRECT(Index!$L$5),"&lt;"&amp;EDATE($A44,3))=0,"",AVERAGEIFS(INDIRECT(Index!$M$5),INDIRECT(Index!$L$5),"&gt;="&amp;$A44,INDIRECT(Index!$L$5),"&lt;"&amp;EDATE($A44,3))),"")</f>
        <v/>
      </c>
      <c r="C44" s="33" t="str">
        <f aca="false">IFERROR(B44/B43-1,"")</f>
        <v/>
      </c>
      <c r="D44" s="33" t="str">
        <f aca="false">IFERROR(B44/B40-1,"")</f>
        <v/>
      </c>
      <c r="E44" s="25" t="str">
        <f aca="false">IFERROR(IF(AND(B44="",ISNUMBER($C$7),ISNUMBER($G$7)),$C$7*(1+$G$7)^(($A44-$E$7)/365.25),""),"")</f>
        <v/>
      </c>
      <c r="F44" s="25" t="str">
        <f aca="false">IFERROR(IF(AND(B44="",ISNUMBER($C$7),ISNUMBER($G$7)),$C$7*(1+$G$7*0.85^MAX(0,($A44-$E$7)/91.25))^(($A44-$E$7)/365.25),""),"")</f>
        <v/>
      </c>
    </row>
    <row r="45" customFormat="false" ht="15" hidden="false" customHeight="false" outlineLevel="0" collapsed="false">
      <c r="A45" s="27" t="n">
        <v>42644</v>
      </c>
      <c r="B45" s="28" t="str">
        <f aca="true">IFERROR(IF(AVERAGEIFS(INDIRECT(Index!$M$5),INDIRECT(Index!$L$5),"&gt;="&amp;$A45,INDIRECT(Index!$L$5),"&lt;"&amp;EDATE($A45,3))=0,"",AVERAGEIFS(INDIRECT(Index!$M$5),INDIRECT(Index!$L$5),"&gt;="&amp;$A45,INDIRECT(Index!$L$5),"&lt;"&amp;EDATE($A45,3))),"")</f>
        <v/>
      </c>
      <c r="C45" s="29" t="str">
        <f aca="false">IFERROR(B45/B44-1,"")</f>
        <v/>
      </c>
      <c r="D45" s="29" t="str">
        <f aca="false">IFERROR(B45/B41-1,"")</f>
        <v/>
      </c>
      <c r="E45" s="31" t="str">
        <f aca="false">IFERROR(IF(AND(B45="",ISNUMBER($C$7),ISNUMBER($G$7)),$C$7*(1+$G$7)^(($A45-$E$7)/365.25),""),"")</f>
        <v/>
      </c>
      <c r="F45" s="31" t="str">
        <f aca="false">IFERROR(IF(AND(B45="",ISNUMBER($C$7),ISNUMBER($G$7)),$C$7*(1+$G$7*0.85^MAX(0,($A45-$E$7)/91.25))^(($A45-$E$7)/365.25),""),"")</f>
        <v/>
      </c>
    </row>
    <row r="46" customFormat="false" ht="15" hidden="false" customHeight="false" outlineLevel="0" collapsed="false">
      <c r="A46" s="15" t="n">
        <v>42736</v>
      </c>
      <c r="B46" s="20" t="str">
        <f aca="true">IFERROR(IF(AVERAGEIFS(INDIRECT(Index!$M$5),INDIRECT(Index!$L$5),"&gt;="&amp;$A46,INDIRECT(Index!$L$5),"&lt;"&amp;EDATE($A46,3))=0,"",AVERAGEIFS(INDIRECT(Index!$M$5),INDIRECT(Index!$L$5),"&gt;="&amp;$A46,INDIRECT(Index!$L$5),"&lt;"&amp;EDATE($A46,3))),"")</f>
        <v/>
      </c>
      <c r="C46" s="33" t="str">
        <f aca="false">IFERROR(B46/B45-1,"")</f>
        <v/>
      </c>
      <c r="D46" s="33" t="str">
        <f aca="false">IFERROR(B46/B42-1,"")</f>
        <v/>
      </c>
      <c r="E46" s="25" t="str">
        <f aca="false">IFERROR(IF(AND(B46="",ISNUMBER($C$7),ISNUMBER($G$7)),$C$7*(1+$G$7)^(($A46-$E$7)/365.25),""),"")</f>
        <v/>
      </c>
      <c r="F46" s="25" t="str">
        <f aca="false">IFERROR(IF(AND(B46="",ISNUMBER($C$7),ISNUMBER($G$7)),$C$7*(1+$G$7*0.85^MAX(0,($A46-$E$7)/91.25))^(($A46-$E$7)/365.25),""),"")</f>
        <v/>
      </c>
    </row>
    <row r="47" customFormat="false" ht="15" hidden="false" customHeight="false" outlineLevel="0" collapsed="false">
      <c r="A47" s="27" t="n">
        <v>42826</v>
      </c>
      <c r="B47" s="28" t="str">
        <f aca="true">IFERROR(IF(AVERAGEIFS(INDIRECT(Index!$M$5),INDIRECT(Index!$L$5),"&gt;="&amp;$A47,INDIRECT(Index!$L$5),"&lt;"&amp;EDATE($A47,3))=0,"",AVERAGEIFS(INDIRECT(Index!$M$5),INDIRECT(Index!$L$5),"&gt;="&amp;$A47,INDIRECT(Index!$L$5),"&lt;"&amp;EDATE($A47,3))),"")</f>
        <v/>
      </c>
      <c r="C47" s="29" t="str">
        <f aca="false">IFERROR(B47/B46-1,"")</f>
        <v/>
      </c>
      <c r="D47" s="29" t="str">
        <f aca="false">IFERROR(B47/B43-1,"")</f>
        <v/>
      </c>
      <c r="E47" s="31" t="str">
        <f aca="false">IFERROR(IF(AND(B47="",ISNUMBER($C$7),ISNUMBER($G$7)),$C$7*(1+$G$7)^(($A47-$E$7)/365.25),""),"")</f>
        <v/>
      </c>
      <c r="F47" s="31" t="str">
        <f aca="false">IFERROR(IF(AND(B47="",ISNUMBER($C$7),ISNUMBER($G$7)),$C$7*(1+$G$7*0.85^MAX(0,($A47-$E$7)/91.25))^(($A47-$E$7)/365.25),""),"")</f>
        <v/>
      </c>
    </row>
    <row r="48" customFormat="false" ht="15" hidden="false" customHeight="false" outlineLevel="0" collapsed="false">
      <c r="A48" s="15" t="n">
        <v>42917</v>
      </c>
      <c r="B48" s="20" t="str">
        <f aca="true">IFERROR(IF(AVERAGEIFS(INDIRECT(Index!$M$5),INDIRECT(Index!$L$5),"&gt;="&amp;$A48,INDIRECT(Index!$L$5),"&lt;"&amp;EDATE($A48,3))=0,"",AVERAGEIFS(INDIRECT(Index!$M$5),INDIRECT(Index!$L$5),"&gt;="&amp;$A48,INDIRECT(Index!$L$5),"&lt;"&amp;EDATE($A48,3))),"")</f>
        <v/>
      </c>
      <c r="C48" s="33" t="str">
        <f aca="false">IFERROR(B48/B47-1,"")</f>
        <v/>
      </c>
      <c r="D48" s="33" t="str">
        <f aca="false">IFERROR(B48/B44-1,"")</f>
        <v/>
      </c>
      <c r="E48" s="25" t="str">
        <f aca="false">IFERROR(IF(AND(B48="",ISNUMBER($C$7),ISNUMBER($G$7)),$C$7*(1+$G$7)^(($A48-$E$7)/365.25),""),"")</f>
        <v/>
      </c>
      <c r="F48" s="25" t="str">
        <f aca="false">IFERROR(IF(AND(B48="",ISNUMBER($C$7),ISNUMBER($G$7)),$C$7*(1+$G$7*0.85^MAX(0,($A48-$E$7)/91.25))^(($A48-$E$7)/365.25),""),"")</f>
        <v/>
      </c>
    </row>
    <row r="49" customFormat="false" ht="15" hidden="false" customHeight="false" outlineLevel="0" collapsed="false">
      <c r="A49" s="27" t="n">
        <v>43009</v>
      </c>
      <c r="B49" s="28" t="str">
        <f aca="true">IFERROR(IF(AVERAGEIFS(INDIRECT(Index!$M$5),INDIRECT(Index!$L$5),"&gt;="&amp;$A49,INDIRECT(Index!$L$5),"&lt;"&amp;EDATE($A49,3))=0,"",AVERAGEIFS(INDIRECT(Index!$M$5),INDIRECT(Index!$L$5),"&gt;="&amp;$A49,INDIRECT(Index!$L$5),"&lt;"&amp;EDATE($A49,3))),"")</f>
        <v/>
      </c>
      <c r="C49" s="29" t="str">
        <f aca="false">IFERROR(B49/B48-1,"")</f>
        <v/>
      </c>
      <c r="D49" s="29" t="str">
        <f aca="false">IFERROR(B49/B45-1,"")</f>
        <v/>
      </c>
      <c r="E49" s="31" t="str">
        <f aca="false">IFERROR(IF(AND(B49="",ISNUMBER($C$7),ISNUMBER($G$7)),$C$7*(1+$G$7)^(($A49-$E$7)/365.25),""),"")</f>
        <v/>
      </c>
      <c r="F49" s="31" t="str">
        <f aca="false">IFERROR(IF(AND(B49="",ISNUMBER($C$7),ISNUMBER($G$7)),$C$7*(1+$G$7*0.85^MAX(0,($A49-$E$7)/91.25))^(($A49-$E$7)/365.25),""),"")</f>
        <v/>
      </c>
    </row>
    <row r="50" customFormat="false" ht="15" hidden="false" customHeight="false" outlineLevel="0" collapsed="false">
      <c r="A50" s="15" t="n">
        <v>43101</v>
      </c>
      <c r="B50" s="20" t="str">
        <f aca="true">IFERROR(IF(AVERAGEIFS(INDIRECT(Index!$M$5),INDIRECT(Index!$L$5),"&gt;="&amp;$A50,INDIRECT(Index!$L$5),"&lt;"&amp;EDATE($A50,3))=0,"",AVERAGEIFS(INDIRECT(Index!$M$5),INDIRECT(Index!$L$5),"&gt;="&amp;$A50,INDIRECT(Index!$L$5),"&lt;"&amp;EDATE($A50,3))),"")</f>
        <v/>
      </c>
      <c r="C50" s="33" t="str">
        <f aca="false">IFERROR(B50/B49-1,"")</f>
        <v/>
      </c>
      <c r="D50" s="33" t="str">
        <f aca="false">IFERROR(B50/B46-1,"")</f>
        <v/>
      </c>
      <c r="E50" s="25" t="str">
        <f aca="false">IFERROR(IF(AND(B50="",ISNUMBER($C$7),ISNUMBER($G$7)),$C$7*(1+$G$7)^(($A50-$E$7)/365.25),""),"")</f>
        <v/>
      </c>
      <c r="F50" s="25" t="str">
        <f aca="false">IFERROR(IF(AND(B50="",ISNUMBER($C$7),ISNUMBER($G$7)),$C$7*(1+$G$7*0.85^MAX(0,($A50-$E$7)/91.25))^(($A50-$E$7)/365.25),""),"")</f>
        <v/>
      </c>
    </row>
    <row r="51" customFormat="false" ht="15" hidden="false" customHeight="false" outlineLevel="0" collapsed="false">
      <c r="A51" s="27" t="n">
        <v>43191</v>
      </c>
      <c r="B51" s="28" t="str">
        <f aca="true">IFERROR(IF(AVERAGEIFS(INDIRECT(Index!$M$5),INDIRECT(Index!$L$5),"&gt;="&amp;$A51,INDIRECT(Index!$L$5),"&lt;"&amp;EDATE($A51,3))=0,"",AVERAGEIFS(INDIRECT(Index!$M$5),INDIRECT(Index!$L$5),"&gt;="&amp;$A51,INDIRECT(Index!$L$5),"&lt;"&amp;EDATE($A51,3))),"")</f>
        <v/>
      </c>
      <c r="C51" s="29" t="str">
        <f aca="false">IFERROR(B51/B50-1,"")</f>
        <v/>
      </c>
      <c r="D51" s="29" t="str">
        <f aca="false">IFERROR(B51/B47-1,"")</f>
        <v/>
      </c>
      <c r="E51" s="31" t="str">
        <f aca="false">IFERROR(IF(AND(B51="",ISNUMBER($C$7),ISNUMBER($G$7)),$C$7*(1+$G$7)^(($A51-$E$7)/365.25),""),"")</f>
        <v/>
      </c>
      <c r="F51" s="31" t="str">
        <f aca="false">IFERROR(IF(AND(B51="",ISNUMBER($C$7),ISNUMBER($G$7)),$C$7*(1+$G$7*0.85^MAX(0,($A51-$E$7)/91.25))^(($A51-$E$7)/365.25),""),"")</f>
        <v/>
      </c>
    </row>
    <row r="52" customFormat="false" ht="15" hidden="false" customHeight="false" outlineLevel="0" collapsed="false">
      <c r="A52" s="15" t="n">
        <v>43282</v>
      </c>
      <c r="B52" s="20" t="str">
        <f aca="true">IFERROR(IF(AVERAGEIFS(INDIRECT(Index!$M$5),INDIRECT(Index!$L$5),"&gt;="&amp;$A52,INDIRECT(Index!$L$5),"&lt;"&amp;EDATE($A52,3))=0,"",AVERAGEIFS(INDIRECT(Index!$M$5),INDIRECT(Index!$L$5),"&gt;="&amp;$A52,INDIRECT(Index!$L$5),"&lt;"&amp;EDATE($A52,3))),"")</f>
        <v/>
      </c>
      <c r="C52" s="33" t="str">
        <f aca="false">IFERROR(B52/B51-1,"")</f>
        <v/>
      </c>
      <c r="D52" s="33" t="str">
        <f aca="false">IFERROR(B52/B48-1,"")</f>
        <v/>
      </c>
      <c r="E52" s="25" t="str">
        <f aca="false">IFERROR(IF(AND(B52="",ISNUMBER($C$7),ISNUMBER($G$7)),$C$7*(1+$G$7)^(($A52-$E$7)/365.25),""),"")</f>
        <v/>
      </c>
      <c r="F52" s="25" t="str">
        <f aca="false">IFERROR(IF(AND(B52="",ISNUMBER($C$7),ISNUMBER($G$7)),$C$7*(1+$G$7*0.85^MAX(0,($A52-$E$7)/91.25))^(($A52-$E$7)/365.25),""),"")</f>
        <v/>
      </c>
    </row>
    <row r="53" customFormat="false" ht="15" hidden="false" customHeight="false" outlineLevel="0" collapsed="false">
      <c r="A53" s="27" t="n">
        <v>43374</v>
      </c>
      <c r="B53" s="28" t="str">
        <f aca="true">IFERROR(IF(AVERAGEIFS(INDIRECT(Index!$M$5),INDIRECT(Index!$L$5),"&gt;="&amp;$A53,INDIRECT(Index!$L$5),"&lt;"&amp;EDATE($A53,3))=0,"",AVERAGEIFS(INDIRECT(Index!$M$5),INDIRECT(Index!$L$5),"&gt;="&amp;$A53,INDIRECT(Index!$L$5),"&lt;"&amp;EDATE($A53,3))),"")</f>
        <v/>
      </c>
      <c r="C53" s="29" t="str">
        <f aca="false">IFERROR(B53/B52-1,"")</f>
        <v/>
      </c>
      <c r="D53" s="29" t="str">
        <f aca="false">IFERROR(B53/B49-1,"")</f>
        <v/>
      </c>
      <c r="E53" s="31" t="str">
        <f aca="false">IFERROR(IF(AND(B53="",ISNUMBER($C$7),ISNUMBER($G$7)),$C$7*(1+$G$7)^(($A53-$E$7)/365.25),""),"")</f>
        <v/>
      </c>
      <c r="F53" s="31" t="str">
        <f aca="false">IFERROR(IF(AND(B53="",ISNUMBER($C$7),ISNUMBER($G$7)),$C$7*(1+$G$7*0.85^MAX(0,($A53-$E$7)/91.25))^(($A53-$E$7)/365.25),""),"")</f>
        <v/>
      </c>
    </row>
    <row r="54" customFormat="false" ht="15" hidden="false" customHeight="false" outlineLevel="0" collapsed="false">
      <c r="A54" s="15" t="n">
        <v>43466</v>
      </c>
      <c r="B54" s="20" t="str">
        <f aca="true">IFERROR(IF(AVERAGEIFS(INDIRECT(Index!$M$5),INDIRECT(Index!$L$5),"&gt;="&amp;$A54,INDIRECT(Index!$L$5),"&lt;"&amp;EDATE($A54,3))=0,"",AVERAGEIFS(INDIRECT(Index!$M$5),INDIRECT(Index!$L$5),"&gt;="&amp;$A54,INDIRECT(Index!$L$5),"&lt;"&amp;EDATE($A54,3))),"")</f>
        <v/>
      </c>
      <c r="C54" s="33" t="str">
        <f aca="false">IFERROR(B54/B53-1,"")</f>
        <v/>
      </c>
      <c r="D54" s="33" t="str">
        <f aca="false">IFERROR(B54/B50-1,"")</f>
        <v/>
      </c>
      <c r="E54" s="25" t="str">
        <f aca="false">IFERROR(IF(AND(B54="",ISNUMBER($C$7),ISNUMBER($G$7)),$C$7*(1+$G$7)^(($A54-$E$7)/365.25),""),"")</f>
        <v/>
      </c>
      <c r="F54" s="25" t="str">
        <f aca="false">IFERROR(IF(AND(B54="",ISNUMBER($C$7),ISNUMBER($G$7)),$C$7*(1+$G$7*0.85^MAX(0,($A54-$E$7)/91.25))^(($A54-$E$7)/365.25),""),"")</f>
        <v/>
      </c>
    </row>
    <row r="55" customFormat="false" ht="15" hidden="false" customHeight="false" outlineLevel="0" collapsed="false">
      <c r="A55" s="27" t="n">
        <v>43556</v>
      </c>
      <c r="B55" s="28" t="str">
        <f aca="true">IFERROR(IF(AVERAGEIFS(INDIRECT(Index!$M$5),INDIRECT(Index!$L$5),"&gt;="&amp;$A55,INDIRECT(Index!$L$5),"&lt;"&amp;EDATE($A55,3))=0,"",AVERAGEIFS(INDIRECT(Index!$M$5),INDIRECT(Index!$L$5),"&gt;="&amp;$A55,INDIRECT(Index!$L$5),"&lt;"&amp;EDATE($A55,3))),"")</f>
        <v/>
      </c>
      <c r="C55" s="29" t="str">
        <f aca="false">IFERROR(B55/B54-1,"")</f>
        <v/>
      </c>
      <c r="D55" s="29" t="str">
        <f aca="false">IFERROR(B55/B51-1,"")</f>
        <v/>
      </c>
      <c r="E55" s="31" t="str">
        <f aca="false">IFERROR(IF(AND(B55="",ISNUMBER($C$7),ISNUMBER($G$7)),$C$7*(1+$G$7)^(($A55-$E$7)/365.25),""),"")</f>
        <v/>
      </c>
      <c r="F55" s="31" t="str">
        <f aca="false">IFERROR(IF(AND(B55="",ISNUMBER($C$7),ISNUMBER($G$7)),$C$7*(1+$G$7*0.85^MAX(0,($A55-$E$7)/91.25))^(($A55-$E$7)/365.25),""),"")</f>
        <v/>
      </c>
    </row>
    <row r="56" customFormat="false" ht="15" hidden="false" customHeight="false" outlineLevel="0" collapsed="false">
      <c r="A56" s="15" t="n">
        <v>43647</v>
      </c>
      <c r="B56" s="20" t="str">
        <f aca="true">IFERROR(IF(AVERAGEIFS(INDIRECT(Index!$M$5),INDIRECT(Index!$L$5),"&gt;="&amp;$A56,INDIRECT(Index!$L$5),"&lt;"&amp;EDATE($A56,3))=0,"",AVERAGEIFS(INDIRECT(Index!$M$5),INDIRECT(Index!$L$5),"&gt;="&amp;$A56,INDIRECT(Index!$L$5),"&lt;"&amp;EDATE($A56,3))),"")</f>
        <v/>
      </c>
      <c r="C56" s="33" t="str">
        <f aca="false">IFERROR(B56/B55-1,"")</f>
        <v/>
      </c>
      <c r="D56" s="33" t="str">
        <f aca="false">IFERROR(B56/B52-1,"")</f>
        <v/>
      </c>
      <c r="E56" s="25" t="str">
        <f aca="false">IFERROR(IF(AND(B56="",ISNUMBER($C$7),ISNUMBER($G$7)),$C$7*(1+$G$7)^(($A56-$E$7)/365.25),""),"")</f>
        <v/>
      </c>
      <c r="F56" s="25" t="str">
        <f aca="false">IFERROR(IF(AND(B56="",ISNUMBER($C$7),ISNUMBER($G$7)),$C$7*(1+$G$7*0.85^MAX(0,($A56-$E$7)/91.25))^(($A56-$E$7)/365.25),""),"")</f>
        <v/>
      </c>
    </row>
    <row r="57" customFormat="false" ht="15" hidden="false" customHeight="false" outlineLevel="0" collapsed="false">
      <c r="A57" s="27" t="n">
        <v>43739</v>
      </c>
      <c r="B57" s="28" t="str">
        <f aca="true">IFERROR(IF(AVERAGEIFS(INDIRECT(Index!$M$5),INDIRECT(Index!$L$5),"&gt;="&amp;$A57,INDIRECT(Index!$L$5),"&lt;"&amp;EDATE($A57,3))=0,"",AVERAGEIFS(INDIRECT(Index!$M$5),INDIRECT(Index!$L$5),"&gt;="&amp;$A57,INDIRECT(Index!$L$5),"&lt;"&amp;EDATE($A57,3))),"")</f>
        <v/>
      </c>
      <c r="C57" s="29" t="str">
        <f aca="false">IFERROR(B57/B56-1,"")</f>
        <v/>
      </c>
      <c r="D57" s="29" t="str">
        <f aca="false">IFERROR(B57/B53-1,"")</f>
        <v/>
      </c>
      <c r="E57" s="31" t="str">
        <f aca="false">IFERROR(IF(AND(B57="",ISNUMBER($C$7),ISNUMBER($G$7)),$C$7*(1+$G$7)^(($A57-$E$7)/365.25),""),"")</f>
        <v/>
      </c>
      <c r="F57" s="31" t="str">
        <f aca="false">IFERROR(IF(AND(B57="",ISNUMBER($C$7),ISNUMBER($G$7)),$C$7*(1+$G$7*0.85^MAX(0,($A57-$E$7)/91.25))^(($A57-$E$7)/365.25),""),"")</f>
        <v/>
      </c>
    </row>
    <row r="58" customFormat="false" ht="15" hidden="false" customHeight="false" outlineLevel="0" collapsed="false">
      <c r="A58" s="15" t="n">
        <v>43831</v>
      </c>
      <c r="B58" s="20" t="str">
        <f aca="true">IFERROR(IF(AVERAGEIFS(INDIRECT(Index!$M$5),INDIRECT(Index!$L$5),"&gt;="&amp;$A58,INDIRECT(Index!$L$5),"&lt;"&amp;EDATE($A58,3))=0,"",AVERAGEIFS(INDIRECT(Index!$M$5),INDIRECT(Index!$L$5),"&gt;="&amp;$A58,INDIRECT(Index!$L$5),"&lt;"&amp;EDATE($A58,3))),"")</f>
        <v/>
      </c>
      <c r="C58" s="33" t="str">
        <f aca="false">IFERROR(B58/B57-1,"")</f>
        <v/>
      </c>
      <c r="D58" s="33" t="str">
        <f aca="false">IFERROR(B58/B54-1,"")</f>
        <v/>
      </c>
      <c r="E58" s="25" t="str">
        <f aca="false">IFERROR(IF(AND(B58="",ISNUMBER($C$7),ISNUMBER($G$7)),$C$7*(1+$G$7)^(($A58-$E$7)/365.25),""),"")</f>
        <v/>
      </c>
      <c r="F58" s="25" t="str">
        <f aca="false">IFERROR(IF(AND(B58="",ISNUMBER($C$7),ISNUMBER($G$7)),$C$7*(1+$G$7*0.85^MAX(0,($A58-$E$7)/91.25))^(($A58-$E$7)/365.25),""),"")</f>
        <v/>
      </c>
    </row>
    <row r="59" customFormat="false" ht="15" hidden="false" customHeight="false" outlineLevel="0" collapsed="false">
      <c r="A59" s="27" t="n">
        <v>43922</v>
      </c>
      <c r="B59" s="28" t="str">
        <f aca="true">IFERROR(IF(AVERAGEIFS(INDIRECT(Index!$M$5),INDIRECT(Index!$L$5),"&gt;="&amp;$A59,INDIRECT(Index!$L$5),"&lt;"&amp;EDATE($A59,3))=0,"",AVERAGEIFS(INDIRECT(Index!$M$5),INDIRECT(Index!$L$5),"&gt;="&amp;$A59,INDIRECT(Index!$L$5),"&lt;"&amp;EDATE($A59,3))),"")</f>
        <v/>
      </c>
      <c r="C59" s="29" t="str">
        <f aca="false">IFERROR(B59/B58-1,"")</f>
        <v/>
      </c>
      <c r="D59" s="29" t="str">
        <f aca="false">IFERROR(B59/B55-1,"")</f>
        <v/>
      </c>
      <c r="E59" s="31" t="str">
        <f aca="false">IFERROR(IF(AND(B59="",ISNUMBER($C$7),ISNUMBER($G$7)),$C$7*(1+$G$7)^(($A59-$E$7)/365.25),""),"")</f>
        <v/>
      </c>
      <c r="F59" s="31" t="str">
        <f aca="false">IFERROR(IF(AND(B59="",ISNUMBER($C$7),ISNUMBER($G$7)),$C$7*(1+$G$7*0.85^MAX(0,($A59-$E$7)/91.25))^(($A59-$E$7)/365.25),""),"")</f>
        <v/>
      </c>
    </row>
    <row r="60" customFormat="false" ht="15" hidden="false" customHeight="false" outlineLevel="0" collapsed="false">
      <c r="A60" s="15" t="n">
        <v>44013</v>
      </c>
      <c r="B60" s="20" t="str">
        <f aca="true">IFERROR(IF(AVERAGEIFS(INDIRECT(Index!$M$5),INDIRECT(Index!$L$5),"&gt;="&amp;$A60,INDIRECT(Index!$L$5),"&lt;"&amp;EDATE($A60,3))=0,"",AVERAGEIFS(INDIRECT(Index!$M$5),INDIRECT(Index!$L$5),"&gt;="&amp;$A60,INDIRECT(Index!$L$5),"&lt;"&amp;EDATE($A60,3))),"")</f>
        <v/>
      </c>
      <c r="C60" s="33" t="str">
        <f aca="false">IFERROR(B60/B59-1,"")</f>
        <v/>
      </c>
      <c r="D60" s="33" t="str">
        <f aca="false">IFERROR(B60/B56-1,"")</f>
        <v/>
      </c>
      <c r="E60" s="25" t="str">
        <f aca="false">IFERROR(IF(AND(B60="",ISNUMBER($C$7),ISNUMBER($G$7)),$C$7*(1+$G$7)^(($A60-$E$7)/365.25),""),"")</f>
        <v/>
      </c>
      <c r="F60" s="25" t="str">
        <f aca="false">IFERROR(IF(AND(B60="",ISNUMBER($C$7),ISNUMBER($G$7)),$C$7*(1+$G$7*0.85^MAX(0,($A60-$E$7)/91.25))^(($A60-$E$7)/365.25),""),"")</f>
        <v/>
      </c>
    </row>
    <row r="61" customFormat="false" ht="15" hidden="false" customHeight="false" outlineLevel="0" collapsed="false">
      <c r="A61" s="27" t="n">
        <v>44105</v>
      </c>
      <c r="B61" s="28" t="str">
        <f aca="true">IFERROR(IF(AVERAGEIFS(INDIRECT(Index!$M$5),INDIRECT(Index!$L$5),"&gt;="&amp;$A61,INDIRECT(Index!$L$5),"&lt;"&amp;EDATE($A61,3))=0,"",AVERAGEIFS(INDIRECT(Index!$M$5),INDIRECT(Index!$L$5),"&gt;="&amp;$A61,INDIRECT(Index!$L$5),"&lt;"&amp;EDATE($A61,3))),"")</f>
        <v/>
      </c>
      <c r="C61" s="29" t="str">
        <f aca="false">IFERROR(B61/B60-1,"")</f>
        <v/>
      </c>
      <c r="D61" s="29" t="str">
        <f aca="false">IFERROR(B61/B57-1,"")</f>
        <v/>
      </c>
      <c r="E61" s="31" t="str">
        <f aca="false">IFERROR(IF(AND(B61="",ISNUMBER($C$7),ISNUMBER($G$7)),$C$7*(1+$G$7)^(($A61-$E$7)/365.25),""),"")</f>
        <v/>
      </c>
      <c r="F61" s="31" t="str">
        <f aca="false">IFERROR(IF(AND(B61="",ISNUMBER($C$7),ISNUMBER($G$7)),$C$7*(1+$G$7*0.85^MAX(0,($A61-$E$7)/91.25))^(($A61-$E$7)/365.25),""),"")</f>
        <v/>
      </c>
    </row>
    <row r="62" customFormat="false" ht="15" hidden="false" customHeight="false" outlineLevel="0" collapsed="false">
      <c r="A62" s="15" t="n">
        <v>44197</v>
      </c>
      <c r="B62" s="20" t="str">
        <f aca="true">IFERROR(IF(AVERAGEIFS(INDIRECT(Index!$M$5),INDIRECT(Index!$L$5),"&gt;="&amp;$A62,INDIRECT(Index!$L$5),"&lt;"&amp;EDATE($A62,3))=0,"",AVERAGEIFS(INDIRECT(Index!$M$5),INDIRECT(Index!$L$5),"&gt;="&amp;$A62,INDIRECT(Index!$L$5),"&lt;"&amp;EDATE($A62,3))),"")</f>
        <v/>
      </c>
      <c r="C62" s="33" t="str">
        <f aca="false">IFERROR(B62/B61-1,"")</f>
        <v/>
      </c>
      <c r="D62" s="33" t="str">
        <f aca="false">IFERROR(B62/B58-1,"")</f>
        <v/>
      </c>
      <c r="E62" s="25" t="str">
        <f aca="false">IFERROR(IF(AND(B62="",ISNUMBER($C$7),ISNUMBER($G$7)),$C$7*(1+$G$7)^(($A62-$E$7)/365.25),""),"")</f>
        <v/>
      </c>
      <c r="F62" s="25" t="str">
        <f aca="false">IFERROR(IF(AND(B62="",ISNUMBER($C$7),ISNUMBER($G$7)),$C$7*(1+$G$7*0.85^MAX(0,($A62-$E$7)/91.25))^(($A62-$E$7)/365.25),""),"")</f>
        <v/>
      </c>
    </row>
    <row r="63" customFormat="false" ht="15" hidden="false" customHeight="false" outlineLevel="0" collapsed="false">
      <c r="A63" s="27" t="n">
        <v>44287</v>
      </c>
      <c r="B63" s="28" t="str">
        <f aca="true">IFERROR(IF(AVERAGEIFS(INDIRECT(Index!$M$5),INDIRECT(Index!$L$5),"&gt;="&amp;$A63,INDIRECT(Index!$L$5),"&lt;"&amp;EDATE($A63,3))=0,"",AVERAGEIFS(INDIRECT(Index!$M$5),INDIRECT(Index!$L$5),"&gt;="&amp;$A63,INDIRECT(Index!$L$5),"&lt;"&amp;EDATE($A63,3))),"")</f>
        <v/>
      </c>
      <c r="C63" s="29" t="str">
        <f aca="false">IFERROR(B63/B62-1,"")</f>
        <v/>
      </c>
      <c r="D63" s="29" t="str">
        <f aca="false">IFERROR(B63/B59-1,"")</f>
        <v/>
      </c>
      <c r="E63" s="31" t="str">
        <f aca="false">IFERROR(IF(AND(B63="",ISNUMBER($C$7),ISNUMBER($G$7)),$C$7*(1+$G$7)^(($A63-$E$7)/365.25),""),"")</f>
        <v/>
      </c>
      <c r="F63" s="31" t="str">
        <f aca="false">IFERROR(IF(AND(B63="",ISNUMBER($C$7),ISNUMBER($G$7)),$C$7*(1+$G$7*0.85^MAX(0,($A63-$E$7)/91.25))^(($A63-$E$7)/365.25),""),"")</f>
        <v/>
      </c>
    </row>
    <row r="64" customFormat="false" ht="15" hidden="false" customHeight="false" outlineLevel="0" collapsed="false">
      <c r="A64" s="15" t="n">
        <v>44378</v>
      </c>
      <c r="B64" s="20" t="str">
        <f aca="true">IFERROR(IF(AVERAGEIFS(INDIRECT(Index!$M$5),INDIRECT(Index!$L$5),"&gt;="&amp;$A64,INDIRECT(Index!$L$5),"&lt;"&amp;EDATE($A64,3))=0,"",AVERAGEIFS(INDIRECT(Index!$M$5),INDIRECT(Index!$L$5),"&gt;="&amp;$A64,INDIRECT(Index!$L$5),"&lt;"&amp;EDATE($A64,3))),"")</f>
        <v/>
      </c>
      <c r="C64" s="33" t="str">
        <f aca="false">IFERROR(B64/B63-1,"")</f>
        <v/>
      </c>
      <c r="D64" s="33" t="str">
        <f aca="false">IFERROR(B64/B60-1,"")</f>
        <v/>
      </c>
      <c r="E64" s="25" t="str">
        <f aca="false">IFERROR(IF(AND(B64="",ISNUMBER($C$7),ISNUMBER($G$7)),$C$7*(1+$G$7)^(($A64-$E$7)/365.25),""),"")</f>
        <v/>
      </c>
      <c r="F64" s="25" t="str">
        <f aca="false">IFERROR(IF(AND(B64="",ISNUMBER($C$7),ISNUMBER($G$7)),$C$7*(1+$G$7*0.85^MAX(0,($A64-$E$7)/91.25))^(($A64-$E$7)/365.25),""),"")</f>
        <v/>
      </c>
    </row>
    <row r="65" customFormat="false" ht="15" hidden="false" customHeight="false" outlineLevel="0" collapsed="false">
      <c r="A65" s="27" t="n">
        <v>44470</v>
      </c>
      <c r="B65" s="28" t="str">
        <f aca="true">IFERROR(IF(AVERAGEIFS(INDIRECT(Index!$M$5),INDIRECT(Index!$L$5),"&gt;="&amp;$A65,INDIRECT(Index!$L$5),"&lt;"&amp;EDATE($A65,3))=0,"",AVERAGEIFS(INDIRECT(Index!$M$5),INDIRECT(Index!$L$5),"&gt;="&amp;$A65,INDIRECT(Index!$L$5),"&lt;"&amp;EDATE($A65,3))),"")</f>
        <v/>
      </c>
      <c r="C65" s="29" t="str">
        <f aca="false">IFERROR(B65/B64-1,"")</f>
        <v/>
      </c>
      <c r="D65" s="29" t="str">
        <f aca="false">IFERROR(B65/B61-1,"")</f>
        <v/>
      </c>
      <c r="E65" s="31" t="str">
        <f aca="false">IFERROR(IF(AND(B65="",ISNUMBER($C$7),ISNUMBER($G$7)),$C$7*(1+$G$7)^(($A65-$E$7)/365.25),""),"")</f>
        <v/>
      </c>
      <c r="F65" s="31" t="str">
        <f aca="false">IFERROR(IF(AND(B65="",ISNUMBER($C$7),ISNUMBER($G$7)),$C$7*(1+$G$7*0.85^MAX(0,($A65-$E$7)/91.25))^(($A65-$E$7)/365.25),""),"")</f>
        <v/>
      </c>
    </row>
    <row r="66" customFormat="false" ht="15" hidden="false" customHeight="false" outlineLevel="0" collapsed="false">
      <c r="A66" s="15" t="n">
        <v>44562</v>
      </c>
      <c r="B66" s="20" t="str">
        <f aca="true">IFERROR(IF(AVERAGEIFS(INDIRECT(Index!$M$5),INDIRECT(Index!$L$5),"&gt;="&amp;$A66,INDIRECT(Index!$L$5),"&lt;"&amp;EDATE($A66,3))=0,"",AVERAGEIFS(INDIRECT(Index!$M$5),INDIRECT(Index!$L$5),"&gt;="&amp;$A66,INDIRECT(Index!$L$5),"&lt;"&amp;EDATE($A66,3))),"")</f>
        <v/>
      </c>
      <c r="C66" s="33" t="str">
        <f aca="false">IFERROR(B66/B65-1,"")</f>
        <v/>
      </c>
      <c r="D66" s="33" t="str">
        <f aca="false">IFERROR(B66/B62-1,"")</f>
        <v/>
      </c>
      <c r="E66" s="25" t="str">
        <f aca="false">IFERROR(IF(AND(B66="",ISNUMBER($C$7),ISNUMBER($G$7)),$C$7*(1+$G$7)^(($A66-$E$7)/365.25),""),"")</f>
        <v/>
      </c>
      <c r="F66" s="25" t="str">
        <f aca="false">IFERROR(IF(AND(B66="",ISNUMBER($C$7),ISNUMBER($G$7)),$C$7*(1+$G$7*0.85^MAX(0,($A66-$E$7)/91.25))^(($A66-$E$7)/365.25),""),"")</f>
        <v/>
      </c>
    </row>
    <row r="67" customFormat="false" ht="15" hidden="false" customHeight="false" outlineLevel="0" collapsed="false">
      <c r="A67" s="27" t="n">
        <v>44652</v>
      </c>
      <c r="B67" s="28" t="str">
        <f aca="true">IFERROR(IF(AVERAGEIFS(INDIRECT(Index!$M$5),INDIRECT(Index!$L$5),"&gt;="&amp;$A67,INDIRECT(Index!$L$5),"&lt;"&amp;EDATE($A67,3))=0,"",AVERAGEIFS(INDIRECT(Index!$M$5),INDIRECT(Index!$L$5),"&gt;="&amp;$A67,INDIRECT(Index!$L$5),"&lt;"&amp;EDATE($A67,3))),"")</f>
        <v/>
      </c>
      <c r="C67" s="29" t="str">
        <f aca="false">IFERROR(B67/B66-1,"")</f>
        <v/>
      </c>
      <c r="D67" s="29" t="str">
        <f aca="false">IFERROR(B67/B63-1,"")</f>
        <v/>
      </c>
      <c r="E67" s="31" t="str">
        <f aca="false">IFERROR(IF(AND(B67="",ISNUMBER($C$7),ISNUMBER($G$7)),$C$7*(1+$G$7)^(($A67-$E$7)/365.25),""),"")</f>
        <v/>
      </c>
      <c r="F67" s="31" t="str">
        <f aca="false">IFERROR(IF(AND(B67="",ISNUMBER($C$7),ISNUMBER($G$7)),$C$7*(1+$G$7*0.85^MAX(0,($A67-$E$7)/91.25))^(($A67-$E$7)/365.25),""),"")</f>
        <v/>
      </c>
    </row>
    <row r="68" customFormat="false" ht="15" hidden="false" customHeight="false" outlineLevel="0" collapsed="false">
      <c r="A68" s="15" t="n">
        <v>44743</v>
      </c>
      <c r="B68" s="20" t="str">
        <f aca="true">IFERROR(IF(AVERAGEIFS(INDIRECT(Index!$M$5),INDIRECT(Index!$L$5),"&gt;="&amp;$A68,INDIRECT(Index!$L$5),"&lt;"&amp;EDATE($A68,3))=0,"",AVERAGEIFS(INDIRECT(Index!$M$5),INDIRECT(Index!$L$5),"&gt;="&amp;$A68,INDIRECT(Index!$L$5),"&lt;"&amp;EDATE($A68,3))),"")</f>
        <v/>
      </c>
      <c r="C68" s="33" t="str">
        <f aca="false">IFERROR(B68/B67-1,"")</f>
        <v/>
      </c>
      <c r="D68" s="33" t="str">
        <f aca="false">IFERROR(B68/B64-1,"")</f>
        <v/>
      </c>
      <c r="E68" s="25" t="str">
        <f aca="false">IFERROR(IF(AND(B68="",ISNUMBER($C$7),ISNUMBER($G$7)),$C$7*(1+$G$7)^(($A68-$E$7)/365.25),""),"")</f>
        <v/>
      </c>
      <c r="F68" s="25" t="str">
        <f aca="false">IFERROR(IF(AND(B68="",ISNUMBER($C$7),ISNUMBER($G$7)),$C$7*(1+$G$7*0.85^MAX(0,($A68-$E$7)/91.25))^(($A68-$E$7)/365.25),""),"")</f>
        <v/>
      </c>
    </row>
    <row r="69" customFormat="false" ht="15" hidden="false" customHeight="false" outlineLevel="0" collapsed="false">
      <c r="A69" s="27" t="n">
        <v>44835</v>
      </c>
      <c r="B69" s="28" t="str">
        <f aca="true">IFERROR(IF(AVERAGEIFS(INDIRECT(Index!$M$5),INDIRECT(Index!$L$5),"&gt;="&amp;$A69,INDIRECT(Index!$L$5),"&lt;"&amp;EDATE($A69,3))=0,"",AVERAGEIFS(INDIRECT(Index!$M$5),INDIRECT(Index!$L$5),"&gt;="&amp;$A69,INDIRECT(Index!$L$5),"&lt;"&amp;EDATE($A69,3))),"")</f>
        <v/>
      </c>
      <c r="C69" s="29" t="str">
        <f aca="false">IFERROR(B69/B68-1,"")</f>
        <v/>
      </c>
      <c r="D69" s="29" t="str">
        <f aca="false">IFERROR(B69/B65-1,"")</f>
        <v/>
      </c>
      <c r="E69" s="31" t="str">
        <f aca="false">IFERROR(IF(AND(B69="",ISNUMBER($C$7),ISNUMBER($G$7)),$C$7*(1+$G$7)^(($A69-$E$7)/365.25),""),"")</f>
        <v/>
      </c>
      <c r="F69" s="31" t="str">
        <f aca="false">IFERROR(IF(AND(B69="",ISNUMBER($C$7),ISNUMBER($G$7)),$C$7*(1+$G$7*0.85^MAX(0,($A69-$E$7)/91.25))^(($A69-$E$7)/365.25),""),"")</f>
        <v/>
      </c>
    </row>
    <row r="70" customFormat="false" ht="15" hidden="false" customHeight="false" outlineLevel="0" collapsed="false">
      <c r="A70" s="15" t="n">
        <v>44927</v>
      </c>
      <c r="B70" s="20" t="str">
        <f aca="true">IFERROR(IF(AVERAGEIFS(INDIRECT(Index!$M$5),INDIRECT(Index!$L$5),"&gt;="&amp;$A70,INDIRECT(Index!$L$5),"&lt;"&amp;EDATE($A70,3))=0,"",AVERAGEIFS(INDIRECT(Index!$M$5),INDIRECT(Index!$L$5),"&gt;="&amp;$A70,INDIRECT(Index!$L$5),"&lt;"&amp;EDATE($A70,3))),"")</f>
        <v/>
      </c>
      <c r="C70" s="33" t="str">
        <f aca="false">IFERROR(B70/B69-1,"")</f>
        <v/>
      </c>
      <c r="D70" s="33" t="str">
        <f aca="false">IFERROR(B70/B66-1,"")</f>
        <v/>
      </c>
      <c r="E70" s="25" t="str">
        <f aca="false">IFERROR(IF(AND(B70="",ISNUMBER($C$7),ISNUMBER($G$7)),$C$7*(1+$G$7)^(($A70-$E$7)/365.25),""),"")</f>
        <v/>
      </c>
      <c r="F70" s="25" t="str">
        <f aca="false">IFERROR(IF(AND(B70="",ISNUMBER($C$7),ISNUMBER($G$7)),$C$7*(1+$G$7*0.85^MAX(0,($A70-$E$7)/91.25))^(($A70-$E$7)/365.25),""),"")</f>
        <v/>
      </c>
    </row>
    <row r="71" customFormat="false" ht="15" hidden="false" customHeight="false" outlineLevel="0" collapsed="false">
      <c r="A71" s="27" t="n">
        <v>45017</v>
      </c>
      <c r="B71" s="28" t="str">
        <f aca="true">IFERROR(IF(AVERAGEIFS(INDIRECT(Index!$M$5),INDIRECT(Index!$L$5),"&gt;="&amp;$A71,INDIRECT(Index!$L$5),"&lt;"&amp;EDATE($A71,3))=0,"",AVERAGEIFS(INDIRECT(Index!$M$5),INDIRECT(Index!$L$5),"&gt;="&amp;$A71,INDIRECT(Index!$L$5),"&lt;"&amp;EDATE($A71,3))),"")</f>
        <v/>
      </c>
      <c r="C71" s="29" t="str">
        <f aca="false">IFERROR(B71/B70-1,"")</f>
        <v/>
      </c>
      <c r="D71" s="29" t="str">
        <f aca="false">IFERROR(B71/B67-1,"")</f>
        <v/>
      </c>
      <c r="E71" s="31" t="str">
        <f aca="false">IFERROR(IF(AND(B71="",ISNUMBER($C$7),ISNUMBER($G$7)),$C$7*(1+$G$7)^(($A71-$E$7)/365.25),""),"")</f>
        <v/>
      </c>
      <c r="F71" s="31" t="str">
        <f aca="false">IFERROR(IF(AND(B71="",ISNUMBER($C$7),ISNUMBER($G$7)),$C$7*(1+$G$7*0.85^MAX(0,($A71-$E$7)/91.25))^(($A71-$E$7)/365.25),""),"")</f>
        <v/>
      </c>
    </row>
    <row r="72" customFormat="false" ht="15" hidden="false" customHeight="false" outlineLevel="0" collapsed="false">
      <c r="A72" s="15" t="n">
        <v>45108</v>
      </c>
      <c r="B72" s="20" t="str">
        <f aca="true">IFERROR(IF(AVERAGEIFS(INDIRECT(Index!$M$5),INDIRECT(Index!$L$5),"&gt;="&amp;$A72,INDIRECT(Index!$L$5),"&lt;"&amp;EDATE($A72,3))=0,"",AVERAGEIFS(INDIRECT(Index!$M$5),INDIRECT(Index!$L$5),"&gt;="&amp;$A72,INDIRECT(Index!$L$5),"&lt;"&amp;EDATE($A72,3))),"")</f>
        <v/>
      </c>
      <c r="C72" s="33" t="str">
        <f aca="false">IFERROR(B72/B71-1,"")</f>
        <v/>
      </c>
      <c r="D72" s="33" t="str">
        <f aca="false">IFERROR(B72/B68-1,"")</f>
        <v/>
      </c>
      <c r="E72" s="25" t="str">
        <f aca="false">IFERROR(IF(AND(B72="",ISNUMBER($C$7),ISNUMBER($G$7)),$C$7*(1+$G$7)^(($A72-$E$7)/365.25),""),"")</f>
        <v/>
      </c>
      <c r="F72" s="25" t="str">
        <f aca="false">IFERROR(IF(AND(B72="",ISNUMBER($C$7),ISNUMBER($G$7)),$C$7*(1+$G$7*0.85^MAX(0,($A72-$E$7)/91.25))^(($A72-$E$7)/365.25),""),"")</f>
        <v/>
      </c>
    </row>
    <row r="73" customFormat="false" ht="15" hidden="false" customHeight="false" outlineLevel="0" collapsed="false">
      <c r="A73" s="27" t="n">
        <v>45200</v>
      </c>
      <c r="B73" s="28" t="str">
        <f aca="true">IFERROR(IF(AVERAGEIFS(INDIRECT(Index!$M$5),INDIRECT(Index!$L$5),"&gt;="&amp;$A73,INDIRECT(Index!$L$5),"&lt;"&amp;EDATE($A73,3))=0,"",AVERAGEIFS(INDIRECT(Index!$M$5),INDIRECT(Index!$L$5),"&gt;="&amp;$A73,INDIRECT(Index!$L$5),"&lt;"&amp;EDATE($A73,3))),"")</f>
        <v/>
      </c>
      <c r="C73" s="29" t="str">
        <f aca="false">IFERROR(B73/B72-1,"")</f>
        <v/>
      </c>
      <c r="D73" s="29" t="str">
        <f aca="false">IFERROR(B73/B69-1,"")</f>
        <v/>
      </c>
      <c r="E73" s="31" t="str">
        <f aca="false">IFERROR(IF(AND(B73="",ISNUMBER($C$7),ISNUMBER($G$7)),$C$7*(1+$G$7)^(($A73-$E$7)/365.25),""),"")</f>
        <v/>
      </c>
      <c r="F73" s="31" t="str">
        <f aca="false">IFERROR(IF(AND(B73="",ISNUMBER($C$7),ISNUMBER($G$7)),$C$7*(1+$G$7*0.85^MAX(0,($A73-$E$7)/91.25))^(($A73-$E$7)/365.25),""),"")</f>
        <v/>
      </c>
    </row>
    <row r="74" customFormat="false" ht="15" hidden="false" customHeight="false" outlineLevel="0" collapsed="false">
      <c r="A74" s="15" t="n">
        <v>45292</v>
      </c>
      <c r="B74" s="20" t="str">
        <f aca="true">IFERROR(IF(AVERAGEIFS(INDIRECT(Index!$M$5),INDIRECT(Index!$L$5),"&gt;="&amp;$A74,INDIRECT(Index!$L$5),"&lt;"&amp;EDATE($A74,3))=0,"",AVERAGEIFS(INDIRECT(Index!$M$5),INDIRECT(Index!$L$5),"&gt;="&amp;$A74,INDIRECT(Index!$L$5),"&lt;"&amp;EDATE($A74,3))),"")</f>
        <v/>
      </c>
      <c r="C74" s="33" t="str">
        <f aca="false">IFERROR(B74/B73-1,"")</f>
        <v/>
      </c>
      <c r="D74" s="33" t="str">
        <f aca="false">IFERROR(B74/B70-1,"")</f>
        <v/>
      </c>
      <c r="E74" s="25" t="str">
        <f aca="false">IFERROR(IF(AND(B74="",ISNUMBER($C$7),ISNUMBER($G$7)),$C$7*(1+$G$7)^(($A74-$E$7)/365.25),""),"")</f>
        <v/>
      </c>
      <c r="F74" s="25" t="str">
        <f aca="false">IFERROR(IF(AND(B74="",ISNUMBER($C$7),ISNUMBER($G$7)),$C$7*(1+$G$7*0.85^MAX(0,($A74-$E$7)/91.25))^(($A74-$E$7)/365.25),""),"")</f>
        <v/>
      </c>
    </row>
    <row r="75" customFormat="false" ht="15" hidden="false" customHeight="false" outlineLevel="0" collapsed="false">
      <c r="A75" s="27" t="n">
        <v>45383</v>
      </c>
      <c r="B75" s="28" t="str">
        <f aca="true">IFERROR(IF(AVERAGEIFS(INDIRECT(Index!$M$5),INDIRECT(Index!$L$5),"&gt;="&amp;$A75,INDIRECT(Index!$L$5),"&lt;"&amp;EDATE($A75,3))=0,"",AVERAGEIFS(INDIRECT(Index!$M$5),INDIRECT(Index!$L$5),"&gt;="&amp;$A75,INDIRECT(Index!$L$5),"&lt;"&amp;EDATE($A75,3))),"")</f>
        <v/>
      </c>
      <c r="C75" s="29" t="str">
        <f aca="false">IFERROR(B75/B74-1,"")</f>
        <v/>
      </c>
      <c r="D75" s="29" t="str">
        <f aca="false">IFERROR(B75/B71-1,"")</f>
        <v/>
      </c>
      <c r="E75" s="31" t="str">
        <f aca="false">IFERROR(IF(AND(B75="",ISNUMBER($C$7),ISNUMBER($G$7)),$C$7*(1+$G$7)^(($A75-$E$7)/365.25),""),"")</f>
        <v/>
      </c>
      <c r="F75" s="31" t="str">
        <f aca="false">IFERROR(IF(AND(B75="",ISNUMBER($C$7),ISNUMBER($G$7)),$C$7*(1+$G$7*0.85^MAX(0,($A75-$E$7)/91.25))^(($A75-$E$7)/365.25),""),"")</f>
        <v/>
      </c>
    </row>
    <row r="76" customFormat="false" ht="15" hidden="false" customHeight="false" outlineLevel="0" collapsed="false">
      <c r="A76" s="15" t="n">
        <v>45474</v>
      </c>
      <c r="B76" s="20" t="str">
        <f aca="true">IFERROR(IF(AVERAGEIFS(INDIRECT(Index!$M$5),INDIRECT(Index!$L$5),"&gt;="&amp;$A76,INDIRECT(Index!$L$5),"&lt;"&amp;EDATE($A76,3))=0,"",AVERAGEIFS(INDIRECT(Index!$M$5),INDIRECT(Index!$L$5),"&gt;="&amp;$A76,INDIRECT(Index!$L$5),"&lt;"&amp;EDATE($A76,3))),"")</f>
        <v/>
      </c>
      <c r="C76" s="33" t="str">
        <f aca="false">IFERROR(B76/B75-1,"")</f>
        <v/>
      </c>
      <c r="D76" s="33" t="str">
        <f aca="false">IFERROR(B76/B72-1,"")</f>
        <v/>
      </c>
      <c r="E76" s="25" t="str">
        <f aca="false">IFERROR(IF(AND(B76="",ISNUMBER($C$7),ISNUMBER($G$7)),$C$7*(1+$G$7)^(($A76-$E$7)/365.25),""),"")</f>
        <v/>
      </c>
      <c r="F76" s="25" t="str">
        <f aca="false">IFERROR(IF(AND(B76="",ISNUMBER($C$7),ISNUMBER($G$7)),$C$7*(1+$G$7*0.85^MAX(0,($A76-$E$7)/91.25))^(($A76-$E$7)/365.25),""),"")</f>
        <v/>
      </c>
    </row>
    <row r="77" customFormat="false" ht="15" hidden="false" customHeight="false" outlineLevel="0" collapsed="false">
      <c r="A77" s="27" t="n">
        <v>45566</v>
      </c>
      <c r="B77" s="28" t="str">
        <f aca="true">IFERROR(IF(AVERAGEIFS(INDIRECT(Index!$M$5),INDIRECT(Index!$L$5),"&gt;="&amp;$A77,INDIRECT(Index!$L$5),"&lt;"&amp;EDATE($A77,3))=0,"",AVERAGEIFS(INDIRECT(Index!$M$5),INDIRECT(Index!$L$5),"&gt;="&amp;$A77,INDIRECT(Index!$L$5),"&lt;"&amp;EDATE($A77,3))),"")</f>
        <v/>
      </c>
      <c r="C77" s="29" t="str">
        <f aca="false">IFERROR(B77/B76-1,"")</f>
        <v/>
      </c>
      <c r="D77" s="29" t="str">
        <f aca="false">IFERROR(B77/B73-1,"")</f>
        <v/>
      </c>
      <c r="E77" s="31" t="str">
        <f aca="false">IFERROR(IF(AND(B77="",ISNUMBER($C$7),ISNUMBER($G$7)),$C$7*(1+$G$7)^(($A77-$E$7)/365.25),""),"")</f>
        <v/>
      </c>
      <c r="F77" s="31" t="str">
        <f aca="false">IFERROR(IF(AND(B77="",ISNUMBER($C$7),ISNUMBER($G$7)),$C$7*(1+$G$7*0.85^MAX(0,($A77-$E$7)/91.25))^(($A77-$E$7)/365.25),""),"")</f>
        <v/>
      </c>
    </row>
    <row r="78" customFormat="false" ht="15" hidden="false" customHeight="false" outlineLevel="0" collapsed="false">
      <c r="A78" s="15" t="n">
        <v>45658</v>
      </c>
      <c r="B78" s="20" t="str">
        <f aca="true">IFERROR(IF(AVERAGEIFS(INDIRECT(Index!$M$5),INDIRECT(Index!$L$5),"&gt;="&amp;$A78,INDIRECT(Index!$L$5),"&lt;"&amp;EDATE($A78,3))=0,"",AVERAGEIFS(INDIRECT(Index!$M$5),INDIRECT(Index!$L$5),"&gt;="&amp;$A78,INDIRECT(Index!$L$5),"&lt;"&amp;EDATE($A78,3))),"")</f>
        <v/>
      </c>
      <c r="C78" s="33" t="str">
        <f aca="false">IFERROR(B78/B77-1,"")</f>
        <v/>
      </c>
      <c r="D78" s="33" t="str">
        <f aca="false">IFERROR(B78/B74-1,"")</f>
        <v/>
      </c>
      <c r="E78" s="25" t="str">
        <f aca="false">IFERROR(IF(AND(B78="",ISNUMBER($C$7),ISNUMBER($G$7)),$C$7*(1+$G$7)^(($A78-$E$7)/365.25),""),"")</f>
        <v/>
      </c>
      <c r="F78" s="25" t="str">
        <f aca="false">IFERROR(IF(AND(B78="",ISNUMBER($C$7),ISNUMBER($G$7)),$C$7*(1+$G$7*0.85^MAX(0,($A78-$E$7)/91.25))^(($A78-$E$7)/365.25),""),"")</f>
        <v/>
      </c>
    </row>
    <row r="79" customFormat="false" ht="15" hidden="false" customHeight="false" outlineLevel="0" collapsed="false">
      <c r="A79" s="27" t="n">
        <v>45748</v>
      </c>
      <c r="B79" s="28" t="str">
        <f aca="true">IFERROR(IF(AVERAGEIFS(INDIRECT(Index!$M$5),INDIRECT(Index!$L$5),"&gt;="&amp;$A79,INDIRECT(Index!$L$5),"&lt;"&amp;EDATE($A79,3))=0,"",AVERAGEIFS(INDIRECT(Index!$M$5),INDIRECT(Index!$L$5),"&gt;="&amp;$A79,INDIRECT(Index!$L$5),"&lt;"&amp;EDATE($A79,3))),"")</f>
        <v/>
      </c>
      <c r="C79" s="29" t="str">
        <f aca="false">IFERROR(B79/B78-1,"")</f>
        <v/>
      </c>
      <c r="D79" s="29" t="str">
        <f aca="false">IFERROR(B79/B75-1,"")</f>
        <v/>
      </c>
      <c r="E79" s="31" t="str">
        <f aca="false">IFERROR(IF(AND(B79="",ISNUMBER($C$7),ISNUMBER($G$7)),$C$7*(1+$G$7)^(($A79-$E$7)/365.25),""),"")</f>
        <v/>
      </c>
      <c r="F79" s="31" t="str">
        <f aca="false">IFERROR(IF(AND(B79="",ISNUMBER($C$7),ISNUMBER($G$7)),$C$7*(1+$G$7*0.85^MAX(0,($A79-$E$7)/91.25))^(($A79-$E$7)/365.25),""),"")</f>
        <v/>
      </c>
    </row>
    <row r="80" customFormat="false" ht="15" hidden="false" customHeight="false" outlineLevel="0" collapsed="false">
      <c r="A80" s="15" t="n">
        <v>45839</v>
      </c>
      <c r="B80" s="20" t="str">
        <f aca="true">IFERROR(IF(AVERAGEIFS(INDIRECT(Index!$M$5),INDIRECT(Index!$L$5),"&gt;="&amp;$A80,INDIRECT(Index!$L$5),"&lt;"&amp;EDATE($A80,3))=0,"",AVERAGEIFS(INDIRECT(Index!$M$5),INDIRECT(Index!$L$5),"&gt;="&amp;$A80,INDIRECT(Index!$L$5),"&lt;"&amp;EDATE($A80,3))),"")</f>
        <v/>
      </c>
      <c r="C80" s="33" t="str">
        <f aca="false">IFERROR(B80/B79-1,"")</f>
        <v/>
      </c>
      <c r="D80" s="33" t="str">
        <f aca="false">IFERROR(B80/B76-1,"")</f>
        <v/>
      </c>
      <c r="E80" s="25" t="str">
        <f aca="false">IFERROR(IF(AND(B80="",ISNUMBER($C$7),ISNUMBER($G$7)),$C$7*(1+$G$7)^(($A80-$E$7)/365.25),""),"")</f>
        <v/>
      </c>
      <c r="F80" s="25" t="str">
        <f aca="false">IFERROR(IF(AND(B80="",ISNUMBER($C$7),ISNUMBER($G$7)),$C$7*(1+$G$7*0.85^MAX(0,($A80-$E$7)/91.25))^(($A80-$E$7)/365.25),""),"")</f>
        <v/>
      </c>
    </row>
    <row r="81" customFormat="false" ht="15" hidden="false" customHeight="false" outlineLevel="0" collapsed="false">
      <c r="A81" s="27" t="n">
        <v>45931</v>
      </c>
      <c r="B81" s="28" t="str">
        <f aca="true">IFERROR(IF(AVERAGEIFS(INDIRECT(Index!$M$5),INDIRECT(Index!$L$5),"&gt;="&amp;$A81,INDIRECT(Index!$L$5),"&lt;"&amp;EDATE($A81,3))=0,"",AVERAGEIFS(INDIRECT(Index!$M$5),INDIRECT(Index!$L$5),"&gt;="&amp;$A81,INDIRECT(Index!$L$5),"&lt;"&amp;EDATE($A81,3))),"")</f>
        <v/>
      </c>
      <c r="C81" s="29" t="str">
        <f aca="false">IFERROR(B81/B80-1,"")</f>
        <v/>
      </c>
      <c r="D81" s="29" t="str">
        <f aca="false">IFERROR(B81/B77-1,"")</f>
        <v/>
      </c>
      <c r="E81" s="31" t="str">
        <f aca="false">IFERROR(IF(AND(B81="",ISNUMBER($C$7),ISNUMBER($G$7)),$C$7*(1+$G$7)^(($A81-$E$7)/365.25),""),"")</f>
        <v/>
      </c>
      <c r="F81" s="31" t="str">
        <f aca="false">IFERROR(IF(AND(B81="",ISNUMBER($C$7),ISNUMBER($G$7)),$C$7*(1+$G$7*0.85^MAX(0,($A81-$E$7)/91.25))^(($A81-$E$7)/365.25),""),"")</f>
        <v/>
      </c>
    </row>
    <row r="82" customFormat="false" ht="15" hidden="false" customHeight="false" outlineLevel="0" collapsed="false">
      <c r="A82" s="15" t="n">
        <v>46023</v>
      </c>
      <c r="B82" s="20" t="str">
        <f aca="true">IFERROR(IF(AVERAGEIFS(INDIRECT(Index!$M$5),INDIRECT(Index!$L$5),"&gt;="&amp;$A82,INDIRECT(Index!$L$5),"&lt;"&amp;EDATE($A82,3))=0,"",AVERAGEIFS(INDIRECT(Index!$M$5),INDIRECT(Index!$L$5),"&gt;="&amp;$A82,INDIRECT(Index!$L$5),"&lt;"&amp;EDATE($A82,3))),"")</f>
        <v/>
      </c>
      <c r="C82" s="33" t="str">
        <f aca="false">IFERROR(B82/B81-1,"")</f>
        <v/>
      </c>
      <c r="D82" s="33" t="str">
        <f aca="false">IFERROR(B82/B78-1,"")</f>
        <v/>
      </c>
      <c r="E82" s="25" t="str">
        <f aca="false">IFERROR(IF(AND(B82="",ISNUMBER($C$7),ISNUMBER($G$7)),$C$7*(1+$G$7)^(($A82-$E$7)/365.25),""),"")</f>
        <v/>
      </c>
      <c r="F82" s="25" t="str">
        <f aca="false">IFERROR(IF(AND(B82="",ISNUMBER($C$7),ISNUMBER($G$7)),$C$7*(1+$G$7*0.85^MAX(0,($A82-$E$7)/91.25))^(($A82-$E$7)/365.25),""),"")</f>
        <v/>
      </c>
    </row>
    <row r="83" customFormat="false" ht="15" hidden="false" customHeight="false" outlineLevel="0" collapsed="false">
      <c r="A83" s="27" t="n">
        <v>46113</v>
      </c>
      <c r="B83" s="28" t="str">
        <f aca="true">IFERROR(IF(AVERAGEIFS(INDIRECT(Index!$M$5),INDIRECT(Index!$L$5),"&gt;="&amp;$A83,INDIRECT(Index!$L$5),"&lt;"&amp;EDATE($A83,3))=0,"",AVERAGEIFS(INDIRECT(Index!$M$5),INDIRECT(Index!$L$5),"&gt;="&amp;$A83,INDIRECT(Index!$L$5),"&lt;"&amp;EDATE($A83,3))),"")</f>
        <v/>
      </c>
      <c r="C83" s="29" t="str">
        <f aca="false">IFERROR(B83/B82-1,"")</f>
        <v/>
      </c>
      <c r="D83" s="29" t="str">
        <f aca="false">IFERROR(B83/B79-1,"")</f>
        <v/>
      </c>
      <c r="E83" s="31" t="str">
        <f aca="false">IFERROR(IF(AND(B83="",ISNUMBER($C$7),ISNUMBER($G$7)),$C$7*(1+$G$7)^(($A83-$E$7)/365.25),""),"")</f>
        <v/>
      </c>
      <c r="F83" s="31" t="str">
        <f aca="false">IFERROR(IF(AND(B83="",ISNUMBER($C$7),ISNUMBER($G$7)),$C$7*(1+$G$7*0.85^MAX(0,($A83-$E$7)/91.25))^(($A83-$E$7)/365.25),""),"")</f>
        <v/>
      </c>
    </row>
    <row r="84" customFormat="false" ht="15" hidden="false" customHeight="false" outlineLevel="0" collapsed="false">
      <c r="A84" s="15" t="n">
        <v>46204</v>
      </c>
      <c r="B84" s="20" t="str">
        <f aca="true">IFERROR(IF(AVERAGEIFS(INDIRECT(Index!$M$5),INDIRECT(Index!$L$5),"&gt;="&amp;$A84,INDIRECT(Index!$L$5),"&lt;"&amp;EDATE($A84,3))=0,"",AVERAGEIFS(INDIRECT(Index!$M$5),INDIRECT(Index!$L$5),"&gt;="&amp;$A84,INDIRECT(Index!$L$5),"&lt;"&amp;EDATE($A84,3))),"")</f>
        <v/>
      </c>
      <c r="C84" s="33" t="str">
        <f aca="false">IFERROR(B84/B83-1,"")</f>
        <v/>
      </c>
      <c r="D84" s="33" t="str">
        <f aca="false">IFERROR(B84/B80-1,"")</f>
        <v/>
      </c>
      <c r="E84" s="25" t="str">
        <f aca="false">IFERROR(IF(AND(B84="",ISNUMBER($C$7),ISNUMBER($G$7)),$C$7*(1+$G$7)^(($A84-$E$7)/365.25),""),"")</f>
        <v/>
      </c>
      <c r="F84" s="25" t="str">
        <f aca="false">IFERROR(IF(AND(B84="",ISNUMBER($C$7),ISNUMBER($G$7)),$C$7*(1+$G$7*0.85^MAX(0,($A84-$E$7)/91.25))^(($A84-$E$7)/365.25),""),"")</f>
        <v/>
      </c>
    </row>
    <row r="85" customFormat="false" ht="15" hidden="false" customHeight="false" outlineLevel="0" collapsed="false">
      <c r="A85" s="27" t="n">
        <v>46296</v>
      </c>
      <c r="B85" s="28" t="str">
        <f aca="true">IFERROR(IF(AVERAGEIFS(INDIRECT(Index!$M$5),INDIRECT(Index!$L$5),"&gt;="&amp;$A85,INDIRECT(Index!$L$5),"&lt;"&amp;EDATE($A85,3))=0,"",AVERAGEIFS(INDIRECT(Index!$M$5),INDIRECT(Index!$L$5),"&gt;="&amp;$A85,INDIRECT(Index!$L$5),"&lt;"&amp;EDATE($A85,3))),"")</f>
        <v/>
      </c>
      <c r="C85" s="29" t="str">
        <f aca="false">IFERROR(B85/B84-1,"")</f>
        <v/>
      </c>
      <c r="D85" s="29" t="str">
        <f aca="false">IFERROR(B85/B81-1,"")</f>
        <v/>
      </c>
      <c r="E85" s="31" t="str">
        <f aca="false">IFERROR(IF(AND(B85="",ISNUMBER($C$7),ISNUMBER($G$7)),$C$7*(1+$G$7)^(($A85-$E$7)/365.25),""),"")</f>
        <v/>
      </c>
      <c r="F85" s="31" t="str">
        <f aca="false">IFERROR(IF(AND(B85="",ISNUMBER($C$7),ISNUMBER($G$7)),$C$7*(1+$G$7*0.85^MAX(0,($A85-$E$7)/91.25))^(($A85-$E$7)/365.25),""),"")</f>
        <v/>
      </c>
    </row>
    <row r="86" customFormat="false" ht="15" hidden="false" customHeight="false" outlineLevel="0" collapsed="false">
      <c r="A86" s="15" t="n">
        <v>46388</v>
      </c>
      <c r="B86" s="20" t="str">
        <f aca="true">IFERROR(IF(AVERAGEIFS(INDIRECT(Index!$M$5),INDIRECT(Index!$L$5),"&gt;="&amp;$A86,INDIRECT(Index!$L$5),"&lt;"&amp;EDATE($A86,3))=0,"",AVERAGEIFS(INDIRECT(Index!$M$5),INDIRECT(Index!$L$5),"&gt;="&amp;$A86,INDIRECT(Index!$L$5),"&lt;"&amp;EDATE($A86,3))),"")</f>
        <v/>
      </c>
      <c r="C86" s="33" t="str">
        <f aca="false">IFERROR(B86/B85-1,"")</f>
        <v/>
      </c>
      <c r="D86" s="33" t="str">
        <f aca="false">IFERROR(B86/B82-1,"")</f>
        <v/>
      </c>
      <c r="E86" s="25" t="str">
        <f aca="false">IFERROR(IF(AND(B86="",ISNUMBER($C$7),ISNUMBER($G$7)),$C$7*(1+$G$7)^(($A86-$E$7)/365.25),""),"")</f>
        <v/>
      </c>
      <c r="F86" s="25" t="str">
        <f aca="false">IFERROR(IF(AND(B86="",ISNUMBER($C$7),ISNUMBER($G$7)),$C$7*(1+$G$7*0.85^MAX(0,($A86-$E$7)/91.25))^(($A86-$E$7)/365.25),""),"")</f>
        <v/>
      </c>
    </row>
    <row r="87" customFormat="false" ht="15" hidden="false" customHeight="false" outlineLevel="0" collapsed="false">
      <c r="A87" s="27" t="n">
        <v>46478</v>
      </c>
      <c r="B87" s="28" t="str">
        <f aca="true">IFERROR(IF(AVERAGEIFS(INDIRECT(Index!$M$5),INDIRECT(Index!$L$5),"&gt;="&amp;$A87,INDIRECT(Index!$L$5),"&lt;"&amp;EDATE($A87,3))=0,"",AVERAGEIFS(INDIRECT(Index!$M$5),INDIRECT(Index!$L$5),"&gt;="&amp;$A87,INDIRECT(Index!$L$5),"&lt;"&amp;EDATE($A87,3))),"")</f>
        <v/>
      </c>
      <c r="C87" s="29" t="str">
        <f aca="false">IFERROR(B87/B86-1,"")</f>
        <v/>
      </c>
      <c r="D87" s="29" t="str">
        <f aca="false">IFERROR(B87/B83-1,"")</f>
        <v/>
      </c>
      <c r="E87" s="31" t="str">
        <f aca="false">IFERROR(IF(AND(B87="",ISNUMBER($C$7),ISNUMBER($G$7)),$C$7*(1+$G$7)^(($A87-$E$7)/365.25),""),"")</f>
        <v/>
      </c>
      <c r="F87" s="31" t="str">
        <f aca="false">IFERROR(IF(AND(B87="",ISNUMBER($C$7),ISNUMBER($G$7)),$C$7*(1+$G$7*0.85^MAX(0,($A87-$E$7)/91.25))^(($A87-$E$7)/365.25),""),"")</f>
        <v/>
      </c>
    </row>
    <row r="88" customFormat="false" ht="15" hidden="false" customHeight="false" outlineLevel="0" collapsed="false">
      <c r="A88" s="15" t="n">
        <v>46569</v>
      </c>
      <c r="B88" s="20" t="str">
        <f aca="true">IFERROR(IF(AVERAGEIFS(INDIRECT(Index!$M$5),INDIRECT(Index!$L$5),"&gt;="&amp;$A88,INDIRECT(Index!$L$5),"&lt;"&amp;EDATE($A88,3))=0,"",AVERAGEIFS(INDIRECT(Index!$M$5),INDIRECT(Index!$L$5),"&gt;="&amp;$A88,INDIRECT(Index!$L$5),"&lt;"&amp;EDATE($A88,3))),"")</f>
        <v/>
      </c>
      <c r="C88" s="33" t="str">
        <f aca="false">IFERROR(B88/B87-1,"")</f>
        <v/>
      </c>
      <c r="D88" s="33" t="str">
        <f aca="false">IFERROR(B88/B84-1,"")</f>
        <v/>
      </c>
      <c r="E88" s="25" t="str">
        <f aca="false">IFERROR(IF(AND(B88="",ISNUMBER($C$7),ISNUMBER($G$7)),$C$7*(1+$G$7)^(($A88-$E$7)/365.25),""),"")</f>
        <v/>
      </c>
      <c r="F88" s="25" t="str">
        <f aca="false">IFERROR(IF(AND(B88="",ISNUMBER($C$7),ISNUMBER($G$7)),$C$7*(1+$G$7*0.85^MAX(0,($A88-$E$7)/91.25))^(($A88-$E$7)/365.25),""),"")</f>
        <v/>
      </c>
    </row>
    <row r="89" customFormat="false" ht="15" hidden="false" customHeight="false" outlineLevel="0" collapsed="false">
      <c r="A89" s="27" t="n">
        <v>46661</v>
      </c>
      <c r="B89" s="28" t="str">
        <f aca="true">IFERROR(IF(AVERAGEIFS(INDIRECT(Index!$M$5),INDIRECT(Index!$L$5),"&gt;="&amp;$A89,INDIRECT(Index!$L$5),"&lt;"&amp;EDATE($A89,3))=0,"",AVERAGEIFS(INDIRECT(Index!$M$5),INDIRECT(Index!$L$5),"&gt;="&amp;$A89,INDIRECT(Index!$L$5),"&lt;"&amp;EDATE($A89,3))),"")</f>
        <v/>
      </c>
      <c r="C89" s="29" t="str">
        <f aca="false">IFERROR(B89/B88-1,"")</f>
        <v/>
      </c>
      <c r="D89" s="29" t="str">
        <f aca="false">IFERROR(B89/B85-1,"")</f>
        <v/>
      </c>
      <c r="E89" s="31" t="str">
        <f aca="false">IFERROR(IF(AND(B89="",ISNUMBER($C$7),ISNUMBER($G$7)),$C$7*(1+$G$7)^(($A89-$E$7)/365.25),""),"")</f>
        <v/>
      </c>
      <c r="F89" s="31" t="str">
        <f aca="false">IFERROR(IF(AND(B89="",ISNUMBER($C$7),ISNUMBER($G$7)),$C$7*(1+$G$7*0.85^MAX(0,($A89-$E$7)/91.25))^(($A89-$E$7)/365.25),""),"")</f>
        <v/>
      </c>
    </row>
    <row r="90" customFormat="false" ht="15" hidden="false" customHeight="false" outlineLevel="0" collapsed="false">
      <c r="A90" s="15" t="n">
        <v>46753</v>
      </c>
      <c r="B90" s="20" t="str">
        <f aca="true">IFERROR(IF(AVERAGEIFS(INDIRECT(Index!$M$5),INDIRECT(Index!$L$5),"&gt;="&amp;$A90,INDIRECT(Index!$L$5),"&lt;"&amp;EDATE($A90,3))=0,"",AVERAGEIFS(INDIRECT(Index!$M$5),INDIRECT(Index!$L$5),"&gt;="&amp;$A90,INDIRECT(Index!$L$5),"&lt;"&amp;EDATE($A90,3))),"")</f>
        <v/>
      </c>
      <c r="C90" s="33" t="str">
        <f aca="false">IFERROR(B90/B89-1,"")</f>
        <v/>
      </c>
      <c r="D90" s="33" t="str">
        <f aca="false">IFERROR(B90/B86-1,"")</f>
        <v/>
      </c>
      <c r="E90" s="25" t="str">
        <f aca="false">IFERROR(IF(AND(B90="",ISNUMBER($C$7),ISNUMBER($G$7)),$C$7*(1+$G$7)^(($A90-$E$7)/365.25),""),"")</f>
        <v/>
      </c>
      <c r="F90" s="25" t="str">
        <f aca="false">IFERROR(IF(AND(B90="",ISNUMBER($C$7),ISNUMBER($G$7)),$C$7*(1+$G$7*0.85^MAX(0,($A90-$E$7)/91.25))^(($A90-$E$7)/365.25),""),"")</f>
        <v/>
      </c>
    </row>
    <row r="91" customFormat="false" ht="15" hidden="false" customHeight="false" outlineLevel="0" collapsed="false">
      <c r="A91" s="27" t="n">
        <v>46844</v>
      </c>
      <c r="B91" s="28" t="str">
        <f aca="true">IFERROR(IF(AVERAGEIFS(INDIRECT(Index!$M$5),INDIRECT(Index!$L$5),"&gt;="&amp;$A91,INDIRECT(Index!$L$5),"&lt;"&amp;EDATE($A91,3))=0,"",AVERAGEIFS(INDIRECT(Index!$M$5),INDIRECT(Index!$L$5),"&gt;="&amp;$A91,INDIRECT(Index!$L$5),"&lt;"&amp;EDATE($A91,3))),"")</f>
        <v/>
      </c>
      <c r="C91" s="29" t="str">
        <f aca="false">IFERROR(B91/B90-1,"")</f>
        <v/>
      </c>
      <c r="D91" s="29" t="str">
        <f aca="false">IFERROR(B91/B87-1,"")</f>
        <v/>
      </c>
      <c r="E91" s="31" t="str">
        <f aca="false">IFERROR(IF(AND(B91="",ISNUMBER($C$7),ISNUMBER($G$7)),$C$7*(1+$G$7)^(($A91-$E$7)/365.25),""),"")</f>
        <v/>
      </c>
      <c r="F91" s="31" t="str">
        <f aca="false">IFERROR(IF(AND(B91="",ISNUMBER($C$7),ISNUMBER($G$7)),$C$7*(1+$G$7*0.85^MAX(0,($A91-$E$7)/91.25))^(($A91-$E$7)/365.25),""),"")</f>
        <v/>
      </c>
    </row>
    <row r="92" customFormat="false" ht="15" hidden="false" customHeight="false" outlineLevel="0" collapsed="false">
      <c r="A92" s="15" t="n">
        <v>46935</v>
      </c>
      <c r="B92" s="20" t="str">
        <f aca="true">IFERROR(IF(AVERAGEIFS(INDIRECT(Index!$M$5),INDIRECT(Index!$L$5),"&gt;="&amp;$A92,INDIRECT(Index!$L$5),"&lt;"&amp;EDATE($A92,3))=0,"",AVERAGEIFS(INDIRECT(Index!$M$5),INDIRECT(Index!$L$5),"&gt;="&amp;$A92,INDIRECT(Index!$L$5),"&lt;"&amp;EDATE($A92,3))),"")</f>
        <v/>
      </c>
      <c r="C92" s="33" t="str">
        <f aca="false">IFERROR(B92/B91-1,"")</f>
        <v/>
      </c>
      <c r="D92" s="33" t="str">
        <f aca="false">IFERROR(B92/B88-1,"")</f>
        <v/>
      </c>
      <c r="E92" s="25" t="str">
        <f aca="false">IFERROR(IF(AND(B92="",ISNUMBER($C$7),ISNUMBER($G$7)),$C$7*(1+$G$7)^(($A92-$E$7)/365.25),""),"")</f>
        <v/>
      </c>
      <c r="F92" s="25" t="str">
        <f aca="false">IFERROR(IF(AND(B92="",ISNUMBER($C$7),ISNUMBER($G$7)),$C$7*(1+$G$7*0.85^MAX(0,($A92-$E$7)/91.25))^(($A92-$E$7)/365.25),""),"")</f>
        <v/>
      </c>
    </row>
    <row r="93" customFormat="false" ht="15" hidden="false" customHeight="false" outlineLevel="0" collapsed="false">
      <c r="A93" s="27" t="n">
        <v>47027</v>
      </c>
      <c r="B93" s="28" t="str">
        <f aca="true">IFERROR(IF(AVERAGEIFS(INDIRECT(Index!$M$5),INDIRECT(Index!$L$5),"&gt;="&amp;$A93,INDIRECT(Index!$L$5),"&lt;"&amp;EDATE($A93,3))=0,"",AVERAGEIFS(INDIRECT(Index!$M$5),INDIRECT(Index!$L$5),"&gt;="&amp;$A93,INDIRECT(Index!$L$5),"&lt;"&amp;EDATE($A93,3))),"")</f>
        <v/>
      </c>
      <c r="C93" s="29" t="str">
        <f aca="false">IFERROR(B93/B92-1,"")</f>
        <v/>
      </c>
      <c r="D93" s="29" t="str">
        <f aca="false">IFERROR(B93/B89-1,"")</f>
        <v/>
      </c>
      <c r="E93" s="31" t="str">
        <f aca="false">IFERROR(IF(AND(B93="",ISNUMBER($C$7),ISNUMBER($G$7)),$C$7*(1+$G$7)^(($A93-$E$7)/365.25),""),"")</f>
        <v/>
      </c>
      <c r="F93" s="31" t="str">
        <f aca="false">IFERROR(IF(AND(B93="",ISNUMBER($C$7),ISNUMBER($G$7)),$C$7*(1+$G$7*0.85^MAX(0,($A93-$E$7)/91.25))^(($A93-$E$7)/365.25),""),"")</f>
        <v/>
      </c>
    </row>
    <row r="94" customFormat="false" ht="15" hidden="false" customHeight="false" outlineLevel="0" collapsed="false">
      <c r="A94" s="15" t="n">
        <v>47119</v>
      </c>
      <c r="B94" s="20" t="str">
        <f aca="true">IFERROR(IF(AVERAGEIFS(INDIRECT(Index!$M$5),INDIRECT(Index!$L$5),"&gt;="&amp;$A94,INDIRECT(Index!$L$5),"&lt;"&amp;EDATE($A94,3))=0,"",AVERAGEIFS(INDIRECT(Index!$M$5),INDIRECT(Index!$L$5),"&gt;="&amp;$A94,INDIRECT(Index!$L$5),"&lt;"&amp;EDATE($A94,3))),"")</f>
        <v/>
      </c>
      <c r="C94" s="33" t="str">
        <f aca="false">IFERROR(B94/B93-1,"")</f>
        <v/>
      </c>
      <c r="D94" s="33" t="str">
        <f aca="false">IFERROR(B94/B90-1,"")</f>
        <v/>
      </c>
      <c r="E94" s="25" t="str">
        <f aca="false">IFERROR(IF(AND(B94="",ISNUMBER($C$7),ISNUMBER($G$7)),$C$7*(1+$G$7)^(($A94-$E$7)/365.25),""),"")</f>
        <v/>
      </c>
      <c r="F94" s="25" t="str">
        <f aca="false">IFERROR(IF(AND(B94="",ISNUMBER($C$7),ISNUMBER($G$7)),$C$7*(1+$G$7*0.85^MAX(0,($A94-$E$7)/91.25))^(($A94-$E$7)/365.25),""),"")</f>
        <v/>
      </c>
    </row>
    <row r="95" customFormat="false" ht="15" hidden="false" customHeight="false" outlineLevel="0" collapsed="false">
      <c r="A95" s="27" t="n">
        <v>47209</v>
      </c>
      <c r="B95" s="28" t="str">
        <f aca="true">IFERROR(IF(AVERAGEIFS(INDIRECT(Index!$M$5),INDIRECT(Index!$L$5),"&gt;="&amp;$A95,INDIRECT(Index!$L$5),"&lt;"&amp;EDATE($A95,3))=0,"",AVERAGEIFS(INDIRECT(Index!$M$5),INDIRECT(Index!$L$5),"&gt;="&amp;$A95,INDIRECT(Index!$L$5),"&lt;"&amp;EDATE($A95,3))),"")</f>
        <v/>
      </c>
      <c r="C95" s="29" t="str">
        <f aca="false">IFERROR(B95/B94-1,"")</f>
        <v/>
      </c>
      <c r="D95" s="29" t="str">
        <f aca="false">IFERROR(B95/B91-1,"")</f>
        <v/>
      </c>
      <c r="E95" s="31" t="str">
        <f aca="false">IFERROR(IF(AND(B95="",ISNUMBER($C$7),ISNUMBER($G$7)),$C$7*(1+$G$7)^(($A95-$E$7)/365.25),""),"")</f>
        <v/>
      </c>
      <c r="F95" s="31" t="str">
        <f aca="false">IFERROR(IF(AND(B95="",ISNUMBER($C$7),ISNUMBER($G$7)),$C$7*(1+$G$7*0.85^MAX(0,($A95-$E$7)/91.25))^(($A95-$E$7)/365.25),""),"")</f>
        <v/>
      </c>
    </row>
    <row r="96" customFormat="false" ht="15" hidden="false" customHeight="false" outlineLevel="0" collapsed="false">
      <c r="A96" s="15" t="n">
        <v>47300</v>
      </c>
      <c r="B96" s="20" t="str">
        <f aca="true">IFERROR(IF(AVERAGEIFS(INDIRECT(Index!$M$5),INDIRECT(Index!$L$5),"&gt;="&amp;$A96,INDIRECT(Index!$L$5),"&lt;"&amp;EDATE($A96,3))=0,"",AVERAGEIFS(INDIRECT(Index!$M$5),INDIRECT(Index!$L$5),"&gt;="&amp;$A96,INDIRECT(Index!$L$5),"&lt;"&amp;EDATE($A96,3))),"")</f>
        <v/>
      </c>
      <c r="C96" s="33" t="str">
        <f aca="false">IFERROR(B96/B95-1,"")</f>
        <v/>
      </c>
      <c r="D96" s="33" t="str">
        <f aca="false">IFERROR(B96/B92-1,"")</f>
        <v/>
      </c>
      <c r="E96" s="25" t="str">
        <f aca="false">IFERROR(IF(AND(B96="",ISNUMBER($C$7),ISNUMBER($G$7)),$C$7*(1+$G$7)^(($A96-$E$7)/365.25),""),"")</f>
        <v/>
      </c>
      <c r="F96" s="25" t="str">
        <f aca="false">IFERROR(IF(AND(B96="",ISNUMBER($C$7),ISNUMBER($G$7)),$C$7*(1+$G$7*0.85^MAX(0,($A96-$E$7)/91.25))^(($A96-$E$7)/365.25),""),"")</f>
        <v/>
      </c>
    </row>
    <row r="97" customFormat="false" ht="15" hidden="false" customHeight="false" outlineLevel="0" collapsed="false">
      <c r="A97" s="27" t="n">
        <v>47392</v>
      </c>
      <c r="B97" s="28" t="str">
        <f aca="true">IFERROR(IF(AVERAGEIFS(INDIRECT(Index!$M$5),INDIRECT(Index!$L$5),"&gt;="&amp;$A97,INDIRECT(Index!$L$5),"&lt;"&amp;EDATE($A97,3))=0,"",AVERAGEIFS(INDIRECT(Index!$M$5),INDIRECT(Index!$L$5),"&gt;="&amp;$A97,INDIRECT(Index!$L$5),"&lt;"&amp;EDATE($A97,3))),"")</f>
        <v/>
      </c>
      <c r="C97" s="29" t="str">
        <f aca="false">IFERROR(B97/B96-1,"")</f>
        <v/>
      </c>
      <c r="D97" s="29" t="str">
        <f aca="false">IFERROR(B97/B93-1,"")</f>
        <v/>
      </c>
      <c r="E97" s="31" t="str">
        <f aca="false">IFERROR(IF(AND(B97="",ISNUMBER($C$7),ISNUMBER($G$7)),$C$7*(1+$G$7)^(($A97-$E$7)/365.25),""),"")</f>
        <v/>
      </c>
      <c r="F97" s="31" t="str">
        <f aca="false">IFERROR(IF(AND(B97="",ISNUMBER($C$7),ISNUMBER($G$7)),$C$7*(1+$G$7*0.85^MAX(0,($A97-$E$7)/91.25))^(($A97-$E$7)/365.25),""),"")</f>
        <v/>
      </c>
    </row>
    <row r="98" customFormat="false" ht="15" hidden="false" customHeight="false" outlineLevel="0" collapsed="false">
      <c r="A98" s="15" t="n">
        <v>47484</v>
      </c>
      <c r="B98" s="20" t="str">
        <f aca="true">IFERROR(IF(AVERAGEIFS(INDIRECT(Index!$M$5),INDIRECT(Index!$L$5),"&gt;="&amp;$A98,INDIRECT(Index!$L$5),"&lt;"&amp;EDATE($A98,3))=0,"",AVERAGEIFS(INDIRECT(Index!$M$5),INDIRECT(Index!$L$5),"&gt;="&amp;$A98,INDIRECT(Index!$L$5),"&lt;"&amp;EDATE($A98,3))),"")</f>
        <v/>
      </c>
      <c r="C98" s="33" t="str">
        <f aca="false">IFERROR(B98/B97-1,"")</f>
        <v/>
      </c>
      <c r="D98" s="33" t="str">
        <f aca="false">IFERROR(B98/B94-1,"")</f>
        <v/>
      </c>
      <c r="E98" s="25" t="str">
        <f aca="false">IFERROR(IF(AND(B98="",ISNUMBER($C$7),ISNUMBER($G$7)),$C$7*(1+$G$7)^(($A98-$E$7)/365.25),""),"")</f>
        <v/>
      </c>
      <c r="F98" s="25" t="str">
        <f aca="false">IFERROR(IF(AND(B98="",ISNUMBER($C$7),ISNUMBER($G$7)),$C$7*(1+$G$7*0.85^MAX(0,($A98-$E$7)/91.25))^(($A98-$E$7)/365.25),""),"")</f>
        <v/>
      </c>
    </row>
    <row r="99" customFormat="false" ht="15" hidden="false" customHeight="false" outlineLevel="0" collapsed="false">
      <c r="A99" s="27" t="n">
        <v>47574</v>
      </c>
      <c r="B99" s="28" t="str">
        <f aca="true">IFERROR(IF(AVERAGEIFS(INDIRECT(Index!$M$5),INDIRECT(Index!$L$5),"&gt;="&amp;$A99,INDIRECT(Index!$L$5),"&lt;"&amp;EDATE($A99,3))=0,"",AVERAGEIFS(INDIRECT(Index!$M$5),INDIRECT(Index!$L$5),"&gt;="&amp;$A99,INDIRECT(Index!$L$5),"&lt;"&amp;EDATE($A99,3))),"")</f>
        <v/>
      </c>
      <c r="C99" s="29" t="str">
        <f aca="false">IFERROR(B99/B98-1,"")</f>
        <v/>
      </c>
      <c r="D99" s="29" t="str">
        <f aca="false">IFERROR(B99/B95-1,"")</f>
        <v/>
      </c>
      <c r="E99" s="31" t="str">
        <f aca="false">IFERROR(IF(AND(B99="",ISNUMBER($C$7),ISNUMBER($G$7)),$C$7*(1+$G$7)^(($A99-$E$7)/365.25),""),"")</f>
        <v/>
      </c>
      <c r="F99" s="31" t="str">
        <f aca="false">IFERROR(IF(AND(B99="",ISNUMBER($C$7),ISNUMBER($G$7)),$C$7*(1+$G$7*0.85^MAX(0,($A99-$E$7)/91.25))^(($A99-$E$7)/365.25),""),"")</f>
        <v/>
      </c>
    </row>
    <row r="100" customFormat="false" ht="15" hidden="false" customHeight="false" outlineLevel="0" collapsed="false">
      <c r="A100" s="15" t="n">
        <v>47665</v>
      </c>
      <c r="B100" s="20" t="str">
        <f aca="true">IFERROR(IF(AVERAGEIFS(INDIRECT(Index!$M$5),INDIRECT(Index!$L$5),"&gt;="&amp;$A100,INDIRECT(Index!$L$5),"&lt;"&amp;EDATE($A100,3))=0,"",AVERAGEIFS(INDIRECT(Index!$M$5),INDIRECT(Index!$L$5),"&gt;="&amp;$A100,INDIRECT(Index!$L$5),"&lt;"&amp;EDATE($A100,3))),"")</f>
        <v/>
      </c>
      <c r="C100" s="33" t="str">
        <f aca="false">IFERROR(B100/B99-1,"")</f>
        <v/>
      </c>
      <c r="D100" s="33" t="str">
        <f aca="false">IFERROR(B100/B96-1,"")</f>
        <v/>
      </c>
      <c r="E100" s="25" t="str">
        <f aca="false">IFERROR(IF(AND(B100="",ISNUMBER($C$7),ISNUMBER($G$7)),$C$7*(1+$G$7)^(($A100-$E$7)/365.25),""),"")</f>
        <v/>
      </c>
      <c r="F100" s="25" t="str">
        <f aca="false">IFERROR(IF(AND(B100="",ISNUMBER($C$7),ISNUMBER($G$7)),$C$7*(1+$G$7*0.85^MAX(0,($A100-$E$7)/91.25))^(($A100-$E$7)/365.25),""),"")</f>
        <v/>
      </c>
    </row>
    <row r="101" customFormat="false" ht="15" hidden="false" customHeight="false" outlineLevel="0" collapsed="false">
      <c r="A101" s="27" t="n">
        <v>47757</v>
      </c>
      <c r="B101" s="28" t="str">
        <f aca="true">IFERROR(IF(AVERAGEIFS(INDIRECT(Index!$M$5),INDIRECT(Index!$L$5),"&gt;="&amp;$A101,INDIRECT(Index!$L$5),"&lt;"&amp;EDATE($A101,3))=0,"",AVERAGEIFS(INDIRECT(Index!$M$5),INDIRECT(Index!$L$5),"&gt;="&amp;$A101,INDIRECT(Index!$L$5),"&lt;"&amp;EDATE($A101,3))),"")</f>
        <v/>
      </c>
      <c r="C101" s="29" t="str">
        <f aca="false">IFERROR(B101/B100-1,"")</f>
        <v/>
      </c>
      <c r="D101" s="29" t="str">
        <f aca="false">IFERROR(B101/B97-1,"")</f>
        <v/>
      </c>
      <c r="E101" s="31" t="str">
        <f aca="false">IFERROR(IF(AND(B101="",ISNUMBER($C$7),ISNUMBER($G$7)),$C$7*(1+$G$7)^(($A101-$E$7)/365.25),""),"")</f>
        <v/>
      </c>
      <c r="F101" s="31" t="str">
        <f aca="false">IFERROR(IF(AND(B101="",ISNUMBER($C$7),ISNUMBER($G$7)),$C$7*(1+$G$7*0.85^MAX(0,($A101-$E$7)/91.25))^(($A101-$E$7)/365.25),""),"")</f>
        <v/>
      </c>
    </row>
    <row r="105" customFormat="false" ht="21.75" hidden="false" customHeight="true" outlineLevel="0" collapsed="false">
      <c r="A105" s="17" t="str">
        <f aca="false">Index!$A$6&amp;"   ("&amp;Index!$I$6&amp;")"</f>
        <v>Nominal GDP   (Mn ARS)</v>
      </c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</row>
    <row r="106" customFormat="false" ht="15" hidden="false" customHeight="false" outlineLevel="0" collapsed="false">
      <c r="A106" s="4" t="s">
        <v>106</v>
      </c>
      <c r="B106" s="18" t="str">
        <f aca="false">Index!$J$6</f>
        <v>avg</v>
      </c>
      <c r="C106" s="4" t="s">
        <v>107</v>
      </c>
      <c r="D106" s="19" t="str">
        <f aca="false">Index!$D$6&amp;" ["&amp;Index!$F$6&amp;Index!$G$6&amp;":"&amp;Index!$F$6&amp;Index!$H$6&amp;"]"</f>
        <v>Data_Quarterly [C2:C200]</v>
      </c>
      <c r="E106" s="19"/>
      <c r="F106" s="19"/>
      <c r="G106" s="19"/>
      <c r="H106" s="19"/>
    </row>
    <row r="107" customFormat="false" ht="15" hidden="false" customHeight="false" outlineLevel="0" collapsed="false">
      <c r="A107" s="4" t="s">
        <v>108</v>
      </c>
      <c r="B107" s="6" t="str">
        <f aca="false">IF(Index!$K$6="","",Index!$K$6)</f>
        <v/>
      </c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</row>
    <row r="108" customFormat="false" ht="15" hidden="false" customHeight="false" outlineLevel="0" collapsed="false">
      <c r="A108" s="4" t="s">
        <v>109</v>
      </c>
      <c r="B108" s="4" t="s">
        <v>110</v>
      </c>
      <c r="C108" s="20" t="str">
        <f aca="false">IFERROR(LOOKUP(2,1/($B$111:$B$202&lt;&gt;""),$B$111:$B$202),"")</f>
        <v/>
      </c>
      <c r="D108" s="4" t="s">
        <v>111</v>
      </c>
      <c r="E108" s="21" t="str">
        <f aca="false">IFERROR(LOOKUP(2,1/($B$111:$B$202&lt;&gt;""),$A$111:$A$202),"")</f>
        <v/>
      </c>
      <c r="F108" s="4" t="s">
        <v>112</v>
      </c>
      <c r="G108" s="22" t="str">
        <f aca="false">IFERROR(C108/INDEX($B$111:$B$202,MATCH(EDATE(E108,-12),$A$111:$A$202,0))-1,"")</f>
        <v/>
      </c>
    </row>
    <row r="109" customFormat="false" ht="18" hidden="false" customHeight="true" outlineLevel="0" collapsed="false">
      <c r="A109" s="23" t="s">
        <v>113</v>
      </c>
      <c r="B109" s="23"/>
      <c r="C109" s="23"/>
      <c r="D109" s="23"/>
      <c r="E109" s="23"/>
      <c r="F109" s="23"/>
      <c r="J109" s="23" t="s">
        <v>114</v>
      </c>
      <c r="K109" s="23"/>
      <c r="L109" s="23"/>
      <c r="M109" s="23"/>
    </row>
    <row r="110" customFormat="false" ht="15" hidden="false" customHeight="false" outlineLevel="0" collapsed="false">
      <c r="A110" s="7" t="s">
        <v>95</v>
      </c>
      <c r="B110" s="7" t="s">
        <v>115</v>
      </c>
      <c r="C110" s="7" t="s">
        <v>116</v>
      </c>
      <c r="D110" s="7" t="s">
        <v>117</v>
      </c>
      <c r="E110" s="7" t="s">
        <v>118</v>
      </c>
      <c r="F110" s="7" t="s">
        <v>119</v>
      </c>
      <c r="J110" s="7" t="s">
        <v>120</v>
      </c>
      <c r="K110" s="7" t="s">
        <v>115</v>
      </c>
      <c r="L110" s="7" t="s">
        <v>117</v>
      </c>
      <c r="M110" s="7" t="s">
        <v>121</v>
      </c>
    </row>
    <row r="111" customFormat="false" ht="15" hidden="false" customHeight="false" outlineLevel="0" collapsed="false">
      <c r="A111" s="15" t="n">
        <v>39448</v>
      </c>
      <c r="B111" s="20" t="str">
        <f aca="true">IFERROR(IF(AVERAGEIFS(INDIRECT(Index!$M$6),INDIRECT(Index!$L$6),"&gt;="&amp;$A111,INDIRECT(Index!$L$6),"&lt;"&amp;EDATE($A111,3))=0,"",AVERAGEIFS(INDIRECT(Index!$M$6),INDIRECT(Index!$L$6),"&gt;="&amp;$A111,INDIRECT(Index!$L$6),"&lt;"&amp;EDATE($A111,3))),"")</f>
        <v/>
      </c>
      <c r="C111" s="24"/>
      <c r="D111" s="24"/>
      <c r="E111" s="25" t="str">
        <f aca="false">IFERROR(IF(AND(B111="",ISNUMBER($C$108),ISNUMBER($G$108)),$C$108*(1+$G$108)^(($A111-$E$108)/365.25),""),"")</f>
        <v/>
      </c>
      <c r="F111" s="25" t="str">
        <f aca="false">IFERROR(IF(AND(B111="",ISNUMBER($C$108),ISNUMBER($G$108)),$C$108*(1+$G$108*0.85^MAX(0,($A111-$E$108)/91.25))^(($A111-$E$108)/365.25),""),"")</f>
        <v/>
      </c>
      <c r="J111" s="26" t="n">
        <v>2008</v>
      </c>
      <c r="K111" s="25" t="str">
        <f aca="false">IFERROR(AVERAGEIFS($B$111:$B$202,$A$111:$A$202,"&gt;="&amp;DATE(J111,1,1),$A$111:$A$202,"&lt;="&amp;DATE(J111,12,31)),"")</f>
        <v/>
      </c>
      <c r="L111" s="24"/>
      <c r="M111" s="25" t="str">
        <f aca="false">IFERROR(AVERAGEIFS($E$111:$E$202,$A$111:$A$202,"&gt;="&amp;DATE(J111,1,1),$A$111:$A$202,"&lt;="&amp;DATE(J111,12,31)),"")</f>
        <v/>
      </c>
    </row>
    <row r="112" customFormat="false" ht="15" hidden="false" customHeight="false" outlineLevel="0" collapsed="false">
      <c r="A112" s="27" t="n">
        <v>39539</v>
      </c>
      <c r="B112" s="28" t="str">
        <f aca="true">IFERROR(IF(AVERAGEIFS(INDIRECT(Index!$M$6),INDIRECT(Index!$L$6),"&gt;="&amp;$A112,INDIRECT(Index!$L$6),"&lt;"&amp;EDATE($A112,3))=0,"",AVERAGEIFS(INDIRECT(Index!$M$6),INDIRECT(Index!$L$6),"&gt;="&amp;$A112,INDIRECT(Index!$L$6),"&lt;"&amp;EDATE($A112,3))),"")</f>
        <v/>
      </c>
      <c r="C112" s="29" t="str">
        <f aca="false">IFERROR(B112/B111-1,"")</f>
        <v/>
      </c>
      <c r="D112" s="30"/>
      <c r="E112" s="31" t="str">
        <f aca="false">IFERROR(IF(AND(B112="",ISNUMBER($C$108),ISNUMBER($G$108)),$C$108*(1+$G$108)^(($A112-$E$108)/365.25),""),"")</f>
        <v/>
      </c>
      <c r="F112" s="31" t="str">
        <f aca="false">IFERROR(IF(AND(B112="",ISNUMBER($C$108),ISNUMBER($G$108)),$C$108*(1+$G$108*0.85^MAX(0,($A112-$E$108)/91.25))^(($A112-$E$108)/365.25),""),"")</f>
        <v/>
      </c>
      <c r="J112" s="32" t="n">
        <v>2009</v>
      </c>
      <c r="K112" s="31" t="str">
        <f aca="false">IFERROR(AVERAGEIFS($B$111:$B$202,$A$111:$A$202,"&gt;="&amp;DATE(J112,1,1),$A$111:$A$202,"&lt;="&amp;DATE(J112,12,31)),"")</f>
        <v/>
      </c>
      <c r="L112" s="29" t="str">
        <f aca="false">IFERROR(K112/K111-1,"")</f>
        <v/>
      </c>
      <c r="M112" s="31" t="str">
        <f aca="false">IFERROR(AVERAGEIFS($E$111:$E$202,$A$111:$A$202,"&gt;="&amp;DATE(J112,1,1),$A$111:$A$202,"&lt;="&amp;DATE(J112,12,31)),"")</f>
        <v/>
      </c>
    </row>
    <row r="113" customFormat="false" ht="15" hidden="false" customHeight="false" outlineLevel="0" collapsed="false">
      <c r="A113" s="15" t="n">
        <v>39630</v>
      </c>
      <c r="B113" s="20" t="str">
        <f aca="true">IFERROR(IF(AVERAGEIFS(INDIRECT(Index!$M$6),INDIRECT(Index!$L$6),"&gt;="&amp;$A113,INDIRECT(Index!$L$6),"&lt;"&amp;EDATE($A113,3))=0,"",AVERAGEIFS(INDIRECT(Index!$M$6),INDIRECT(Index!$L$6),"&gt;="&amp;$A113,INDIRECT(Index!$L$6),"&lt;"&amp;EDATE($A113,3))),"")</f>
        <v/>
      </c>
      <c r="C113" s="33" t="str">
        <f aca="false">IFERROR(B113/B112-1,"")</f>
        <v/>
      </c>
      <c r="D113" s="24"/>
      <c r="E113" s="25" t="str">
        <f aca="false">IFERROR(IF(AND(B113="",ISNUMBER($C$108),ISNUMBER($G$108)),$C$108*(1+$G$108)^(($A113-$E$108)/365.25),""),"")</f>
        <v/>
      </c>
      <c r="F113" s="25" t="str">
        <f aca="false">IFERROR(IF(AND(B113="",ISNUMBER($C$108),ISNUMBER($G$108)),$C$108*(1+$G$108*0.85^MAX(0,($A113-$E$108)/91.25))^(($A113-$E$108)/365.25),""),"")</f>
        <v/>
      </c>
      <c r="J113" s="26" t="n">
        <v>2010</v>
      </c>
      <c r="K113" s="25" t="str">
        <f aca="false">IFERROR(AVERAGEIFS($B$111:$B$202,$A$111:$A$202,"&gt;="&amp;DATE(J113,1,1),$A$111:$A$202,"&lt;="&amp;DATE(J113,12,31)),"")</f>
        <v/>
      </c>
      <c r="L113" s="33" t="str">
        <f aca="false">IFERROR(K113/K112-1,"")</f>
        <v/>
      </c>
      <c r="M113" s="25" t="str">
        <f aca="false">IFERROR(AVERAGEIFS($E$111:$E$202,$A$111:$A$202,"&gt;="&amp;DATE(J113,1,1),$A$111:$A$202,"&lt;="&amp;DATE(J113,12,31)),"")</f>
        <v/>
      </c>
    </row>
    <row r="114" customFormat="false" ht="15" hidden="false" customHeight="false" outlineLevel="0" collapsed="false">
      <c r="A114" s="27" t="n">
        <v>39722</v>
      </c>
      <c r="B114" s="28" t="str">
        <f aca="true">IFERROR(IF(AVERAGEIFS(INDIRECT(Index!$M$6),INDIRECT(Index!$L$6),"&gt;="&amp;$A114,INDIRECT(Index!$L$6),"&lt;"&amp;EDATE($A114,3))=0,"",AVERAGEIFS(INDIRECT(Index!$M$6),INDIRECT(Index!$L$6),"&gt;="&amp;$A114,INDIRECT(Index!$L$6),"&lt;"&amp;EDATE($A114,3))),"")</f>
        <v/>
      </c>
      <c r="C114" s="29" t="str">
        <f aca="false">IFERROR(B114/B113-1,"")</f>
        <v/>
      </c>
      <c r="D114" s="30"/>
      <c r="E114" s="31" t="str">
        <f aca="false">IFERROR(IF(AND(B114="",ISNUMBER($C$108),ISNUMBER($G$108)),$C$108*(1+$G$108)^(($A114-$E$108)/365.25),""),"")</f>
        <v/>
      </c>
      <c r="F114" s="31" t="str">
        <f aca="false">IFERROR(IF(AND(B114="",ISNUMBER($C$108),ISNUMBER($G$108)),$C$108*(1+$G$108*0.85^MAX(0,($A114-$E$108)/91.25))^(($A114-$E$108)/365.25),""),"")</f>
        <v/>
      </c>
      <c r="J114" s="32" t="n">
        <v>2011</v>
      </c>
      <c r="K114" s="31" t="str">
        <f aca="false">IFERROR(AVERAGEIFS($B$111:$B$202,$A$111:$A$202,"&gt;="&amp;DATE(J114,1,1),$A$111:$A$202,"&lt;="&amp;DATE(J114,12,31)),"")</f>
        <v/>
      </c>
      <c r="L114" s="29" t="str">
        <f aca="false">IFERROR(K114/K113-1,"")</f>
        <v/>
      </c>
      <c r="M114" s="31" t="str">
        <f aca="false">IFERROR(AVERAGEIFS($E$111:$E$202,$A$111:$A$202,"&gt;="&amp;DATE(J114,1,1),$A$111:$A$202,"&lt;="&amp;DATE(J114,12,31)),"")</f>
        <v/>
      </c>
    </row>
    <row r="115" customFormat="false" ht="15" hidden="false" customHeight="false" outlineLevel="0" collapsed="false">
      <c r="A115" s="15" t="n">
        <v>39814</v>
      </c>
      <c r="B115" s="20" t="str">
        <f aca="true">IFERROR(IF(AVERAGEIFS(INDIRECT(Index!$M$6),INDIRECT(Index!$L$6),"&gt;="&amp;$A115,INDIRECT(Index!$L$6),"&lt;"&amp;EDATE($A115,3))=0,"",AVERAGEIFS(INDIRECT(Index!$M$6),INDIRECT(Index!$L$6),"&gt;="&amp;$A115,INDIRECT(Index!$L$6),"&lt;"&amp;EDATE($A115,3))),"")</f>
        <v/>
      </c>
      <c r="C115" s="33" t="str">
        <f aca="false">IFERROR(B115/B114-1,"")</f>
        <v/>
      </c>
      <c r="D115" s="33" t="str">
        <f aca="false">IFERROR(B115/B111-1,"")</f>
        <v/>
      </c>
      <c r="E115" s="25" t="str">
        <f aca="false">IFERROR(IF(AND(B115="",ISNUMBER($C$108),ISNUMBER($G$108)),$C$108*(1+$G$108)^(($A115-$E$108)/365.25),""),"")</f>
        <v/>
      </c>
      <c r="F115" s="25" t="str">
        <f aca="false">IFERROR(IF(AND(B115="",ISNUMBER($C$108),ISNUMBER($G$108)),$C$108*(1+$G$108*0.85^MAX(0,($A115-$E$108)/91.25))^(($A115-$E$108)/365.25),""),"")</f>
        <v/>
      </c>
      <c r="J115" s="26" t="n">
        <v>2012</v>
      </c>
      <c r="K115" s="25" t="str">
        <f aca="false">IFERROR(AVERAGEIFS($B$111:$B$202,$A$111:$A$202,"&gt;="&amp;DATE(J115,1,1),$A$111:$A$202,"&lt;="&amp;DATE(J115,12,31)),"")</f>
        <v/>
      </c>
      <c r="L115" s="33" t="str">
        <f aca="false">IFERROR(K115/K114-1,"")</f>
        <v/>
      </c>
      <c r="M115" s="25" t="str">
        <f aca="false">IFERROR(AVERAGEIFS($E$111:$E$202,$A$111:$A$202,"&gt;="&amp;DATE(J115,1,1),$A$111:$A$202,"&lt;="&amp;DATE(J115,12,31)),"")</f>
        <v/>
      </c>
    </row>
    <row r="116" customFormat="false" ht="15" hidden="false" customHeight="false" outlineLevel="0" collapsed="false">
      <c r="A116" s="27" t="n">
        <v>39904</v>
      </c>
      <c r="B116" s="28" t="str">
        <f aca="true">IFERROR(IF(AVERAGEIFS(INDIRECT(Index!$M$6),INDIRECT(Index!$L$6),"&gt;="&amp;$A116,INDIRECT(Index!$L$6),"&lt;"&amp;EDATE($A116,3))=0,"",AVERAGEIFS(INDIRECT(Index!$M$6),INDIRECT(Index!$L$6),"&gt;="&amp;$A116,INDIRECT(Index!$L$6),"&lt;"&amp;EDATE($A116,3))),"")</f>
        <v/>
      </c>
      <c r="C116" s="29" t="str">
        <f aca="false">IFERROR(B116/B115-1,"")</f>
        <v/>
      </c>
      <c r="D116" s="29" t="str">
        <f aca="false">IFERROR(B116/B112-1,"")</f>
        <v/>
      </c>
      <c r="E116" s="31" t="str">
        <f aca="false">IFERROR(IF(AND(B116="",ISNUMBER($C$108),ISNUMBER($G$108)),$C$108*(1+$G$108)^(($A116-$E$108)/365.25),""),"")</f>
        <v/>
      </c>
      <c r="F116" s="31" t="str">
        <f aca="false">IFERROR(IF(AND(B116="",ISNUMBER($C$108),ISNUMBER($G$108)),$C$108*(1+$G$108*0.85^MAX(0,($A116-$E$108)/91.25))^(($A116-$E$108)/365.25),""),"")</f>
        <v/>
      </c>
      <c r="J116" s="32" t="n">
        <v>2013</v>
      </c>
      <c r="K116" s="31" t="str">
        <f aca="false">IFERROR(AVERAGEIFS($B$111:$B$202,$A$111:$A$202,"&gt;="&amp;DATE(J116,1,1),$A$111:$A$202,"&lt;="&amp;DATE(J116,12,31)),"")</f>
        <v/>
      </c>
      <c r="L116" s="29" t="str">
        <f aca="false">IFERROR(K116/K115-1,"")</f>
        <v/>
      </c>
      <c r="M116" s="31" t="str">
        <f aca="false">IFERROR(AVERAGEIFS($E$111:$E$202,$A$111:$A$202,"&gt;="&amp;DATE(J116,1,1),$A$111:$A$202,"&lt;="&amp;DATE(J116,12,31)),"")</f>
        <v/>
      </c>
    </row>
    <row r="117" customFormat="false" ht="15" hidden="false" customHeight="false" outlineLevel="0" collapsed="false">
      <c r="A117" s="15" t="n">
        <v>39995</v>
      </c>
      <c r="B117" s="20" t="str">
        <f aca="true">IFERROR(IF(AVERAGEIFS(INDIRECT(Index!$M$6),INDIRECT(Index!$L$6),"&gt;="&amp;$A117,INDIRECT(Index!$L$6),"&lt;"&amp;EDATE($A117,3))=0,"",AVERAGEIFS(INDIRECT(Index!$M$6),INDIRECT(Index!$L$6),"&gt;="&amp;$A117,INDIRECT(Index!$L$6),"&lt;"&amp;EDATE($A117,3))),"")</f>
        <v/>
      </c>
      <c r="C117" s="33" t="str">
        <f aca="false">IFERROR(B117/B116-1,"")</f>
        <v/>
      </c>
      <c r="D117" s="33" t="str">
        <f aca="false">IFERROR(B117/B113-1,"")</f>
        <v/>
      </c>
      <c r="E117" s="25" t="str">
        <f aca="false">IFERROR(IF(AND(B117="",ISNUMBER($C$108),ISNUMBER($G$108)),$C$108*(1+$G$108)^(($A117-$E$108)/365.25),""),"")</f>
        <v/>
      </c>
      <c r="F117" s="25" t="str">
        <f aca="false">IFERROR(IF(AND(B117="",ISNUMBER($C$108),ISNUMBER($G$108)),$C$108*(1+$G$108*0.85^MAX(0,($A117-$E$108)/91.25))^(($A117-$E$108)/365.25),""),"")</f>
        <v/>
      </c>
      <c r="J117" s="26" t="n">
        <v>2014</v>
      </c>
      <c r="K117" s="25" t="str">
        <f aca="false">IFERROR(AVERAGEIFS($B$111:$B$202,$A$111:$A$202,"&gt;="&amp;DATE(J117,1,1),$A$111:$A$202,"&lt;="&amp;DATE(J117,12,31)),"")</f>
        <v/>
      </c>
      <c r="L117" s="33" t="str">
        <f aca="false">IFERROR(K117/K116-1,"")</f>
        <v/>
      </c>
      <c r="M117" s="25" t="str">
        <f aca="false">IFERROR(AVERAGEIFS($E$111:$E$202,$A$111:$A$202,"&gt;="&amp;DATE(J117,1,1),$A$111:$A$202,"&lt;="&amp;DATE(J117,12,31)),"")</f>
        <v/>
      </c>
    </row>
    <row r="118" customFormat="false" ht="15" hidden="false" customHeight="false" outlineLevel="0" collapsed="false">
      <c r="A118" s="27" t="n">
        <v>40087</v>
      </c>
      <c r="B118" s="28" t="str">
        <f aca="true">IFERROR(IF(AVERAGEIFS(INDIRECT(Index!$M$6),INDIRECT(Index!$L$6),"&gt;="&amp;$A118,INDIRECT(Index!$L$6),"&lt;"&amp;EDATE($A118,3))=0,"",AVERAGEIFS(INDIRECT(Index!$M$6),INDIRECT(Index!$L$6),"&gt;="&amp;$A118,INDIRECT(Index!$L$6),"&lt;"&amp;EDATE($A118,3))),"")</f>
        <v/>
      </c>
      <c r="C118" s="29" t="str">
        <f aca="false">IFERROR(B118/B117-1,"")</f>
        <v/>
      </c>
      <c r="D118" s="29" t="str">
        <f aca="false">IFERROR(B118/B114-1,"")</f>
        <v/>
      </c>
      <c r="E118" s="31" t="str">
        <f aca="false">IFERROR(IF(AND(B118="",ISNUMBER($C$108),ISNUMBER($G$108)),$C$108*(1+$G$108)^(($A118-$E$108)/365.25),""),"")</f>
        <v/>
      </c>
      <c r="F118" s="31" t="str">
        <f aca="false">IFERROR(IF(AND(B118="",ISNUMBER($C$108),ISNUMBER($G$108)),$C$108*(1+$G$108*0.85^MAX(0,($A118-$E$108)/91.25))^(($A118-$E$108)/365.25),""),"")</f>
        <v/>
      </c>
      <c r="J118" s="32" t="n">
        <v>2015</v>
      </c>
      <c r="K118" s="31" t="str">
        <f aca="false">IFERROR(AVERAGEIFS($B$111:$B$202,$A$111:$A$202,"&gt;="&amp;DATE(J118,1,1),$A$111:$A$202,"&lt;="&amp;DATE(J118,12,31)),"")</f>
        <v/>
      </c>
      <c r="L118" s="29" t="str">
        <f aca="false">IFERROR(K118/K117-1,"")</f>
        <v/>
      </c>
      <c r="M118" s="31" t="str">
        <f aca="false">IFERROR(AVERAGEIFS($E$111:$E$202,$A$111:$A$202,"&gt;="&amp;DATE(J118,1,1),$A$111:$A$202,"&lt;="&amp;DATE(J118,12,31)),"")</f>
        <v/>
      </c>
    </row>
    <row r="119" customFormat="false" ht="15" hidden="false" customHeight="false" outlineLevel="0" collapsed="false">
      <c r="A119" s="15" t="n">
        <v>40179</v>
      </c>
      <c r="B119" s="20" t="str">
        <f aca="true">IFERROR(IF(AVERAGEIFS(INDIRECT(Index!$M$6),INDIRECT(Index!$L$6),"&gt;="&amp;$A119,INDIRECT(Index!$L$6),"&lt;"&amp;EDATE($A119,3))=0,"",AVERAGEIFS(INDIRECT(Index!$M$6),INDIRECT(Index!$L$6),"&gt;="&amp;$A119,INDIRECT(Index!$L$6),"&lt;"&amp;EDATE($A119,3))),"")</f>
        <v/>
      </c>
      <c r="C119" s="33" t="str">
        <f aca="false">IFERROR(B119/B118-1,"")</f>
        <v/>
      </c>
      <c r="D119" s="33" t="str">
        <f aca="false">IFERROR(B119/B115-1,"")</f>
        <v/>
      </c>
      <c r="E119" s="25" t="str">
        <f aca="false">IFERROR(IF(AND(B119="",ISNUMBER($C$108),ISNUMBER($G$108)),$C$108*(1+$G$108)^(($A119-$E$108)/365.25),""),"")</f>
        <v/>
      </c>
      <c r="F119" s="25" t="str">
        <f aca="false">IFERROR(IF(AND(B119="",ISNUMBER($C$108),ISNUMBER($G$108)),$C$108*(1+$G$108*0.85^MAX(0,($A119-$E$108)/91.25))^(($A119-$E$108)/365.25),""),"")</f>
        <v/>
      </c>
      <c r="J119" s="26" t="n">
        <v>2016</v>
      </c>
      <c r="K119" s="25" t="str">
        <f aca="false">IFERROR(AVERAGEIFS($B$111:$B$202,$A$111:$A$202,"&gt;="&amp;DATE(J119,1,1),$A$111:$A$202,"&lt;="&amp;DATE(J119,12,31)),"")</f>
        <v/>
      </c>
      <c r="L119" s="33" t="str">
        <f aca="false">IFERROR(K119/K118-1,"")</f>
        <v/>
      </c>
      <c r="M119" s="25" t="str">
        <f aca="false">IFERROR(AVERAGEIFS($E$111:$E$202,$A$111:$A$202,"&gt;="&amp;DATE(J119,1,1),$A$111:$A$202,"&lt;="&amp;DATE(J119,12,31)),"")</f>
        <v/>
      </c>
    </row>
    <row r="120" customFormat="false" ht="15" hidden="false" customHeight="false" outlineLevel="0" collapsed="false">
      <c r="A120" s="27" t="n">
        <v>40269</v>
      </c>
      <c r="B120" s="28" t="str">
        <f aca="true">IFERROR(IF(AVERAGEIFS(INDIRECT(Index!$M$6),INDIRECT(Index!$L$6),"&gt;="&amp;$A120,INDIRECT(Index!$L$6),"&lt;"&amp;EDATE($A120,3))=0,"",AVERAGEIFS(INDIRECT(Index!$M$6),INDIRECT(Index!$L$6),"&gt;="&amp;$A120,INDIRECT(Index!$L$6),"&lt;"&amp;EDATE($A120,3))),"")</f>
        <v/>
      </c>
      <c r="C120" s="29" t="str">
        <f aca="false">IFERROR(B120/B119-1,"")</f>
        <v/>
      </c>
      <c r="D120" s="29" t="str">
        <f aca="false">IFERROR(B120/B116-1,"")</f>
        <v/>
      </c>
      <c r="E120" s="31" t="str">
        <f aca="false">IFERROR(IF(AND(B120="",ISNUMBER($C$108),ISNUMBER($G$108)),$C$108*(1+$G$108)^(($A120-$E$108)/365.25),""),"")</f>
        <v/>
      </c>
      <c r="F120" s="31" t="str">
        <f aca="false">IFERROR(IF(AND(B120="",ISNUMBER($C$108),ISNUMBER($G$108)),$C$108*(1+$G$108*0.85^MAX(0,($A120-$E$108)/91.25))^(($A120-$E$108)/365.25),""),"")</f>
        <v/>
      </c>
      <c r="J120" s="32" t="n">
        <v>2017</v>
      </c>
      <c r="K120" s="31" t="str">
        <f aca="false">IFERROR(AVERAGEIFS($B$111:$B$202,$A$111:$A$202,"&gt;="&amp;DATE(J120,1,1),$A$111:$A$202,"&lt;="&amp;DATE(J120,12,31)),"")</f>
        <v/>
      </c>
      <c r="L120" s="29" t="str">
        <f aca="false">IFERROR(K120/K119-1,"")</f>
        <v/>
      </c>
      <c r="M120" s="31" t="str">
        <f aca="false">IFERROR(AVERAGEIFS($E$111:$E$202,$A$111:$A$202,"&gt;="&amp;DATE(J120,1,1),$A$111:$A$202,"&lt;="&amp;DATE(J120,12,31)),"")</f>
        <v/>
      </c>
    </row>
    <row r="121" customFormat="false" ht="15" hidden="false" customHeight="false" outlineLevel="0" collapsed="false">
      <c r="A121" s="15" t="n">
        <v>40360</v>
      </c>
      <c r="B121" s="20" t="str">
        <f aca="true">IFERROR(IF(AVERAGEIFS(INDIRECT(Index!$M$6),INDIRECT(Index!$L$6),"&gt;="&amp;$A121,INDIRECT(Index!$L$6),"&lt;"&amp;EDATE($A121,3))=0,"",AVERAGEIFS(INDIRECT(Index!$M$6),INDIRECT(Index!$L$6),"&gt;="&amp;$A121,INDIRECT(Index!$L$6),"&lt;"&amp;EDATE($A121,3))),"")</f>
        <v/>
      </c>
      <c r="C121" s="33" t="str">
        <f aca="false">IFERROR(B121/B120-1,"")</f>
        <v/>
      </c>
      <c r="D121" s="33" t="str">
        <f aca="false">IFERROR(B121/B117-1,"")</f>
        <v/>
      </c>
      <c r="E121" s="25" t="str">
        <f aca="false">IFERROR(IF(AND(B121="",ISNUMBER($C$108),ISNUMBER($G$108)),$C$108*(1+$G$108)^(($A121-$E$108)/365.25),""),"")</f>
        <v/>
      </c>
      <c r="F121" s="25" t="str">
        <f aca="false">IFERROR(IF(AND(B121="",ISNUMBER($C$108),ISNUMBER($G$108)),$C$108*(1+$G$108*0.85^MAX(0,($A121-$E$108)/91.25))^(($A121-$E$108)/365.25),""),"")</f>
        <v/>
      </c>
      <c r="J121" s="26" t="n">
        <v>2018</v>
      </c>
      <c r="K121" s="25" t="str">
        <f aca="false">IFERROR(AVERAGEIFS($B$111:$B$202,$A$111:$A$202,"&gt;="&amp;DATE(J121,1,1),$A$111:$A$202,"&lt;="&amp;DATE(J121,12,31)),"")</f>
        <v/>
      </c>
      <c r="L121" s="33" t="str">
        <f aca="false">IFERROR(K121/K120-1,"")</f>
        <v/>
      </c>
      <c r="M121" s="25" t="str">
        <f aca="false">IFERROR(AVERAGEIFS($E$111:$E$202,$A$111:$A$202,"&gt;="&amp;DATE(J121,1,1),$A$111:$A$202,"&lt;="&amp;DATE(J121,12,31)),"")</f>
        <v/>
      </c>
    </row>
    <row r="122" customFormat="false" ht="15" hidden="false" customHeight="false" outlineLevel="0" collapsed="false">
      <c r="A122" s="27" t="n">
        <v>40452</v>
      </c>
      <c r="B122" s="28" t="str">
        <f aca="true">IFERROR(IF(AVERAGEIFS(INDIRECT(Index!$M$6),INDIRECT(Index!$L$6),"&gt;="&amp;$A122,INDIRECT(Index!$L$6),"&lt;"&amp;EDATE($A122,3))=0,"",AVERAGEIFS(INDIRECT(Index!$M$6),INDIRECT(Index!$L$6),"&gt;="&amp;$A122,INDIRECT(Index!$L$6),"&lt;"&amp;EDATE($A122,3))),"")</f>
        <v/>
      </c>
      <c r="C122" s="29" t="str">
        <f aca="false">IFERROR(B122/B121-1,"")</f>
        <v/>
      </c>
      <c r="D122" s="29" t="str">
        <f aca="false">IFERROR(B122/B118-1,"")</f>
        <v/>
      </c>
      <c r="E122" s="31" t="str">
        <f aca="false">IFERROR(IF(AND(B122="",ISNUMBER($C$108),ISNUMBER($G$108)),$C$108*(1+$G$108)^(($A122-$E$108)/365.25),""),"")</f>
        <v/>
      </c>
      <c r="F122" s="31" t="str">
        <f aca="false">IFERROR(IF(AND(B122="",ISNUMBER($C$108),ISNUMBER($G$108)),$C$108*(1+$G$108*0.85^MAX(0,($A122-$E$108)/91.25))^(($A122-$E$108)/365.25),""),"")</f>
        <v/>
      </c>
      <c r="J122" s="32" t="n">
        <v>2019</v>
      </c>
      <c r="K122" s="31" t="str">
        <f aca="false">IFERROR(AVERAGEIFS($B$111:$B$202,$A$111:$A$202,"&gt;="&amp;DATE(J122,1,1),$A$111:$A$202,"&lt;="&amp;DATE(J122,12,31)),"")</f>
        <v/>
      </c>
      <c r="L122" s="29" t="str">
        <f aca="false">IFERROR(K122/K121-1,"")</f>
        <v/>
      </c>
      <c r="M122" s="31" t="str">
        <f aca="false">IFERROR(AVERAGEIFS($E$111:$E$202,$A$111:$A$202,"&gt;="&amp;DATE(J122,1,1),$A$111:$A$202,"&lt;="&amp;DATE(J122,12,31)),"")</f>
        <v/>
      </c>
    </row>
    <row r="123" customFormat="false" ht="15" hidden="false" customHeight="false" outlineLevel="0" collapsed="false">
      <c r="A123" s="15" t="n">
        <v>40544</v>
      </c>
      <c r="B123" s="20" t="str">
        <f aca="true">IFERROR(IF(AVERAGEIFS(INDIRECT(Index!$M$6),INDIRECT(Index!$L$6),"&gt;="&amp;$A123,INDIRECT(Index!$L$6),"&lt;"&amp;EDATE($A123,3))=0,"",AVERAGEIFS(INDIRECT(Index!$M$6),INDIRECT(Index!$L$6),"&gt;="&amp;$A123,INDIRECT(Index!$L$6),"&lt;"&amp;EDATE($A123,3))),"")</f>
        <v/>
      </c>
      <c r="C123" s="33" t="str">
        <f aca="false">IFERROR(B123/B122-1,"")</f>
        <v/>
      </c>
      <c r="D123" s="33" t="str">
        <f aca="false">IFERROR(B123/B119-1,"")</f>
        <v/>
      </c>
      <c r="E123" s="25" t="str">
        <f aca="false">IFERROR(IF(AND(B123="",ISNUMBER($C$108),ISNUMBER($G$108)),$C$108*(1+$G$108)^(($A123-$E$108)/365.25),""),"")</f>
        <v/>
      </c>
      <c r="F123" s="25" t="str">
        <f aca="false">IFERROR(IF(AND(B123="",ISNUMBER($C$108),ISNUMBER($G$108)),$C$108*(1+$G$108*0.85^MAX(0,($A123-$E$108)/91.25))^(($A123-$E$108)/365.25),""),"")</f>
        <v/>
      </c>
      <c r="J123" s="26" t="n">
        <v>2020</v>
      </c>
      <c r="K123" s="25" t="str">
        <f aca="false">IFERROR(AVERAGEIFS($B$111:$B$202,$A$111:$A$202,"&gt;="&amp;DATE(J123,1,1),$A$111:$A$202,"&lt;="&amp;DATE(J123,12,31)),"")</f>
        <v/>
      </c>
      <c r="L123" s="33" t="str">
        <f aca="false">IFERROR(K123/K122-1,"")</f>
        <v/>
      </c>
      <c r="M123" s="25" t="str">
        <f aca="false">IFERROR(AVERAGEIFS($E$111:$E$202,$A$111:$A$202,"&gt;="&amp;DATE(J123,1,1),$A$111:$A$202,"&lt;="&amp;DATE(J123,12,31)),"")</f>
        <v/>
      </c>
    </row>
    <row r="124" customFormat="false" ht="15" hidden="false" customHeight="false" outlineLevel="0" collapsed="false">
      <c r="A124" s="27" t="n">
        <v>40634</v>
      </c>
      <c r="B124" s="28" t="str">
        <f aca="true">IFERROR(IF(AVERAGEIFS(INDIRECT(Index!$M$6),INDIRECT(Index!$L$6),"&gt;="&amp;$A124,INDIRECT(Index!$L$6),"&lt;"&amp;EDATE($A124,3))=0,"",AVERAGEIFS(INDIRECT(Index!$M$6),INDIRECT(Index!$L$6),"&gt;="&amp;$A124,INDIRECT(Index!$L$6),"&lt;"&amp;EDATE($A124,3))),"")</f>
        <v/>
      </c>
      <c r="C124" s="29" t="str">
        <f aca="false">IFERROR(B124/B123-1,"")</f>
        <v/>
      </c>
      <c r="D124" s="29" t="str">
        <f aca="false">IFERROR(B124/B120-1,"")</f>
        <v/>
      </c>
      <c r="E124" s="31" t="str">
        <f aca="false">IFERROR(IF(AND(B124="",ISNUMBER($C$108),ISNUMBER($G$108)),$C$108*(1+$G$108)^(($A124-$E$108)/365.25),""),"")</f>
        <v/>
      </c>
      <c r="F124" s="31" t="str">
        <f aca="false">IFERROR(IF(AND(B124="",ISNUMBER($C$108),ISNUMBER($G$108)),$C$108*(1+$G$108*0.85^MAX(0,($A124-$E$108)/91.25))^(($A124-$E$108)/365.25),""),"")</f>
        <v/>
      </c>
      <c r="J124" s="32" t="n">
        <v>2021</v>
      </c>
      <c r="K124" s="31" t="str">
        <f aca="false">IFERROR(AVERAGEIFS($B$111:$B$202,$A$111:$A$202,"&gt;="&amp;DATE(J124,1,1),$A$111:$A$202,"&lt;="&amp;DATE(J124,12,31)),"")</f>
        <v/>
      </c>
      <c r="L124" s="29" t="str">
        <f aca="false">IFERROR(K124/K123-1,"")</f>
        <v/>
      </c>
      <c r="M124" s="31" t="str">
        <f aca="false">IFERROR(AVERAGEIFS($E$111:$E$202,$A$111:$A$202,"&gt;="&amp;DATE(J124,1,1),$A$111:$A$202,"&lt;="&amp;DATE(J124,12,31)),"")</f>
        <v/>
      </c>
    </row>
    <row r="125" customFormat="false" ht="15" hidden="false" customHeight="false" outlineLevel="0" collapsed="false">
      <c r="A125" s="15" t="n">
        <v>40725</v>
      </c>
      <c r="B125" s="20" t="str">
        <f aca="true">IFERROR(IF(AVERAGEIFS(INDIRECT(Index!$M$6),INDIRECT(Index!$L$6),"&gt;="&amp;$A125,INDIRECT(Index!$L$6),"&lt;"&amp;EDATE($A125,3))=0,"",AVERAGEIFS(INDIRECT(Index!$M$6),INDIRECT(Index!$L$6),"&gt;="&amp;$A125,INDIRECT(Index!$L$6),"&lt;"&amp;EDATE($A125,3))),"")</f>
        <v/>
      </c>
      <c r="C125" s="33" t="str">
        <f aca="false">IFERROR(B125/B124-1,"")</f>
        <v/>
      </c>
      <c r="D125" s="33" t="str">
        <f aca="false">IFERROR(B125/B121-1,"")</f>
        <v/>
      </c>
      <c r="E125" s="25" t="str">
        <f aca="false">IFERROR(IF(AND(B125="",ISNUMBER($C$108),ISNUMBER($G$108)),$C$108*(1+$G$108)^(($A125-$E$108)/365.25),""),"")</f>
        <v/>
      </c>
      <c r="F125" s="25" t="str">
        <f aca="false">IFERROR(IF(AND(B125="",ISNUMBER($C$108),ISNUMBER($G$108)),$C$108*(1+$G$108*0.85^MAX(0,($A125-$E$108)/91.25))^(($A125-$E$108)/365.25),""),"")</f>
        <v/>
      </c>
      <c r="J125" s="26" t="n">
        <v>2022</v>
      </c>
      <c r="K125" s="25" t="str">
        <f aca="false">IFERROR(AVERAGEIFS($B$111:$B$202,$A$111:$A$202,"&gt;="&amp;DATE(J125,1,1),$A$111:$A$202,"&lt;="&amp;DATE(J125,12,31)),"")</f>
        <v/>
      </c>
      <c r="L125" s="33" t="str">
        <f aca="false">IFERROR(K125/K124-1,"")</f>
        <v/>
      </c>
      <c r="M125" s="25" t="str">
        <f aca="false">IFERROR(AVERAGEIFS($E$111:$E$202,$A$111:$A$202,"&gt;="&amp;DATE(J125,1,1),$A$111:$A$202,"&lt;="&amp;DATE(J125,12,31)),"")</f>
        <v/>
      </c>
    </row>
    <row r="126" customFormat="false" ht="15" hidden="false" customHeight="false" outlineLevel="0" collapsed="false">
      <c r="A126" s="27" t="n">
        <v>40817</v>
      </c>
      <c r="B126" s="28" t="str">
        <f aca="true">IFERROR(IF(AVERAGEIFS(INDIRECT(Index!$M$6),INDIRECT(Index!$L$6),"&gt;="&amp;$A126,INDIRECT(Index!$L$6),"&lt;"&amp;EDATE($A126,3))=0,"",AVERAGEIFS(INDIRECT(Index!$M$6),INDIRECT(Index!$L$6),"&gt;="&amp;$A126,INDIRECT(Index!$L$6),"&lt;"&amp;EDATE($A126,3))),"")</f>
        <v/>
      </c>
      <c r="C126" s="29" t="str">
        <f aca="false">IFERROR(B126/B125-1,"")</f>
        <v/>
      </c>
      <c r="D126" s="29" t="str">
        <f aca="false">IFERROR(B126/B122-1,"")</f>
        <v/>
      </c>
      <c r="E126" s="31" t="str">
        <f aca="false">IFERROR(IF(AND(B126="",ISNUMBER($C$108),ISNUMBER($G$108)),$C$108*(1+$G$108)^(($A126-$E$108)/365.25),""),"")</f>
        <v/>
      </c>
      <c r="F126" s="31" t="str">
        <f aca="false">IFERROR(IF(AND(B126="",ISNUMBER($C$108),ISNUMBER($G$108)),$C$108*(1+$G$108*0.85^MAX(0,($A126-$E$108)/91.25))^(($A126-$E$108)/365.25),""),"")</f>
        <v/>
      </c>
      <c r="J126" s="32" t="n">
        <v>2023</v>
      </c>
      <c r="K126" s="31" t="str">
        <f aca="false">IFERROR(AVERAGEIFS($B$111:$B$202,$A$111:$A$202,"&gt;="&amp;DATE(J126,1,1),$A$111:$A$202,"&lt;="&amp;DATE(J126,12,31)),"")</f>
        <v/>
      </c>
      <c r="L126" s="29" t="str">
        <f aca="false">IFERROR(K126/K125-1,"")</f>
        <v/>
      </c>
      <c r="M126" s="31" t="str">
        <f aca="false">IFERROR(AVERAGEIFS($E$111:$E$202,$A$111:$A$202,"&gt;="&amp;DATE(J126,1,1),$A$111:$A$202,"&lt;="&amp;DATE(J126,12,31)),"")</f>
        <v/>
      </c>
    </row>
    <row r="127" customFormat="false" ht="15" hidden="false" customHeight="false" outlineLevel="0" collapsed="false">
      <c r="A127" s="15" t="n">
        <v>40909</v>
      </c>
      <c r="B127" s="20" t="str">
        <f aca="true">IFERROR(IF(AVERAGEIFS(INDIRECT(Index!$M$6),INDIRECT(Index!$L$6),"&gt;="&amp;$A127,INDIRECT(Index!$L$6),"&lt;"&amp;EDATE($A127,3))=0,"",AVERAGEIFS(INDIRECT(Index!$M$6),INDIRECT(Index!$L$6),"&gt;="&amp;$A127,INDIRECT(Index!$L$6),"&lt;"&amp;EDATE($A127,3))),"")</f>
        <v/>
      </c>
      <c r="C127" s="33" t="str">
        <f aca="false">IFERROR(B127/B126-1,"")</f>
        <v/>
      </c>
      <c r="D127" s="33" t="str">
        <f aca="false">IFERROR(B127/B123-1,"")</f>
        <v/>
      </c>
      <c r="E127" s="25" t="str">
        <f aca="false">IFERROR(IF(AND(B127="",ISNUMBER($C$108),ISNUMBER($G$108)),$C$108*(1+$G$108)^(($A127-$E$108)/365.25),""),"")</f>
        <v/>
      </c>
      <c r="F127" s="25" t="str">
        <f aca="false">IFERROR(IF(AND(B127="",ISNUMBER($C$108),ISNUMBER($G$108)),$C$108*(1+$G$108*0.85^MAX(0,($A127-$E$108)/91.25))^(($A127-$E$108)/365.25),""),"")</f>
        <v/>
      </c>
      <c r="J127" s="26" t="n">
        <v>2024</v>
      </c>
      <c r="K127" s="25" t="str">
        <f aca="false">IFERROR(AVERAGEIFS($B$111:$B$202,$A$111:$A$202,"&gt;="&amp;DATE(J127,1,1),$A$111:$A$202,"&lt;="&amp;DATE(J127,12,31)),"")</f>
        <v/>
      </c>
      <c r="L127" s="33" t="str">
        <f aca="false">IFERROR(K127/K126-1,"")</f>
        <v/>
      </c>
      <c r="M127" s="25" t="str">
        <f aca="false">IFERROR(AVERAGEIFS($E$111:$E$202,$A$111:$A$202,"&gt;="&amp;DATE(J127,1,1),$A$111:$A$202,"&lt;="&amp;DATE(J127,12,31)),"")</f>
        <v/>
      </c>
    </row>
    <row r="128" customFormat="false" ht="15" hidden="false" customHeight="false" outlineLevel="0" collapsed="false">
      <c r="A128" s="27" t="n">
        <v>41000</v>
      </c>
      <c r="B128" s="28" t="str">
        <f aca="true">IFERROR(IF(AVERAGEIFS(INDIRECT(Index!$M$6),INDIRECT(Index!$L$6),"&gt;="&amp;$A128,INDIRECT(Index!$L$6),"&lt;"&amp;EDATE($A128,3))=0,"",AVERAGEIFS(INDIRECT(Index!$M$6),INDIRECT(Index!$L$6),"&gt;="&amp;$A128,INDIRECT(Index!$L$6),"&lt;"&amp;EDATE($A128,3))),"")</f>
        <v/>
      </c>
      <c r="C128" s="29" t="str">
        <f aca="false">IFERROR(B128/B127-1,"")</f>
        <v/>
      </c>
      <c r="D128" s="29" t="str">
        <f aca="false">IFERROR(B128/B124-1,"")</f>
        <v/>
      </c>
      <c r="E128" s="31" t="str">
        <f aca="false">IFERROR(IF(AND(B128="",ISNUMBER($C$108),ISNUMBER($G$108)),$C$108*(1+$G$108)^(($A128-$E$108)/365.25),""),"")</f>
        <v/>
      </c>
      <c r="F128" s="31" t="str">
        <f aca="false">IFERROR(IF(AND(B128="",ISNUMBER($C$108),ISNUMBER($G$108)),$C$108*(1+$G$108*0.85^MAX(0,($A128-$E$108)/91.25))^(($A128-$E$108)/365.25),""),"")</f>
        <v/>
      </c>
      <c r="J128" s="32" t="n">
        <v>2025</v>
      </c>
      <c r="K128" s="31" t="str">
        <f aca="false">IFERROR(AVERAGEIFS($B$111:$B$202,$A$111:$A$202,"&gt;="&amp;DATE(J128,1,1),$A$111:$A$202,"&lt;="&amp;DATE(J128,12,31)),"")</f>
        <v/>
      </c>
      <c r="L128" s="29" t="str">
        <f aca="false">IFERROR(K128/K127-1,"")</f>
        <v/>
      </c>
      <c r="M128" s="31" t="str">
        <f aca="false">IFERROR(AVERAGEIFS($E$111:$E$202,$A$111:$A$202,"&gt;="&amp;DATE(J128,1,1),$A$111:$A$202,"&lt;="&amp;DATE(J128,12,31)),"")</f>
        <v/>
      </c>
    </row>
    <row r="129" customFormat="false" ht="15" hidden="false" customHeight="false" outlineLevel="0" collapsed="false">
      <c r="A129" s="15" t="n">
        <v>41091</v>
      </c>
      <c r="B129" s="20" t="str">
        <f aca="true">IFERROR(IF(AVERAGEIFS(INDIRECT(Index!$M$6),INDIRECT(Index!$L$6),"&gt;="&amp;$A129,INDIRECT(Index!$L$6),"&lt;"&amp;EDATE($A129,3))=0,"",AVERAGEIFS(INDIRECT(Index!$M$6),INDIRECT(Index!$L$6),"&gt;="&amp;$A129,INDIRECT(Index!$L$6),"&lt;"&amp;EDATE($A129,3))),"")</f>
        <v/>
      </c>
      <c r="C129" s="33" t="str">
        <f aca="false">IFERROR(B129/B128-1,"")</f>
        <v/>
      </c>
      <c r="D129" s="33" t="str">
        <f aca="false">IFERROR(B129/B125-1,"")</f>
        <v/>
      </c>
      <c r="E129" s="25" t="str">
        <f aca="false">IFERROR(IF(AND(B129="",ISNUMBER($C$108),ISNUMBER($G$108)),$C$108*(1+$G$108)^(($A129-$E$108)/365.25),""),"")</f>
        <v/>
      </c>
      <c r="F129" s="25" t="str">
        <f aca="false">IFERROR(IF(AND(B129="",ISNUMBER($C$108),ISNUMBER($G$108)),$C$108*(1+$G$108*0.85^MAX(0,($A129-$E$108)/91.25))^(($A129-$E$108)/365.25),""),"")</f>
        <v/>
      </c>
      <c r="J129" s="26" t="n">
        <v>2026</v>
      </c>
      <c r="K129" s="25" t="str">
        <f aca="false">IFERROR(AVERAGEIFS($B$111:$B$202,$A$111:$A$202,"&gt;="&amp;DATE(J129,1,1),$A$111:$A$202,"&lt;="&amp;DATE(J129,12,31)),"")</f>
        <v/>
      </c>
      <c r="L129" s="33" t="str">
        <f aca="false">IFERROR(K129/K128-1,"")</f>
        <v/>
      </c>
      <c r="M129" s="25" t="str">
        <f aca="false">IFERROR(AVERAGEIFS($E$111:$E$202,$A$111:$A$202,"&gt;="&amp;DATE(J129,1,1),$A$111:$A$202,"&lt;="&amp;DATE(J129,12,31)),"")</f>
        <v/>
      </c>
    </row>
    <row r="130" customFormat="false" ht="15" hidden="false" customHeight="false" outlineLevel="0" collapsed="false">
      <c r="A130" s="27" t="n">
        <v>41183</v>
      </c>
      <c r="B130" s="28" t="str">
        <f aca="true">IFERROR(IF(AVERAGEIFS(INDIRECT(Index!$M$6),INDIRECT(Index!$L$6),"&gt;="&amp;$A130,INDIRECT(Index!$L$6),"&lt;"&amp;EDATE($A130,3))=0,"",AVERAGEIFS(INDIRECT(Index!$M$6),INDIRECT(Index!$L$6),"&gt;="&amp;$A130,INDIRECT(Index!$L$6),"&lt;"&amp;EDATE($A130,3))),"")</f>
        <v/>
      </c>
      <c r="C130" s="29" t="str">
        <f aca="false">IFERROR(B130/B129-1,"")</f>
        <v/>
      </c>
      <c r="D130" s="29" t="str">
        <f aca="false">IFERROR(B130/B126-1,"")</f>
        <v/>
      </c>
      <c r="E130" s="31" t="str">
        <f aca="false">IFERROR(IF(AND(B130="",ISNUMBER($C$108),ISNUMBER($G$108)),$C$108*(1+$G$108)^(($A130-$E$108)/365.25),""),"")</f>
        <v/>
      </c>
      <c r="F130" s="31" t="str">
        <f aca="false">IFERROR(IF(AND(B130="",ISNUMBER($C$108),ISNUMBER($G$108)),$C$108*(1+$G$108*0.85^MAX(0,($A130-$E$108)/91.25))^(($A130-$E$108)/365.25),""),"")</f>
        <v/>
      </c>
      <c r="J130" s="32" t="n">
        <v>2027</v>
      </c>
      <c r="K130" s="31" t="str">
        <f aca="false">IFERROR(AVERAGEIFS($B$111:$B$202,$A$111:$A$202,"&gt;="&amp;DATE(J130,1,1),$A$111:$A$202,"&lt;="&amp;DATE(J130,12,31)),"")</f>
        <v/>
      </c>
      <c r="L130" s="29" t="str">
        <f aca="false">IFERROR(K130/K129-1,"")</f>
        <v/>
      </c>
      <c r="M130" s="31" t="str">
        <f aca="false">IFERROR(AVERAGEIFS($E$111:$E$202,$A$111:$A$202,"&gt;="&amp;DATE(J130,1,1),$A$111:$A$202,"&lt;="&amp;DATE(J130,12,31)),"")</f>
        <v/>
      </c>
    </row>
    <row r="131" customFormat="false" ht="15" hidden="false" customHeight="false" outlineLevel="0" collapsed="false">
      <c r="A131" s="15" t="n">
        <v>41275</v>
      </c>
      <c r="B131" s="20" t="str">
        <f aca="true">IFERROR(IF(AVERAGEIFS(INDIRECT(Index!$M$6),INDIRECT(Index!$L$6),"&gt;="&amp;$A131,INDIRECT(Index!$L$6),"&lt;"&amp;EDATE($A131,3))=0,"",AVERAGEIFS(INDIRECT(Index!$M$6),INDIRECT(Index!$L$6),"&gt;="&amp;$A131,INDIRECT(Index!$L$6),"&lt;"&amp;EDATE($A131,3))),"")</f>
        <v/>
      </c>
      <c r="C131" s="33" t="str">
        <f aca="false">IFERROR(B131/B130-1,"")</f>
        <v/>
      </c>
      <c r="D131" s="33" t="str">
        <f aca="false">IFERROR(B131/B127-1,"")</f>
        <v/>
      </c>
      <c r="E131" s="25" t="str">
        <f aca="false">IFERROR(IF(AND(B131="",ISNUMBER($C$108),ISNUMBER($G$108)),$C$108*(1+$G$108)^(($A131-$E$108)/365.25),""),"")</f>
        <v/>
      </c>
      <c r="F131" s="25" t="str">
        <f aca="false">IFERROR(IF(AND(B131="",ISNUMBER($C$108),ISNUMBER($G$108)),$C$108*(1+$G$108*0.85^MAX(0,($A131-$E$108)/91.25))^(($A131-$E$108)/365.25),""),"")</f>
        <v/>
      </c>
      <c r="J131" s="26" t="n">
        <v>2028</v>
      </c>
      <c r="K131" s="25" t="str">
        <f aca="false">IFERROR(AVERAGEIFS($B$111:$B$202,$A$111:$A$202,"&gt;="&amp;DATE(J131,1,1),$A$111:$A$202,"&lt;="&amp;DATE(J131,12,31)),"")</f>
        <v/>
      </c>
      <c r="L131" s="33" t="str">
        <f aca="false">IFERROR(K131/K130-1,"")</f>
        <v/>
      </c>
      <c r="M131" s="25" t="str">
        <f aca="false">IFERROR(AVERAGEIFS($E$111:$E$202,$A$111:$A$202,"&gt;="&amp;DATE(J131,1,1),$A$111:$A$202,"&lt;="&amp;DATE(J131,12,31)),"")</f>
        <v/>
      </c>
    </row>
    <row r="132" customFormat="false" ht="15" hidden="false" customHeight="false" outlineLevel="0" collapsed="false">
      <c r="A132" s="27" t="n">
        <v>41365</v>
      </c>
      <c r="B132" s="28" t="str">
        <f aca="true">IFERROR(IF(AVERAGEIFS(INDIRECT(Index!$M$6),INDIRECT(Index!$L$6),"&gt;="&amp;$A132,INDIRECT(Index!$L$6),"&lt;"&amp;EDATE($A132,3))=0,"",AVERAGEIFS(INDIRECT(Index!$M$6),INDIRECT(Index!$L$6),"&gt;="&amp;$A132,INDIRECT(Index!$L$6),"&lt;"&amp;EDATE($A132,3))),"")</f>
        <v/>
      </c>
      <c r="C132" s="29" t="str">
        <f aca="false">IFERROR(B132/B131-1,"")</f>
        <v/>
      </c>
      <c r="D132" s="29" t="str">
        <f aca="false">IFERROR(B132/B128-1,"")</f>
        <v/>
      </c>
      <c r="E132" s="31" t="str">
        <f aca="false">IFERROR(IF(AND(B132="",ISNUMBER($C$108),ISNUMBER($G$108)),$C$108*(1+$G$108)^(($A132-$E$108)/365.25),""),"")</f>
        <v/>
      </c>
      <c r="F132" s="31" t="str">
        <f aca="false">IFERROR(IF(AND(B132="",ISNUMBER($C$108),ISNUMBER($G$108)),$C$108*(1+$G$108*0.85^MAX(0,($A132-$E$108)/91.25))^(($A132-$E$108)/365.25),""),"")</f>
        <v/>
      </c>
      <c r="J132" s="32" t="n">
        <v>2029</v>
      </c>
      <c r="K132" s="31" t="str">
        <f aca="false">IFERROR(AVERAGEIFS($B$111:$B$202,$A$111:$A$202,"&gt;="&amp;DATE(J132,1,1),$A$111:$A$202,"&lt;="&amp;DATE(J132,12,31)),"")</f>
        <v/>
      </c>
      <c r="L132" s="29" t="str">
        <f aca="false">IFERROR(K132/K131-1,"")</f>
        <v/>
      </c>
      <c r="M132" s="31" t="str">
        <f aca="false">IFERROR(AVERAGEIFS($E$111:$E$202,$A$111:$A$202,"&gt;="&amp;DATE(J132,1,1),$A$111:$A$202,"&lt;="&amp;DATE(J132,12,31)),"")</f>
        <v/>
      </c>
    </row>
    <row r="133" customFormat="false" ht="15" hidden="false" customHeight="false" outlineLevel="0" collapsed="false">
      <c r="A133" s="15" t="n">
        <v>41456</v>
      </c>
      <c r="B133" s="20" t="str">
        <f aca="true">IFERROR(IF(AVERAGEIFS(INDIRECT(Index!$M$6),INDIRECT(Index!$L$6),"&gt;="&amp;$A133,INDIRECT(Index!$L$6),"&lt;"&amp;EDATE($A133,3))=0,"",AVERAGEIFS(INDIRECT(Index!$M$6),INDIRECT(Index!$L$6),"&gt;="&amp;$A133,INDIRECT(Index!$L$6),"&lt;"&amp;EDATE($A133,3))),"")</f>
        <v/>
      </c>
      <c r="C133" s="33" t="str">
        <f aca="false">IFERROR(B133/B132-1,"")</f>
        <v/>
      </c>
      <c r="D133" s="33" t="str">
        <f aca="false">IFERROR(B133/B129-1,"")</f>
        <v/>
      </c>
      <c r="E133" s="25" t="str">
        <f aca="false">IFERROR(IF(AND(B133="",ISNUMBER($C$108),ISNUMBER($G$108)),$C$108*(1+$G$108)^(($A133-$E$108)/365.25),""),"")</f>
        <v/>
      </c>
      <c r="F133" s="25" t="str">
        <f aca="false">IFERROR(IF(AND(B133="",ISNUMBER($C$108),ISNUMBER($G$108)),$C$108*(1+$G$108*0.85^MAX(0,($A133-$E$108)/91.25))^(($A133-$E$108)/365.25),""),"")</f>
        <v/>
      </c>
      <c r="J133" s="26" t="n">
        <v>2030</v>
      </c>
      <c r="K133" s="25" t="str">
        <f aca="false">IFERROR(AVERAGEIFS($B$111:$B$202,$A$111:$A$202,"&gt;="&amp;DATE(J133,1,1),$A$111:$A$202,"&lt;="&amp;DATE(J133,12,31)),"")</f>
        <v/>
      </c>
      <c r="L133" s="33" t="str">
        <f aca="false">IFERROR(K133/K132-1,"")</f>
        <v/>
      </c>
      <c r="M133" s="25" t="str">
        <f aca="false">IFERROR(AVERAGEIFS($E$111:$E$202,$A$111:$A$202,"&gt;="&amp;DATE(J133,1,1),$A$111:$A$202,"&lt;="&amp;DATE(J133,12,31)),"")</f>
        <v/>
      </c>
    </row>
    <row r="134" customFormat="false" ht="15" hidden="false" customHeight="false" outlineLevel="0" collapsed="false">
      <c r="A134" s="27" t="n">
        <v>41548</v>
      </c>
      <c r="B134" s="28" t="str">
        <f aca="true">IFERROR(IF(AVERAGEIFS(INDIRECT(Index!$M$6),INDIRECT(Index!$L$6),"&gt;="&amp;$A134,INDIRECT(Index!$L$6),"&lt;"&amp;EDATE($A134,3))=0,"",AVERAGEIFS(INDIRECT(Index!$M$6),INDIRECT(Index!$L$6),"&gt;="&amp;$A134,INDIRECT(Index!$L$6),"&lt;"&amp;EDATE($A134,3))),"")</f>
        <v/>
      </c>
      <c r="C134" s="29" t="str">
        <f aca="false">IFERROR(B134/B133-1,"")</f>
        <v/>
      </c>
      <c r="D134" s="29" t="str">
        <f aca="false">IFERROR(B134/B130-1,"")</f>
        <v/>
      </c>
      <c r="E134" s="31" t="str">
        <f aca="false">IFERROR(IF(AND(B134="",ISNUMBER($C$108),ISNUMBER($G$108)),$C$108*(1+$G$108)^(($A134-$E$108)/365.25),""),"")</f>
        <v/>
      </c>
      <c r="F134" s="31" t="str">
        <f aca="false">IFERROR(IF(AND(B134="",ISNUMBER($C$108),ISNUMBER($G$108)),$C$108*(1+$G$108*0.85^MAX(0,($A134-$E$108)/91.25))^(($A134-$E$108)/365.25),""),"")</f>
        <v/>
      </c>
    </row>
    <row r="135" customFormat="false" ht="15" hidden="false" customHeight="false" outlineLevel="0" collapsed="false">
      <c r="A135" s="15" t="n">
        <v>41640</v>
      </c>
      <c r="B135" s="20" t="str">
        <f aca="true">IFERROR(IF(AVERAGEIFS(INDIRECT(Index!$M$6),INDIRECT(Index!$L$6),"&gt;="&amp;$A135,INDIRECT(Index!$L$6),"&lt;"&amp;EDATE($A135,3))=0,"",AVERAGEIFS(INDIRECT(Index!$M$6),INDIRECT(Index!$L$6),"&gt;="&amp;$A135,INDIRECT(Index!$L$6),"&lt;"&amp;EDATE($A135,3))),"")</f>
        <v/>
      </c>
      <c r="C135" s="33" t="str">
        <f aca="false">IFERROR(B135/B134-1,"")</f>
        <v/>
      </c>
      <c r="D135" s="33" t="str">
        <f aca="false">IFERROR(B135/B131-1,"")</f>
        <v/>
      </c>
      <c r="E135" s="25" t="str">
        <f aca="false">IFERROR(IF(AND(B135="",ISNUMBER($C$108),ISNUMBER($G$108)),$C$108*(1+$G$108)^(($A135-$E$108)/365.25),""),"")</f>
        <v/>
      </c>
      <c r="F135" s="25" t="str">
        <f aca="false">IFERROR(IF(AND(B135="",ISNUMBER($C$108),ISNUMBER($G$108)),$C$108*(1+$G$108*0.85^MAX(0,($A135-$E$108)/91.25))^(($A135-$E$108)/365.25),""),"")</f>
        <v/>
      </c>
    </row>
    <row r="136" customFormat="false" ht="15" hidden="false" customHeight="false" outlineLevel="0" collapsed="false">
      <c r="A136" s="27" t="n">
        <v>41730</v>
      </c>
      <c r="B136" s="28" t="str">
        <f aca="true">IFERROR(IF(AVERAGEIFS(INDIRECT(Index!$M$6),INDIRECT(Index!$L$6),"&gt;="&amp;$A136,INDIRECT(Index!$L$6),"&lt;"&amp;EDATE($A136,3))=0,"",AVERAGEIFS(INDIRECT(Index!$M$6),INDIRECT(Index!$L$6),"&gt;="&amp;$A136,INDIRECT(Index!$L$6),"&lt;"&amp;EDATE($A136,3))),"")</f>
        <v/>
      </c>
      <c r="C136" s="29" t="str">
        <f aca="false">IFERROR(B136/B135-1,"")</f>
        <v/>
      </c>
      <c r="D136" s="29" t="str">
        <f aca="false">IFERROR(B136/B132-1,"")</f>
        <v/>
      </c>
      <c r="E136" s="31" t="str">
        <f aca="false">IFERROR(IF(AND(B136="",ISNUMBER($C$108),ISNUMBER($G$108)),$C$108*(1+$G$108)^(($A136-$E$108)/365.25),""),"")</f>
        <v/>
      </c>
      <c r="F136" s="31" t="str">
        <f aca="false">IFERROR(IF(AND(B136="",ISNUMBER($C$108),ISNUMBER($G$108)),$C$108*(1+$G$108*0.85^MAX(0,($A136-$E$108)/91.25))^(($A136-$E$108)/365.25),""),"")</f>
        <v/>
      </c>
    </row>
    <row r="137" customFormat="false" ht="15" hidden="false" customHeight="false" outlineLevel="0" collapsed="false">
      <c r="A137" s="15" t="n">
        <v>41821</v>
      </c>
      <c r="B137" s="20" t="str">
        <f aca="true">IFERROR(IF(AVERAGEIFS(INDIRECT(Index!$M$6),INDIRECT(Index!$L$6),"&gt;="&amp;$A137,INDIRECT(Index!$L$6),"&lt;"&amp;EDATE($A137,3))=0,"",AVERAGEIFS(INDIRECT(Index!$M$6),INDIRECT(Index!$L$6),"&gt;="&amp;$A137,INDIRECT(Index!$L$6),"&lt;"&amp;EDATE($A137,3))),"")</f>
        <v/>
      </c>
      <c r="C137" s="33" t="str">
        <f aca="false">IFERROR(B137/B136-1,"")</f>
        <v/>
      </c>
      <c r="D137" s="33" t="str">
        <f aca="false">IFERROR(B137/B133-1,"")</f>
        <v/>
      </c>
      <c r="E137" s="25" t="str">
        <f aca="false">IFERROR(IF(AND(B137="",ISNUMBER($C$108),ISNUMBER($G$108)),$C$108*(1+$G$108)^(($A137-$E$108)/365.25),""),"")</f>
        <v/>
      </c>
      <c r="F137" s="25" t="str">
        <f aca="false">IFERROR(IF(AND(B137="",ISNUMBER($C$108),ISNUMBER($G$108)),$C$108*(1+$G$108*0.85^MAX(0,($A137-$E$108)/91.25))^(($A137-$E$108)/365.25),""),"")</f>
        <v/>
      </c>
    </row>
    <row r="138" customFormat="false" ht="15" hidden="false" customHeight="false" outlineLevel="0" collapsed="false">
      <c r="A138" s="27" t="n">
        <v>41913</v>
      </c>
      <c r="B138" s="28" t="str">
        <f aca="true">IFERROR(IF(AVERAGEIFS(INDIRECT(Index!$M$6),INDIRECT(Index!$L$6),"&gt;="&amp;$A138,INDIRECT(Index!$L$6),"&lt;"&amp;EDATE($A138,3))=0,"",AVERAGEIFS(INDIRECT(Index!$M$6),INDIRECT(Index!$L$6),"&gt;="&amp;$A138,INDIRECT(Index!$L$6),"&lt;"&amp;EDATE($A138,3))),"")</f>
        <v/>
      </c>
      <c r="C138" s="29" t="str">
        <f aca="false">IFERROR(B138/B137-1,"")</f>
        <v/>
      </c>
      <c r="D138" s="29" t="str">
        <f aca="false">IFERROR(B138/B134-1,"")</f>
        <v/>
      </c>
      <c r="E138" s="31" t="str">
        <f aca="false">IFERROR(IF(AND(B138="",ISNUMBER($C$108),ISNUMBER($G$108)),$C$108*(1+$G$108)^(($A138-$E$108)/365.25),""),"")</f>
        <v/>
      </c>
      <c r="F138" s="31" t="str">
        <f aca="false">IFERROR(IF(AND(B138="",ISNUMBER($C$108),ISNUMBER($G$108)),$C$108*(1+$G$108*0.85^MAX(0,($A138-$E$108)/91.25))^(($A138-$E$108)/365.25),""),"")</f>
        <v/>
      </c>
    </row>
    <row r="139" customFormat="false" ht="15" hidden="false" customHeight="false" outlineLevel="0" collapsed="false">
      <c r="A139" s="15" t="n">
        <v>42005</v>
      </c>
      <c r="B139" s="20" t="str">
        <f aca="true">IFERROR(IF(AVERAGEIFS(INDIRECT(Index!$M$6),INDIRECT(Index!$L$6),"&gt;="&amp;$A139,INDIRECT(Index!$L$6),"&lt;"&amp;EDATE($A139,3))=0,"",AVERAGEIFS(INDIRECT(Index!$M$6),INDIRECT(Index!$L$6),"&gt;="&amp;$A139,INDIRECT(Index!$L$6),"&lt;"&amp;EDATE($A139,3))),"")</f>
        <v/>
      </c>
      <c r="C139" s="33" t="str">
        <f aca="false">IFERROR(B139/B138-1,"")</f>
        <v/>
      </c>
      <c r="D139" s="33" t="str">
        <f aca="false">IFERROR(B139/B135-1,"")</f>
        <v/>
      </c>
      <c r="E139" s="25" t="str">
        <f aca="false">IFERROR(IF(AND(B139="",ISNUMBER($C$108),ISNUMBER($G$108)),$C$108*(1+$G$108)^(($A139-$E$108)/365.25),""),"")</f>
        <v/>
      </c>
      <c r="F139" s="25" t="str">
        <f aca="false">IFERROR(IF(AND(B139="",ISNUMBER($C$108),ISNUMBER($G$108)),$C$108*(1+$G$108*0.85^MAX(0,($A139-$E$108)/91.25))^(($A139-$E$108)/365.25),""),"")</f>
        <v/>
      </c>
    </row>
    <row r="140" customFormat="false" ht="15" hidden="false" customHeight="false" outlineLevel="0" collapsed="false">
      <c r="A140" s="27" t="n">
        <v>42095</v>
      </c>
      <c r="B140" s="28" t="str">
        <f aca="true">IFERROR(IF(AVERAGEIFS(INDIRECT(Index!$M$6),INDIRECT(Index!$L$6),"&gt;="&amp;$A140,INDIRECT(Index!$L$6),"&lt;"&amp;EDATE($A140,3))=0,"",AVERAGEIFS(INDIRECT(Index!$M$6),INDIRECT(Index!$L$6),"&gt;="&amp;$A140,INDIRECT(Index!$L$6),"&lt;"&amp;EDATE($A140,3))),"")</f>
        <v/>
      </c>
      <c r="C140" s="29" t="str">
        <f aca="false">IFERROR(B140/B139-1,"")</f>
        <v/>
      </c>
      <c r="D140" s="29" t="str">
        <f aca="false">IFERROR(B140/B136-1,"")</f>
        <v/>
      </c>
      <c r="E140" s="31" t="str">
        <f aca="false">IFERROR(IF(AND(B140="",ISNUMBER($C$108),ISNUMBER($G$108)),$C$108*(1+$G$108)^(($A140-$E$108)/365.25),""),"")</f>
        <v/>
      </c>
      <c r="F140" s="31" t="str">
        <f aca="false">IFERROR(IF(AND(B140="",ISNUMBER($C$108),ISNUMBER($G$108)),$C$108*(1+$G$108*0.85^MAX(0,($A140-$E$108)/91.25))^(($A140-$E$108)/365.25),""),"")</f>
        <v/>
      </c>
    </row>
    <row r="141" customFormat="false" ht="15" hidden="false" customHeight="false" outlineLevel="0" collapsed="false">
      <c r="A141" s="15" t="n">
        <v>42186</v>
      </c>
      <c r="B141" s="20" t="str">
        <f aca="true">IFERROR(IF(AVERAGEIFS(INDIRECT(Index!$M$6),INDIRECT(Index!$L$6),"&gt;="&amp;$A141,INDIRECT(Index!$L$6),"&lt;"&amp;EDATE($A141,3))=0,"",AVERAGEIFS(INDIRECT(Index!$M$6),INDIRECT(Index!$L$6),"&gt;="&amp;$A141,INDIRECT(Index!$L$6),"&lt;"&amp;EDATE($A141,3))),"")</f>
        <v/>
      </c>
      <c r="C141" s="33" t="str">
        <f aca="false">IFERROR(B141/B140-1,"")</f>
        <v/>
      </c>
      <c r="D141" s="33" t="str">
        <f aca="false">IFERROR(B141/B137-1,"")</f>
        <v/>
      </c>
      <c r="E141" s="25" t="str">
        <f aca="false">IFERROR(IF(AND(B141="",ISNUMBER($C$108),ISNUMBER($G$108)),$C$108*(1+$G$108)^(($A141-$E$108)/365.25),""),"")</f>
        <v/>
      </c>
      <c r="F141" s="25" t="str">
        <f aca="false">IFERROR(IF(AND(B141="",ISNUMBER($C$108),ISNUMBER($G$108)),$C$108*(1+$G$108*0.85^MAX(0,($A141-$E$108)/91.25))^(($A141-$E$108)/365.25),""),"")</f>
        <v/>
      </c>
    </row>
    <row r="142" customFormat="false" ht="15" hidden="false" customHeight="false" outlineLevel="0" collapsed="false">
      <c r="A142" s="27" t="n">
        <v>42278</v>
      </c>
      <c r="B142" s="28" t="str">
        <f aca="true">IFERROR(IF(AVERAGEIFS(INDIRECT(Index!$M$6),INDIRECT(Index!$L$6),"&gt;="&amp;$A142,INDIRECT(Index!$L$6),"&lt;"&amp;EDATE($A142,3))=0,"",AVERAGEIFS(INDIRECT(Index!$M$6),INDIRECT(Index!$L$6),"&gt;="&amp;$A142,INDIRECT(Index!$L$6),"&lt;"&amp;EDATE($A142,3))),"")</f>
        <v/>
      </c>
      <c r="C142" s="29" t="str">
        <f aca="false">IFERROR(B142/B141-1,"")</f>
        <v/>
      </c>
      <c r="D142" s="29" t="str">
        <f aca="false">IFERROR(B142/B138-1,"")</f>
        <v/>
      </c>
      <c r="E142" s="31" t="str">
        <f aca="false">IFERROR(IF(AND(B142="",ISNUMBER($C$108),ISNUMBER($G$108)),$C$108*(1+$G$108)^(($A142-$E$108)/365.25),""),"")</f>
        <v/>
      </c>
      <c r="F142" s="31" t="str">
        <f aca="false">IFERROR(IF(AND(B142="",ISNUMBER($C$108),ISNUMBER($G$108)),$C$108*(1+$G$108*0.85^MAX(0,($A142-$E$108)/91.25))^(($A142-$E$108)/365.25),""),"")</f>
        <v/>
      </c>
    </row>
    <row r="143" customFormat="false" ht="15" hidden="false" customHeight="false" outlineLevel="0" collapsed="false">
      <c r="A143" s="15" t="n">
        <v>42370</v>
      </c>
      <c r="B143" s="20" t="str">
        <f aca="true">IFERROR(IF(AVERAGEIFS(INDIRECT(Index!$M$6),INDIRECT(Index!$L$6),"&gt;="&amp;$A143,INDIRECT(Index!$L$6),"&lt;"&amp;EDATE($A143,3))=0,"",AVERAGEIFS(INDIRECT(Index!$M$6),INDIRECT(Index!$L$6),"&gt;="&amp;$A143,INDIRECT(Index!$L$6),"&lt;"&amp;EDATE($A143,3))),"")</f>
        <v/>
      </c>
      <c r="C143" s="33" t="str">
        <f aca="false">IFERROR(B143/B142-1,"")</f>
        <v/>
      </c>
      <c r="D143" s="33" t="str">
        <f aca="false">IFERROR(B143/B139-1,"")</f>
        <v/>
      </c>
      <c r="E143" s="25" t="str">
        <f aca="false">IFERROR(IF(AND(B143="",ISNUMBER($C$108),ISNUMBER($G$108)),$C$108*(1+$G$108)^(($A143-$E$108)/365.25),""),"")</f>
        <v/>
      </c>
      <c r="F143" s="25" t="str">
        <f aca="false">IFERROR(IF(AND(B143="",ISNUMBER($C$108),ISNUMBER($G$108)),$C$108*(1+$G$108*0.85^MAX(0,($A143-$E$108)/91.25))^(($A143-$E$108)/365.25),""),"")</f>
        <v/>
      </c>
    </row>
    <row r="144" customFormat="false" ht="15" hidden="false" customHeight="false" outlineLevel="0" collapsed="false">
      <c r="A144" s="27" t="n">
        <v>42461</v>
      </c>
      <c r="B144" s="28" t="str">
        <f aca="true">IFERROR(IF(AVERAGEIFS(INDIRECT(Index!$M$6),INDIRECT(Index!$L$6),"&gt;="&amp;$A144,INDIRECT(Index!$L$6),"&lt;"&amp;EDATE($A144,3))=0,"",AVERAGEIFS(INDIRECT(Index!$M$6),INDIRECT(Index!$L$6),"&gt;="&amp;$A144,INDIRECT(Index!$L$6),"&lt;"&amp;EDATE($A144,3))),"")</f>
        <v/>
      </c>
      <c r="C144" s="29" t="str">
        <f aca="false">IFERROR(B144/B143-1,"")</f>
        <v/>
      </c>
      <c r="D144" s="29" t="str">
        <f aca="false">IFERROR(B144/B140-1,"")</f>
        <v/>
      </c>
      <c r="E144" s="31" t="str">
        <f aca="false">IFERROR(IF(AND(B144="",ISNUMBER($C$108),ISNUMBER($G$108)),$C$108*(1+$G$108)^(($A144-$E$108)/365.25),""),"")</f>
        <v/>
      </c>
      <c r="F144" s="31" t="str">
        <f aca="false">IFERROR(IF(AND(B144="",ISNUMBER($C$108),ISNUMBER($G$108)),$C$108*(1+$G$108*0.85^MAX(0,($A144-$E$108)/91.25))^(($A144-$E$108)/365.25),""),"")</f>
        <v/>
      </c>
    </row>
    <row r="145" customFormat="false" ht="15" hidden="false" customHeight="false" outlineLevel="0" collapsed="false">
      <c r="A145" s="15" t="n">
        <v>42552</v>
      </c>
      <c r="B145" s="20" t="str">
        <f aca="true">IFERROR(IF(AVERAGEIFS(INDIRECT(Index!$M$6),INDIRECT(Index!$L$6),"&gt;="&amp;$A145,INDIRECT(Index!$L$6),"&lt;"&amp;EDATE($A145,3))=0,"",AVERAGEIFS(INDIRECT(Index!$M$6),INDIRECT(Index!$L$6),"&gt;="&amp;$A145,INDIRECT(Index!$L$6),"&lt;"&amp;EDATE($A145,3))),"")</f>
        <v/>
      </c>
      <c r="C145" s="33" t="str">
        <f aca="false">IFERROR(B145/B144-1,"")</f>
        <v/>
      </c>
      <c r="D145" s="33" t="str">
        <f aca="false">IFERROR(B145/B141-1,"")</f>
        <v/>
      </c>
      <c r="E145" s="25" t="str">
        <f aca="false">IFERROR(IF(AND(B145="",ISNUMBER($C$108),ISNUMBER($G$108)),$C$108*(1+$G$108)^(($A145-$E$108)/365.25),""),"")</f>
        <v/>
      </c>
      <c r="F145" s="25" t="str">
        <f aca="false">IFERROR(IF(AND(B145="",ISNUMBER($C$108),ISNUMBER($G$108)),$C$108*(1+$G$108*0.85^MAX(0,($A145-$E$108)/91.25))^(($A145-$E$108)/365.25),""),"")</f>
        <v/>
      </c>
    </row>
    <row r="146" customFormat="false" ht="15" hidden="false" customHeight="false" outlineLevel="0" collapsed="false">
      <c r="A146" s="27" t="n">
        <v>42644</v>
      </c>
      <c r="B146" s="28" t="str">
        <f aca="true">IFERROR(IF(AVERAGEIFS(INDIRECT(Index!$M$6),INDIRECT(Index!$L$6),"&gt;="&amp;$A146,INDIRECT(Index!$L$6),"&lt;"&amp;EDATE($A146,3))=0,"",AVERAGEIFS(INDIRECT(Index!$M$6),INDIRECT(Index!$L$6),"&gt;="&amp;$A146,INDIRECT(Index!$L$6),"&lt;"&amp;EDATE($A146,3))),"")</f>
        <v/>
      </c>
      <c r="C146" s="29" t="str">
        <f aca="false">IFERROR(B146/B145-1,"")</f>
        <v/>
      </c>
      <c r="D146" s="29" t="str">
        <f aca="false">IFERROR(B146/B142-1,"")</f>
        <v/>
      </c>
      <c r="E146" s="31" t="str">
        <f aca="false">IFERROR(IF(AND(B146="",ISNUMBER($C$108),ISNUMBER($G$108)),$C$108*(1+$G$108)^(($A146-$E$108)/365.25),""),"")</f>
        <v/>
      </c>
      <c r="F146" s="31" t="str">
        <f aca="false">IFERROR(IF(AND(B146="",ISNUMBER($C$108),ISNUMBER($G$108)),$C$108*(1+$G$108*0.85^MAX(0,($A146-$E$108)/91.25))^(($A146-$E$108)/365.25),""),"")</f>
        <v/>
      </c>
    </row>
    <row r="147" customFormat="false" ht="15" hidden="false" customHeight="false" outlineLevel="0" collapsed="false">
      <c r="A147" s="15" t="n">
        <v>42736</v>
      </c>
      <c r="B147" s="20" t="str">
        <f aca="true">IFERROR(IF(AVERAGEIFS(INDIRECT(Index!$M$6),INDIRECT(Index!$L$6),"&gt;="&amp;$A147,INDIRECT(Index!$L$6),"&lt;"&amp;EDATE($A147,3))=0,"",AVERAGEIFS(INDIRECT(Index!$M$6),INDIRECT(Index!$L$6),"&gt;="&amp;$A147,INDIRECT(Index!$L$6),"&lt;"&amp;EDATE($A147,3))),"")</f>
        <v/>
      </c>
      <c r="C147" s="33" t="str">
        <f aca="false">IFERROR(B147/B146-1,"")</f>
        <v/>
      </c>
      <c r="D147" s="33" t="str">
        <f aca="false">IFERROR(B147/B143-1,"")</f>
        <v/>
      </c>
      <c r="E147" s="25" t="str">
        <f aca="false">IFERROR(IF(AND(B147="",ISNUMBER($C$108),ISNUMBER($G$108)),$C$108*(1+$G$108)^(($A147-$E$108)/365.25),""),"")</f>
        <v/>
      </c>
      <c r="F147" s="25" t="str">
        <f aca="false">IFERROR(IF(AND(B147="",ISNUMBER($C$108),ISNUMBER($G$108)),$C$108*(1+$G$108*0.85^MAX(0,($A147-$E$108)/91.25))^(($A147-$E$108)/365.25),""),"")</f>
        <v/>
      </c>
    </row>
    <row r="148" customFormat="false" ht="15" hidden="false" customHeight="false" outlineLevel="0" collapsed="false">
      <c r="A148" s="27" t="n">
        <v>42826</v>
      </c>
      <c r="B148" s="28" t="str">
        <f aca="true">IFERROR(IF(AVERAGEIFS(INDIRECT(Index!$M$6),INDIRECT(Index!$L$6),"&gt;="&amp;$A148,INDIRECT(Index!$L$6),"&lt;"&amp;EDATE($A148,3))=0,"",AVERAGEIFS(INDIRECT(Index!$M$6),INDIRECT(Index!$L$6),"&gt;="&amp;$A148,INDIRECT(Index!$L$6),"&lt;"&amp;EDATE($A148,3))),"")</f>
        <v/>
      </c>
      <c r="C148" s="29" t="str">
        <f aca="false">IFERROR(B148/B147-1,"")</f>
        <v/>
      </c>
      <c r="D148" s="29" t="str">
        <f aca="false">IFERROR(B148/B144-1,"")</f>
        <v/>
      </c>
      <c r="E148" s="31" t="str">
        <f aca="false">IFERROR(IF(AND(B148="",ISNUMBER($C$108),ISNUMBER($G$108)),$C$108*(1+$G$108)^(($A148-$E$108)/365.25),""),"")</f>
        <v/>
      </c>
      <c r="F148" s="31" t="str">
        <f aca="false">IFERROR(IF(AND(B148="",ISNUMBER($C$108),ISNUMBER($G$108)),$C$108*(1+$G$108*0.85^MAX(0,($A148-$E$108)/91.25))^(($A148-$E$108)/365.25),""),"")</f>
        <v/>
      </c>
    </row>
    <row r="149" customFormat="false" ht="15" hidden="false" customHeight="false" outlineLevel="0" collapsed="false">
      <c r="A149" s="15" t="n">
        <v>42917</v>
      </c>
      <c r="B149" s="20" t="str">
        <f aca="true">IFERROR(IF(AVERAGEIFS(INDIRECT(Index!$M$6),INDIRECT(Index!$L$6),"&gt;="&amp;$A149,INDIRECT(Index!$L$6),"&lt;"&amp;EDATE($A149,3))=0,"",AVERAGEIFS(INDIRECT(Index!$M$6),INDIRECT(Index!$L$6),"&gt;="&amp;$A149,INDIRECT(Index!$L$6),"&lt;"&amp;EDATE($A149,3))),"")</f>
        <v/>
      </c>
      <c r="C149" s="33" t="str">
        <f aca="false">IFERROR(B149/B148-1,"")</f>
        <v/>
      </c>
      <c r="D149" s="33" t="str">
        <f aca="false">IFERROR(B149/B145-1,"")</f>
        <v/>
      </c>
      <c r="E149" s="25" t="str">
        <f aca="false">IFERROR(IF(AND(B149="",ISNUMBER($C$108),ISNUMBER($G$108)),$C$108*(1+$G$108)^(($A149-$E$108)/365.25),""),"")</f>
        <v/>
      </c>
      <c r="F149" s="25" t="str">
        <f aca="false">IFERROR(IF(AND(B149="",ISNUMBER($C$108),ISNUMBER($G$108)),$C$108*(1+$G$108*0.85^MAX(0,($A149-$E$108)/91.25))^(($A149-$E$108)/365.25),""),"")</f>
        <v/>
      </c>
    </row>
    <row r="150" customFormat="false" ht="15" hidden="false" customHeight="false" outlineLevel="0" collapsed="false">
      <c r="A150" s="27" t="n">
        <v>43009</v>
      </c>
      <c r="B150" s="28" t="str">
        <f aca="true">IFERROR(IF(AVERAGEIFS(INDIRECT(Index!$M$6),INDIRECT(Index!$L$6),"&gt;="&amp;$A150,INDIRECT(Index!$L$6),"&lt;"&amp;EDATE($A150,3))=0,"",AVERAGEIFS(INDIRECT(Index!$M$6),INDIRECT(Index!$L$6),"&gt;="&amp;$A150,INDIRECT(Index!$L$6),"&lt;"&amp;EDATE($A150,3))),"")</f>
        <v/>
      </c>
      <c r="C150" s="29" t="str">
        <f aca="false">IFERROR(B150/B149-1,"")</f>
        <v/>
      </c>
      <c r="D150" s="29" t="str">
        <f aca="false">IFERROR(B150/B146-1,"")</f>
        <v/>
      </c>
      <c r="E150" s="31" t="str">
        <f aca="false">IFERROR(IF(AND(B150="",ISNUMBER($C$108),ISNUMBER($G$108)),$C$108*(1+$G$108)^(($A150-$E$108)/365.25),""),"")</f>
        <v/>
      </c>
      <c r="F150" s="31" t="str">
        <f aca="false">IFERROR(IF(AND(B150="",ISNUMBER($C$108),ISNUMBER($G$108)),$C$108*(1+$G$108*0.85^MAX(0,($A150-$E$108)/91.25))^(($A150-$E$108)/365.25),""),"")</f>
        <v/>
      </c>
    </row>
    <row r="151" customFormat="false" ht="15" hidden="false" customHeight="false" outlineLevel="0" collapsed="false">
      <c r="A151" s="15" t="n">
        <v>43101</v>
      </c>
      <c r="B151" s="20" t="str">
        <f aca="true">IFERROR(IF(AVERAGEIFS(INDIRECT(Index!$M$6),INDIRECT(Index!$L$6),"&gt;="&amp;$A151,INDIRECT(Index!$L$6),"&lt;"&amp;EDATE($A151,3))=0,"",AVERAGEIFS(INDIRECT(Index!$M$6),INDIRECT(Index!$L$6),"&gt;="&amp;$A151,INDIRECT(Index!$L$6),"&lt;"&amp;EDATE($A151,3))),"")</f>
        <v/>
      </c>
      <c r="C151" s="33" t="str">
        <f aca="false">IFERROR(B151/B150-1,"")</f>
        <v/>
      </c>
      <c r="D151" s="33" t="str">
        <f aca="false">IFERROR(B151/B147-1,"")</f>
        <v/>
      </c>
      <c r="E151" s="25" t="str">
        <f aca="false">IFERROR(IF(AND(B151="",ISNUMBER($C$108),ISNUMBER($G$108)),$C$108*(1+$G$108)^(($A151-$E$108)/365.25),""),"")</f>
        <v/>
      </c>
      <c r="F151" s="25" t="str">
        <f aca="false">IFERROR(IF(AND(B151="",ISNUMBER($C$108),ISNUMBER($G$108)),$C$108*(1+$G$108*0.85^MAX(0,($A151-$E$108)/91.25))^(($A151-$E$108)/365.25),""),"")</f>
        <v/>
      </c>
    </row>
    <row r="152" customFormat="false" ht="15" hidden="false" customHeight="false" outlineLevel="0" collapsed="false">
      <c r="A152" s="27" t="n">
        <v>43191</v>
      </c>
      <c r="B152" s="28" t="str">
        <f aca="true">IFERROR(IF(AVERAGEIFS(INDIRECT(Index!$M$6),INDIRECT(Index!$L$6),"&gt;="&amp;$A152,INDIRECT(Index!$L$6),"&lt;"&amp;EDATE($A152,3))=0,"",AVERAGEIFS(INDIRECT(Index!$M$6),INDIRECT(Index!$L$6),"&gt;="&amp;$A152,INDIRECT(Index!$L$6),"&lt;"&amp;EDATE($A152,3))),"")</f>
        <v/>
      </c>
      <c r="C152" s="29" t="str">
        <f aca="false">IFERROR(B152/B151-1,"")</f>
        <v/>
      </c>
      <c r="D152" s="29" t="str">
        <f aca="false">IFERROR(B152/B148-1,"")</f>
        <v/>
      </c>
      <c r="E152" s="31" t="str">
        <f aca="false">IFERROR(IF(AND(B152="",ISNUMBER($C$108),ISNUMBER($G$108)),$C$108*(1+$G$108)^(($A152-$E$108)/365.25),""),"")</f>
        <v/>
      </c>
      <c r="F152" s="31" t="str">
        <f aca="false">IFERROR(IF(AND(B152="",ISNUMBER($C$108),ISNUMBER($G$108)),$C$108*(1+$G$108*0.85^MAX(0,($A152-$E$108)/91.25))^(($A152-$E$108)/365.25),""),"")</f>
        <v/>
      </c>
    </row>
    <row r="153" customFormat="false" ht="15" hidden="false" customHeight="false" outlineLevel="0" collapsed="false">
      <c r="A153" s="15" t="n">
        <v>43282</v>
      </c>
      <c r="B153" s="20" t="str">
        <f aca="true">IFERROR(IF(AVERAGEIFS(INDIRECT(Index!$M$6),INDIRECT(Index!$L$6),"&gt;="&amp;$A153,INDIRECT(Index!$L$6),"&lt;"&amp;EDATE($A153,3))=0,"",AVERAGEIFS(INDIRECT(Index!$M$6),INDIRECT(Index!$L$6),"&gt;="&amp;$A153,INDIRECT(Index!$L$6),"&lt;"&amp;EDATE($A153,3))),"")</f>
        <v/>
      </c>
      <c r="C153" s="33" t="str">
        <f aca="false">IFERROR(B153/B152-1,"")</f>
        <v/>
      </c>
      <c r="D153" s="33" t="str">
        <f aca="false">IFERROR(B153/B149-1,"")</f>
        <v/>
      </c>
      <c r="E153" s="25" t="str">
        <f aca="false">IFERROR(IF(AND(B153="",ISNUMBER($C$108),ISNUMBER($G$108)),$C$108*(1+$G$108)^(($A153-$E$108)/365.25),""),"")</f>
        <v/>
      </c>
      <c r="F153" s="25" t="str">
        <f aca="false">IFERROR(IF(AND(B153="",ISNUMBER($C$108),ISNUMBER($G$108)),$C$108*(1+$G$108*0.85^MAX(0,($A153-$E$108)/91.25))^(($A153-$E$108)/365.25),""),"")</f>
        <v/>
      </c>
    </row>
    <row r="154" customFormat="false" ht="15" hidden="false" customHeight="false" outlineLevel="0" collapsed="false">
      <c r="A154" s="27" t="n">
        <v>43374</v>
      </c>
      <c r="B154" s="28" t="str">
        <f aca="true">IFERROR(IF(AVERAGEIFS(INDIRECT(Index!$M$6),INDIRECT(Index!$L$6),"&gt;="&amp;$A154,INDIRECT(Index!$L$6),"&lt;"&amp;EDATE($A154,3))=0,"",AVERAGEIFS(INDIRECT(Index!$M$6),INDIRECT(Index!$L$6),"&gt;="&amp;$A154,INDIRECT(Index!$L$6),"&lt;"&amp;EDATE($A154,3))),"")</f>
        <v/>
      </c>
      <c r="C154" s="29" t="str">
        <f aca="false">IFERROR(B154/B153-1,"")</f>
        <v/>
      </c>
      <c r="D154" s="29" t="str">
        <f aca="false">IFERROR(B154/B150-1,"")</f>
        <v/>
      </c>
      <c r="E154" s="31" t="str">
        <f aca="false">IFERROR(IF(AND(B154="",ISNUMBER($C$108),ISNUMBER($G$108)),$C$108*(1+$G$108)^(($A154-$E$108)/365.25),""),"")</f>
        <v/>
      </c>
      <c r="F154" s="31" t="str">
        <f aca="false">IFERROR(IF(AND(B154="",ISNUMBER($C$108),ISNUMBER($G$108)),$C$108*(1+$G$108*0.85^MAX(0,($A154-$E$108)/91.25))^(($A154-$E$108)/365.25),""),"")</f>
        <v/>
      </c>
    </row>
    <row r="155" customFormat="false" ht="15" hidden="false" customHeight="false" outlineLevel="0" collapsed="false">
      <c r="A155" s="15" t="n">
        <v>43466</v>
      </c>
      <c r="B155" s="20" t="str">
        <f aca="true">IFERROR(IF(AVERAGEIFS(INDIRECT(Index!$M$6),INDIRECT(Index!$L$6),"&gt;="&amp;$A155,INDIRECT(Index!$L$6),"&lt;"&amp;EDATE($A155,3))=0,"",AVERAGEIFS(INDIRECT(Index!$M$6),INDIRECT(Index!$L$6),"&gt;="&amp;$A155,INDIRECT(Index!$L$6),"&lt;"&amp;EDATE($A155,3))),"")</f>
        <v/>
      </c>
      <c r="C155" s="33" t="str">
        <f aca="false">IFERROR(B155/B154-1,"")</f>
        <v/>
      </c>
      <c r="D155" s="33" t="str">
        <f aca="false">IFERROR(B155/B151-1,"")</f>
        <v/>
      </c>
      <c r="E155" s="25" t="str">
        <f aca="false">IFERROR(IF(AND(B155="",ISNUMBER($C$108),ISNUMBER($G$108)),$C$108*(1+$G$108)^(($A155-$E$108)/365.25),""),"")</f>
        <v/>
      </c>
      <c r="F155" s="25" t="str">
        <f aca="false">IFERROR(IF(AND(B155="",ISNUMBER($C$108),ISNUMBER($G$108)),$C$108*(1+$G$108*0.85^MAX(0,($A155-$E$108)/91.25))^(($A155-$E$108)/365.25),""),"")</f>
        <v/>
      </c>
    </row>
    <row r="156" customFormat="false" ht="15" hidden="false" customHeight="false" outlineLevel="0" collapsed="false">
      <c r="A156" s="27" t="n">
        <v>43556</v>
      </c>
      <c r="B156" s="28" t="str">
        <f aca="true">IFERROR(IF(AVERAGEIFS(INDIRECT(Index!$M$6),INDIRECT(Index!$L$6),"&gt;="&amp;$A156,INDIRECT(Index!$L$6),"&lt;"&amp;EDATE($A156,3))=0,"",AVERAGEIFS(INDIRECT(Index!$M$6),INDIRECT(Index!$L$6),"&gt;="&amp;$A156,INDIRECT(Index!$L$6),"&lt;"&amp;EDATE($A156,3))),"")</f>
        <v/>
      </c>
      <c r="C156" s="29" t="str">
        <f aca="false">IFERROR(B156/B155-1,"")</f>
        <v/>
      </c>
      <c r="D156" s="29" t="str">
        <f aca="false">IFERROR(B156/B152-1,"")</f>
        <v/>
      </c>
      <c r="E156" s="31" t="str">
        <f aca="false">IFERROR(IF(AND(B156="",ISNUMBER($C$108),ISNUMBER($G$108)),$C$108*(1+$G$108)^(($A156-$E$108)/365.25),""),"")</f>
        <v/>
      </c>
      <c r="F156" s="31" t="str">
        <f aca="false">IFERROR(IF(AND(B156="",ISNUMBER($C$108),ISNUMBER($G$108)),$C$108*(1+$G$108*0.85^MAX(0,($A156-$E$108)/91.25))^(($A156-$E$108)/365.25),""),"")</f>
        <v/>
      </c>
    </row>
    <row r="157" customFormat="false" ht="15" hidden="false" customHeight="false" outlineLevel="0" collapsed="false">
      <c r="A157" s="15" t="n">
        <v>43647</v>
      </c>
      <c r="B157" s="20" t="str">
        <f aca="true">IFERROR(IF(AVERAGEIFS(INDIRECT(Index!$M$6),INDIRECT(Index!$L$6),"&gt;="&amp;$A157,INDIRECT(Index!$L$6),"&lt;"&amp;EDATE($A157,3))=0,"",AVERAGEIFS(INDIRECT(Index!$M$6),INDIRECT(Index!$L$6),"&gt;="&amp;$A157,INDIRECT(Index!$L$6),"&lt;"&amp;EDATE($A157,3))),"")</f>
        <v/>
      </c>
      <c r="C157" s="33" t="str">
        <f aca="false">IFERROR(B157/B156-1,"")</f>
        <v/>
      </c>
      <c r="D157" s="33" t="str">
        <f aca="false">IFERROR(B157/B153-1,"")</f>
        <v/>
      </c>
      <c r="E157" s="25" t="str">
        <f aca="false">IFERROR(IF(AND(B157="",ISNUMBER($C$108),ISNUMBER($G$108)),$C$108*(1+$G$108)^(($A157-$E$108)/365.25),""),"")</f>
        <v/>
      </c>
      <c r="F157" s="25" t="str">
        <f aca="false">IFERROR(IF(AND(B157="",ISNUMBER($C$108),ISNUMBER($G$108)),$C$108*(1+$G$108*0.85^MAX(0,($A157-$E$108)/91.25))^(($A157-$E$108)/365.25),""),"")</f>
        <v/>
      </c>
    </row>
    <row r="158" customFormat="false" ht="15" hidden="false" customHeight="false" outlineLevel="0" collapsed="false">
      <c r="A158" s="27" t="n">
        <v>43739</v>
      </c>
      <c r="B158" s="28" t="str">
        <f aca="true">IFERROR(IF(AVERAGEIFS(INDIRECT(Index!$M$6),INDIRECT(Index!$L$6),"&gt;="&amp;$A158,INDIRECT(Index!$L$6),"&lt;"&amp;EDATE($A158,3))=0,"",AVERAGEIFS(INDIRECT(Index!$M$6),INDIRECT(Index!$L$6),"&gt;="&amp;$A158,INDIRECT(Index!$L$6),"&lt;"&amp;EDATE($A158,3))),"")</f>
        <v/>
      </c>
      <c r="C158" s="29" t="str">
        <f aca="false">IFERROR(B158/B157-1,"")</f>
        <v/>
      </c>
      <c r="D158" s="29" t="str">
        <f aca="false">IFERROR(B158/B154-1,"")</f>
        <v/>
      </c>
      <c r="E158" s="31" t="str">
        <f aca="false">IFERROR(IF(AND(B158="",ISNUMBER($C$108),ISNUMBER($G$108)),$C$108*(1+$G$108)^(($A158-$E$108)/365.25),""),"")</f>
        <v/>
      </c>
      <c r="F158" s="31" t="str">
        <f aca="false">IFERROR(IF(AND(B158="",ISNUMBER($C$108),ISNUMBER($G$108)),$C$108*(1+$G$108*0.85^MAX(0,($A158-$E$108)/91.25))^(($A158-$E$108)/365.25),""),"")</f>
        <v/>
      </c>
    </row>
    <row r="159" customFormat="false" ht="15" hidden="false" customHeight="false" outlineLevel="0" collapsed="false">
      <c r="A159" s="15" t="n">
        <v>43831</v>
      </c>
      <c r="B159" s="20" t="str">
        <f aca="true">IFERROR(IF(AVERAGEIFS(INDIRECT(Index!$M$6),INDIRECT(Index!$L$6),"&gt;="&amp;$A159,INDIRECT(Index!$L$6),"&lt;"&amp;EDATE($A159,3))=0,"",AVERAGEIFS(INDIRECT(Index!$M$6),INDIRECT(Index!$L$6),"&gt;="&amp;$A159,INDIRECT(Index!$L$6),"&lt;"&amp;EDATE($A159,3))),"")</f>
        <v/>
      </c>
      <c r="C159" s="33" t="str">
        <f aca="false">IFERROR(B159/B158-1,"")</f>
        <v/>
      </c>
      <c r="D159" s="33" t="str">
        <f aca="false">IFERROR(B159/B155-1,"")</f>
        <v/>
      </c>
      <c r="E159" s="25" t="str">
        <f aca="false">IFERROR(IF(AND(B159="",ISNUMBER($C$108),ISNUMBER($G$108)),$C$108*(1+$G$108)^(($A159-$E$108)/365.25),""),"")</f>
        <v/>
      </c>
      <c r="F159" s="25" t="str">
        <f aca="false">IFERROR(IF(AND(B159="",ISNUMBER($C$108),ISNUMBER($G$108)),$C$108*(1+$G$108*0.85^MAX(0,($A159-$E$108)/91.25))^(($A159-$E$108)/365.25),""),"")</f>
        <v/>
      </c>
    </row>
    <row r="160" customFormat="false" ht="15" hidden="false" customHeight="false" outlineLevel="0" collapsed="false">
      <c r="A160" s="27" t="n">
        <v>43922</v>
      </c>
      <c r="B160" s="28" t="str">
        <f aca="true">IFERROR(IF(AVERAGEIFS(INDIRECT(Index!$M$6),INDIRECT(Index!$L$6),"&gt;="&amp;$A160,INDIRECT(Index!$L$6),"&lt;"&amp;EDATE($A160,3))=0,"",AVERAGEIFS(INDIRECT(Index!$M$6),INDIRECT(Index!$L$6),"&gt;="&amp;$A160,INDIRECT(Index!$L$6),"&lt;"&amp;EDATE($A160,3))),"")</f>
        <v/>
      </c>
      <c r="C160" s="29" t="str">
        <f aca="false">IFERROR(B160/B159-1,"")</f>
        <v/>
      </c>
      <c r="D160" s="29" t="str">
        <f aca="false">IFERROR(B160/B156-1,"")</f>
        <v/>
      </c>
      <c r="E160" s="31" t="str">
        <f aca="false">IFERROR(IF(AND(B160="",ISNUMBER($C$108),ISNUMBER($G$108)),$C$108*(1+$G$108)^(($A160-$E$108)/365.25),""),"")</f>
        <v/>
      </c>
      <c r="F160" s="31" t="str">
        <f aca="false">IFERROR(IF(AND(B160="",ISNUMBER($C$108),ISNUMBER($G$108)),$C$108*(1+$G$108*0.85^MAX(0,($A160-$E$108)/91.25))^(($A160-$E$108)/365.25),""),"")</f>
        <v/>
      </c>
    </row>
    <row r="161" customFormat="false" ht="15" hidden="false" customHeight="false" outlineLevel="0" collapsed="false">
      <c r="A161" s="15" t="n">
        <v>44013</v>
      </c>
      <c r="B161" s="20" t="str">
        <f aca="true">IFERROR(IF(AVERAGEIFS(INDIRECT(Index!$M$6),INDIRECT(Index!$L$6),"&gt;="&amp;$A161,INDIRECT(Index!$L$6),"&lt;"&amp;EDATE($A161,3))=0,"",AVERAGEIFS(INDIRECT(Index!$M$6),INDIRECT(Index!$L$6),"&gt;="&amp;$A161,INDIRECT(Index!$L$6),"&lt;"&amp;EDATE($A161,3))),"")</f>
        <v/>
      </c>
      <c r="C161" s="33" t="str">
        <f aca="false">IFERROR(B161/B160-1,"")</f>
        <v/>
      </c>
      <c r="D161" s="33" t="str">
        <f aca="false">IFERROR(B161/B157-1,"")</f>
        <v/>
      </c>
      <c r="E161" s="25" t="str">
        <f aca="false">IFERROR(IF(AND(B161="",ISNUMBER($C$108),ISNUMBER($G$108)),$C$108*(1+$G$108)^(($A161-$E$108)/365.25),""),"")</f>
        <v/>
      </c>
      <c r="F161" s="25" t="str">
        <f aca="false">IFERROR(IF(AND(B161="",ISNUMBER($C$108),ISNUMBER($G$108)),$C$108*(1+$G$108*0.85^MAX(0,($A161-$E$108)/91.25))^(($A161-$E$108)/365.25),""),"")</f>
        <v/>
      </c>
    </row>
    <row r="162" customFormat="false" ht="15" hidden="false" customHeight="false" outlineLevel="0" collapsed="false">
      <c r="A162" s="27" t="n">
        <v>44105</v>
      </c>
      <c r="B162" s="28" t="str">
        <f aca="true">IFERROR(IF(AVERAGEIFS(INDIRECT(Index!$M$6),INDIRECT(Index!$L$6),"&gt;="&amp;$A162,INDIRECT(Index!$L$6),"&lt;"&amp;EDATE($A162,3))=0,"",AVERAGEIFS(INDIRECT(Index!$M$6),INDIRECT(Index!$L$6),"&gt;="&amp;$A162,INDIRECT(Index!$L$6),"&lt;"&amp;EDATE($A162,3))),"")</f>
        <v/>
      </c>
      <c r="C162" s="29" t="str">
        <f aca="false">IFERROR(B162/B161-1,"")</f>
        <v/>
      </c>
      <c r="D162" s="29" t="str">
        <f aca="false">IFERROR(B162/B158-1,"")</f>
        <v/>
      </c>
      <c r="E162" s="31" t="str">
        <f aca="false">IFERROR(IF(AND(B162="",ISNUMBER($C$108),ISNUMBER($G$108)),$C$108*(1+$G$108)^(($A162-$E$108)/365.25),""),"")</f>
        <v/>
      </c>
      <c r="F162" s="31" t="str">
        <f aca="false">IFERROR(IF(AND(B162="",ISNUMBER($C$108),ISNUMBER($G$108)),$C$108*(1+$G$108*0.85^MAX(0,($A162-$E$108)/91.25))^(($A162-$E$108)/365.25),""),"")</f>
        <v/>
      </c>
    </row>
    <row r="163" customFormat="false" ht="15" hidden="false" customHeight="false" outlineLevel="0" collapsed="false">
      <c r="A163" s="15" t="n">
        <v>44197</v>
      </c>
      <c r="B163" s="20" t="str">
        <f aca="true">IFERROR(IF(AVERAGEIFS(INDIRECT(Index!$M$6),INDIRECT(Index!$L$6),"&gt;="&amp;$A163,INDIRECT(Index!$L$6),"&lt;"&amp;EDATE($A163,3))=0,"",AVERAGEIFS(INDIRECT(Index!$M$6),INDIRECT(Index!$L$6),"&gt;="&amp;$A163,INDIRECT(Index!$L$6),"&lt;"&amp;EDATE($A163,3))),"")</f>
        <v/>
      </c>
      <c r="C163" s="33" t="str">
        <f aca="false">IFERROR(B163/B162-1,"")</f>
        <v/>
      </c>
      <c r="D163" s="33" t="str">
        <f aca="false">IFERROR(B163/B159-1,"")</f>
        <v/>
      </c>
      <c r="E163" s="25" t="str">
        <f aca="false">IFERROR(IF(AND(B163="",ISNUMBER($C$108),ISNUMBER($G$108)),$C$108*(1+$G$108)^(($A163-$E$108)/365.25),""),"")</f>
        <v/>
      </c>
      <c r="F163" s="25" t="str">
        <f aca="false">IFERROR(IF(AND(B163="",ISNUMBER($C$108),ISNUMBER($G$108)),$C$108*(1+$G$108*0.85^MAX(0,($A163-$E$108)/91.25))^(($A163-$E$108)/365.25),""),"")</f>
        <v/>
      </c>
    </row>
    <row r="164" customFormat="false" ht="15" hidden="false" customHeight="false" outlineLevel="0" collapsed="false">
      <c r="A164" s="27" t="n">
        <v>44287</v>
      </c>
      <c r="B164" s="28" t="str">
        <f aca="true">IFERROR(IF(AVERAGEIFS(INDIRECT(Index!$M$6),INDIRECT(Index!$L$6),"&gt;="&amp;$A164,INDIRECT(Index!$L$6),"&lt;"&amp;EDATE($A164,3))=0,"",AVERAGEIFS(INDIRECT(Index!$M$6),INDIRECT(Index!$L$6),"&gt;="&amp;$A164,INDIRECT(Index!$L$6),"&lt;"&amp;EDATE($A164,3))),"")</f>
        <v/>
      </c>
      <c r="C164" s="29" t="str">
        <f aca="false">IFERROR(B164/B163-1,"")</f>
        <v/>
      </c>
      <c r="D164" s="29" t="str">
        <f aca="false">IFERROR(B164/B160-1,"")</f>
        <v/>
      </c>
      <c r="E164" s="31" t="str">
        <f aca="false">IFERROR(IF(AND(B164="",ISNUMBER($C$108),ISNUMBER($G$108)),$C$108*(1+$G$108)^(($A164-$E$108)/365.25),""),"")</f>
        <v/>
      </c>
      <c r="F164" s="31" t="str">
        <f aca="false">IFERROR(IF(AND(B164="",ISNUMBER($C$108),ISNUMBER($G$108)),$C$108*(1+$G$108*0.85^MAX(0,($A164-$E$108)/91.25))^(($A164-$E$108)/365.25),""),"")</f>
        <v/>
      </c>
    </row>
    <row r="165" customFormat="false" ht="15" hidden="false" customHeight="false" outlineLevel="0" collapsed="false">
      <c r="A165" s="15" t="n">
        <v>44378</v>
      </c>
      <c r="B165" s="20" t="str">
        <f aca="true">IFERROR(IF(AVERAGEIFS(INDIRECT(Index!$M$6),INDIRECT(Index!$L$6),"&gt;="&amp;$A165,INDIRECT(Index!$L$6),"&lt;"&amp;EDATE($A165,3))=0,"",AVERAGEIFS(INDIRECT(Index!$M$6),INDIRECT(Index!$L$6),"&gt;="&amp;$A165,INDIRECT(Index!$L$6),"&lt;"&amp;EDATE($A165,3))),"")</f>
        <v/>
      </c>
      <c r="C165" s="33" t="str">
        <f aca="false">IFERROR(B165/B164-1,"")</f>
        <v/>
      </c>
      <c r="D165" s="33" t="str">
        <f aca="false">IFERROR(B165/B161-1,"")</f>
        <v/>
      </c>
      <c r="E165" s="25" t="str">
        <f aca="false">IFERROR(IF(AND(B165="",ISNUMBER($C$108),ISNUMBER($G$108)),$C$108*(1+$G$108)^(($A165-$E$108)/365.25),""),"")</f>
        <v/>
      </c>
      <c r="F165" s="25" t="str">
        <f aca="false">IFERROR(IF(AND(B165="",ISNUMBER($C$108),ISNUMBER($G$108)),$C$108*(1+$G$108*0.85^MAX(0,($A165-$E$108)/91.25))^(($A165-$E$108)/365.25),""),"")</f>
        <v/>
      </c>
    </row>
    <row r="166" customFormat="false" ht="15" hidden="false" customHeight="false" outlineLevel="0" collapsed="false">
      <c r="A166" s="27" t="n">
        <v>44470</v>
      </c>
      <c r="B166" s="28" t="str">
        <f aca="true">IFERROR(IF(AVERAGEIFS(INDIRECT(Index!$M$6),INDIRECT(Index!$L$6),"&gt;="&amp;$A166,INDIRECT(Index!$L$6),"&lt;"&amp;EDATE($A166,3))=0,"",AVERAGEIFS(INDIRECT(Index!$M$6),INDIRECT(Index!$L$6),"&gt;="&amp;$A166,INDIRECT(Index!$L$6),"&lt;"&amp;EDATE($A166,3))),"")</f>
        <v/>
      </c>
      <c r="C166" s="29" t="str">
        <f aca="false">IFERROR(B166/B165-1,"")</f>
        <v/>
      </c>
      <c r="D166" s="29" t="str">
        <f aca="false">IFERROR(B166/B162-1,"")</f>
        <v/>
      </c>
      <c r="E166" s="31" t="str">
        <f aca="false">IFERROR(IF(AND(B166="",ISNUMBER($C$108),ISNUMBER($G$108)),$C$108*(1+$G$108)^(($A166-$E$108)/365.25),""),"")</f>
        <v/>
      </c>
      <c r="F166" s="31" t="str">
        <f aca="false">IFERROR(IF(AND(B166="",ISNUMBER($C$108),ISNUMBER($G$108)),$C$108*(1+$G$108*0.85^MAX(0,($A166-$E$108)/91.25))^(($A166-$E$108)/365.25),""),"")</f>
        <v/>
      </c>
    </row>
    <row r="167" customFormat="false" ht="15" hidden="false" customHeight="false" outlineLevel="0" collapsed="false">
      <c r="A167" s="15" t="n">
        <v>44562</v>
      </c>
      <c r="B167" s="20" t="str">
        <f aca="true">IFERROR(IF(AVERAGEIFS(INDIRECT(Index!$M$6),INDIRECT(Index!$L$6),"&gt;="&amp;$A167,INDIRECT(Index!$L$6),"&lt;"&amp;EDATE($A167,3))=0,"",AVERAGEIFS(INDIRECT(Index!$M$6),INDIRECT(Index!$L$6),"&gt;="&amp;$A167,INDIRECT(Index!$L$6),"&lt;"&amp;EDATE($A167,3))),"")</f>
        <v/>
      </c>
      <c r="C167" s="33" t="str">
        <f aca="false">IFERROR(B167/B166-1,"")</f>
        <v/>
      </c>
      <c r="D167" s="33" t="str">
        <f aca="false">IFERROR(B167/B163-1,"")</f>
        <v/>
      </c>
      <c r="E167" s="25" t="str">
        <f aca="false">IFERROR(IF(AND(B167="",ISNUMBER($C$108),ISNUMBER($G$108)),$C$108*(1+$G$108)^(($A167-$E$108)/365.25),""),"")</f>
        <v/>
      </c>
      <c r="F167" s="25" t="str">
        <f aca="false">IFERROR(IF(AND(B167="",ISNUMBER($C$108),ISNUMBER($G$108)),$C$108*(1+$G$108*0.85^MAX(0,($A167-$E$108)/91.25))^(($A167-$E$108)/365.25),""),"")</f>
        <v/>
      </c>
    </row>
    <row r="168" customFormat="false" ht="15" hidden="false" customHeight="false" outlineLevel="0" collapsed="false">
      <c r="A168" s="27" t="n">
        <v>44652</v>
      </c>
      <c r="B168" s="28" t="str">
        <f aca="true">IFERROR(IF(AVERAGEIFS(INDIRECT(Index!$M$6),INDIRECT(Index!$L$6),"&gt;="&amp;$A168,INDIRECT(Index!$L$6),"&lt;"&amp;EDATE($A168,3))=0,"",AVERAGEIFS(INDIRECT(Index!$M$6),INDIRECT(Index!$L$6),"&gt;="&amp;$A168,INDIRECT(Index!$L$6),"&lt;"&amp;EDATE($A168,3))),"")</f>
        <v/>
      </c>
      <c r="C168" s="29" t="str">
        <f aca="false">IFERROR(B168/B167-1,"")</f>
        <v/>
      </c>
      <c r="D168" s="29" t="str">
        <f aca="false">IFERROR(B168/B164-1,"")</f>
        <v/>
      </c>
      <c r="E168" s="31" t="str">
        <f aca="false">IFERROR(IF(AND(B168="",ISNUMBER($C$108),ISNUMBER($G$108)),$C$108*(1+$G$108)^(($A168-$E$108)/365.25),""),"")</f>
        <v/>
      </c>
      <c r="F168" s="31" t="str">
        <f aca="false">IFERROR(IF(AND(B168="",ISNUMBER($C$108),ISNUMBER($G$108)),$C$108*(1+$G$108*0.85^MAX(0,($A168-$E$108)/91.25))^(($A168-$E$108)/365.25),""),"")</f>
        <v/>
      </c>
    </row>
    <row r="169" customFormat="false" ht="15" hidden="false" customHeight="false" outlineLevel="0" collapsed="false">
      <c r="A169" s="15" t="n">
        <v>44743</v>
      </c>
      <c r="B169" s="20" t="str">
        <f aca="true">IFERROR(IF(AVERAGEIFS(INDIRECT(Index!$M$6),INDIRECT(Index!$L$6),"&gt;="&amp;$A169,INDIRECT(Index!$L$6),"&lt;"&amp;EDATE($A169,3))=0,"",AVERAGEIFS(INDIRECT(Index!$M$6),INDIRECT(Index!$L$6),"&gt;="&amp;$A169,INDIRECT(Index!$L$6),"&lt;"&amp;EDATE($A169,3))),"")</f>
        <v/>
      </c>
      <c r="C169" s="33" t="str">
        <f aca="false">IFERROR(B169/B168-1,"")</f>
        <v/>
      </c>
      <c r="D169" s="33" t="str">
        <f aca="false">IFERROR(B169/B165-1,"")</f>
        <v/>
      </c>
      <c r="E169" s="25" t="str">
        <f aca="false">IFERROR(IF(AND(B169="",ISNUMBER($C$108),ISNUMBER($G$108)),$C$108*(1+$G$108)^(($A169-$E$108)/365.25),""),"")</f>
        <v/>
      </c>
      <c r="F169" s="25" t="str">
        <f aca="false">IFERROR(IF(AND(B169="",ISNUMBER($C$108),ISNUMBER($G$108)),$C$108*(1+$G$108*0.85^MAX(0,($A169-$E$108)/91.25))^(($A169-$E$108)/365.25),""),"")</f>
        <v/>
      </c>
    </row>
    <row r="170" customFormat="false" ht="15" hidden="false" customHeight="false" outlineLevel="0" collapsed="false">
      <c r="A170" s="27" t="n">
        <v>44835</v>
      </c>
      <c r="B170" s="28" t="str">
        <f aca="true">IFERROR(IF(AVERAGEIFS(INDIRECT(Index!$M$6),INDIRECT(Index!$L$6),"&gt;="&amp;$A170,INDIRECT(Index!$L$6),"&lt;"&amp;EDATE($A170,3))=0,"",AVERAGEIFS(INDIRECT(Index!$M$6),INDIRECT(Index!$L$6),"&gt;="&amp;$A170,INDIRECT(Index!$L$6),"&lt;"&amp;EDATE($A170,3))),"")</f>
        <v/>
      </c>
      <c r="C170" s="29" t="str">
        <f aca="false">IFERROR(B170/B169-1,"")</f>
        <v/>
      </c>
      <c r="D170" s="29" t="str">
        <f aca="false">IFERROR(B170/B166-1,"")</f>
        <v/>
      </c>
      <c r="E170" s="31" t="str">
        <f aca="false">IFERROR(IF(AND(B170="",ISNUMBER($C$108),ISNUMBER($G$108)),$C$108*(1+$G$108)^(($A170-$E$108)/365.25),""),"")</f>
        <v/>
      </c>
      <c r="F170" s="31" t="str">
        <f aca="false">IFERROR(IF(AND(B170="",ISNUMBER($C$108),ISNUMBER($G$108)),$C$108*(1+$G$108*0.85^MAX(0,($A170-$E$108)/91.25))^(($A170-$E$108)/365.25),""),"")</f>
        <v/>
      </c>
    </row>
    <row r="171" customFormat="false" ht="15" hidden="false" customHeight="false" outlineLevel="0" collapsed="false">
      <c r="A171" s="15" t="n">
        <v>44927</v>
      </c>
      <c r="B171" s="20" t="str">
        <f aca="true">IFERROR(IF(AVERAGEIFS(INDIRECT(Index!$M$6),INDIRECT(Index!$L$6),"&gt;="&amp;$A171,INDIRECT(Index!$L$6),"&lt;"&amp;EDATE($A171,3))=0,"",AVERAGEIFS(INDIRECT(Index!$M$6),INDIRECT(Index!$L$6),"&gt;="&amp;$A171,INDIRECT(Index!$L$6),"&lt;"&amp;EDATE($A171,3))),"")</f>
        <v/>
      </c>
      <c r="C171" s="33" t="str">
        <f aca="false">IFERROR(B171/B170-1,"")</f>
        <v/>
      </c>
      <c r="D171" s="33" t="str">
        <f aca="false">IFERROR(B171/B167-1,"")</f>
        <v/>
      </c>
      <c r="E171" s="25" t="str">
        <f aca="false">IFERROR(IF(AND(B171="",ISNUMBER($C$108),ISNUMBER($G$108)),$C$108*(1+$G$108)^(($A171-$E$108)/365.25),""),"")</f>
        <v/>
      </c>
      <c r="F171" s="25" t="str">
        <f aca="false">IFERROR(IF(AND(B171="",ISNUMBER($C$108),ISNUMBER($G$108)),$C$108*(1+$G$108*0.85^MAX(0,($A171-$E$108)/91.25))^(($A171-$E$108)/365.25),""),"")</f>
        <v/>
      </c>
    </row>
    <row r="172" customFormat="false" ht="15" hidden="false" customHeight="false" outlineLevel="0" collapsed="false">
      <c r="A172" s="27" t="n">
        <v>45017</v>
      </c>
      <c r="B172" s="28" t="str">
        <f aca="true">IFERROR(IF(AVERAGEIFS(INDIRECT(Index!$M$6),INDIRECT(Index!$L$6),"&gt;="&amp;$A172,INDIRECT(Index!$L$6),"&lt;"&amp;EDATE($A172,3))=0,"",AVERAGEIFS(INDIRECT(Index!$M$6),INDIRECT(Index!$L$6),"&gt;="&amp;$A172,INDIRECT(Index!$L$6),"&lt;"&amp;EDATE($A172,3))),"")</f>
        <v/>
      </c>
      <c r="C172" s="29" t="str">
        <f aca="false">IFERROR(B172/B171-1,"")</f>
        <v/>
      </c>
      <c r="D172" s="29" t="str">
        <f aca="false">IFERROR(B172/B168-1,"")</f>
        <v/>
      </c>
      <c r="E172" s="31" t="str">
        <f aca="false">IFERROR(IF(AND(B172="",ISNUMBER($C$108),ISNUMBER($G$108)),$C$108*(1+$G$108)^(($A172-$E$108)/365.25),""),"")</f>
        <v/>
      </c>
      <c r="F172" s="31" t="str">
        <f aca="false">IFERROR(IF(AND(B172="",ISNUMBER($C$108),ISNUMBER($G$108)),$C$108*(1+$G$108*0.85^MAX(0,($A172-$E$108)/91.25))^(($A172-$E$108)/365.25),""),"")</f>
        <v/>
      </c>
    </row>
    <row r="173" customFormat="false" ht="15" hidden="false" customHeight="false" outlineLevel="0" collapsed="false">
      <c r="A173" s="15" t="n">
        <v>45108</v>
      </c>
      <c r="B173" s="20" t="str">
        <f aca="true">IFERROR(IF(AVERAGEIFS(INDIRECT(Index!$M$6),INDIRECT(Index!$L$6),"&gt;="&amp;$A173,INDIRECT(Index!$L$6),"&lt;"&amp;EDATE($A173,3))=0,"",AVERAGEIFS(INDIRECT(Index!$M$6),INDIRECT(Index!$L$6),"&gt;="&amp;$A173,INDIRECT(Index!$L$6),"&lt;"&amp;EDATE($A173,3))),"")</f>
        <v/>
      </c>
      <c r="C173" s="33" t="str">
        <f aca="false">IFERROR(B173/B172-1,"")</f>
        <v/>
      </c>
      <c r="D173" s="33" t="str">
        <f aca="false">IFERROR(B173/B169-1,"")</f>
        <v/>
      </c>
      <c r="E173" s="25" t="str">
        <f aca="false">IFERROR(IF(AND(B173="",ISNUMBER($C$108),ISNUMBER($G$108)),$C$108*(1+$G$108)^(($A173-$E$108)/365.25),""),"")</f>
        <v/>
      </c>
      <c r="F173" s="25" t="str">
        <f aca="false">IFERROR(IF(AND(B173="",ISNUMBER($C$108),ISNUMBER($G$108)),$C$108*(1+$G$108*0.85^MAX(0,($A173-$E$108)/91.25))^(($A173-$E$108)/365.25),""),"")</f>
        <v/>
      </c>
    </row>
    <row r="174" customFormat="false" ht="15" hidden="false" customHeight="false" outlineLevel="0" collapsed="false">
      <c r="A174" s="27" t="n">
        <v>45200</v>
      </c>
      <c r="B174" s="28" t="str">
        <f aca="true">IFERROR(IF(AVERAGEIFS(INDIRECT(Index!$M$6),INDIRECT(Index!$L$6),"&gt;="&amp;$A174,INDIRECT(Index!$L$6),"&lt;"&amp;EDATE($A174,3))=0,"",AVERAGEIFS(INDIRECT(Index!$M$6),INDIRECT(Index!$L$6),"&gt;="&amp;$A174,INDIRECT(Index!$L$6),"&lt;"&amp;EDATE($A174,3))),"")</f>
        <v/>
      </c>
      <c r="C174" s="29" t="str">
        <f aca="false">IFERROR(B174/B173-1,"")</f>
        <v/>
      </c>
      <c r="D174" s="29" t="str">
        <f aca="false">IFERROR(B174/B170-1,"")</f>
        <v/>
      </c>
      <c r="E174" s="31" t="str">
        <f aca="false">IFERROR(IF(AND(B174="",ISNUMBER($C$108),ISNUMBER($G$108)),$C$108*(1+$G$108)^(($A174-$E$108)/365.25),""),"")</f>
        <v/>
      </c>
      <c r="F174" s="31" t="str">
        <f aca="false">IFERROR(IF(AND(B174="",ISNUMBER($C$108),ISNUMBER($G$108)),$C$108*(1+$G$108*0.85^MAX(0,($A174-$E$108)/91.25))^(($A174-$E$108)/365.25),""),"")</f>
        <v/>
      </c>
    </row>
    <row r="175" customFormat="false" ht="15" hidden="false" customHeight="false" outlineLevel="0" collapsed="false">
      <c r="A175" s="15" t="n">
        <v>45292</v>
      </c>
      <c r="B175" s="20" t="str">
        <f aca="true">IFERROR(IF(AVERAGEIFS(INDIRECT(Index!$M$6),INDIRECT(Index!$L$6),"&gt;="&amp;$A175,INDIRECT(Index!$L$6),"&lt;"&amp;EDATE($A175,3))=0,"",AVERAGEIFS(INDIRECT(Index!$M$6),INDIRECT(Index!$L$6),"&gt;="&amp;$A175,INDIRECT(Index!$L$6),"&lt;"&amp;EDATE($A175,3))),"")</f>
        <v/>
      </c>
      <c r="C175" s="33" t="str">
        <f aca="false">IFERROR(B175/B174-1,"")</f>
        <v/>
      </c>
      <c r="D175" s="33" t="str">
        <f aca="false">IFERROR(B175/B171-1,"")</f>
        <v/>
      </c>
      <c r="E175" s="25" t="str">
        <f aca="false">IFERROR(IF(AND(B175="",ISNUMBER($C$108),ISNUMBER($G$108)),$C$108*(1+$G$108)^(($A175-$E$108)/365.25),""),"")</f>
        <v/>
      </c>
      <c r="F175" s="25" t="str">
        <f aca="false">IFERROR(IF(AND(B175="",ISNUMBER($C$108),ISNUMBER($G$108)),$C$108*(1+$G$108*0.85^MAX(0,($A175-$E$108)/91.25))^(($A175-$E$108)/365.25),""),"")</f>
        <v/>
      </c>
    </row>
    <row r="176" customFormat="false" ht="15" hidden="false" customHeight="false" outlineLevel="0" collapsed="false">
      <c r="A176" s="27" t="n">
        <v>45383</v>
      </c>
      <c r="B176" s="28" t="str">
        <f aca="true">IFERROR(IF(AVERAGEIFS(INDIRECT(Index!$M$6),INDIRECT(Index!$L$6),"&gt;="&amp;$A176,INDIRECT(Index!$L$6),"&lt;"&amp;EDATE($A176,3))=0,"",AVERAGEIFS(INDIRECT(Index!$M$6),INDIRECT(Index!$L$6),"&gt;="&amp;$A176,INDIRECT(Index!$L$6),"&lt;"&amp;EDATE($A176,3))),"")</f>
        <v/>
      </c>
      <c r="C176" s="29" t="str">
        <f aca="false">IFERROR(B176/B175-1,"")</f>
        <v/>
      </c>
      <c r="D176" s="29" t="str">
        <f aca="false">IFERROR(B176/B172-1,"")</f>
        <v/>
      </c>
      <c r="E176" s="31" t="str">
        <f aca="false">IFERROR(IF(AND(B176="",ISNUMBER($C$108),ISNUMBER($G$108)),$C$108*(1+$G$108)^(($A176-$E$108)/365.25),""),"")</f>
        <v/>
      </c>
      <c r="F176" s="31" t="str">
        <f aca="false">IFERROR(IF(AND(B176="",ISNUMBER($C$108),ISNUMBER($G$108)),$C$108*(1+$G$108*0.85^MAX(0,($A176-$E$108)/91.25))^(($A176-$E$108)/365.25),""),"")</f>
        <v/>
      </c>
    </row>
    <row r="177" customFormat="false" ht="15" hidden="false" customHeight="false" outlineLevel="0" collapsed="false">
      <c r="A177" s="15" t="n">
        <v>45474</v>
      </c>
      <c r="B177" s="20" t="str">
        <f aca="true">IFERROR(IF(AVERAGEIFS(INDIRECT(Index!$M$6),INDIRECT(Index!$L$6),"&gt;="&amp;$A177,INDIRECT(Index!$L$6),"&lt;"&amp;EDATE($A177,3))=0,"",AVERAGEIFS(INDIRECT(Index!$M$6),INDIRECT(Index!$L$6),"&gt;="&amp;$A177,INDIRECT(Index!$L$6),"&lt;"&amp;EDATE($A177,3))),"")</f>
        <v/>
      </c>
      <c r="C177" s="33" t="str">
        <f aca="false">IFERROR(B177/B176-1,"")</f>
        <v/>
      </c>
      <c r="D177" s="33" t="str">
        <f aca="false">IFERROR(B177/B173-1,"")</f>
        <v/>
      </c>
      <c r="E177" s="25" t="str">
        <f aca="false">IFERROR(IF(AND(B177="",ISNUMBER($C$108),ISNUMBER($G$108)),$C$108*(1+$G$108)^(($A177-$E$108)/365.25),""),"")</f>
        <v/>
      </c>
      <c r="F177" s="25" t="str">
        <f aca="false">IFERROR(IF(AND(B177="",ISNUMBER($C$108),ISNUMBER($G$108)),$C$108*(1+$G$108*0.85^MAX(0,($A177-$E$108)/91.25))^(($A177-$E$108)/365.25),""),"")</f>
        <v/>
      </c>
    </row>
    <row r="178" customFormat="false" ht="15" hidden="false" customHeight="false" outlineLevel="0" collapsed="false">
      <c r="A178" s="27" t="n">
        <v>45566</v>
      </c>
      <c r="B178" s="28" t="str">
        <f aca="true">IFERROR(IF(AVERAGEIFS(INDIRECT(Index!$M$6),INDIRECT(Index!$L$6),"&gt;="&amp;$A178,INDIRECT(Index!$L$6),"&lt;"&amp;EDATE($A178,3))=0,"",AVERAGEIFS(INDIRECT(Index!$M$6),INDIRECT(Index!$L$6),"&gt;="&amp;$A178,INDIRECT(Index!$L$6),"&lt;"&amp;EDATE($A178,3))),"")</f>
        <v/>
      </c>
      <c r="C178" s="29" t="str">
        <f aca="false">IFERROR(B178/B177-1,"")</f>
        <v/>
      </c>
      <c r="D178" s="29" t="str">
        <f aca="false">IFERROR(B178/B174-1,"")</f>
        <v/>
      </c>
      <c r="E178" s="31" t="str">
        <f aca="false">IFERROR(IF(AND(B178="",ISNUMBER($C$108),ISNUMBER($G$108)),$C$108*(1+$G$108)^(($A178-$E$108)/365.25),""),"")</f>
        <v/>
      </c>
      <c r="F178" s="31" t="str">
        <f aca="false">IFERROR(IF(AND(B178="",ISNUMBER($C$108),ISNUMBER($G$108)),$C$108*(1+$G$108*0.85^MAX(0,($A178-$E$108)/91.25))^(($A178-$E$108)/365.25),""),"")</f>
        <v/>
      </c>
    </row>
    <row r="179" customFormat="false" ht="15" hidden="false" customHeight="false" outlineLevel="0" collapsed="false">
      <c r="A179" s="15" t="n">
        <v>45658</v>
      </c>
      <c r="B179" s="20" t="str">
        <f aca="true">IFERROR(IF(AVERAGEIFS(INDIRECT(Index!$M$6),INDIRECT(Index!$L$6),"&gt;="&amp;$A179,INDIRECT(Index!$L$6),"&lt;"&amp;EDATE($A179,3))=0,"",AVERAGEIFS(INDIRECT(Index!$M$6),INDIRECT(Index!$L$6),"&gt;="&amp;$A179,INDIRECT(Index!$L$6),"&lt;"&amp;EDATE($A179,3))),"")</f>
        <v/>
      </c>
      <c r="C179" s="33" t="str">
        <f aca="false">IFERROR(B179/B178-1,"")</f>
        <v/>
      </c>
      <c r="D179" s="33" t="str">
        <f aca="false">IFERROR(B179/B175-1,"")</f>
        <v/>
      </c>
      <c r="E179" s="25" t="str">
        <f aca="false">IFERROR(IF(AND(B179="",ISNUMBER($C$108),ISNUMBER($G$108)),$C$108*(1+$G$108)^(($A179-$E$108)/365.25),""),"")</f>
        <v/>
      </c>
      <c r="F179" s="25" t="str">
        <f aca="false">IFERROR(IF(AND(B179="",ISNUMBER($C$108),ISNUMBER($G$108)),$C$108*(1+$G$108*0.85^MAX(0,($A179-$E$108)/91.25))^(($A179-$E$108)/365.25),""),"")</f>
        <v/>
      </c>
    </row>
    <row r="180" customFormat="false" ht="15" hidden="false" customHeight="false" outlineLevel="0" collapsed="false">
      <c r="A180" s="27" t="n">
        <v>45748</v>
      </c>
      <c r="B180" s="28" t="str">
        <f aca="true">IFERROR(IF(AVERAGEIFS(INDIRECT(Index!$M$6),INDIRECT(Index!$L$6),"&gt;="&amp;$A180,INDIRECT(Index!$L$6),"&lt;"&amp;EDATE($A180,3))=0,"",AVERAGEIFS(INDIRECT(Index!$M$6),INDIRECT(Index!$L$6),"&gt;="&amp;$A180,INDIRECT(Index!$L$6),"&lt;"&amp;EDATE($A180,3))),"")</f>
        <v/>
      </c>
      <c r="C180" s="29" t="str">
        <f aca="false">IFERROR(B180/B179-1,"")</f>
        <v/>
      </c>
      <c r="D180" s="29" t="str">
        <f aca="false">IFERROR(B180/B176-1,"")</f>
        <v/>
      </c>
      <c r="E180" s="31" t="str">
        <f aca="false">IFERROR(IF(AND(B180="",ISNUMBER($C$108),ISNUMBER($G$108)),$C$108*(1+$G$108)^(($A180-$E$108)/365.25),""),"")</f>
        <v/>
      </c>
      <c r="F180" s="31" t="str">
        <f aca="false">IFERROR(IF(AND(B180="",ISNUMBER($C$108),ISNUMBER($G$108)),$C$108*(1+$G$108*0.85^MAX(0,($A180-$E$108)/91.25))^(($A180-$E$108)/365.25),""),"")</f>
        <v/>
      </c>
    </row>
    <row r="181" customFormat="false" ht="15" hidden="false" customHeight="false" outlineLevel="0" collapsed="false">
      <c r="A181" s="15" t="n">
        <v>45839</v>
      </c>
      <c r="B181" s="20" t="str">
        <f aca="true">IFERROR(IF(AVERAGEIFS(INDIRECT(Index!$M$6),INDIRECT(Index!$L$6),"&gt;="&amp;$A181,INDIRECT(Index!$L$6),"&lt;"&amp;EDATE($A181,3))=0,"",AVERAGEIFS(INDIRECT(Index!$M$6),INDIRECT(Index!$L$6),"&gt;="&amp;$A181,INDIRECT(Index!$L$6),"&lt;"&amp;EDATE($A181,3))),"")</f>
        <v/>
      </c>
      <c r="C181" s="33" t="str">
        <f aca="false">IFERROR(B181/B180-1,"")</f>
        <v/>
      </c>
      <c r="D181" s="33" t="str">
        <f aca="false">IFERROR(B181/B177-1,"")</f>
        <v/>
      </c>
      <c r="E181" s="25" t="str">
        <f aca="false">IFERROR(IF(AND(B181="",ISNUMBER($C$108),ISNUMBER($G$108)),$C$108*(1+$G$108)^(($A181-$E$108)/365.25),""),"")</f>
        <v/>
      </c>
      <c r="F181" s="25" t="str">
        <f aca="false">IFERROR(IF(AND(B181="",ISNUMBER($C$108),ISNUMBER($G$108)),$C$108*(1+$G$108*0.85^MAX(0,($A181-$E$108)/91.25))^(($A181-$E$108)/365.25),""),"")</f>
        <v/>
      </c>
    </row>
    <row r="182" customFormat="false" ht="15" hidden="false" customHeight="false" outlineLevel="0" collapsed="false">
      <c r="A182" s="27" t="n">
        <v>45931</v>
      </c>
      <c r="B182" s="28" t="str">
        <f aca="true">IFERROR(IF(AVERAGEIFS(INDIRECT(Index!$M$6),INDIRECT(Index!$L$6),"&gt;="&amp;$A182,INDIRECT(Index!$L$6),"&lt;"&amp;EDATE($A182,3))=0,"",AVERAGEIFS(INDIRECT(Index!$M$6),INDIRECT(Index!$L$6),"&gt;="&amp;$A182,INDIRECT(Index!$L$6),"&lt;"&amp;EDATE($A182,3))),"")</f>
        <v/>
      </c>
      <c r="C182" s="29" t="str">
        <f aca="false">IFERROR(B182/B181-1,"")</f>
        <v/>
      </c>
      <c r="D182" s="29" t="str">
        <f aca="false">IFERROR(B182/B178-1,"")</f>
        <v/>
      </c>
      <c r="E182" s="31" t="str">
        <f aca="false">IFERROR(IF(AND(B182="",ISNUMBER($C$108),ISNUMBER($G$108)),$C$108*(1+$G$108)^(($A182-$E$108)/365.25),""),"")</f>
        <v/>
      </c>
      <c r="F182" s="31" t="str">
        <f aca="false">IFERROR(IF(AND(B182="",ISNUMBER($C$108),ISNUMBER($G$108)),$C$108*(1+$G$108*0.85^MAX(0,($A182-$E$108)/91.25))^(($A182-$E$108)/365.25),""),"")</f>
        <v/>
      </c>
    </row>
    <row r="183" customFormat="false" ht="15" hidden="false" customHeight="false" outlineLevel="0" collapsed="false">
      <c r="A183" s="15" t="n">
        <v>46023</v>
      </c>
      <c r="B183" s="20" t="str">
        <f aca="true">IFERROR(IF(AVERAGEIFS(INDIRECT(Index!$M$6),INDIRECT(Index!$L$6),"&gt;="&amp;$A183,INDIRECT(Index!$L$6),"&lt;"&amp;EDATE($A183,3))=0,"",AVERAGEIFS(INDIRECT(Index!$M$6),INDIRECT(Index!$L$6),"&gt;="&amp;$A183,INDIRECT(Index!$L$6),"&lt;"&amp;EDATE($A183,3))),"")</f>
        <v/>
      </c>
      <c r="C183" s="33" t="str">
        <f aca="false">IFERROR(B183/B182-1,"")</f>
        <v/>
      </c>
      <c r="D183" s="33" t="str">
        <f aca="false">IFERROR(B183/B179-1,"")</f>
        <v/>
      </c>
      <c r="E183" s="25" t="str">
        <f aca="false">IFERROR(IF(AND(B183="",ISNUMBER($C$108),ISNUMBER($G$108)),$C$108*(1+$G$108)^(($A183-$E$108)/365.25),""),"")</f>
        <v/>
      </c>
      <c r="F183" s="25" t="str">
        <f aca="false">IFERROR(IF(AND(B183="",ISNUMBER($C$108),ISNUMBER($G$108)),$C$108*(1+$G$108*0.85^MAX(0,($A183-$E$108)/91.25))^(($A183-$E$108)/365.25),""),"")</f>
        <v/>
      </c>
    </row>
    <row r="184" customFormat="false" ht="15" hidden="false" customHeight="false" outlineLevel="0" collapsed="false">
      <c r="A184" s="27" t="n">
        <v>46113</v>
      </c>
      <c r="B184" s="28" t="str">
        <f aca="true">IFERROR(IF(AVERAGEIFS(INDIRECT(Index!$M$6),INDIRECT(Index!$L$6),"&gt;="&amp;$A184,INDIRECT(Index!$L$6),"&lt;"&amp;EDATE($A184,3))=0,"",AVERAGEIFS(INDIRECT(Index!$M$6),INDIRECT(Index!$L$6),"&gt;="&amp;$A184,INDIRECT(Index!$L$6),"&lt;"&amp;EDATE($A184,3))),"")</f>
        <v/>
      </c>
      <c r="C184" s="29" t="str">
        <f aca="false">IFERROR(B184/B183-1,"")</f>
        <v/>
      </c>
      <c r="D184" s="29" t="str">
        <f aca="false">IFERROR(B184/B180-1,"")</f>
        <v/>
      </c>
      <c r="E184" s="31" t="str">
        <f aca="false">IFERROR(IF(AND(B184="",ISNUMBER($C$108),ISNUMBER($G$108)),$C$108*(1+$G$108)^(($A184-$E$108)/365.25),""),"")</f>
        <v/>
      </c>
      <c r="F184" s="31" t="str">
        <f aca="false">IFERROR(IF(AND(B184="",ISNUMBER($C$108),ISNUMBER($G$108)),$C$108*(1+$G$108*0.85^MAX(0,($A184-$E$108)/91.25))^(($A184-$E$108)/365.25),""),"")</f>
        <v/>
      </c>
    </row>
    <row r="185" customFormat="false" ht="15" hidden="false" customHeight="false" outlineLevel="0" collapsed="false">
      <c r="A185" s="15" t="n">
        <v>46204</v>
      </c>
      <c r="B185" s="20" t="str">
        <f aca="true">IFERROR(IF(AVERAGEIFS(INDIRECT(Index!$M$6),INDIRECT(Index!$L$6),"&gt;="&amp;$A185,INDIRECT(Index!$L$6),"&lt;"&amp;EDATE($A185,3))=0,"",AVERAGEIFS(INDIRECT(Index!$M$6),INDIRECT(Index!$L$6),"&gt;="&amp;$A185,INDIRECT(Index!$L$6),"&lt;"&amp;EDATE($A185,3))),"")</f>
        <v/>
      </c>
      <c r="C185" s="33" t="str">
        <f aca="false">IFERROR(B185/B184-1,"")</f>
        <v/>
      </c>
      <c r="D185" s="33" t="str">
        <f aca="false">IFERROR(B185/B181-1,"")</f>
        <v/>
      </c>
      <c r="E185" s="25" t="str">
        <f aca="false">IFERROR(IF(AND(B185="",ISNUMBER($C$108),ISNUMBER($G$108)),$C$108*(1+$G$108)^(($A185-$E$108)/365.25),""),"")</f>
        <v/>
      </c>
      <c r="F185" s="25" t="str">
        <f aca="false">IFERROR(IF(AND(B185="",ISNUMBER($C$108),ISNUMBER($G$108)),$C$108*(1+$G$108*0.85^MAX(0,($A185-$E$108)/91.25))^(($A185-$E$108)/365.25),""),"")</f>
        <v/>
      </c>
    </row>
    <row r="186" customFormat="false" ht="15" hidden="false" customHeight="false" outlineLevel="0" collapsed="false">
      <c r="A186" s="27" t="n">
        <v>46296</v>
      </c>
      <c r="B186" s="28" t="str">
        <f aca="true">IFERROR(IF(AVERAGEIFS(INDIRECT(Index!$M$6),INDIRECT(Index!$L$6),"&gt;="&amp;$A186,INDIRECT(Index!$L$6),"&lt;"&amp;EDATE($A186,3))=0,"",AVERAGEIFS(INDIRECT(Index!$M$6),INDIRECT(Index!$L$6),"&gt;="&amp;$A186,INDIRECT(Index!$L$6),"&lt;"&amp;EDATE($A186,3))),"")</f>
        <v/>
      </c>
      <c r="C186" s="29" t="str">
        <f aca="false">IFERROR(B186/B185-1,"")</f>
        <v/>
      </c>
      <c r="D186" s="29" t="str">
        <f aca="false">IFERROR(B186/B182-1,"")</f>
        <v/>
      </c>
      <c r="E186" s="31" t="str">
        <f aca="false">IFERROR(IF(AND(B186="",ISNUMBER($C$108),ISNUMBER($G$108)),$C$108*(1+$G$108)^(($A186-$E$108)/365.25),""),"")</f>
        <v/>
      </c>
      <c r="F186" s="31" t="str">
        <f aca="false">IFERROR(IF(AND(B186="",ISNUMBER($C$108),ISNUMBER($G$108)),$C$108*(1+$G$108*0.85^MAX(0,($A186-$E$108)/91.25))^(($A186-$E$108)/365.25),""),"")</f>
        <v/>
      </c>
    </row>
    <row r="187" customFormat="false" ht="15" hidden="false" customHeight="false" outlineLevel="0" collapsed="false">
      <c r="A187" s="15" t="n">
        <v>46388</v>
      </c>
      <c r="B187" s="20" t="str">
        <f aca="true">IFERROR(IF(AVERAGEIFS(INDIRECT(Index!$M$6),INDIRECT(Index!$L$6),"&gt;="&amp;$A187,INDIRECT(Index!$L$6),"&lt;"&amp;EDATE($A187,3))=0,"",AVERAGEIFS(INDIRECT(Index!$M$6),INDIRECT(Index!$L$6),"&gt;="&amp;$A187,INDIRECT(Index!$L$6),"&lt;"&amp;EDATE($A187,3))),"")</f>
        <v/>
      </c>
      <c r="C187" s="33" t="str">
        <f aca="false">IFERROR(B187/B186-1,"")</f>
        <v/>
      </c>
      <c r="D187" s="33" t="str">
        <f aca="false">IFERROR(B187/B183-1,"")</f>
        <v/>
      </c>
      <c r="E187" s="25" t="str">
        <f aca="false">IFERROR(IF(AND(B187="",ISNUMBER($C$108),ISNUMBER($G$108)),$C$108*(1+$G$108)^(($A187-$E$108)/365.25),""),"")</f>
        <v/>
      </c>
      <c r="F187" s="25" t="str">
        <f aca="false">IFERROR(IF(AND(B187="",ISNUMBER($C$108),ISNUMBER($G$108)),$C$108*(1+$G$108*0.85^MAX(0,($A187-$E$108)/91.25))^(($A187-$E$108)/365.25),""),"")</f>
        <v/>
      </c>
    </row>
    <row r="188" customFormat="false" ht="15" hidden="false" customHeight="false" outlineLevel="0" collapsed="false">
      <c r="A188" s="27" t="n">
        <v>46478</v>
      </c>
      <c r="B188" s="28" t="str">
        <f aca="true">IFERROR(IF(AVERAGEIFS(INDIRECT(Index!$M$6),INDIRECT(Index!$L$6),"&gt;="&amp;$A188,INDIRECT(Index!$L$6),"&lt;"&amp;EDATE($A188,3))=0,"",AVERAGEIFS(INDIRECT(Index!$M$6),INDIRECT(Index!$L$6),"&gt;="&amp;$A188,INDIRECT(Index!$L$6),"&lt;"&amp;EDATE($A188,3))),"")</f>
        <v/>
      </c>
      <c r="C188" s="29" t="str">
        <f aca="false">IFERROR(B188/B187-1,"")</f>
        <v/>
      </c>
      <c r="D188" s="29" t="str">
        <f aca="false">IFERROR(B188/B184-1,"")</f>
        <v/>
      </c>
      <c r="E188" s="31" t="str">
        <f aca="false">IFERROR(IF(AND(B188="",ISNUMBER($C$108),ISNUMBER($G$108)),$C$108*(1+$G$108)^(($A188-$E$108)/365.25),""),"")</f>
        <v/>
      </c>
      <c r="F188" s="31" t="str">
        <f aca="false">IFERROR(IF(AND(B188="",ISNUMBER($C$108),ISNUMBER($G$108)),$C$108*(1+$G$108*0.85^MAX(0,($A188-$E$108)/91.25))^(($A188-$E$108)/365.25),""),"")</f>
        <v/>
      </c>
    </row>
    <row r="189" customFormat="false" ht="15" hidden="false" customHeight="false" outlineLevel="0" collapsed="false">
      <c r="A189" s="15" t="n">
        <v>46569</v>
      </c>
      <c r="B189" s="20" t="str">
        <f aca="true">IFERROR(IF(AVERAGEIFS(INDIRECT(Index!$M$6),INDIRECT(Index!$L$6),"&gt;="&amp;$A189,INDIRECT(Index!$L$6),"&lt;"&amp;EDATE($A189,3))=0,"",AVERAGEIFS(INDIRECT(Index!$M$6),INDIRECT(Index!$L$6),"&gt;="&amp;$A189,INDIRECT(Index!$L$6),"&lt;"&amp;EDATE($A189,3))),"")</f>
        <v/>
      </c>
      <c r="C189" s="33" t="str">
        <f aca="false">IFERROR(B189/B188-1,"")</f>
        <v/>
      </c>
      <c r="D189" s="33" t="str">
        <f aca="false">IFERROR(B189/B185-1,"")</f>
        <v/>
      </c>
      <c r="E189" s="25" t="str">
        <f aca="false">IFERROR(IF(AND(B189="",ISNUMBER($C$108),ISNUMBER($G$108)),$C$108*(1+$G$108)^(($A189-$E$108)/365.25),""),"")</f>
        <v/>
      </c>
      <c r="F189" s="25" t="str">
        <f aca="false">IFERROR(IF(AND(B189="",ISNUMBER($C$108),ISNUMBER($G$108)),$C$108*(1+$G$108*0.85^MAX(0,($A189-$E$108)/91.25))^(($A189-$E$108)/365.25),""),"")</f>
        <v/>
      </c>
    </row>
    <row r="190" customFormat="false" ht="15" hidden="false" customHeight="false" outlineLevel="0" collapsed="false">
      <c r="A190" s="27" t="n">
        <v>46661</v>
      </c>
      <c r="B190" s="28" t="str">
        <f aca="true">IFERROR(IF(AVERAGEIFS(INDIRECT(Index!$M$6),INDIRECT(Index!$L$6),"&gt;="&amp;$A190,INDIRECT(Index!$L$6),"&lt;"&amp;EDATE($A190,3))=0,"",AVERAGEIFS(INDIRECT(Index!$M$6),INDIRECT(Index!$L$6),"&gt;="&amp;$A190,INDIRECT(Index!$L$6),"&lt;"&amp;EDATE($A190,3))),"")</f>
        <v/>
      </c>
      <c r="C190" s="29" t="str">
        <f aca="false">IFERROR(B190/B189-1,"")</f>
        <v/>
      </c>
      <c r="D190" s="29" t="str">
        <f aca="false">IFERROR(B190/B186-1,"")</f>
        <v/>
      </c>
      <c r="E190" s="31" t="str">
        <f aca="false">IFERROR(IF(AND(B190="",ISNUMBER($C$108),ISNUMBER($G$108)),$C$108*(1+$G$108)^(($A190-$E$108)/365.25),""),"")</f>
        <v/>
      </c>
      <c r="F190" s="31" t="str">
        <f aca="false">IFERROR(IF(AND(B190="",ISNUMBER($C$108),ISNUMBER($G$108)),$C$108*(1+$G$108*0.85^MAX(0,($A190-$E$108)/91.25))^(($A190-$E$108)/365.25),""),"")</f>
        <v/>
      </c>
    </row>
    <row r="191" customFormat="false" ht="15" hidden="false" customHeight="false" outlineLevel="0" collapsed="false">
      <c r="A191" s="15" t="n">
        <v>46753</v>
      </c>
      <c r="B191" s="20" t="str">
        <f aca="true">IFERROR(IF(AVERAGEIFS(INDIRECT(Index!$M$6),INDIRECT(Index!$L$6),"&gt;="&amp;$A191,INDIRECT(Index!$L$6),"&lt;"&amp;EDATE($A191,3))=0,"",AVERAGEIFS(INDIRECT(Index!$M$6),INDIRECT(Index!$L$6),"&gt;="&amp;$A191,INDIRECT(Index!$L$6),"&lt;"&amp;EDATE($A191,3))),"")</f>
        <v/>
      </c>
      <c r="C191" s="33" t="str">
        <f aca="false">IFERROR(B191/B190-1,"")</f>
        <v/>
      </c>
      <c r="D191" s="33" t="str">
        <f aca="false">IFERROR(B191/B187-1,"")</f>
        <v/>
      </c>
      <c r="E191" s="25" t="str">
        <f aca="false">IFERROR(IF(AND(B191="",ISNUMBER($C$108),ISNUMBER($G$108)),$C$108*(1+$G$108)^(($A191-$E$108)/365.25),""),"")</f>
        <v/>
      </c>
      <c r="F191" s="25" t="str">
        <f aca="false">IFERROR(IF(AND(B191="",ISNUMBER($C$108),ISNUMBER($G$108)),$C$108*(1+$G$108*0.85^MAX(0,($A191-$E$108)/91.25))^(($A191-$E$108)/365.25),""),"")</f>
        <v/>
      </c>
    </row>
    <row r="192" customFormat="false" ht="15" hidden="false" customHeight="false" outlineLevel="0" collapsed="false">
      <c r="A192" s="27" t="n">
        <v>46844</v>
      </c>
      <c r="B192" s="28" t="str">
        <f aca="true">IFERROR(IF(AVERAGEIFS(INDIRECT(Index!$M$6),INDIRECT(Index!$L$6),"&gt;="&amp;$A192,INDIRECT(Index!$L$6),"&lt;"&amp;EDATE($A192,3))=0,"",AVERAGEIFS(INDIRECT(Index!$M$6),INDIRECT(Index!$L$6),"&gt;="&amp;$A192,INDIRECT(Index!$L$6),"&lt;"&amp;EDATE($A192,3))),"")</f>
        <v/>
      </c>
      <c r="C192" s="29" t="str">
        <f aca="false">IFERROR(B192/B191-1,"")</f>
        <v/>
      </c>
      <c r="D192" s="29" t="str">
        <f aca="false">IFERROR(B192/B188-1,"")</f>
        <v/>
      </c>
      <c r="E192" s="31" t="str">
        <f aca="false">IFERROR(IF(AND(B192="",ISNUMBER($C$108),ISNUMBER($G$108)),$C$108*(1+$G$108)^(($A192-$E$108)/365.25),""),"")</f>
        <v/>
      </c>
      <c r="F192" s="31" t="str">
        <f aca="false">IFERROR(IF(AND(B192="",ISNUMBER($C$108),ISNUMBER($G$108)),$C$108*(1+$G$108*0.85^MAX(0,($A192-$E$108)/91.25))^(($A192-$E$108)/365.25),""),"")</f>
        <v/>
      </c>
    </row>
    <row r="193" customFormat="false" ht="15" hidden="false" customHeight="false" outlineLevel="0" collapsed="false">
      <c r="A193" s="15" t="n">
        <v>46935</v>
      </c>
      <c r="B193" s="20" t="str">
        <f aca="true">IFERROR(IF(AVERAGEIFS(INDIRECT(Index!$M$6),INDIRECT(Index!$L$6),"&gt;="&amp;$A193,INDIRECT(Index!$L$6),"&lt;"&amp;EDATE($A193,3))=0,"",AVERAGEIFS(INDIRECT(Index!$M$6),INDIRECT(Index!$L$6),"&gt;="&amp;$A193,INDIRECT(Index!$L$6),"&lt;"&amp;EDATE($A193,3))),"")</f>
        <v/>
      </c>
      <c r="C193" s="33" t="str">
        <f aca="false">IFERROR(B193/B192-1,"")</f>
        <v/>
      </c>
      <c r="D193" s="33" t="str">
        <f aca="false">IFERROR(B193/B189-1,"")</f>
        <v/>
      </c>
      <c r="E193" s="25" t="str">
        <f aca="false">IFERROR(IF(AND(B193="",ISNUMBER($C$108),ISNUMBER($G$108)),$C$108*(1+$G$108)^(($A193-$E$108)/365.25),""),"")</f>
        <v/>
      </c>
      <c r="F193" s="25" t="str">
        <f aca="false">IFERROR(IF(AND(B193="",ISNUMBER($C$108),ISNUMBER($G$108)),$C$108*(1+$G$108*0.85^MAX(0,($A193-$E$108)/91.25))^(($A193-$E$108)/365.25),""),"")</f>
        <v/>
      </c>
    </row>
    <row r="194" customFormat="false" ht="15" hidden="false" customHeight="false" outlineLevel="0" collapsed="false">
      <c r="A194" s="27" t="n">
        <v>47027</v>
      </c>
      <c r="B194" s="28" t="str">
        <f aca="true">IFERROR(IF(AVERAGEIFS(INDIRECT(Index!$M$6),INDIRECT(Index!$L$6),"&gt;="&amp;$A194,INDIRECT(Index!$L$6),"&lt;"&amp;EDATE($A194,3))=0,"",AVERAGEIFS(INDIRECT(Index!$M$6),INDIRECT(Index!$L$6),"&gt;="&amp;$A194,INDIRECT(Index!$L$6),"&lt;"&amp;EDATE($A194,3))),"")</f>
        <v/>
      </c>
      <c r="C194" s="29" t="str">
        <f aca="false">IFERROR(B194/B193-1,"")</f>
        <v/>
      </c>
      <c r="D194" s="29" t="str">
        <f aca="false">IFERROR(B194/B190-1,"")</f>
        <v/>
      </c>
      <c r="E194" s="31" t="str">
        <f aca="false">IFERROR(IF(AND(B194="",ISNUMBER($C$108),ISNUMBER($G$108)),$C$108*(1+$G$108)^(($A194-$E$108)/365.25),""),"")</f>
        <v/>
      </c>
      <c r="F194" s="31" t="str">
        <f aca="false">IFERROR(IF(AND(B194="",ISNUMBER($C$108),ISNUMBER($G$108)),$C$108*(1+$G$108*0.85^MAX(0,($A194-$E$108)/91.25))^(($A194-$E$108)/365.25),""),"")</f>
        <v/>
      </c>
    </row>
    <row r="195" customFormat="false" ht="15" hidden="false" customHeight="false" outlineLevel="0" collapsed="false">
      <c r="A195" s="15" t="n">
        <v>47119</v>
      </c>
      <c r="B195" s="20" t="str">
        <f aca="true">IFERROR(IF(AVERAGEIFS(INDIRECT(Index!$M$6),INDIRECT(Index!$L$6),"&gt;="&amp;$A195,INDIRECT(Index!$L$6),"&lt;"&amp;EDATE($A195,3))=0,"",AVERAGEIFS(INDIRECT(Index!$M$6),INDIRECT(Index!$L$6),"&gt;="&amp;$A195,INDIRECT(Index!$L$6),"&lt;"&amp;EDATE($A195,3))),"")</f>
        <v/>
      </c>
      <c r="C195" s="33" t="str">
        <f aca="false">IFERROR(B195/B194-1,"")</f>
        <v/>
      </c>
      <c r="D195" s="33" t="str">
        <f aca="false">IFERROR(B195/B191-1,"")</f>
        <v/>
      </c>
      <c r="E195" s="25" t="str">
        <f aca="false">IFERROR(IF(AND(B195="",ISNUMBER($C$108),ISNUMBER($G$108)),$C$108*(1+$G$108)^(($A195-$E$108)/365.25),""),"")</f>
        <v/>
      </c>
      <c r="F195" s="25" t="str">
        <f aca="false">IFERROR(IF(AND(B195="",ISNUMBER($C$108),ISNUMBER($G$108)),$C$108*(1+$G$108*0.85^MAX(0,($A195-$E$108)/91.25))^(($A195-$E$108)/365.25),""),"")</f>
        <v/>
      </c>
    </row>
    <row r="196" customFormat="false" ht="15" hidden="false" customHeight="false" outlineLevel="0" collapsed="false">
      <c r="A196" s="27" t="n">
        <v>47209</v>
      </c>
      <c r="B196" s="28" t="str">
        <f aca="true">IFERROR(IF(AVERAGEIFS(INDIRECT(Index!$M$6),INDIRECT(Index!$L$6),"&gt;="&amp;$A196,INDIRECT(Index!$L$6),"&lt;"&amp;EDATE($A196,3))=0,"",AVERAGEIFS(INDIRECT(Index!$M$6),INDIRECT(Index!$L$6),"&gt;="&amp;$A196,INDIRECT(Index!$L$6),"&lt;"&amp;EDATE($A196,3))),"")</f>
        <v/>
      </c>
      <c r="C196" s="29" t="str">
        <f aca="false">IFERROR(B196/B195-1,"")</f>
        <v/>
      </c>
      <c r="D196" s="29" t="str">
        <f aca="false">IFERROR(B196/B192-1,"")</f>
        <v/>
      </c>
      <c r="E196" s="31" t="str">
        <f aca="false">IFERROR(IF(AND(B196="",ISNUMBER($C$108),ISNUMBER($G$108)),$C$108*(1+$G$108)^(($A196-$E$108)/365.25),""),"")</f>
        <v/>
      </c>
      <c r="F196" s="31" t="str">
        <f aca="false">IFERROR(IF(AND(B196="",ISNUMBER($C$108),ISNUMBER($G$108)),$C$108*(1+$G$108*0.85^MAX(0,($A196-$E$108)/91.25))^(($A196-$E$108)/365.25),""),"")</f>
        <v/>
      </c>
    </row>
    <row r="197" customFormat="false" ht="15" hidden="false" customHeight="false" outlineLevel="0" collapsed="false">
      <c r="A197" s="15" t="n">
        <v>47300</v>
      </c>
      <c r="B197" s="20" t="str">
        <f aca="true">IFERROR(IF(AVERAGEIFS(INDIRECT(Index!$M$6),INDIRECT(Index!$L$6),"&gt;="&amp;$A197,INDIRECT(Index!$L$6),"&lt;"&amp;EDATE($A197,3))=0,"",AVERAGEIFS(INDIRECT(Index!$M$6),INDIRECT(Index!$L$6),"&gt;="&amp;$A197,INDIRECT(Index!$L$6),"&lt;"&amp;EDATE($A197,3))),"")</f>
        <v/>
      </c>
      <c r="C197" s="33" t="str">
        <f aca="false">IFERROR(B197/B196-1,"")</f>
        <v/>
      </c>
      <c r="D197" s="33" t="str">
        <f aca="false">IFERROR(B197/B193-1,"")</f>
        <v/>
      </c>
      <c r="E197" s="25" t="str">
        <f aca="false">IFERROR(IF(AND(B197="",ISNUMBER($C$108),ISNUMBER($G$108)),$C$108*(1+$G$108)^(($A197-$E$108)/365.25),""),"")</f>
        <v/>
      </c>
      <c r="F197" s="25" t="str">
        <f aca="false">IFERROR(IF(AND(B197="",ISNUMBER($C$108),ISNUMBER($G$108)),$C$108*(1+$G$108*0.85^MAX(0,($A197-$E$108)/91.25))^(($A197-$E$108)/365.25),""),"")</f>
        <v/>
      </c>
    </row>
    <row r="198" customFormat="false" ht="15" hidden="false" customHeight="false" outlineLevel="0" collapsed="false">
      <c r="A198" s="27" t="n">
        <v>47392</v>
      </c>
      <c r="B198" s="28" t="str">
        <f aca="true">IFERROR(IF(AVERAGEIFS(INDIRECT(Index!$M$6),INDIRECT(Index!$L$6),"&gt;="&amp;$A198,INDIRECT(Index!$L$6),"&lt;"&amp;EDATE($A198,3))=0,"",AVERAGEIFS(INDIRECT(Index!$M$6),INDIRECT(Index!$L$6),"&gt;="&amp;$A198,INDIRECT(Index!$L$6),"&lt;"&amp;EDATE($A198,3))),"")</f>
        <v/>
      </c>
      <c r="C198" s="29" t="str">
        <f aca="false">IFERROR(B198/B197-1,"")</f>
        <v/>
      </c>
      <c r="D198" s="29" t="str">
        <f aca="false">IFERROR(B198/B194-1,"")</f>
        <v/>
      </c>
      <c r="E198" s="31" t="str">
        <f aca="false">IFERROR(IF(AND(B198="",ISNUMBER($C$108),ISNUMBER($G$108)),$C$108*(1+$G$108)^(($A198-$E$108)/365.25),""),"")</f>
        <v/>
      </c>
      <c r="F198" s="31" t="str">
        <f aca="false">IFERROR(IF(AND(B198="",ISNUMBER($C$108),ISNUMBER($G$108)),$C$108*(1+$G$108*0.85^MAX(0,($A198-$E$108)/91.25))^(($A198-$E$108)/365.25),""),"")</f>
        <v/>
      </c>
    </row>
    <row r="199" customFormat="false" ht="15" hidden="false" customHeight="false" outlineLevel="0" collapsed="false">
      <c r="A199" s="15" t="n">
        <v>47484</v>
      </c>
      <c r="B199" s="20" t="str">
        <f aca="true">IFERROR(IF(AVERAGEIFS(INDIRECT(Index!$M$6),INDIRECT(Index!$L$6),"&gt;="&amp;$A199,INDIRECT(Index!$L$6),"&lt;"&amp;EDATE($A199,3))=0,"",AVERAGEIFS(INDIRECT(Index!$M$6),INDIRECT(Index!$L$6),"&gt;="&amp;$A199,INDIRECT(Index!$L$6),"&lt;"&amp;EDATE($A199,3))),"")</f>
        <v/>
      </c>
      <c r="C199" s="33" t="str">
        <f aca="false">IFERROR(B199/B198-1,"")</f>
        <v/>
      </c>
      <c r="D199" s="33" t="str">
        <f aca="false">IFERROR(B199/B195-1,"")</f>
        <v/>
      </c>
      <c r="E199" s="25" t="str">
        <f aca="false">IFERROR(IF(AND(B199="",ISNUMBER($C$108),ISNUMBER($G$108)),$C$108*(1+$G$108)^(($A199-$E$108)/365.25),""),"")</f>
        <v/>
      </c>
      <c r="F199" s="25" t="str">
        <f aca="false">IFERROR(IF(AND(B199="",ISNUMBER($C$108),ISNUMBER($G$108)),$C$108*(1+$G$108*0.85^MAX(0,($A199-$E$108)/91.25))^(($A199-$E$108)/365.25),""),"")</f>
        <v/>
      </c>
    </row>
    <row r="200" customFormat="false" ht="15" hidden="false" customHeight="false" outlineLevel="0" collapsed="false">
      <c r="A200" s="27" t="n">
        <v>47574</v>
      </c>
      <c r="B200" s="28" t="str">
        <f aca="true">IFERROR(IF(AVERAGEIFS(INDIRECT(Index!$M$6),INDIRECT(Index!$L$6),"&gt;="&amp;$A200,INDIRECT(Index!$L$6),"&lt;"&amp;EDATE($A200,3))=0,"",AVERAGEIFS(INDIRECT(Index!$M$6),INDIRECT(Index!$L$6),"&gt;="&amp;$A200,INDIRECT(Index!$L$6),"&lt;"&amp;EDATE($A200,3))),"")</f>
        <v/>
      </c>
      <c r="C200" s="29" t="str">
        <f aca="false">IFERROR(B200/B199-1,"")</f>
        <v/>
      </c>
      <c r="D200" s="29" t="str">
        <f aca="false">IFERROR(B200/B196-1,"")</f>
        <v/>
      </c>
      <c r="E200" s="31" t="str">
        <f aca="false">IFERROR(IF(AND(B200="",ISNUMBER($C$108),ISNUMBER($G$108)),$C$108*(1+$G$108)^(($A200-$E$108)/365.25),""),"")</f>
        <v/>
      </c>
      <c r="F200" s="31" t="str">
        <f aca="false">IFERROR(IF(AND(B200="",ISNUMBER($C$108),ISNUMBER($G$108)),$C$108*(1+$G$108*0.85^MAX(0,($A200-$E$108)/91.25))^(($A200-$E$108)/365.25),""),"")</f>
        <v/>
      </c>
    </row>
    <row r="201" customFormat="false" ht="15" hidden="false" customHeight="false" outlineLevel="0" collapsed="false">
      <c r="A201" s="15" t="n">
        <v>47665</v>
      </c>
      <c r="B201" s="20" t="str">
        <f aca="true">IFERROR(IF(AVERAGEIFS(INDIRECT(Index!$M$6),INDIRECT(Index!$L$6),"&gt;="&amp;$A201,INDIRECT(Index!$L$6),"&lt;"&amp;EDATE($A201,3))=0,"",AVERAGEIFS(INDIRECT(Index!$M$6),INDIRECT(Index!$L$6),"&gt;="&amp;$A201,INDIRECT(Index!$L$6),"&lt;"&amp;EDATE($A201,3))),"")</f>
        <v/>
      </c>
      <c r="C201" s="33" t="str">
        <f aca="false">IFERROR(B201/B200-1,"")</f>
        <v/>
      </c>
      <c r="D201" s="33" t="str">
        <f aca="false">IFERROR(B201/B197-1,"")</f>
        <v/>
      </c>
      <c r="E201" s="25" t="str">
        <f aca="false">IFERROR(IF(AND(B201="",ISNUMBER($C$108),ISNUMBER($G$108)),$C$108*(1+$G$108)^(($A201-$E$108)/365.25),""),"")</f>
        <v/>
      </c>
      <c r="F201" s="25" t="str">
        <f aca="false">IFERROR(IF(AND(B201="",ISNUMBER($C$108),ISNUMBER($G$108)),$C$108*(1+$G$108*0.85^MAX(0,($A201-$E$108)/91.25))^(($A201-$E$108)/365.25),""),"")</f>
        <v/>
      </c>
    </row>
    <row r="202" customFormat="false" ht="15" hidden="false" customHeight="false" outlineLevel="0" collapsed="false">
      <c r="A202" s="27" t="n">
        <v>47757</v>
      </c>
      <c r="B202" s="28" t="str">
        <f aca="true">IFERROR(IF(AVERAGEIFS(INDIRECT(Index!$M$6),INDIRECT(Index!$L$6),"&gt;="&amp;$A202,INDIRECT(Index!$L$6),"&lt;"&amp;EDATE($A202,3))=0,"",AVERAGEIFS(INDIRECT(Index!$M$6),INDIRECT(Index!$L$6),"&gt;="&amp;$A202,INDIRECT(Index!$L$6),"&lt;"&amp;EDATE($A202,3))),"")</f>
        <v/>
      </c>
      <c r="C202" s="29" t="str">
        <f aca="false">IFERROR(B202/B201-1,"")</f>
        <v/>
      </c>
      <c r="D202" s="29" t="str">
        <f aca="false">IFERROR(B202/B198-1,"")</f>
        <v/>
      </c>
      <c r="E202" s="31" t="str">
        <f aca="false">IFERROR(IF(AND(B202="",ISNUMBER($C$108),ISNUMBER($G$108)),$C$108*(1+$G$108)^(($A202-$E$108)/365.25),""),"")</f>
        <v/>
      </c>
      <c r="F202" s="31" t="str">
        <f aca="false">IFERROR(IF(AND(B202="",ISNUMBER($C$108),ISNUMBER($G$108)),$C$108*(1+$G$108*0.85^MAX(0,($A202-$E$108)/91.25))^(($A202-$E$108)/365.25),""),"")</f>
        <v/>
      </c>
    </row>
    <row r="206" customFormat="false" ht="21.75" hidden="false" customHeight="true" outlineLevel="0" collapsed="false">
      <c r="A206" s="17" t="str">
        <f aca="false">Index!$A$7&amp;"   ("&amp;Index!$I$7&amp;")"</f>
        <v>EMAE Activity Index   (Index 2004=100)</v>
      </c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</row>
    <row r="207" customFormat="false" ht="15" hidden="false" customHeight="false" outlineLevel="0" collapsed="false">
      <c r="A207" s="4" t="s">
        <v>106</v>
      </c>
      <c r="B207" s="18" t="str">
        <f aca="false">Index!$J$7</f>
        <v>avg</v>
      </c>
      <c r="C207" s="4" t="s">
        <v>107</v>
      </c>
      <c r="D207" s="19" t="str">
        <f aca="false">Index!$D$7&amp;" ["&amp;Index!$F$7&amp;Index!$G$7&amp;":"&amp;Index!$F$7&amp;Index!$H$7&amp;"]"</f>
        <v>Data_Monthly [B2:B400]</v>
      </c>
      <c r="E207" s="19"/>
      <c r="F207" s="19"/>
      <c r="G207" s="19"/>
      <c r="H207" s="19"/>
    </row>
    <row r="208" customFormat="false" ht="15" hidden="false" customHeight="false" outlineLevel="0" collapsed="false">
      <c r="A208" s="4" t="s">
        <v>108</v>
      </c>
      <c r="B208" s="6" t="str">
        <f aca="false">IF(Index!$K$7="","",Index!$K$7)</f>
        <v>Monthly → quarterly via average.</v>
      </c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</row>
    <row r="209" customFormat="false" ht="15" hidden="false" customHeight="false" outlineLevel="0" collapsed="false">
      <c r="A209" s="4" t="s">
        <v>109</v>
      </c>
      <c r="B209" s="4" t="s">
        <v>110</v>
      </c>
      <c r="C209" s="20" t="str">
        <f aca="false">IFERROR(LOOKUP(2,1/($B$212:$B$303&lt;&gt;""),$B$212:$B$303),"")</f>
        <v/>
      </c>
      <c r="D209" s="4" t="s">
        <v>111</v>
      </c>
      <c r="E209" s="21" t="str">
        <f aca="false">IFERROR(LOOKUP(2,1/($B$212:$B$303&lt;&gt;""),$A$212:$A$303),"")</f>
        <v/>
      </c>
      <c r="F209" s="4" t="s">
        <v>112</v>
      </c>
      <c r="G209" s="22" t="str">
        <f aca="false">IFERROR(C209/INDEX($B$212:$B$303,MATCH(EDATE(E209,-12),$A$212:$A$303,0))-1,"")</f>
        <v/>
      </c>
    </row>
    <row r="210" customFormat="false" ht="18" hidden="false" customHeight="true" outlineLevel="0" collapsed="false">
      <c r="A210" s="23" t="s">
        <v>113</v>
      </c>
      <c r="B210" s="23"/>
      <c r="C210" s="23"/>
      <c r="D210" s="23"/>
      <c r="E210" s="23"/>
      <c r="F210" s="23"/>
      <c r="J210" s="23" t="s">
        <v>114</v>
      </c>
      <c r="K210" s="23"/>
      <c r="L210" s="23"/>
      <c r="M210" s="23"/>
    </row>
    <row r="211" customFormat="false" ht="15" hidden="false" customHeight="false" outlineLevel="0" collapsed="false">
      <c r="A211" s="7" t="s">
        <v>95</v>
      </c>
      <c r="B211" s="7" t="s">
        <v>115</v>
      </c>
      <c r="C211" s="7" t="s">
        <v>116</v>
      </c>
      <c r="D211" s="7" t="s">
        <v>117</v>
      </c>
      <c r="E211" s="7" t="s">
        <v>118</v>
      </c>
      <c r="F211" s="7" t="s">
        <v>119</v>
      </c>
      <c r="J211" s="7" t="s">
        <v>120</v>
      </c>
      <c r="K211" s="7" t="s">
        <v>115</v>
      </c>
      <c r="L211" s="7" t="s">
        <v>117</v>
      </c>
      <c r="M211" s="7" t="s">
        <v>121</v>
      </c>
    </row>
    <row r="212" customFormat="false" ht="15" hidden="false" customHeight="false" outlineLevel="0" collapsed="false">
      <c r="A212" s="15" t="n">
        <v>39448</v>
      </c>
      <c r="B212" s="20" t="str">
        <f aca="true">IFERROR(IF(AVERAGEIFS(INDIRECT(Index!$M$7),INDIRECT(Index!$L$7),"&gt;="&amp;$A212,INDIRECT(Index!$L$7),"&lt;"&amp;EDATE($A212,3))=0,"",AVERAGEIFS(INDIRECT(Index!$M$7),INDIRECT(Index!$L$7),"&gt;="&amp;$A212,INDIRECT(Index!$L$7),"&lt;"&amp;EDATE($A212,3))),"")</f>
        <v/>
      </c>
      <c r="C212" s="24"/>
      <c r="D212" s="24"/>
      <c r="E212" s="25" t="str">
        <f aca="false">IFERROR(IF(AND(B212="",ISNUMBER($C$209),ISNUMBER($G$209)),$C$209*(1+$G$209)^(($A212-$E$209)/365.25),""),"")</f>
        <v/>
      </c>
      <c r="F212" s="25" t="str">
        <f aca="false">IFERROR(IF(AND(B212="",ISNUMBER($C$209),ISNUMBER($G$209)),$C$209*(1+$G$209*0.85^MAX(0,($A212-$E$209)/91.25))^(($A212-$E$209)/365.25),""),"")</f>
        <v/>
      </c>
      <c r="J212" s="26" t="n">
        <v>2008</v>
      </c>
      <c r="K212" s="25" t="str">
        <f aca="false">IFERROR(AVERAGEIFS($B$212:$B$303,$A$212:$A$303,"&gt;="&amp;DATE(J212,1,1),$A$212:$A$303,"&lt;="&amp;DATE(J212,12,31)),"")</f>
        <v/>
      </c>
      <c r="L212" s="24"/>
      <c r="M212" s="25" t="str">
        <f aca="false">IFERROR(AVERAGEIFS($E$212:$E$303,$A$212:$A$303,"&gt;="&amp;DATE(J212,1,1),$A$212:$A$303,"&lt;="&amp;DATE(J212,12,31)),"")</f>
        <v/>
      </c>
    </row>
    <row r="213" customFormat="false" ht="15" hidden="false" customHeight="false" outlineLevel="0" collapsed="false">
      <c r="A213" s="27" t="n">
        <v>39539</v>
      </c>
      <c r="B213" s="28" t="str">
        <f aca="true">IFERROR(IF(AVERAGEIFS(INDIRECT(Index!$M$7),INDIRECT(Index!$L$7),"&gt;="&amp;$A213,INDIRECT(Index!$L$7),"&lt;"&amp;EDATE($A213,3))=0,"",AVERAGEIFS(INDIRECT(Index!$M$7),INDIRECT(Index!$L$7),"&gt;="&amp;$A213,INDIRECT(Index!$L$7),"&lt;"&amp;EDATE($A213,3))),"")</f>
        <v/>
      </c>
      <c r="C213" s="29" t="str">
        <f aca="false">IFERROR(B213/B212-1,"")</f>
        <v/>
      </c>
      <c r="D213" s="30"/>
      <c r="E213" s="31" t="str">
        <f aca="false">IFERROR(IF(AND(B213="",ISNUMBER($C$209),ISNUMBER($G$209)),$C$209*(1+$G$209)^(($A213-$E$209)/365.25),""),"")</f>
        <v/>
      </c>
      <c r="F213" s="31" t="str">
        <f aca="false">IFERROR(IF(AND(B213="",ISNUMBER($C$209),ISNUMBER($G$209)),$C$209*(1+$G$209*0.85^MAX(0,($A213-$E$209)/91.25))^(($A213-$E$209)/365.25),""),"")</f>
        <v/>
      </c>
      <c r="J213" s="32" t="n">
        <v>2009</v>
      </c>
      <c r="K213" s="31" t="str">
        <f aca="false">IFERROR(AVERAGEIFS($B$212:$B$303,$A$212:$A$303,"&gt;="&amp;DATE(J213,1,1),$A$212:$A$303,"&lt;="&amp;DATE(J213,12,31)),"")</f>
        <v/>
      </c>
      <c r="L213" s="29" t="str">
        <f aca="false">IFERROR(K213/K212-1,"")</f>
        <v/>
      </c>
      <c r="M213" s="31" t="str">
        <f aca="false">IFERROR(AVERAGEIFS($E$212:$E$303,$A$212:$A$303,"&gt;="&amp;DATE(J213,1,1),$A$212:$A$303,"&lt;="&amp;DATE(J213,12,31)),"")</f>
        <v/>
      </c>
    </row>
    <row r="214" customFormat="false" ht="15" hidden="false" customHeight="false" outlineLevel="0" collapsed="false">
      <c r="A214" s="15" t="n">
        <v>39630</v>
      </c>
      <c r="B214" s="20" t="str">
        <f aca="true">IFERROR(IF(AVERAGEIFS(INDIRECT(Index!$M$7),INDIRECT(Index!$L$7),"&gt;="&amp;$A214,INDIRECT(Index!$L$7),"&lt;"&amp;EDATE($A214,3))=0,"",AVERAGEIFS(INDIRECT(Index!$M$7),INDIRECT(Index!$L$7),"&gt;="&amp;$A214,INDIRECT(Index!$L$7),"&lt;"&amp;EDATE($A214,3))),"")</f>
        <v/>
      </c>
      <c r="C214" s="33" t="str">
        <f aca="false">IFERROR(B214/B213-1,"")</f>
        <v/>
      </c>
      <c r="D214" s="24"/>
      <c r="E214" s="25" t="str">
        <f aca="false">IFERROR(IF(AND(B214="",ISNUMBER($C$209),ISNUMBER($G$209)),$C$209*(1+$G$209)^(($A214-$E$209)/365.25),""),"")</f>
        <v/>
      </c>
      <c r="F214" s="25" t="str">
        <f aca="false">IFERROR(IF(AND(B214="",ISNUMBER($C$209),ISNUMBER($G$209)),$C$209*(1+$G$209*0.85^MAX(0,($A214-$E$209)/91.25))^(($A214-$E$209)/365.25),""),"")</f>
        <v/>
      </c>
      <c r="J214" s="26" t="n">
        <v>2010</v>
      </c>
      <c r="K214" s="25" t="str">
        <f aca="false">IFERROR(AVERAGEIFS($B$212:$B$303,$A$212:$A$303,"&gt;="&amp;DATE(J214,1,1),$A$212:$A$303,"&lt;="&amp;DATE(J214,12,31)),"")</f>
        <v/>
      </c>
      <c r="L214" s="33" t="str">
        <f aca="false">IFERROR(K214/K213-1,"")</f>
        <v/>
      </c>
      <c r="M214" s="25" t="str">
        <f aca="false">IFERROR(AVERAGEIFS($E$212:$E$303,$A$212:$A$303,"&gt;="&amp;DATE(J214,1,1),$A$212:$A$303,"&lt;="&amp;DATE(J214,12,31)),"")</f>
        <v/>
      </c>
    </row>
    <row r="215" customFormat="false" ht="15" hidden="false" customHeight="false" outlineLevel="0" collapsed="false">
      <c r="A215" s="27" t="n">
        <v>39722</v>
      </c>
      <c r="B215" s="28" t="str">
        <f aca="true">IFERROR(IF(AVERAGEIFS(INDIRECT(Index!$M$7),INDIRECT(Index!$L$7),"&gt;="&amp;$A215,INDIRECT(Index!$L$7),"&lt;"&amp;EDATE($A215,3))=0,"",AVERAGEIFS(INDIRECT(Index!$M$7),INDIRECT(Index!$L$7),"&gt;="&amp;$A215,INDIRECT(Index!$L$7),"&lt;"&amp;EDATE($A215,3))),"")</f>
        <v/>
      </c>
      <c r="C215" s="29" t="str">
        <f aca="false">IFERROR(B215/B214-1,"")</f>
        <v/>
      </c>
      <c r="D215" s="30"/>
      <c r="E215" s="31" t="str">
        <f aca="false">IFERROR(IF(AND(B215="",ISNUMBER($C$209),ISNUMBER($G$209)),$C$209*(1+$G$209)^(($A215-$E$209)/365.25),""),"")</f>
        <v/>
      </c>
      <c r="F215" s="31" t="str">
        <f aca="false">IFERROR(IF(AND(B215="",ISNUMBER($C$209),ISNUMBER($G$209)),$C$209*(1+$G$209*0.85^MAX(0,($A215-$E$209)/91.25))^(($A215-$E$209)/365.25),""),"")</f>
        <v/>
      </c>
      <c r="J215" s="32" t="n">
        <v>2011</v>
      </c>
      <c r="K215" s="31" t="str">
        <f aca="false">IFERROR(AVERAGEIFS($B$212:$B$303,$A$212:$A$303,"&gt;="&amp;DATE(J215,1,1),$A$212:$A$303,"&lt;="&amp;DATE(J215,12,31)),"")</f>
        <v/>
      </c>
      <c r="L215" s="29" t="str">
        <f aca="false">IFERROR(K215/K214-1,"")</f>
        <v/>
      </c>
      <c r="M215" s="31" t="str">
        <f aca="false">IFERROR(AVERAGEIFS($E$212:$E$303,$A$212:$A$303,"&gt;="&amp;DATE(J215,1,1),$A$212:$A$303,"&lt;="&amp;DATE(J215,12,31)),"")</f>
        <v/>
      </c>
    </row>
    <row r="216" customFormat="false" ht="15" hidden="false" customHeight="false" outlineLevel="0" collapsed="false">
      <c r="A216" s="15" t="n">
        <v>39814</v>
      </c>
      <c r="B216" s="20" t="str">
        <f aca="true">IFERROR(IF(AVERAGEIFS(INDIRECT(Index!$M$7),INDIRECT(Index!$L$7),"&gt;="&amp;$A216,INDIRECT(Index!$L$7),"&lt;"&amp;EDATE($A216,3))=0,"",AVERAGEIFS(INDIRECT(Index!$M$7),INDIRECT(Index!$L$7),"&gt;="&amp;$A216,INDIRECT(Index!$L$7),"&lt;"&amp;EDATE($A216,3))),"")</f>
        <v/>
      </c>
      <c r="C216" s="33" t="str">
        <f aca="false">IFERROR(B216/B215-1,"")</f>
        <v/>
      </c>
      <c r="D216" s="33" t="str">
        <f aca="false">IFERROR(B216/B212-1,"")</f>
        <v/>
      </c>
      <c r="E216" s="25" t="str">
        <f aca="false">IFERROR(IF(AND(B216="",ISNUMBER($C$209),ISNUMBER($G$209)),$C$209*(1+$G$209)^(($A216-$E$209)/365.25),""),"")</f>
        <v/>
      </c>
      <c r="F216" s="25" t="str">
        <f aca="false">IFERROR(IF(AND(B216="",ISNUMBER($C$209),ISNUMBER($G$209)),$C$209*(1+$G$209*0.85^MAX(0,($A216-$E$209)/91.25))^(($A216-$E$209)/365.25),""),"")</f>
        <v/>
      </c>
      <c r="J216" s="26" t="n">
        <v>2012</v>
      </c>
      <c r="K216" s="25" t="str">
        <f aca="false">IFERROR(AVERAGEIFS($B$212:$B$303,$A$212:$A$303,"&gt;="&amp;DATE(J216,1,1),$A$212:$A$303,"&lt;="&amp;DATE(J216,12,31)),"")</f>
        <v/>
      </c>
      <c r="L216" s="33" t="str">
        <f aca="false">IFERROR(K216/K215-1,"")</f>
        <v/>
      </c>
      <c r="M216" s="25" t="str">
        <f aca="false">IFERROR(AVERAGEIFS($E$212:$E$303,$A$212:$A$303,"&gt;="&amp;DATE(J216,1,1),$A$212:$A$303,"&lt;="&amp;DATE(J216,12,31)),"")</f>
        <v/>
      </c>
    </row>
    <row r="217" customFormat="false" ht="15" hidden="false" customHeight="false" outlineLevel="0" collapsed="false">
      <c r="A217" s="27" t="n">
        <v>39904</v>
      </c>
      <c r="B217" s="28" t="str">
        <f aca="true">IFERROR(IF(AVERAGEIFS(INDIRECT(Index!$M$7),INDIRECT(Index!$L$7),"&gt;="&amp;$A217,INDIRECT(Index!$L$7),"&lt;"&amp;EDATE($A217,3))=0,"",AVERAGEIFS(INDIRECT(Index!$M$7),INDIRECT(Index!$L$7),"&gt;="&amp;$A217,INDIRECT(Index!$L$7),"&lt;"&amp;EDATE($A217,3))),"")</f>
        <v/>
      </c>
      <c r="C217" s="29" t="str">
        <f aca="false">IFERROR(B217/B216-1,"")</f>
        <v/>
      </c>
      <c r="D217" s="29" t="str">
        <f aca="false">IFERROR(B217/B213-1,"")</f>
        <v/>
      </c>
      <c r="E217" s="31" t="str">
        <f aca="false">IFERROR(IF(AND(B217="",ISNUMBER($C$209),ISNUMBER($G$209)),$C$209*(1+$G$209)^(($A217-$E$209)/365.25),""),"")</f>
        <v/>
      </c>
      <c r="F217" s="31" t="str">
        <f aca="false">IFERROR(IF(AND(B217="",ISNUMBER($C$209),ISNUMBER($G$209)),$C$209*(1+$G$209*0.85^MAX(0,($A217-$E$209)/91.25))^(($A217-$E$209)/365.25),""),"")</f>
        <v/>
      </c>
      <c r="J217" s="32" t="n">
        <v>2013</v>
      </c>
      <c r="K217" s="31" t="str">
        <f aca="false">IFERROR(AVERAGEIFS($B$212:$B$303,$A$212:$A$303,"&gt;="&amp;DATE(J217,1,1),$A$212:$A$303,"&lt;="&amp;DATE(J217,12,31)),"")</f>
        <v/>
      </c>
      <c r="L217" s="29" t="str">
        <f aca="false">IFERROR(K217/K216-1,"")</f>
        <v/>
      </c>
      <c r="M217" s="31" t="str">
        <f aca="false">IFERROR(AVERAGEIFS($E$212:$E$303,$A$212:$A$303,"&gt;="&amp;DATE(J217,1,1),$A$212:$A$303,"&lt;="&amp;DATE(J217,12,31)),"")</f>
        <v/>
      </c>
    </row>
    <row r="218" customFormat="false" ht="15" hidden="false" customHeight="false" outlineLevel="0" collapsed="false">
      <c r="A218" s="15" t="n">
        <v>39995</v>
      </c>
      <c r="B218" s="20" t="str">
        <f aca="true">IFERROR(IF(AVERAGEIFS(INDIRECT(Index!$M$7),INDIRECT(Index!$L$7),"&gt;="&amp;$A218,INDIRECT(Index!$L$7),"&lt;"&amp;EDATE($A218,3))=0,"",AVERAGEIFS(INDIRECT(Index!$M$7),INDIRECT(Index!$L$7),"&gt;="&amp;$A218,INDIRECT(Index!$L$7),"&lt;"&amp;EDATE($A218,3))),"")</f>
        <v/>
      </c>
      <c r="C218" s="33" t="str">
        <f aca="false">IFERROR(B218/B217-1,"")</f>
        <v/>
      </c>
      <c r="D218" s="33" t="str">
        <f aca="false">IFERROR(B218/B214-1,"")</f>
        <v/>
      </c>
      <c r="E218" s="25" t="str">
        <f aca="false">IFERROR(IF(AND(B218="",ISNUMBER($C$209),ISNUMBER($G$209)),$C$209*(1+$G$209)^(($A218-$E$209)/365.25),""),"")</f>
        <v/>
      </c>
      <c r="F218" s="25" t="str">
        <f aca="false">IFERROR(IF(AND(B218="",ISNUMBER($C$209),ISNUMBER($G$209)),$C$209*(1+$G$209*0.85^MAX(0,($A218-$E$209)/91.25))^(($A218-$E$209)/365.25),""),"")</f>
        <v/>
      </c>
      <c r="J218" s="26" t="n">
        <v>2014</v>
      </c>
      <c r="K218" s="25" t="str">
        <f aca="false">IFERROR(AVERAGEIFS($B$212:$B$303,$A$212:$A$303,"&gt;="&amp;DATE(J218,1,1),$A$212:$A$303,"&lt;="&amp;DATE(J218,12,31)),"")</f>
        <v/>
      </c>
      <c r="L218" s="33" t="str">
        <f aca="false">IFERROR(K218/K217-1,"")</f>
        <v/>
      </c>
      <c r="M218" s="25" t="str">
        <f aca="false">IFERROR(AVERAGEIFS($E$212:$E$303,$A$212:$A$303,"&gt;="&amp;DATE(J218,1,1),$A$212:$A$303,"&lt;="&amp;DATE(J218,12,31)),"")</f>
        <v/>
      </c>
    </row>
    <row r="219" customFormat="false" ht="15" hidden="false" customHeight="false" outlineLevel="0" collapsed="false">
      <c r="A219" s="27" t="n">
        <v>40087</v>
      </c>
      <c r="B219" s="28" t="str">
        <f aca="true">IFERROR(IF(AVERAGEIFS(INDIRECT(Index!$M$7),INDIRECT(Index!$L$7),"&gt;="&amp;$A219,INDIRECT(Index!$L$7),"&lt;"&amp;EDATE($A219,3))=0,"",AVERAGEIFS(INDIRECT(Index!$M$7),INDIRECT(Index!$L$7),"&gt;="&amp;$A219,INDIRECT(Index!$L$7),"&lt;"&amp;EDATE($A219,3))),"")</f>
        <v/>
      </c>
      <c r="C219" s="29" t="str">
        <f aca="false">IFERROR(B219/B218-1,"")</f>
        <v/>
      </c>
      <c r="D219" s="29" t="str">
        <f aca="false">IFERROR(B219/B215-1,"")</f>
        <v/>
      </c>
      <c r="E219" s="31" t="str">
        <f aca="false">IFERROR(IF(AND(B219="",ISNUMBER($C$209),ISNUMBER($G$209)),$C$209*(1+$G$209)^(($A219-$E$209)/365.25),""),"")</f>
        <v/>
      </c>
      <c r="F219" s="31" t="str">
        <f aca="false">IFERROR(IF(AND(B219="",ISNUMBER($C$209),ISNUMBER($G$209)),$C$209*(1+$G$209*0.85^MAX(0,($A219-$E$209)/91.25))^(($A219-$E$209)/365.25),""),"")</f>
        <v/>
      </c>
      <c r="J219" s="32" t="n">
        <v>2015</v>
      </c>
      <c r="K219" s="31" t="str">
        <f aca="false">IFERROR(AVERAGEIFS($B$212:$B$303,$A$212:$A$303,"&gt;="&amp;DATE(J219,1,1),$A$212:$A$303,"&lt;="&amp;DATE(J219,12,31)),"")</f>
        <v/>
      </c>
      <c r="L219" s="29" t="str">
        <f aca="false">IFERROR(K219/K218-1,"")</f>
        <v/>
      </c>
      <c r="M219" s="31" t="str">
        <f aca="false">IFERROR(AVERAGEIFS($E$212:$E$303,$A$212:$A$303,"&gt;="&amp;DATE(J219,1,1),$A$212:$A$303,"&lt;="&amp;DATE(J219,12,31)),"")</f>
        <v/>
      </c>
    </row>
    <row r="220" customFormat="false" ht="15" hidden="false" customHeight="false" outlineLevel="0" collapsed="false">
      <c r="A220" s="15" t="n">
        <v>40179</v>
      </c>
      <c r="B220" s="20" t="str">
        <f aca="true">IFERROR(IF(AVERAGEIFS(INDIRECT(Index!$M$7),INDIRECT(Index!$L$7),"&gt;="&amp;$A220,INDIRECT(Index!$L$7),"&lt;"&amp;EDATE($A220,3))=0,"",AVERAGEIFS(INDIRECT(Index!$M$7),INDIRECT(Index!$L$7),"&gt;="&amp;$A220,INDIRECT(Index!$L$7),"&lt;"&amp;EDATE($A220,3))),"")</f>
        <v/>
      </c>
      <c r="C220" s="33" t="str">
        <f aca="false">IFERROR(B220/B219-1,"")</f>
        <v/>
      </c>
      <c r="D220" s="33" t="str">
        <f aca="false">IFERROR(B220/B216-1,"")</f>
        <v/>
      </c>
      <c r="E220" s="25" t="str">
        <f aca="false">IFERROR(IF(AND(B220="",ISNUMBER($C$209),ISNUMBER($G$209)),$C$209*(1+$G$209)^(($A220-$E$209)/365.25),""),"")</f>
        <v/>
      </c>
      <c r="F220" s="25" t="str">
        <f aca="false">IFERROR(IF(AND(B220="",ISNUMBER($C$209),ISNUMBER($G$209)),$C$209*(1+$G$209*0.85^MAX(0,($A220-$E$209)/91.25))^(($A220-$E$209)/365.25),""),"")</f>
        <v/>
      </c>
      <c r="J220" s="26" t="n">
        <v>2016</v>
      </c>
      <c r="K220" s="25" t="str">
        <f aca="false">IFERROR(AVERAGEIFS($B$212:$B$303,$A$212:$A$303,"&gt;="&amp;DATE(J220,1,1),$A$212:$A$303,"&lt;="&amp;DATE(J220,12,31)),"")</f>
        <v/>
      </c>
      <c r="L220" s="33" t="str">
        <f aca="false">IFERROR(K220/K219-1,"")</f>
        <v/>
      </c>
      <c r="M220" s="25" t="str">
        <f aca="false">IFERROR(AVERAGEIFS($E$212:$E$303,$A$212:$A$303,"&gt;="&amp;DATE(J220,1,1),$A$212:$A$303,"&lt;="&amp;DATE(J220,12,31)),"")</f>
        <v/>
      </c>
    </row>
    <row r="221" customFormat="false" ht="15" hidden="false" customHeight="false" outlineLevel="0" collapsed="false">
      <c r="A221" s="27" t="n">
        <v>40269</v>
      </c>
      <c r="B221" s="28" t="str">
        <f aca="true">IFERROR(IF(AVERAGEIFS(INDIRECT(Index!$M$7),INDIRECT(Index!$L$7),"&gt;="&amp;$A221,INDIRECT(Index!$L$7),"&lt;"&amp;EDATE($A221,3))=0,"",AVERAGEIFS(INDIRECT(Index!$M$7),INDIRECT(Index!$L$7),"&gt;="&amp;$A221,INDIRECT(Index!$L$7),"&lt;"&amp;EDATE($A221,3))),"")</f>
        <v/>
      </c>
      <c r="C221" s="29" t="str">
        <f aca="false">IFERROR(B221/B220-1,"")</f>
        <v/>
      </c>
      <c r="D221" s="29" t="str">
        <f aca="false">IFERROR(B221/B217-1,"")</f>
        <v/>
      </c>
      <c r="E221" s="31" t="str">
        <f aca="false">IFERROR(IF(AND(B221="",ISNUMBER($C$209),ISNUMBER($G$209)),$C$209*(1+$G$209)^(($A221-$E$209)/365.25),""),"")</f>
        <v/>
      </c>
      <c r="F221" s="31" t="str">
        <f aca="false">IFERROR(IF(AND(B221="",ISNUMBER($C$209),ISNUMBER($G$209)),$C$209*(1+$G$209*0.85^MAX(0,($A221-$E$209)/91.25))^(($A221-$E$209)/365.25),""),"")</f>
        <v/>
      </c>
      <c r="J221" s="32" t="n">
        <v>2017</v>
      </c>
      <c r="K221" s="31" t="str">
        <f aca="false">IFERROR(AVERAGEIFS($B$212:$B$303,$A$212:$A$303,"&gt;="&amp;DATE(J221,1,1),$A$212:$A$303,"&lt;="&amp;DATE(J221,12,31)),"")</f>
        <v/>
      </c>
      <c r="L221" s="29" t="str">
        <f aca="false">IFERROR(K221/K220-1,"")</f>
        <v/>
      </c>
      <c r="M221" s="31" t="str">
        <f aca="false">IFERROR(AVERAGEIFS($E$212:$E$303,$A$212:$A$303,"&gt;="&amp;DATE(J221,1,1),$A$212:$A$303,"&lt;="&amp;DATE(J221,12,31)),"")</f>
        <v/>
      </c>
    </row>
    <row r="222" customFormat="false" ht="15" hidden="false" customHeight="false" outlineLevel="0" collapsed="false">
      <c r="A222" s="15" t="n">
        <v>40360</v>
      </c>
      <c r="B222" s="20" t="str">
        <f aca="true">IFERROR(IF(AVERAGEIFS(INDIRECT(Index!$M$7),INDIRECT(Index!$L$7),"&gt;="&amp;$A222,INDIRECT(Index!$L$7),"&lt;"&amp;EDATE($A222,3))=0,"",AVERAGEIFS(INDIRECT(Index!$M$7),INDIRECT(Index!$L$7),"&gt;="&amp;$A222,INDIRECT(Index!$L$7),"&lt;"&amp;EDATE($A222,3))),"")</f>
        <v/>
      </c>
      <c r="C222" s="33" t="str">
        <f aca="false">IFERROR(B222/B221-1,"")</f>
        <v/>
      </c>
      <c r="D222" s="33" t="str">
        <f aca="false">IFERROR(B222/B218-1,"")</f>
        <v/>
      </c>
      <c r="E222" s="25" t="str">
        <f aca="false">IFERROR(IF(AND(B222="",ISNUMBER($C$209),ISNUMBER($G$209)),$C$209*(1+$G$209)^(($A222-$E$209)/365.25),""),"")</f>
        <v/>
      </c>
      <c r="F222" s="25" t="str">
        <f aca="false">IFERROR(IF(AND(B222="",ISNUMBER($C$209),ISNUMBER($G$209)),$C$209*(1+$G$209*0.85^MAX(0,($A222-$E$209)/91.25))^(($A222-$E$209)/365.25),""),"")</f>
        <v/>
      </c>
      <c r="J222" s="26" t="n">
        <v>2018</v>
      </c>
      <c r="K222" s="25" t="str">
        <f aca="false">IFERROR(AVERAGEIFS($B$212:$B$303,$A$212:$A$303,"&gt;="&amp;DATE(J222,1,1),$A$212:$A$303,"&lt;="&amp;DATE(J222,12,31)),"")</f>
        <v/>
      </c>
      <c r="L222" s="33" t="str">
        <f aca="false">IFERROR(K222/K221-1,"")</f>
        <v/>
      </c>
      <c r="M222" s="25" t="str">
        <f aca="false">IFERROR(AVERAGEIFS($E$212:$E$303,$A$212:$A$303,"&gt;="&amp;DATE(J222,1,1),$A$212:$A$303,"&lt;="&amp;DATE(J222,12,31)),"")</f>
        <v/>
      </c>
    </row>
    <row r="223" customFormat="false" ht="15" hidden="false" customHeight="false" outlineLevel="0" collapsed="false">
      <c r="A223" s="27" t="n">
        <v>40452</v>
      </c>
      <c r="B223" s="28" t="str">
        <f aca="true">IFERROR(IF(AVERAGEIFS(INDIRECT(Index!$M$7),INDIRECT(Index!$L$7),"&gt;="&amp;$A223,INDIRECT(Index!$L$7),"&lt;"&amp;EDATE($A223,3))=0,"",AVERAGEIFS(INDIRECT(Index!$M$7),INDIRECT(Index!$L$7),"&gt;="&amp;$A223,INDIRECT(Index!$L$7),"&lt;"&amp;EDATE($A223,3))),"")</f>
        <v/>
      </c>
      <c r="C223" s="29" t="str">
        <f aca="false">IFERROR(B223/B222-1,"")</f>
        <v/>
      </c>
      <c r="D223" s="29" t="str">
        <f aca="false">IFERROR(B223/B219-1,"")</f>
        <v/>
      </c>
      <c r="E223" s="31" t="str">
        <f aca="false">IFERROR(IF(AND(B223="",ISNUMBER($C$209),ISNUMBER($G$209)),$C$209*(1+$G$209)^(($A223-$E$209)/365.25),""),"")</f>
        <v/>
      </c>
      <c r="F223" s="31" t="str">
        <f aca="false">IFERROR(IF(AND(B223="",ISNUMBER($C$209),ISNUMBER($G$209)),$C$209*(1+$G$209*0.85^MAX(0,($A223-$E$209)/91.25))^(($A223-$E$209)/365.25),""),"")</f>
        <v/>
      </c>
      <c r="J223" s="32" t="n">
        <v>2019</v>
      </c>
      <c r="K223" s="31" t="str">
        <f aca="false">IFERROR(AVERAGEIFS($B$212:$B$303,$A$212:$A$303,"&gt;="&amp;DATE(J223,1,1),$A$212:$A$303,"&lt;="&amp;DATE(J223,12,31)),"")</f>
        <v/>
      </c>
      <c r="L223" s="29" t="str">
        <f aca="false">IFERROR(K223/K222-1,"")</f>
        <v/>
      </c>
      <c r="M223" s="31" t="str">
        <f aca="false">IFERROR(AVERAGEIFS($E$212:$E$303,$A$212:$A$303,"&gt;="&amp;DATE(J223,1,1),$A$212:$A$303,"&lt;="&amp;DATE(J223,12,31)),"")</f>
        <v/>
      </c>
    </row>
    <row r="224" customFormat="false" ht="15" hidden="false" customHeight="false" outlineLevel="0" collapsed="false">
      <c r="A224" s="15" t="n">
        <v>40544</v>
      </c>
      <c r="B224" s="20" t="str">
        <f aca="true">IFERROR(IF(AVERAGEIFS(INDIRECT(Index!$M$7),INDIRECT(Index!$L$7),"&gt;="&amp;$A224,INDIRECT(Index!$L$7),"&lt;"&amp;EDATE($A224,3))=0,"",AVERAGEIFS(INDIRECT(Index!$M$7),INDIRECT(Index!$L$7),"&gt;="&amp;$A224,INDIRECT(Index!$L$7),"&lt;"&amp;EDATE($A224,3))),"")</f>
        <v/>
      </c>
      <c r="C224" s="33" t="str">
        <f aca="false">IFERROR(B224/B223-1,"")</f>
        <v/>
      </c>
      <c r="D224" s="33" t="str">
        <f aca="false">IFERROR(B224/B220-1,"")</f>
        <v/>
      </c>
      <c r="E224" s="25" t="str">
        <f aca="false">IFERROR(IF(AND(B224="",ISNUMBER($C$209),ISNUMBER($G$209)),$C$209*(1+$G$209)^(($A224-$E$209)/365.25),""),"")</f>
        <v/>
      </c>
      <c r="F224" s="25" t="str">
        <f aca="false">IFERROR(IF(AND(B224="",ISNUMBER($C$209),ISNUMBER($G$209)),$C$209*(1+$G$209*0.85^MAX(0,($A224-$E$209)/91.25))^(($A224-$E$209)/365.25),""),"")</f>
        <v/>
      </c>
      <c r="J224" s="26" t="n">
        <v>2020</v>
      </c>
      <c r="K224" s="25" t="str">
        <f aca="false">IFERROR(AVERAGEIFS($B$212:$B$303,$A$212:$A$303,"&gt;="&amp;DATE(J224,1,1),$A$212:$A$303,"&lt;="&amp;DATE(J224,12,31)),"")</f>
        <v/>
      </c>
      <c r="L224" s="33" t="str">
        <f aca="false">IFERROR(K224/K223-1,"")</f>
        <v/>
      </c>
      <c r="M224" s="25" t="str">
        <f aca="false">IFERROR(AVERAGEIFS($E$212:$E$303,$A$212:$A$303,"&gt;="&amp;DATE(J224,1,1),$A$212:$A$303,"&lt;="&amp;DATE(J224,12,31)),"")</f>
        <v/>
      </c>
    </row>
    <row r="225" customFormat="false" ht="15" hidden="false" customHeight="false" outlineLevel="0" collapsed="false">
      <c r="A225" s="27" t="n">
        <v>40634</v>
      </c>
      <c r="B225" s="28" t="str">
        <f aca="true">IFERROR(IF(AVERAGEIFS(INDIRECT(Index!$M$7),INDIRECT(Index!$L$7),"&gt;="&amp;$A225,INDIRECT(Index!$L$7),"&lt;"&amp;EDATE($A225,3))=0,"",AVERAGEIFS(INDIRECT(Index!$M$7),INDIRECT(Index!$L$7),"&gt;="&amp;$A225,INDIRECT(Index!$L$7),"&lt;"&amp;EDATE($A225,3))),"")</f>
        <v/>
      </c>
      <c r="C225" s="29" t="str">
        <f aca="false">IFERROR(B225/B224-1,"")</f>
        <v/>
      </c>
      <c r="D225" s="29" t="str">
        <f aca="false">IFERROR(B225/B221-1,"")</f>
        <v/>
      </c>
      <c r="E225" s="31" t="str">
        <f aca="false">IFERROR(IF(AND(B225="",ISNUMBER($C$209),ISNUMBER($G$209)),$C$209*(1+$G$209)^(($A225-$E$209)/365.25),""),"")</f>
        <v/>
      </c>
      <c r="F225" s="31" t="str">
        <f aca="false">IFERROR(IF(AND(B225="",ISNUMBER($C$209),ISNUMBER($G$209)),$C$209*(1+$G$209*0.85^MAX(0,($A225-$E$209)/91.25))^(($A225-$E$209)/365.25),""),"")</f>
        <v/>
      </c>
      <c r="J225" s="32" t="n">
        <v>2021</v>
      </c>
      <c r="K225" s="31" t="str">
        <f aca="false">IFERROR(AVERAGEIFS($B$212:$B$303,$A$212:$A$303,"&gt;="&amp;DATE(J225,1,1),$A$212:$A$303,"&lt;="&amp;DATE(J225,12,31)),"")</f>
        <v/>
      </c>
      <c r="L225" s="29" t="str">
        <f aca="false">IFERROR(K225/K224-1,"")</f>
        <v/>
      </c>
      <c r="M225" s="31" t="str">
        <f aca="false">IFERROR(AVERAGEIFS($E$212:$E$303,$A$212:$A$303,"&gt;="&amp;DATE(J225,1,1),$A$212:$A$303,"&lt;="&amp;DATE(J225,12,31)),"")</f>
        <v/>
      </c>
    </row>
    <row r="226" customFormat="false" ht="15" hidden="false" customHeight="false" outlineLevel="0" collapsed="false">
      <c r="A226" s="15" t="n">
        <v>40725</v>
      </c>
      <c r="B226" s="20" t="str">
        <f aca="true">IFERROR(IF(AVERAGEIFS(INDIRECT(Index!$M$7),INDIRECT(Index!$L$7),"&gt;="&amp;$A226,INDIRECT(Index!$L$7),"&lt;"&amp;EDATE($A226,3))=0,"",AVERAGEIFS(INDIRECT(Index!$M$7),INDIRECT(Index!$L$7),"&gt;="&amp;$A226,INDIRECT(Index!$L$7),"&lt;"&amp;EDATE($A226,3))),"")</f>
        <v/>
      </c>
      <c r="C226" s="33" t="str">
        <f aca="false">IFERROR(B226/B225-1,"")</f>
        <v/>
      </c>
      <c r="D226" s="33" t="str">
        <f aca="false">IFERROR(B226/B222-1,"")</f>
        <v/>
      </c>
      <c r="E226" s="25" t="str">
        <f aca="false">IFERROR(IF(AND(B226="",ISNUMBER($C$209),ISNUMBER($G$209)),$C$209*(1+$G$209)^(($A226-$E$209)/365.25),""),"")</f>
        <v/>
      </c>
      <c r="F226" s="25" t="str">
        <f aca="false">IFERROR(IF(AND(B226="",ISNUMBER($C$209),ISNUMBER($G$209)),$C$209*(1+$G$209*0.85^MAX(0,($A226-$E$209)/91.25))^(($A226-$E$209)/365.25),""),"")</f>
        <v/>
      </c>
      <c r="J226" s="26" t="n">
        <v>2022</v>
      </c>
      <c r="K226" s="25" t="str">
        <f aca="false">IFERROR(AVERAGEIFS($B$212:$B$303,$A$212:$A$303,"&gt;="&amp;DATE(J226,1,1),$A$212:$A$303,"&lt;="&amp;DATE(J226,12,31)),"")</f>
        <v/>
      </c>
      <c r="L226" s="33" t="str">
        <f aca="false">IFERROR(K226/K225-1,"")</f>
        <v/>
      </c>
      <c r="M226" s="25" t="str">
        <f aca="false">IFERROR(AVERAGEIFS($E$212:$E$303,$A$212:$A$303,"&gt;="&amp;DATE(J226,1,1),$A$212:$A$303,"&lt;="&amp;DATE(J226,12,31)),"")</f>
        <v/>
      </c>
    </row>
    <row r="227" customFormat="false" ht="15" hidden="false" customHeight="false" outlineLevel="0" collapsed="false">
      <c r="A227" s="27" t="n">
        <v>40817</v>
      </c>
      <c r="B227" s="28" t="str">
        <f aca="true">IFERROR(IF(AVERAGEIFS(INDIRECT(Index!$M$7),INDIRECT(Index!$L$7),"&gt;="&amp;$A227,INDIRECT(Index!$L$7),"&lt;"&amp;EDATE($A227,3))=0,"",AVERAGEIFS(INDIRECT(Index!$M$7),INDIRECT(Index!$L$7),"&gt;="&amp;$A227,INDIRECT(Index!$L$7),"&lt;"&amp;EDATE($A227,3))),"")</f>
        <v/>
      </c>
      <c r="C227" s="29" t="str">
        <f aca="false">IFERROR(B227/B226-1,"")</f>
        <v/>
      </c>
      <c r="D227" s="29" t="str">
        <f aca="false">IFERROR(B227/B223-1,"")</f>
        <v/>
      </c>
      <c r="E227" s="31" t="str">
        <f aca="false">IFERROR(IF(AND(B227="",ISNUMBER($C$209),ISNUMBER($G$209)),$C$209*(1+$G$209)^(($A227-$E$209)/365.25),""),"")</f>
        <v/>
      </c>
      <c r="F227" s="31" t="str">
        <f aca="false">IFERROR(IF(AND(B227="",ISNUMBER($C$209),ISNUMBER($G$209)),$C$209*(1+$G$209*0.85^MAX(0,($A227-$E$209)/91.25))^(($A227-$E$209)/365.25),""),"")</f>
        <v/>
      </c>
      <c r="J227" s="32" t="n">
        <v>2023</v>
      </c>
      <c r="K227" s="31" t="str">
        <f aca="false">IFERROR(AVERAGEIFS($B$212:$B$303,$A$212:$A$303,"&gt;="&amp;DATE(J227,1,1),$A$212:$A$303,"&lt;="&amp;DATE(J227,12,31)),"")</f>
        <v/>
      </c>
      <c r="L227" s="29" t="str">
        <f aca="false">IFERROR(K227/K226-1,"")</f>
        <v/>
      </c>
      <c r="M227" s="31" t="str">
        <f aca="false">IFERROR(AVERAGEIFS($E$212:$E$303,$A$212:$A$303,"&gt;="&amp;DATE(J227,1,1),$A$212:$A$303,"&lt;="&amp;DATE(J227,12,31)),"")</f>
        <v/>
      </c>
    </row>
    <row r="228" customFormat="false" ht="15" hidden="false" customHeight="false" outlineLevel="0" collapsed="false">
      <c r="A228" s="15" t="n">
        <v>40909</v>
      </c>
      <c r="B228" s="20" t="str">
        <f aca="true">IFERROR(IF(AVERAGEIFS(INDIRECT(Index!$M$7),INDIRECT(Index!$L$7),"&gt;="&amp;$A228,INDIRECT(Index!$L$7),"&lt;"&amp;EDATE($A228,3))=0,"",AVERAGEIFS(INDIRECT(Index!$M$7),INDIRECT(Index!$L$7),"&gt;="&amp;$A228,INDIRECT(Index!$L$7),"&lt;"&amp;EDATE($A228,3))),"")</f>
        <v/>
      </c>
      <c r="C228" s="33" t="str">
        <f aca="false">IFERROR(B228/B227-1,"")</f>
        <v/>
      </c>
      <c r="D228" s="33" t="str">
        <f aca="false">IFERROR(B228/B224-1,"")</f>
        <v/>
      </c>
      <c r="E228" s="25" t="str">
        <f aca="false">IFERROR(IF(AND(B228="",ISNUMBER($C$209),ISNUMBER($G$209)),$C$209*(1+$G$209)^(($A228-$E$209)/365.25),""),"")</f>
        <v/>
      </c>
      <c r="F228" s="25" t="str">
        <f aca="false">IFERROR(IF(AND(B228="",ISNUMBER($C$209),ISNUMBER($G$209)),$C$209*(1+$G$209*0.85^MAX(0,($A228-$E$209)/91.25))^(($A228-$E$209)/365.25),""),"")</f>
        <v/>
      </c>
      <c r="J228" s="26" t="n">
        <v>2024</v>
      </c>
      <c r="K228" s="25" t="str">
        <f aca="false">IFERROR(AVERAGEIFS($B$212:$B$303,$A$212:$A$303,"&gt;="&amp;DATE(J228,1,1),$A$212:$A$303,"&lt;="&amp;DATE(J228,12,31)),"")</f>
        <v/>
      </c>
      <c r="L228" s="33" t="str">
        <f aca="false">IFERROR(K228/K227-1,"")</f>
        <v/>
      </c>
      <c r="M228" s="25" t="str">
        <f aca="false">IFERROR(AVERAGEIFS($E$212:$E$303,$A$212:$A$303,"&gt;="&amp;DATE(J228,1,1),$A$212:$A$303,"&lt;="&amp;DATE(J228,12,31)),"")</f>
        <v/>
      </c>
    </row>
    <row r="229" customFormat="false" ht="15" hidden="false" customHeight="false" outlineLevel="0" collapsed="false">
      <c r="A229" s="27" t="n">
        <v>41000</v>
      </c>
      <c r="B229" s="28" t="str">
        <f aca="true">IFERROR(IF(AVERAGEIFS(INDIRECT(Index!$M$7),INDIRECT(Index!$L$7),"&gt;="&amp;$A229,INDIRECT(Index!$L$7),"&lt;"&amp;EDATE($A229,3))=0,"",AVERAGEIFS(INDIRECT(Index!$M$7),INDIRECT(Index!$L$7),"&gt;="&amp;$A229,INDIRECT(Index!$L$7),"&lt;"&amp;EDATE($A229,3))),"")</f>
        <v/>
      </c>
      <c r="C229" s="29" t="str">
        <f aca="false">IFERROR(B229/B228-1,"")</f>
        <v/>
      </c>
      <c r="D229" s="29" t="str">
        <f aca="false">IFERROR(B229/B225-1,"")</f>
        <v/>
      </c>
      <c r="E229" s="31" t="str">
        <f aca="false">IFERROR(IF(AND(B229="",ISNUMBER($C$209),ISNUMBER($G$209)),$C$209*(1+$G$209)^(($A229-$E$209)/365.25),""),"")</f>
        <v/>
      </c>
      <c r="F229" s="31" t="str">
        <f aca="false">IFERROR(IF(AND(B229="",ISNUMBER($C$209),ISNUMBER($G$209)),$C$209*(1+$G$209*0.85^MAX(0,($A229-$E$209)/91.25))^(($A229-$E$209)/365.25),""),"")</f>
        <v/>
      </c>
      <c r="J229" s="32" t="n">
        <v>2025</v>
      </c>
      <c r="K229" s="31" t="str">
        <f aca="false">IFERROR(AVERAGEIFS($B$212:$B$303,$A$212:$A$303,"&gt;="&amp;DATE(J229,1,1),$A$212:$A$303,"&lt;="&amp;DATE(J229,12,31)),"")</f>
        <v/>
      </c>
      <c r="L229" s="29" t="str">
        <f aca="false">IFERROR(K229/K228-1,"")</f>
        <v/>
      </c>
      <c r="M229" s="31" t="str">
        <f aca="false">IFERROR(AVERAGEIFS($E$212:$E$303,$A$212:$A$303,"&gt;="&amp;DATE(J229,1,1),$A$212:$A$303,"&lt;="&amp;DATE(J229,12,31)),"")</f>
        <v/>
      </c>
    </row>
    <row r="230" customFormat="false" ht="15" hidden="false" customHeight="false" outlineLevel="0" collapsed="false">
      <c r="A230" s="15" t="n">
        <v>41091</v>
      </c>
      <c r="B230" s="20" t="str">
        <f aca="true">IFERROR(IF(AVERAGEIFS(INDIRECT(Index!$M$7),INDIRECT(Index!$L$7),"&gt;="&amp;$A230,INDIRECT(Index!$L$7),"&lt;"&amp;EDATE($A230,3))=0,"",AVERAGEIFS(INDIRECT(Index!$M$7),INDIRECT(Index!$L$7),"&gt;="&amp;$A230,INDIRECT(Index!$L$7),"&lt;"&amp;EDATE($A230,3))),"")</f>
        <v/>
      </c>
      <c r="C230" s="33" t="str">
        <f aca="false">IFERROR(B230/B229-1,"")</f>
        <v/>
      </c>
      <c r="D230" s="33" t="str">
        <f aca="false">IFERROR(B230/B226-1,"")</f>
        <v/>
      </c>
      <c r="E230" s="25" t="str">
        <f aca="false">IFERROR(IF(AND(B230="",ISNUMBER($C$209),ISNUMBER($G$209)),$C$209*(1+$G$209)^(($A230-$E$209)/365.25),""),"")</f>
        <v/>
      </c>
      <c r="F230" s="25" t="str">
        <f aca="false">IFERROR(IF(AND(B230="",ISNUMBER($C$209),ISNUMBER($G$209)),$C$209*(1+$G$209*0.85^MAX(0,($A230-$E$209)/91.25))^(($A230-$E$209)/365.25),""),"")</f>
        <v/>
      </c>
      <c r="J230" s="26" t="n">
        <v>2026</v>
      </c>
      <c r="K230" s="25" t="str">
        <f aca="false">IFERROR(AVERAGEIFS($B$212:$B$303,$A$212:$A$303,"&gt;="&amp;DATE(J230,1,1),$A$212:$A$303,"&lt;="&amp;DATE(J230,12,31)),"")</f>
        <v/>
      </c>
      <c r="L230" s="33" t="str">
        <f aca="false">IFERROR(K230/K229-1,"")</f>
        <v/>
      </c>
      <c r="M230" s="25" t="str">
        <f aca="false">IFERROR(AVERAGEIFS($E$212:$E$303,$A$212:$A$303,"&gt;="&amp;DATE(J230,1,1),$A$212:$A$303,"&lt;="&amp;DATE(J230,12,31)),"")</f>
        <v/>
      </c>
    </row>
    <row r="231" customFormat="false" ht="15" hidden="false" customHeight="false" outlineLevel="0" collapsed="false">
      <c r="A231" s="27" t="n">
        <v>41183</v>
      </c>
      <c r="B231" s="28" t="str">
        <f aca="true">IFERROR(IF(AVERAGEIFS(INDIRECT(Index!$M$7),INDIRECT(Index!$L$7),"&gt;="&amp;$A231,INDIRECT(Index!$L$7),"&lt;"&amp;EDATE($A231,3))=0,"",AVERAGEIFS(INDIRECT(Index!$M$7),INDIRECT(Index!$L$7),"&gt;="&amp;$A231,INDIRECT(Index!$L$7),"&lt;"&amp;EDATE($A231,3))),"")</f>
        <v/>
      </c>
      <c r="C231" s="29" t="str">
        <f aca="false">IFERROR(B231/B230-1,"")</f>
        <v/>
      </c>
      <c r="D231" s="29" t="str">
        <f aca="false">IFERROR(B231/B227-1,"")</f>
        <v/>
      </c>
      <c r="E231" s="31" t="str">
        <f aca="false">IFERROR(IF(AND(B231="",ISNUMBER($C$209),ISNUMBER($G$209)),$C$209*(1+$G$209)^(($A231-$E$209)/365.25),""),"")</f>
        <v/>
      </c>
      <c r="F231" s="31" t="str">
        <f aca="false">IFERROR(IF(AND(B231="",ISNUMBER($C$209),ISNUMBER($G$209)),$C$209*(1+$G$209*0.85^MAX(0,($A231-$E$209)/91.25))^(($A231-$E$209)/365.25),""),"")</f>
        <v/>
      </c>
      <c r="J231" s="32" t="n">
        <v>2027</v>
      </c>
      <c r="K231" s="31" t="str">
        <f aca="false">IFERROR(AVERAGEIFS($B$212:$B$303,$A$212:$A$303,"&gt;="&amp;DATE(J231,1,1),$A$212:$A$303,"&lt;="&amp;DATE(J231,12,31)),"")</f>
        <v/>
      </c>
      <c r="L231" s="29" t="str">
        <f aca="false">IFERROR(K231/K230-1,"")</f>
        <v/>
      </c>
      <c r="M231" s="31" t="str">
        <f aca="false">IFERROR(AVERAGEIFS($E$212:$E$303,$A$212:$A$303,"&gt;="&amp;DATE(J231,1,1),$A$212:$A$303,"&lt;="&amp;DATE(J231,12,31)),"")</f>
        <v/>
      </c>
    </row>
    <row r="232" customFormat="false" ht="15" hidden="false" customHeight="false" outlineLevel="0" collapsed="false">
      <c r="A232" s="15" t="n">
        <v>41275</v>
      </c>
      <c r="B232" s="20" t="str">
        <f aca="true">IFERROR(IF(AVERAGEIFS(INDIRECT(Index!$M$7),INDIRECT(Index!$L$7),"&gt;="&amp;$A232,INDIRECT(Index!$L$7),"&lt;"&amp;EDATE($A232,3))=0,"",AVERAGEIFS(INDIRECT(Index!$M$7),INDIRECT(Index!$L$7),"&gt;="&amp;$A232,INDIRECT(Index!$L$7),"&lt;"&amp;EDATE($A232,3))),"")</f>
        <v/>
      </c>
      <c r="C232" s="33" t="str">
        <f aca="false">IFERROR(B232/B231-1,"")</f>
        <v/>
      </c>
      <c r="D232" s="33" t="str">
        <f aca="false">IFERROR(B232/B228-1,"")</f>
        <v/>
      </c>
      <c r="E232" s="25" t="str">
        <f aca="false">IFERROR(IF(AND(B232="",ISNUMBER($C$209),ISNUMBER($G$209)),$C$209*(1+$G$209)^(($A232-$E$209)/365.25),""),"")</f>
        <v/>
      </c>
      <c r="F232" s="25" t="str">
        <f aca="false">IFERROR(IF(AND(B232="",ISNUMBER($C$209),ISNUMBER($G$209)),$C$209*(1+$G$209*0.85^MAX(0,($A232-$E$209)/91.25))^(($A232-$E$209)/365.25),""),"")</f>
        <v/>
      </c>
      <c r="J232" s="26" t="n">
        <v>2028</v>
      </c>
      <c r="K232" s="25" t="str">
        <f aca="false">IFERROR(AVERAGEIFS($B$212:$B$303,$A$212:$A$303,"&gt;="&amp;DATE(J232,1,1),$A$212:$A$303,"&lt;="&amp;DATE(J232,12,31)),"")</f>
        <v/>
      </c>
      <c r="L232" s="33" t="str">
        <f aca="false">IFERROR(K232/K231-1,"")</f>
        <v/>
      </c>
      <c r="M232" s="25" t="str">
        <f aca="false">IFERROR(AVERAGEIFS($E$212:$E$303,$A$212:$A$303,"&gt;="&amp;DATE(J232,1,1),$A$212:$A$303,"&lt;="&amp;DATE(J232,12,31)),"")</f>
        <v/>
      </c>
    </row>
    <row r="233" customFormat="false" ht="15" hidden="false" customHeight="false" outlineLevel="0" collapsed="false">
      <c r="A233" s="27" t="n">
        <v>41365</v>
      </c>
      <c r="B233" s="28" t="str">
        <f aca="true">IFERROR(IF(AVERAGEIFS(INDIRECT(Index!$M$7),INDIRECT(Index!$L$7),"&gt;="&amp;$A233,INDIRECT(Index!$L$7),"&lt;"&amp;EDATE($A233,3))=0,"",AVERAGEIFS(INDIRECT(Index!$M$7),INDIRECT(Index!$L$7),"&gt;="&amp;$A233,INDIRECT(Index!$L$7),"&lt;"&amp;EDATE($A233,3))),"")</f>
        <v/>
      </c>
      <c r="C233" s="29" t="str">
        <f aca="false">IFERROR(B233/B232-1,"")</f>
        <v/>
      </c>
      <c r="D233" s="29" t="str">
        <f aca="false">IFERROR(B233/B229-1,"")</f>
        <v/>
      </c>
      <c r="E233" s="31" t="str">
        <f aca="false">IFERROR(IF(AND(B233="",ISNUMBER($C$209),ISNUMBER($G$209)),$C$209*(1+$G$209)^(($A233-$E$209)/365.25),""),"")</f>
        <v/>
      </c>
      <c r="F233" s="31" t="str">
        <f aca="false">IFERROR(IF(AND(B233="",ISNUMBER($C$209),ISNUMBER($G$209)),$C$209*(1+$G$209*0.85^MAX(0,($A233-$E$209)/91.25))^(($A233-$E$209)/365.25),""),"")</f>
        <v/>
      </c>
      <c r="J233" s="32" t="n">
        <v>2029</v>
      </c>
      <c r="K233" s="31" t="str">
        <f aca="false">IFERROR(AVERAGEIFS($B$212:$B$303,$A$212:$A$303,"&gt;="&amp;DATE(J233,1,1),$A$212:$A$303,"&lt;="&amp;DATE(J233,12,31)),"")</f>
        <v/>
      </c>
      <c r="L233" s="29" t="str">
        <f aca="false">IFERROR(K233/K232-1,"")</f>
        <v/>
      </c>
      <c r="M233" s="31" t="str">
        <f aca="false">IFERROR(AVERAGEIFS($E$212:$E$303,$A$212:$A$303,"&gt;="&amp;DATE(J233,1,1),$A$212:$A$303,"&lt;="&amp;DATE(J233,12,31)),"")</f>
        <v/>
      </c>
    </row>
    <row r="234" customFormat="false" ht="15" hidden="false" customHeight="false" outlineLevel="0" collapsed="false">
      <c r="A234" s="15" t="n">
        <v>41456</v>
      </c>
      <c r="B234" s="20" t="str">
        <f aca="true">IFERROR(IF(AVERAGEIFS(INDIRECT(Index!$M$7),INDIRECT(Index!$L$7),"&gt;="&amp;$A234,INDIRECT(Index!$L$7),"&lt;"&amp;EDATE($A234,3))=0,"",AVERAGEIFS(INDIRECT(Index!$M$7),INDIRECT(Index!$L$7),"&gt;="&amp;$A234,INDIRECT(Index!$L$7),"&lt;"&amp;EDATE($A234,3))),"")</f>
        <v/>
      </c>
      <c r="C234" s="33" t="str">
        <f aca="false">IFERROR(B234/B233-1,"")</f>
        <v/>
      </c>
      <c r="D234" s="33" t="str">
        <f aca="false">IFERROR(B234/B230-1,"")</f>
        <v/>
      </c>
      <c r="E234" s="25" t="str">
        <f aca="false">IFERROR(IF(AND(B234="",ISNUMBER($C$209),ISNUMBER($G$209)),$C$209*(1+$G$209)^(($A234-$E$209)/365.25),""),"")</f>
        <v/>
      </c>
      <c r="F234" s="25" t="str">
        <f aca="false">IFERROR(IF(AND(B234="",ISNUMBER($C$209),ISNUMBER($G$209)),$C$209*(1+$G$209*0.85^MAX(0,($A234-$E$209)/91.25))^(($A234-$E$209)/365.25),""),"")</f>
        <v/>
      </c>
      <c r="J234" s="26" t="n">
        <v>2030</v>
      </c>
      <c r="K234" s="25" t="str">
        <f aca="false">IFERROR(AVERAGEIFS($B$212:$B$303,$A$212:$A$303,"&gt;="&amp;DATE(J234,1,1),$A$212:$A$303,"&lt;="&amp;DATE(J234,12,31)),"")</f>
        <v/>
      </c>
      <c r="L234" s="33" t="str">
        <f aca="false">IFERROR(K234/K233-1,"")</f>
        <v/>
      </c>
      <c r="M234" s="25" t="str">
        <f aca="false">IFERROR(AVERAGEIFS($E$212:$E$303,$A$212:$A$303,"&gt;="&amp;DATE(J234,1,1),$A$212:$A$303,"&lt;="&amp;DATE(J234,12,31)),"")</f>
        <v/>
      </c>
    </row>
    <row r="235" customFormat="false" ht="15" hidden="false" customHeight="false" outlineLevel="0" collapsed="false">
      <c r="A235" s="27" t="n">
        <v>41548</v>
      </c>
      <c r="B235" s="28" t="str">
        <f aca="true">IFERROR(IF(AVERAGEIFS(INDIRECT(Index!$M$7),INDIRECT(Index!$L$7),"&gt;="&amp;$A235,INDIRECT(Index!$L$7),"&lt;"&amp;EDATE($A235,3))=0,"",AVERAGEIFS(INDIRECT(Index!$M$7),INDIRECT(Index!$L$7),"&gt;="&amp;$A235,INDIRECT(Index!$L$7),"&lt;"&amp;EDATE($A235,3))),"")</f>
        <v/>
      </c>
      <c r="C235" s="29" t="str">
        <f aca="false">IFERROR(B235/B234-1,"")</f>
        <v/>
      </c>
      <c r="D235" s="29" t="str">
        <f aca="false">IFERROR(B235/B231-1,"")</f>
        <v/>
      </c>
      <c r="E235" s="31" t="str">
        <f aca="false">IFERROR(IF(AND(B235="",ISNUMBER($C$209),ISNUMBER($G$209)),$C$209*(1+$G$209)^(($A235-$E$209)/365.25),""),"")</f>
        <v/>
      </c>
      <c r="F235" s="31" t="str">
        <f aca="false">IFERROR(IF(AND(B235="",ISNUMBER($C$209),ISNUMBER($G$209)),$C$209*(1+$G$209*0.85^MAX(0,($A235-$E$209)/91.25))^(($A235-$E$209)/365.25),""),"")</f>
        <v/>
      </c>
    </row>
    <row r="236" customFormat="false" ht="15" hidden="false" customHeight="false" outlineLevel="0" collapsed="false">
      <c r="A236" s="15" t="n">
        <v>41640</v>
      </c>
      <c r="B236" s="20" t="str">
        <f aca="true">IFERROR(IF(AVERAGEIFS(INDIRECT(Index!$M$7),INDIRECT(Index!$L$7),"&gt;="&amp;$A236,INDIRECT(Index!$L$7),"&lt;"&amp;EDATE($A236,3))=0,"",AVERAGEIFS(INDIRECT(Index!$M$7),INDIRECT(Index!$L$7),"&gt;="&amp;$A236,INDIRECT(Index!$L$7),"&lt;"&amp;EDATE($A236,3))),"")</f>
        <v/>
      </c>
      <c r="C236" s="33" t="str">
        <f aca="false">IFERROR(B236/B235-1,"")</f>
        <v/>
      </c>
      <c r="D236" s="33" t="str">
        <f aca="false">IFERROR(B236/B232-1,"")</f>
        <v/>
      </c>
      <c r="E236" s="25" t="str">
        <f aca="false">IFERROR(IF(AND(B236="",ISNUMBER($C$209),ISNUMBER($G$209)),$C$209*(1+$G$209)^(($A236-$E$209)/365.25),""),"")</f>
        <v/>
      </c>
      <c r="F236" s="25" t="str">
        <f aca="false">IFERROR(IF(AND(B236="",ISNUMBER($C$209),ISNUMBER($G$209)),$C$209*(1+$G$209*0.85^MAX(0,($A236-$E$209)/91.25))^(($A236-$E$209)/365.25),""),"")</f>
        <v/>
      </c>
    </row>
    <row r="237" customFormat="false" ht="15" hidden="false" customHeight="false" outlineLevel="0" collapsed="false">
      <c r="A237" s="27" t="n">
        <v>41730</v>
      </c>
      <c r="B237" s="28" t="str">
        <f aca="true">IFERROR(IF(AVERAGEIFS(INDIRECT(Index!$M$7),INDIRECT(Index!$L$7),"&gt;="&amp;$A237,INDIRECT(Index!$L$7),"&lt;"&amp;EDATE($A237,3))=0,"",AVERAGEIFS(INDIRECT(Index!$M$7),INDIRECT(Index!$L$7),"&gt;="&amp;$A237,INDIRECT(Index!$L$7),"&lt;"&amp;EDATE($A237,3))),"")</f>
        <v/>
      </c>
      <c r="C237" s="29" t="str">
        <f aca="false">IFERROR(B237/B236-1,"")</f>
        <v/>
      </c>
      <c r="D237" s="29" t="str">
        <f aca="false">IFERROR(B237/B233-1,"")</f>
        <v/>
      </c>
      <c r="E237" s="31" t="str">
        <f aca="false">IFERROR(IF(AND(B237="",ISNUMBER($C$209),ISNUMBER($G$209)),$C$209*(1+$G$209)^(($A237-$E$209)/365.25),""),"")</f>
        <v/>
      </c>
      <c r="F237" s="31" t="str">
        <f aca="false">IFERROR(IF(AND(B237="",ISNUMBER($C$209),ISNUMBER($G$209)),$C$209*(1+$G$209*0.85^MAX(0,($A237-$E$209)/91.25))^(($A237-$E$209)/365.25),""),"")</f>
        <v/>
      </c>
    </row>
    <row r="238" customFormat="false" ht="15" hidden="false" customHeight="false" outlineLevel="0" collapsed="false">
      <c r="A238" s="15" t="n">
        <v>41821</v>
      </c>
      <c r="B238" s="20" t="str">
        <f aca="true">IFERROR(IF(AVERAGEIFS(INDIRECT(Index!$M$7),INDIRECT(Index!$L$7),"&gt;="&amp;$A238,INDIRECT(Index!$L$7),"&lt;"&amp;EDATE($A238,3))=0,"",AVERAGEIFS(INDIRECT(Index!$M$7),INDIRECT(Index!$L$7),"&gt;="&amp;$A238,INDIRECT(Index!$L$7),"&lt;"&amp;EDATE($A238,3))),"")</f>
        <v/>
      </c>
      <c r="C238" s="33" t="str">
        <f aca="false">IFERROR(B238/B237-1,"")</f>
        <v/>
      </c>
      <c r="D238" s="33" t="str">
        <f aca="false">IFERROR(B238/B234-1,"")</f>
        <v/>
      </c>
      <c r="E238" s="25" t="str">
        <f aca="false">IFERROR(IF(AND(B238="",ISNUMBER($C$209),ISNUMBER($G$209)),$C$209*(1+$G$209)^(($A238-$E$209)/365.25),""),"")</f>
        <v/>
      </c>
      <c r="F238" s="25" t="str">
        <f aca="false">IFERROR(IF(AND(B238="",ISNUMBER($C$209),ISNUMBER($G$209)),$C$209*(1+$G$209*0.85^MAX(0,($A238-$E$209)/91.25))^(($A238-$E$209)/365.25),""),"")</f>
        <v/>
      </c>
    </row>
    <row r="239" customFormat="false" ht="15" hidden="false" customHeight="false" outlineLevel="0" collapsed="false">
      <c r="A239" s="27" t="n">
        <v>41913</v>
      </c>
      <c r="B239" s="28" t="str">
        <f aca="true">IFERROR(IF(AVERAGEIFS(INDIRECT(Index!$M$7),INDIRECT(Index!$L$7),"&gt;="&amp;$A239,INDIRECT(Index!$L$7),"&lt;"&amp;EDATE($A239,3))=0,"",AVERAGEIFS(INDIRECT(Index!$M$7),INDIRECT(Index!$L$7),"&gt;="&amp;$A239,INDIRECT(Index!$L$7),"&lt;"&amp;EDATE($A239,3))),"")</f>
        <v/>
      </c>
      <c r="C239" s="29" t="str">
        <f aca="false">IFERROR(B239/B238-1,"")</f>
        <v/>
      </c>
      <c r="D239" s="29" t="str">
        <f aca="false">IFERROR(B239/B235-1,"")</f>
        <v/>
      </c>
      <c r="E239" s="31" t="str">
        <f aca="false">IFERROR(IF(AND(B239="",ISNUMBER($C$209),ISNUMBER($G$209)),$C$209*(1+$G$209)^(($A239-$E$209)/365.25),""),"")</f>
        <v/>
      </c>
      <c r="F239" s="31" t="str">
        <f aca="false">IFERROR(IF(AND(B239="",ISNUMBER($C$209),ISNUMBER($G$209)),$C$209*(1+$G$209*0.85^MAX(0,($A239-$E$209)/91.25))^(($A239-$E$209)/365.25),""),"")</f>
        <v/>
      </c>
    </row>
    <row r="240" customFormat="false" ht="15" hidden="false" customHeight="false" outlineLevel="0" collapsed="false">
      <c r="A240" s="15" t="n">
        <v>42005</v>
      </c>
      <c r="B240" s="20" t="str">
        <f aca="true">IFERROR(IF(AVERAGEIFS(INDIRECT(Index!$M$7),INDIRECT(Index!$L$7),"&gt;="&amp;$A240,INDIRECT(Index!$L$7),"&lt;"&amp;EDATE($A240,3))=0,"",AVERAGEIFS(INDIRECT(Index!$M$7),INDIRECT(Index!$L$7),"&gt;="&amp;$A240,INDIRECT(Index!$L$7),"&lt;"&amp;EDATE($A240,3))),"")</f>
        <v/>
      </c>
      <c r="C240" s="33" t="str">
        <f aca="false">IFERROR(B240/B239-1,"")</f>
        <v/>
      </c>
      <c r="D240" s="33" t="str">
        <f aca="false">IFERROR(B240/B236-1,"")</f>
        <v/>
      </c>
      <c r="E240" s="25" t="str">
        <f aca="false">IFERROR(IF(AND(B240="",ISNUMBER($C$209),ISNUMBER($G$209)),$C$209*(1+$G$209)^(($A240-$E$209)/365.25),""),"")</f>
        <v/>
      </c>
      <c r="F240" s="25" t="str">
        <f aca="false">IFERROR(IF(AND(B240="",ISNUMBER($C$209),ISNUMBER($G$209)),$C$209*(1+$G$209*0.85^MAX(0,($A240-$E$209)/91.25))^(($A240-$E$209)/365.25),""),"")</f>
        <v/>
      </c>
    </row>
    <row r="241" customFormat="false" ht="15" hidden="false" customHeight="false" outlineLevel="0" collapsed="false">
      <c r="A241" s="27" t="n">
        <v>42095</v>
      </c>
      <c r="B241" s="28" t="str">
        <f aca="true">IFERROR(IF(AVERAGEIFS(INDIRECT(Index!$M$7),INDIRECT(Index!$L$7),"&gt;="&amp;$A241,INDIRECT(Index!$L$7),"&lt;"&amp;EDATE($A241,3))=0,"",AVERAGEIFS(INDIRECT(Index!$M$7),INDIRECT(Index!$L$7),"&gt;="&amp;$A241,INDIRECT(Index!$L$7),"&lt;"&amp;EDATE($A241,3))),"")</f>
        <v/>
      </c>
      <c r="C241" s="29" t="str">
        <f aca="false">IFERROR(B241/B240-1,"")</f>
        <v/>
      </c>
      <c r="D241" s="29" t="str">
        <f aca="false">IFERROR(B241/B237-1,"")</f>
        <v/>
      </c>
      <c r="E241" s="31" t="str">
        <f aca="false">IFERROR(IF(AND(B241="",ISNUMBER($C$209),ISNUMBER($G$209)),$C$209*(1+$G$209)^(($A241-$E$209)/365.25),""),"")</f>
        <v/>
      </c>
      <c r="F241" s="31" t="str">
        <f aca="false">IFERROR(IF(AND(B241="",ISNUMBER($C$209),ISNUMBER($G$209)),$C$209*(1+$G$209*0.85^MAX(0,($A241-$E$209)/91.25))^(($A241-$E$209)/365.25),""),"")</f>
        <v/>
      </c>
    </row>
    <row r="242" customFormat="false" ht="15" hidden="false" customHeight="false" outlineLevel="0" collapsed="false">
      <c r="A242" s="15" t="n">
        <v>42186</v>
      </c>
      <c r="B242" s="20" t="str">
        <f aca="true">IFERROR(IF(AVERAGEIFS(INDIRECT(Index!$M$7),INDIRECT(Index!$L$7),"&gt;="&amp;$A242,INDIRECT(Index!$L$7),"&lt;"&amp;EDATE($A242,3))=0,"",AVERAGEIFS(INDIRECT(Index!$M$7),INDIRECT(Index!$L$7),"&gt;="&amp;$A242,INDIRECT(Index!$L$7),"&lt;"&amp;EDATE($A242,3))),"")</f>
        <v/>
      </c>
      <c r="C242" s="33" t="str">
        <f aca="false">IFERROR(B242/B241-1,"")</f>
        <v/>
      </c>
      <c r="D242" s="33" t="str">
        <f aca="false">IFERROR(B242/B238-1,"")</f>
        <v/>
      </c>
      <c r="E242" s="25" t="str">
        <f aca="false">IFERROR(IF(AND(B242="",ISNUMBER($C$209),ISNUMBER($G$209)),$C$209*(1+$G$209)^(($A242-$E$209)/365.25),""),"")</f>
        <v/>
      </c>
      <c r="F242" s="25" t="str">
        <f aca="false">IFERROR(IF(AND(B242="",ISNUMBER($C$209),ISNUMBER($G$209)),$C$209*(1+$G$209*0.85^MAX(0,($A242-$E$209)/91.25))^(($A242-$E$209)/365.25),""),"")</f>
        <v/>
      </c>
    </row>
    <row r="243" customFormat="false" ht="15" hidden="false" customHeight="false" outlineLevel="0" collapsed="false">
      <c r="A243" s="27" t="n">
        <v>42278</v>
      </c>
      <c r="B243" s="28" t="str">
        <f aca="true">IFERROR(IF(AVERAGEIFS(INDIRECT(Index!$M$7),INDIRECT(Index!$L$7),"&gt;="&amp;$A243,INDIRECT(Index!$L$7),"&lt;"&amp;EDATE($A243,3))=0,"",AVERAGEIFS(INDIRECT(Index!$M$7),INDIRECT(Index!$L$7),"&gt;="&amp;$A243,INDIRECT(Index!$L$7),"&lt;"&amp;EDATE($A243,3))),"")</f>
        <v/>
      </c>
      <c r="C243" s="29" t="str">
        <f aca="false">IFERROR(B243/B242-1,"")</f>
        <v/>
      </c>
      <c r="D243" s="29" t="str">
        <f aca="false">IFERROR(B243/B239-1,"")</f>
        <v/>
      </c>
      <c r="E243" s="31" t="str">
        <f aca="false">IFERROR(IF(AND(B243="",ISNUMBER($C$209),ISNUMBER($G$209)),$C$209*(1+$G$209)^(($A243-$E$209)/365.25),""),"")</f>
        <v/>
      </c>
      <c r="F243" s="31" t="str">
        <f aca="false">IFERROR(IF(AND(B243="",ISNUMBER($C$209),ISNUMBER($G$209)),$C$209*(1+$G$209*0.85^MAX(0,($A243-$E$209)/91.25))^(($A243-$E$209)/365.25),""),"")</f>
        <v/>
      </c>
    </row>
    <row r="244" customFormat="false" ht="15" hidden="false" customHeight="false" outlineLevel="0" collapsed="false">
      <c r="A244" s="15" t="n">
        <v>42370</v>
      </c>
      <c r="B244" s="20" t="str">
        <f aca="true">IFERROR(IF(AVERAGEIFS(INDIRECT(Index!$M$7),INDIRECT(Index!$L$7),"&gt;="&amp;$A244,INDIRECT(Index!$L$7),"&lt;"&amp;EDATE($A244,3))=0,"",AVERAGEIFS(INDIRECT(Index!$M$7),INDIRECT(Index!$L$7),"&gt;="&amp;$A244,INDIRECT(Index!$L$7),"&lt;"&amp;EDATE($A244,3))),"")</f>
        <v/>
      </c>
      <c r="C244" s="33" t="str">
        <f aca="false">IFERROR(B244/B243-1,"")</f>
        <v/>
      </c>
      <c r="D244" s="33" t="str">
        <f aca="false">IFERROR(B244/B240-1,"")</f>
        <v/>
      </c>
      <c r="E244" s="25" t="str">
        <f aca="false">IFERROR(IF(AND(B244="",ISNUMBER($C$209),ISNUMBER($G$209)),$C$209*(1+$G$209)^(($A244-$E$209)/365.25),""),"")</f>
        <v/>
      </c>
      <c r="F244" s="25" t="str">
        <f aca="false">IFERROR(IF(AND(B244="",ISNUMBER($C$209),ISNUMBER($G$209)),$C$209*(1+$G$209*0.85^MAX(0,($A244-$E$209)/91.25))^(($A244-$E$209)/365.25),""),"")</f>
        <v/>
      </c>
    </row>
    <row r="245" customFormat="false" ht="15" hidden="false" customHeight="false" outlineLevel="0" collapsed="false">
      <c r="A245" s="27" t="n">
        <v>42461</v>
      </c>
      <c r="B245" s="28" t="str">
        <f aca="true">IFERROR(IF(AVERAGEIFS(INDIRECT(Index!$M$7),INDIRECT(Index!$L$7),"&gt;="&amp;$A245,INDIRECT(Index!$L$7),"&lt;"&amp;EDATE($A245,3))=0,"",AVERAGEIFS(INDIRECT(Index!$M$7),INDIRECT(Index!$L$7),"&gt;="&amp;$A245,INDIRECT(Index!$L$7),"&lt;"&amp;EDATE($A245,3))),"")</f>
        <v/>
      </c>
      <c r="C245" s="29" t="str">
        <f aca="false">IFERROR(B245/B244-1,"")</f>
        <v/>
      </c>
      <c r="D245" s="29" t="str">
        <f aca="false">IFERROR(B245/B241-1,"")</f>
        <v/>
      </c>
      <c r="E245" s="31" t="str">
        <f aca="false">IFERROR(IF(AND(B245="",ISNUMBER($C$209),ISNUMBER($G$209)),$C$209*(1+$G$209)^(($A245-$E$209)/365.25),""),"")</f>
        <v/>
      </c>
      <c r="F245" s="31" t="str">
        <f aca="false">IFERROR(IF(AND(B245="",ISNUMBER($C$209),ISNUMBER($G$209)),$C$209*(1+$G$209*0.85^MAX(0,($A245-$E$209)/91.25))^(($A245-$E$209)/365.25),""),"")</f>
        <v/>
      </c>
    </row>
    <row r="246" customFormat="false" ht="15" hidden="false" customHeight="false" outlineLevel="0" collapsed="false">
      <c r="A246" s="15" t="n">
        <v>42552</v>
      </c>
      <c r="B246" s="20" t="str">
        <f aca="true">IFERROR(IF(AVERAGEIFS(INDIRECT(Index!$M$7),INDIRECT(Index!$L$7),"&gt;="&amp;$A246,INDIRECT(Index!$L$7),"&lt;"&amp;EDATE($A246,3))=0,"",AVERAGEIFS(INDIRECT(Index!$M$7),INDIRECT(Index!$L$7),"&gt;="&amp;$A246,INDIRECT(Index!$L$7),"&lt;"&amp;EDATE($A246,3))),"")</f>
        <v/>
      </c>
      <c r="C246" s="33" t="str">
        <f aca="false">IFERROR(B246/B245-1,"")</f>
        <v/>
      </c>
      <c r="D246" s="33" t="str">
        <f aca="false">IFERROR(B246/B242-1,"")</f>
        <v/>
      </c>
      <c r="E246" s="25" t="str">
        <f aca="false">IFERROR(IF(AND(B246="",ISNUMBER($C$209),ISNUMBER($G$209)),$C$209*(1+$G$209)^(($A246-$E$209)/365.25),""),"")</f>
        <v/>
      </c>
      <c r="F246" s="25" t="str">
        <f aca="false">IFERROR(IF(AND(B246="",ISNUMBER($C$209),ISNUMBER($G$209)),$C$209*(1+$G$209*0.85^MAX(0,($A246-$E$209)/91.25))^(($A246-$E$209)/365.25),""),"")</f>
        <v/>
      </c>
    </row>
    <row r="247" customFormat="false" ht="15" hidden="false" customHeight="false" outlineLevel="0" collapsed="false">
      <c r="A247" s="27" t="n">
        <v>42644</v>
      </c>
      <c r="B247" s="28" t="str">
        <f aca="true">IFERROR(IF(AVERAGEIFS(INDIRECT(Index!$M$7),INDIRECT(Index!$L$7),"&gt;="&amp;$A247,INDIRECT(Index!$L$7),"&lt;"&amp;EDATE($A247,3))=0,"",AVERAGEIFS(INDIRECT(Index!$M$7),INDIRECT(Index!$L$7),"&gt;="&amp;$A247,INDIRECT(Index!$L$7),"&lt;"&amp;EDATE($A247,3))),"")</f>
        <v/>
      </c>
      <c r="C247" s="29" t="str">
        <f aca="false">IFERROR(B247/B246-1,"")</f>
        <v/>
      </c>
      <c r="D247" s="29" t="str">
        <f aca="false">IFERROR(B247/B243-1,"")</f>
        <v/>
      </c>
      <c r="E247" s="31" t="str">
        <f aca="false">IFERROR(IF(AND(B247="",ISNUMBER($C$209),ISNUMBER($G$209)),$C$209*(1+$G$209)^(($A247-$E$209)/365.25),""),"")</f>
        <v/>
      </c>
      <c r="F247" s="31" t="str">
        <f aca="false">IFERROR(IF(AND(B247="",ISNUMBER($C$209),ISNUMBER($G$209)),$C$209*(1+$G$209*0.85^MAX(0,($A247-$E$209)/91.25))^(($A247-$E$209)/365.25),""),"")</f>
        <v/>
      </c>
    </row>
    <row r="248" customFormat="false" ht="15" hidden="false" customHeight="false" outlineLevel="0" collapsed="false">
      <c r="A248" s="15" t="n">
        <v>42736</v>
      </c>
      <c r="B248" s="20" t="str">
        <f aca="true">IFERROR(IF(AVERAGEIFS(INDIRECT(Index!$M$7),INDIRECT(Index!$L$7),"&gt;="&amp;$A248,INDIRECT(Index!$L$7),"&lt;"&amp;EDATE($A248,3))=0,"",AVERAGEIFS(INDIRECT(Index!$M$7),INDIRECT(Index!$L$7),"&gt;="&amp;$A248,INDIRECT(Index!$L$7),"&lt;"&amp;EDATE($A248,3))),"")</f>
        <v/>
      </c>
      <c r="C248" s="33" t="str">
        <f aca="false">IFERROR(B248/B247-1,"")</f>
        <v/>
      </c>
      <c r="D248" s="33" t="str">
        <f aca="false">IFERROR(B248/B244-1,"")</f>
        <v/>
      </c>
      <c r="E248" s="25" t="str">
        <f aca="false">IFERROR(IF(AND(B248="",ISNUMBER($C$209),ISNUMBER($G$209)),$C$209*(1+$G$209)^(($A248-$E$209)/365.25),""),"")</f>
        <v/>
      </c>
      <c r="F248" s="25" t="str">
        <f aca="false">IFERROR(IF(AND(B248="",ISNUMBER($C$209),ISNUMBER($G$209)),$C$209*(1+$G$209*0.85^MAX(0,($A248-$E$209)/91.25))^(($A248-$E$209)/365.25),""),"")</f>
        <v/>
      </c>
    </row>
    <row r="249" customFormat="false" ht="15" hidden="false" customHeight="false" outlineLevel="0" collapsed="false">
      <c r="A249" s="27" t="n">
        <v>42826</v>
      </c>
      <c r="B249" s="28" t="str">
        <f aca="true">IFERROR(IF(AVERAGEIFS(INDIRECT(Index!$M$7),INDIRECT(Index!$L$7),"&gt;="&amp;$A249,INDIRECT(Index!$L$7),"&lt;"&amp;EDATE($A249,3))=0,"",AVERAGEIFS(INDIRECT(Index!$M$7),INDIRECT(Index!$L$7),"&gt;="&amp;$A249,INDIRECT(Index!$L$7),"&lt;"&amp;EDATE($A249,3))),"")</f>
        <v/>
      </c>
      <c r="C249" s="29" t="str">
        <f aca="false">IFERROR(B249/B248-1,"")</f>
        <v/>
      </c>
      <c r="D249" s="29" t="str">
        <f aca="false">IFERROR(B249/B245-1,"")</f>
        <v/>
      </c>
      <c r="E249" s="31" t="str">
        <f aca="false">IFERROR(IF(AND(B249="",ISNUMBER($C$209),ISNUMBER($G$209)),$C$209*(1+$G$209)^(($A249-$E$209)/365.25),""),"")</f>
        <v/>
      </c>
      <c r="F249" s="31" t="str">
        <f aca="false">IFERROR(IF(AND(B249="",ISNUMBER($C$209),ISNUMBER($G$209)),$C$209*(1+$G$209*0.85^MAX(0,($A249-$E$209)/91.25))^(($A249-$E$209)/365.25),""),"")</f>
        <v/>
      </c>
    </row>
    <row r="250" customFormat="false" ht="15" hidden="false" customHeight="false" outlineLevel="0" collapsed="false">
      <c r="A250" s="15" t="n">
        <v>42917</v>
      </c>
      <c r="B250" s="20" t="str">
        <f aca="true">IFERROR(IF(AVERAGEIFS(INDIRECT(Index!$M$7),INDIRECT(Index!$L$7),"&gt;="&amp;$A250,INDIRECT(Index!$L$7),"&lt;"&amp;EDATE($A250,3))=0,"",AVERAGEIFS(INDIRECT(Index!$M$7),INDIRECT(Index!$L$7),"&gt;="&amp;$A250,INDIRECT(Index!$L$7),"&lt;"&amp;EDATE($A250,3))),"")</f>
        <v/>
      </c>
      <c r="C250" s="33" t="str">
        <f aca="false">IFERROR(B250/B249-1,"")</f>
        <v/>
      </c>
      <c r="D250" s="33" t="str">
        <f aca="false">IFERROR(B250/B246-1,"")</f>
        <v/>
      </c>
      <c r="E250" s="25" t="str">
        <f aca="false">IFERROR(IF(AND(B250="",ISNUMBER($C$209),ISNUMBER($G$209)),$C$209*(1+$G$209)^(($A250-$E$209)/365.25),""),"")</f>
        <v/>
      </c>
      <c r="F250" s="25" t="str">
        <f aca="false">IFERROR(IF(AND(B250="",ISNUMBER($C$209),ISNUMBER($G$209)),$C$209*(1+$G$209*0.85^MAX(0,($A250-$E$209)/91.25))^(($A250-$E$209)/365.25),""),"")</f>
        <v/>
      </c>
    </row>
    <row r="251" customFormat="false" ht="15" hidden="false" customHeight="false" outlineLevel="0" collapsed="false">
      <c r="A251" s="27" t="n">
        <v>43009</v>
      </c>
      <c r="B251" s="28" t="str">
        <f aca="true">IFERROR(IF(AVERAGEIFS(INDIRECT(Index!$M$7),INDIRECT(Index!$L$7),"&gt;="&amp;$A251,INDIRECT(Index!$L$7),"&lt;"&amp;EDATE($A251,3))=0,"",AVERAGEIFS(INDIRECT(Index!$M$7),INDIRECT(Index!$L$7),"&gt;="&amp;$A251,INDIRECT(Index!$L$7),"&lt;"&amp;EDATE($A251,3))),"")</f>
        <v/>
      </c>
      <c r="C251" s="29" t="str">
        <f aca="false">IFERROR(B251/B250-1,"")</f>
        <v/>
      </c>
      <c r="D251" s="29" t="str">
        <f aca="false">IFERROR(B251/B247-1,"")</f>
        <v/>
      </c>
      <c r="E251" s="31" t="str">
        <f aca="false">IFERROR(IF(AND(B251="",ISNUMBER($C$209),ISNUMBER($G$209)),$C$209*(1+$G$209)^(($A251-$E$209)/365.25),""),"")</f>
        <v/>
      </c>
      <c r="F251" s="31" t="str">
        <f aca="false">IFERROR(IF(AND(B251="",ISNUMBER($C$209),ISNUMBER($G$209)),$C$209*(1+$G$209*0.85^MAX(0,($A251-$E$209)/91.25))^(($A251-$E$209)/365.25),""),"")</f>
        <v/>
      </c>
    </row>
    <row r="252" customFormat="false" ht="15" hidden="false" customHeight="false" outlineLevel="0" collapsed="false">
      <c r="A252" s="15" t="n">
        <v>43101</v>
      </c>
      <c r="B252" s="20" t="str">
        <f aca="true">IFERROR(IF(AVERAGEIFS(INDIRECT(Index!$M$7),INDIRECT(Index!$L$7),"&gt;="&amp;$A252,INDIRECT(Index!$L$7),"&lt;"&amp;EDATE($A252,3))=0,"",AVERAGEIFS(INDIRECT(Index!$M$7),INDIRECT(Index!$L$7),"&gt;="&amp;$A252,INDIRECT(Index!$L$7),"&lt;"&amp;EDATE($A252,3))),"")</f>
        <v/>
      </c>
      <c r="C252" s="33" t="str">
        <f aca="false">IFERROR(B252/B251-1,"")</f>
        <v/>
      </c>
      <c r="D252" s="33" t="str">
        <f aca="false">IFERROR(B252/B248-1,"")</f>
        <v/>
      </c>
      <c r="E252" s="25" t="str">
        <f aca="false">IFERROR(IF(AND(B252="",ISNUMBER($C$209),ISNUMBER($G$209)),$C$209*(1+$G$209)^(($A252-$E$209)/365.25),""),"")</f>
        <v/>
      </c>
      <c r="F252" s="25" t="str">
        <f aca="false">IFERROR(IF(AND(B252="",ISNUMBER($C$209),ISNUMBER($G$209)),$C$209*(1+$G$209*0.85^MAX(0,($A252-$E$209)/91.25))^(($A252-$E$209)/365.25),""),"")</f>
        <v/>
      </c>
    </row>
    <row r="253" customFormat="false" ht="15" hidden="false" customHeight="false" outlineLevel="0" collapsed="false">
      <c r="A253" s="27" t="n">
        <v>43191</v>
      </c>
      <c r="B253" s="28" t="str">
        <f aca="true">IFERROR(IF(AVERAGEIFS(INDIRECT(Index!$M$7),INDIRECT(Index!$L$7),"&gt;="&amp;$A253,INDIRECT(Index!$L$7),"&lt;"&amp;EDATE($A253,3))=0,"",AVERAGEIFS(INDIRECT(Index!$M$7),INDIRECT(Index!$L$7),"&gt;="&amp;$A253,INDIRECT(Index!$L$7),"&lt;"&amp;EDATE($A253,3))),"")</f>
        <v/>
      </c>
      <c r="C253" s="29" t="str">
        <f aca="false">IFERROR(B253/B252-1,"")</f>
        <v/>
      </c>
      <c r="D253" s="29" t="str">
        <f aca="false">IFERROR(B253/B249-1,"")</f>
        <v/>
      </c>
      <c r="E253" s="31" t="str">
        <f aca="false">IFERROR(IF(AND(B253="",ISNUMBER($C$209),ISNUMBER($G$209)),$C$209*(1+$G$209)^(($A253-$E$209)/365.25),""),"")</f>
        <v/>
      </c>
      <c r="F253" s="31" t="str">
        <f aca="false">IFERROR(IF(AND(B253="",ISNUMBER($C$209),ISNUMBER($G$209)),$C$209*(1+$G$209*0.85^MAX(0,($A253-$E$209)/91.25))^(($A253-$E$209)/365.25),""),"")</f>
        <v/>
      </c>
    </row>
    <row r="254" customFormat="false" ht="15" hidden="false" customHeight="false" outlineLevel="0" collapsed="false">
      <c r="A254" s="15" t="n">
        <v>43282</v>
      </c>
      <c r="B254" s="20" t="str">
        <f aca="true">IFERROR(IF(AVERAGEIFS(INDIRECT(Index!$M$7),INDIRECT(Index!$L$7),"&gt;="&amp;$A254,INDIRECT(Index!$L$7),"&lt;"&amp;EDATE($A254,3))=0,"",AVERAGEIFS(INDIRECT(Index!$M$7),INDIRECT(Index!$L$7),"&gt;="&amp;$A254,INDIRECT(Index!$L$7),"&lt;"&amp;EDATE($A254,3))),"")</f>
        <v/>
      </c>
      <c r="C254" s="33" t="str">
        <f aca="false">IFERROR(B254/B253-1,"")</f>
        <v/>
      </c>
      <c r="D254" s="33" t="str">
        <f aca="false">IFERROR(B254/B250-1,"")</f>
        <v/>
      </c>
      <c r="E254" s="25" t="str">
        <f aca="false">IFERROR(IF(AND(B254="",ISNUMBER($C$209),ISNUMBER($G$209)),$C$209*(1+$G$209)^(($A254-$E$209)/365.25),""),"")</f>
        <v/>
      </c>
      <c r="F254" s="25" t="str">
        <f aca="false">IFERROR(IF(AND(B254="",ISNUMBER($C$209),ISNUMBER($G$209)),$C$209*(1+$G$209*0.85^MAX(0,($A254-$E$209)/91.25))^(($A254-$E$209)/365.25),""),"")</f>
        <v/>
      </c>
    </row>
    <row r="255" customFormat="false" ht="15" hidden="false" customHeight="false" outlineLevel="0" collapsed="false">
      <c r="A255" s="27" t="n">
        <v>43374</v>
      </c>
      <c r="B255" s="28" t="str">
        <f aca="true">IFERROR(IF(AVERAGEIFS(INDIRECT(Index!$M$7),INDIRECT(Index!$L$7),"&gt;="&amp;$A255,INDIRECT(Index!$L$7),"&lt;"&amp;EDATE($A255,3))=0,"",AVERAGEIFS(INDIRECT(Index!$M$7),INDIRECT(Index!$L$7),"&gt;="&amp;$A255,INDIRECT(Index!$L$7),"&lt;"&amp;EDATE($A255,3))),"")</f>
        <v/>
      </c>
      <c r="C255" s="29" t="str">
        <f aca="false">IFERROR(B255/B254-1,"")</f>
        <v/>
      </c>
      <c r="D255" s="29" t="str">
        <f aca="false">IFERROR(B255/B251-1,"")</f>
        <v/>
      </c>
      <c r="E255" s="31" t="str">
        <f aca="false">IFERROR(IF(AND(B255="",ISNUMBER($C$209),ISNUMBER($G$209)),$C$209*(1+$G$209)^(($A255-$E$209)/365.25),""),"")</f>
        <v/>
      </c>
      <c r="F255" s="31" t="str">
        <f aca="false">IFERROR(IF(AND(B255="",ISNUMBER($C$209),ISNUMBER($G$209)),$C$209*(1+$G$209*0.85^MAX(0,($A255-$E$209)/91.25))^(($A255-$E$209)/365.25),""),"")</f>
        <v/>
      </c>
    </row>
    <row r="256" customFormat="false" ht="15" hidden="false" customHeight="false" outlineLevel="0" collapsed="false">
      <c r="A256" s="15" t="n">
        <v>43466</v>
      </c>
      <c r="B256" s="20" t="str">
        <f aca="true">IFERROR(IF(AVERAGEIFS(INDIRECT(Index!$M$7),INDIRECT(Index!$L$7),"&gt;="&amp;$A256,INDIRECT(Index!$L$7),"&lt;"&amp;EDATE($A256,3))=0,"",AVERAGEIFS(INDIRECT(Index!$M$7),INDIRECT(Index!$L$7),"&gt;="&amp;$A256,INDIRECT(Index!$L$7),"&lt;"&amp;EDATE($A256,3))),"")</f>
        <v/>
      </c>
      <c r="C256" s="33" t="str">
        <f aca="false">IFERROR(B256/B255-1,"")</f>
        <v/>
      </c>
      <c r="D256" s="33" t="str">
        <f aca="false">IFERROR(B256/B252-1,"")</f>
        <v/>
      </c>
      <c r="E256" s="25" t="str">
        <f aca="false">IFERROR(IF(AND(B256="",ISNUMBER($C$209),ISNUMBER($G$209)),$C$209*(1+$G$209)^(($A256-$E$209)/365.25),""),"")</f>
        <v/>
      </c>
      <c r="F256" s="25" t="str">
        <f aca="false">IFERROR(IF(AND(B256="",ISNUMBER($C$209),ISNUMBER($G$209)),$C$209*(1+$G$209*0.85^MAX(0,($A256-$E$209)/91.25))^(($A256-$E$209)/365.25),""),"")</f>
        <v/>
      </c>
    </row>
    <row r="257" customFormat="false" ht="15" hidden="false" customHeight="false" outlineLevel="0" collapsed="false">
      <c r="A257" s="27" t="n">
        <v>43556</v>
      </c>
      <c r="B257" s="28" t="str">
        <f aca="true">IFERROR(IF(AVERAGEIFS(INDIRECT(Index!$M$7),INDIRECT(Index!$L$7),"&gt;="&amp;$A257,INDIRECT(Index!$L$7),"&lt;"&amp;EDATE($A257,3))=0,"",AVERAGEIFS(INDIRECT(Index!$M$7),INDIRECT(Index!$L$7),"&gt;="&amp;$A257,INDIRECT(Index!$L$7),"&lt;"&amp;EDATE($A257,3))),"")</f>
        <v/>
      </c>
      <c r="C257" s="29" t="str">
        <f aca="false">IFERROR(B257/B256-1,"")</f>
        <v/>
      </c>
      <c r="D257" s="29" t="str">
        <f aca="false">IFERROR(B257/B253-1,"")</f>
        <v/>
      </c>
      <c r="E257" s="31" t="str">
        <f aca="false">IFERROR(IF(AND(B257="",ISNUMBER($C$209),ISNUMBER($G$209)),$C$209*(1+$G$209)^(($A257-$E$209)/365.25),""),"")</f>
        <v/>
      </c>
      <c r="F257" s="31" t="str">
        <f aca="false">IFERROR(IF(AND(B257="",ISNUMBER($C$209),ISNUMBER($G$209)),$C$209*(1+$G$209*0.85^MAX(0,($A257-$E$209)/91.25))^(($A257-$E$209)/365.25),""),"")</f>
        <v/>
      </c>
    </row>
    <row r="258" customFormat="false" ht="15" hidden="false" customHeight="false" outlineLevel="0" collapsed="false">
      <c r="A258" s="15" t="n">
        <v>43647</v>
      </c>
      <c r="B258" s="20" t="str">
        <f aca="true">IFERROR(IF(AVERAGEIFS(INDIRECT(Index!$M$7),INDIRECT(Index!$L$7),"&gt;="&amp;$A258,INDIRECT(Index!$L$7),"&lt;"&amp;EDATE($A258,3))=0,"",AVERAGEIFS(INDIRECT(Index!$M$7),INDIRECT(Index!$L$7),"&gt;="&amp;$A258,INDIRECT(Index!$L$7),"&lt;"&amp;EDATE($A258,3))),"")</f>
        <v/>
      </c>
      <c r="C258" s="33" t="str">
        <f aca="false">IFERROR(B258/B257-1,"")</f>
        <v/>
      </c>
      <c r="D258" s="33" t="str">
        <f aca="false">IFERROR(B258/B254-1,"")</f>
        <v/>
      </c>
      <c r="E258" s="25" t="str">
        <f aca="false">IFERROR(IF(AND(B258="",ISNUMBER($C$209),ISNUMBER($G$209)),$C$209*(1+$G$209)^(($A258-$E$209)/365.25),""),"")</f>
        <v/>
      </c>
      <c r="F258" s="25" t="str">
        <f aca="false">IFERROR(IF(AND(B258="",ISNUMBER($C$209),ISNUMBER($G$209)),$C$209*(1+$G$209*0.85^MAX(0,($A258-$E$209)/91.25))^(($A258-$E$209)/365.25),""),"")</f>
        <v/>
      </c>
    </row>
    <row r="259" customFormat="false" ht="15" hidden="false" customHeight="false" outlineLevel="0" collapsed="false">
      <c r="A259" s="27" t="n">
        <v>43739</v>
      </c>
      <c r="B259" s="28" t="str">
        <f aca="true">IFERROR(IF(AVERAGEIFS(INDIRECT(Index!$M$7),INDIRECT(Index!$L$7),"&gt;="&amp;$A259,INDIRECT(Index!$L$7),"&lt;"&amp;EDATE($A259,3))=0,"",AVERAGEIFS(INDIRECT(Index!$M$7),INDIRECT(Index!$L$7),"&gt;="&amp;$A259,INDIRECT(Index!$L$7),"&lt;"&amp;EDATE($A259,3))),"")</f>
        <v/>
      </c>
      <c r="C259" s="29" t="str">
        <f aca="false">IFERROR(B259/B258-1,"")</f>
        <v/>
      </c>
      <c r="D259" s="29" t="str">
        <f aca="false">IFERROR(B259/B255-1,"")</f>
        <v/>
      </c>
      <c r="E259" s="31" t="str">
        <f aca="false">IFERROR(IF(AND(B259="",ISNUMBER($C$209),ISNUMBER($G$209)),$C$209*(1+$G$209)^(($A259-$E$209)/365.25),""),"")</f>
        <v/>
      </c>
      <c r="F259" s="31" t="str">
        <f aca="false">IFERROR(IF(AND(B259="",ISNUMBER($C$209),ISNUMBER($G$209)),$C$209*(1+$G$209*0.85^MAX(0,($A259-$E$209)/91.25))^(($A259-$E$209)/365.25),""),"")</f>
        <v/>
      </c>
    </row>
    <row r="260" customFormat="false" ht="15" hidden="false" customHeight="false" outlineLevel="0" collapsed="false">
      <c r="A260" s="15" t="n">
        <v>43831</v>
      </c>
      <c r="B260" s="20" t="str">
        <f aca="true">IFERROR(IF(AVERAGEIFS(INDIRECT(Index!$M$7),INDIRECT(Index!$L$7),"&gt;="&amp;$A260,INDIRECT(Index!$L$7),"&lt;"&amp;EDATE($A260,3))=0,"",AVERAGEIFS(INDIRECT(Index!$M$7),INDIRECT(Index!$L$7),"&gt;="&amp;$A260,INDIRECT(Index!$L$7),"&lt;"&amp;EDATE($A260,3))),"")</f>
        <v/>
      </c>
      <c r="C260" s="33" t="str">
        <f aca="false">IFERROR(B260/B259-1,"")</f>
        <v/>
      </c>
      <c r="D260" s="33" t="str">
        <f aca="false">IFERROR(B260/B256-1,"")</f>
        <v/>
      </c>
      <c r="E260" s="25" t="str">
        <f aca="false">IFERROR(IF(AND(B260="",ISNUMBER($C$209),ISNUMBER($G$209)),$C$209*(1+$G$209)^(($A260-$E$209)/365.25),""),"")</f>
        <v/>
      </c>
      <c r="F260" s="25" t="str">
        <f aca="false">IFERROR(IF(AND(B260="",ISNUMBER($C$209),ISNUMBER($G$209)),$C$209*(1+$G$209*0.85^MAX(0,($A260-$E$209)/91.25))^(($A260-$E$209)/365.25),""),"")</f>
        <v/>
      </c>
    </row>
    <row r="261" customFormat="false" ht="15" hidden="false" customHeight="false" outlineLevel="0" collapsed="false">
      <c r="A261" s="27" t="n">
        <v>43922</v>
      </c>
      <c r="B261" s="28" t="str">
        <f aca="true">IFERROR(IF(AVERAGEIFS(INDIRECT(Index!$M$7),INDIRECT(Index!$L$7),"&gt;="&amp;$A261,INDIRECT(Index!$L$7),"&lt;"&amp;EDATE($A261,3))=0,"",AVERAGEIFS(INDIRECT(Index!$M$7),INDIRECT(Index!$L$7),"&gt;="&amp;$A261,INDIRECT(Index!$L$7),"&lt;"&amp;EDATE($A261,3))),"")</f>
        <v/>
      </c>
      <c r="C261" s="29" t="str">
        <f aca="false">IFERROR(B261/B260-1,"")</f>
        <v/>
      </c>
      <c r="D261" s="29" t="str">
        <f aca="false">IFERROR(B261/B257-1,"")</f>
        <v/>
      </c>
      <c r="E261" s="31" t="str">
        <f aca="false">IFERROR(IF(AND(B261="",ISNUMBER($C$209),ISNUMBER($G$209)),$C$209*(1+$G$209)^(($A261-$E$209)/365.25),""),"")</f>
        <v/>
      </c>
      <c r="F261" s="31" t="str">
        <f aca="false">IFERROR(IF(AND(B261="",ISNUMBER($C$209),ISNUMBER($G$209)),$C$209*(1+$G$209*0.85^MAX(0,($A261-$E$209)/91.25))^(($A261-$E$209)/365.25),""),"")</f>
        <v/>
      </c>
    </row>
    <row r="262" customFormat="false" ht="15" hidden="false" customHeight="false" outlineLevel="0" collapsed="false">
      <c r="A262" s="15" t="n">
        <v>44013</v>
      </c>
      <c r="B262" s="20" t="str">
        <f aca="true">IFERROR(IF(AVERAGEIFS(INDIRECT(Index!$M$7),INDIRECT(Index!$L$7),"&gt;="&amp;$A262,INDIRECT(Index!$L$7),"&lt;"&amp;EDATE($A262,3))=0,"",AVERAGEIFS(INDIRECT(Index!$M$7),INDIRECT(Index!$L$7),"&gt;="&amp;$A262,INDIRECT(Index!$L$7),"&lt;"&amp;EDATE($A262,3))),"")</f>
        <v/>
      </c>
      <c r="C262" s="33" t="str">
        <f aca="false">IFERROR(B262/B261-1,"")</f>
        <v/>
      </c>
      <c r="D262" s="33" t="str">
        <f aca="false">IFERROR(B262/B258-1,"")</f>
        <v/>
      </c>
      <c r="E262" s="25" t="str">
        <f aca="false">IFERROR(IF(AND(B262="",ISNUMBER($C$209),ISNUMBER($G$209)),$C$209*(1+$G$209)^(($A262-$E$209)/365.25),""),"")</f>
        <v/>
      </c>
      <c r="F262" s="25" t="str">
        <f aca="false">IFERROR(IF(AND(B262="",ISNUMBER($C$209),ISNUMBER($G$209)),$C$209*(1+$G$209*0.85^MAX(0,($A262-$E$209)/91.25))^(($A262-$E$209)/365.25),""),"")</f>
        <v/>
      </c>
    </row>
    <row r="263" customFormat="false" ht="15" hidden="false" customHeight="false" outlineLevel="0" collapsed="false">
      <c r="A263" s="27" t="n">
        <v>44105</v>
      </c>
      <c r="B263" s="28" t="str">
        <f aca="true">IFERROR(IF(AVERAGEIFS(INDIRECT(Index!$M$7),INDIRECT(Index!$L$7),"&gt;="&amp;$A263,INDIRECT(Index!$L$7),"&lt;"&amp;EDATE($A263,3))=0,"",AVERAGEIFS(INDIRECT(Index!$M$7),INDIRECT(Index!$L$7),"&gt;="&amp;$A263,INDIRECT(Index!$L$7),"&lt;"&amp;EDATE($A263,3))),"")</f>
        <v/>
      </c>
      <c r="C263" s="29" t="str">
        <f aca="false">IFERROR(B263/B262-1,"")</f>
        <v/>
      </c>
      <c r="D263" s="29" t="str">
        <f aca="false">IFERROR(B263/B259-1,"")</f>
        <v/>
      </c>
      <c r="E263" s="31" t="str">
        <f aca="false">IFERROR(IF(AND(B263="",ISNUMBER($C$209),ISNUMBER($G$209)),$C$209*(1+$G$209)^(($A263-$E$209)/365.25),""),"")</f>
        <v/>
      </c>
      <c r="F263" s="31" t="str">
        <f aca="false">IFERROR(IF(AND(B263="",ISNUMBER($C$209),ISNUMBER($G$209)),$C$209*(1+$G$209*0.85^MAX(0,($A263-$E$209)/91.25))^(($A263-$E$209)/365.25),""),"")</f>
        <v/>
      </c>
    </row>
    <row r="264" customFormat="false" ht="15" hidden="false" customHeight="false" outlineLevel="0" collapsed="false">
      <c r="A264" s="15" t="n">
        <v>44197</v>
      </c>
      <c r="B264" s="20" t="str">
        <f aca="true">IFERROR(IF(AVERAGEIFS(INDIRECT(Index!$M$7),INDIRECT(Index!$L$7),"&gt;="&amp;$A264,INDIRECT(Index!$L$7),"&lt;"&amp;EDATE($A264,3))=0,"",AVERAGEIFS(INDIRECT(Index!$M$7),INDIRECT(Index!$L$7),"&gt;="&amp;$A264,INDIRECT(Index!$L$7),"&lt;"&amp;EDATE($A264,3))),"")</f>
        <v/>
      </c>
      <c r="C264" s="33" t="str">
        <f aca="false">IFERROR(B264/B263-1,"")</f>
        <v/>
      </c>
      <c r="D264" s="33" t="str">
        <f aca="false">IFERROR(B264/B260-1,"")</f>
        <v/>
      </c>
      <c r="E264" s="25" t="str">
        <f aca="false">IFERROR(IF(AND(B264="",ISNUMBER($C$209),ISNUMBER($G$209)),$C$209*(1+$G$209)^(($A264-$E$209)/365.25),""),"")</f>
        <v/>
      </c>
      <c r="F264" s="25" t="str">
        <f aca="false">IFERROR(IF(AND(B264="",ISNUMBER($C$209),ISNUMBER($G$209)),$C$209*(1+$G$209*0.85^MAX(0,($A264-$E$209)/91.25))^(($A264-$E$209)/365.25),""),"")</f>
        <v/>
      </c>
    </row>
    <row r="265" customFormat="false" ht="15" hidden="false" customHeight="false" outlineLevel="0" collapsed="false">
      <c r="A265" s="27" t="n">
        <v>44287</v>
      </c>
      <c r="B265" s="28" t="str">
        <f aca="true">IFERROR(IF(AVERAGEIFS(INDIRECT(Index!$M$7),INDIRECT(Index!$L$7),"&gt;="&amp;$A265,INDIRECT(Index!$L$7),"&lt;"&amp;EDATE($A265,3))=0,"",AVERAGEIFS(INDIRECT(Index!$M$7),INDIRECT(Index!$L$7),"&gt;="&amp;$A265,INDIRECT(Index!$L$7),"&lt;"&amp;EDATE($A265,3))),"")</f>
        <v/>
      </c>
      <c r="C265" s="29" t="str">
        <f aca="false">IFERROR(B265/B264-1,"")</f>
        <v/>
      </c>
      <c r="D265" s="29" t="str">
        <f aca="false">IFERROR(B265/B261-1,"")</f>
        <v/>
      </c>
      <c r="E265" s="31" t="str">
        <f aca="false">IFERROR(IF(AND(B265="",ISNUMBER($C$209),ISNUMBER($G$209)),$C$209*(1+$G$209)^(($A265-$E$209)/365.25),""),"")</f>
        <v/>
      </c>
      <c r="F265" s="31" t="str">
        <f aca="false">IFERROR(IF(AND(B265="",ISNUMBER($C$209),ISNUMBER($G$209)),$C$209*(1+$G$209*0.85^MAX(0,($A265-$E$209)/91.25))^(($A265-$E$209)/365.25),""),"")</f>
        <v/>
      </c>
    </row>
    <row r="266" customFormat="false" ht="15" hidden="false" customHeight="false" outlineLevel="0" collapsed="false">
      <c r="A266" s="15" t="n">
        <v>44378</v>
      </c>
      <c r="B266" s="20" t="str">
        <f aca="true">IFERROR(IF(AVERAGEIFS(INDIRECT(Index!$M$7),INDIRECT(Index!$L$7),"&gt;="&amp;$A266,INDIRECT(Index!$L$7),"&lt;"&amp;EDATE($A266,3))=0,"",AVERAGEIFS(INDIRECT(Index!$M$7),INDIRECT(Index!$L$7),"&gt;="&amp;$A266,INDIRECT(Index!$L$7),"&lt;"&amp;EDATE($A266,3))),"")</f>
        <v/>
      </c>
      <c r="C266" s="33" t="str">
        <f aca="false">IFERROR(B266/B265-1,"")</f>
        <v/>
      </c>
      <c r="D266" s="33" t="str">
        <f aca="false">IFERROR(B266/B262-1,"")</f>
        <v/>
      </c>
      <c r="E266" s="25" t="str">
        <f aca="false">IFERROR(IF(AND(B266="",ISNUMBER($C$209),ISNUMBER($G$209)),$C$209*(1+$G$209)^(($A266-$E$209)/365.25),""),"")</f>
        <v/>
      </c>
      <c r="F266" s="25" t="str">
        <f aca="false">IFERROR(IF(AND(B266="",ISNUMBER($C$209),ISNUMBER($G$209)),$C$209*(1+$G$209*0.85^MAX(0,($A266-$E$209)/91.25))^(($A266-$E$209)/365.25),""),"")</f>
        <v/>
      </c>
    </row>
    <row r="267" customFormat="false" ht="15" hidden="false" customHeight="false" outlineLevel="0" collapsed="false">
      <c r="A267" s="27" t="n">
        <v>44470</v>
      </c>
      <c r="B267" s="28" t="str">
        <f aca="true">IFERROR(IF(AVERAGEIFS(INDIRECT(Index!$M$7),INDIRECT(Index!$L$7),"&gt;="&amp;$A267,INDIRECT(Index!$L$7),"&lt;"&amp;EDATE($A267,3))=0,"",AVERAGEIFS(INDIRECT(Index!$M$7),INDIRECT(Index!$L$7),"&gt;="&amp;$A267,INDIRECT(Index!$L$7),"&lt;"&amp;EDATE($A267,3))),"")</f>
        <v/>
      </c>
      <c r="C267" s="29" t="str">
        <f aca="false">IFERROR(B267/B266-1,"")</f>
        <v/>
      </c>
      <c r="D267" s="29" t="str">
        <f aca="false">IFERROR(B267/B263-1,"")</f>
        <v/>
      </c>
      <c r="E267" s="31" t="str">
        <f aca="false">IFERROR(IF(AND(B267="",ISNUMBER($C$209),ISNUMBER($G$209)),$C$209*(1+$G$209)^(($A267-$E$209)/365.25),""),"")</f>
        <v/>
      </c>
      <c r="F267" s="31" t="str">
        <f aca="false">IFERROR(IF(AND(B267="",ISNUMBER($C$209),ISNUMBER($G$209)),$C$209*(1+$G$209*0.85^MAX(0,($A267-$E$209)/91.25))^(($A267-$E$209)/365.25),""),"")</f>
        <v/>
      </c>
    </row>
    <row r="268" customFormat="false" ht="15" hidden="false" customHeight="false" outlineLevel="0" collapsed="false">
      <c r="A268" s="15" t="n">
        <v>44562</v>
      </c>
      <c r="B268" s="20" t="str">
        <f aca="true">IFERROR(IF(AVERAGEIFS(INDIRECT(Index!$M$7),INDIRECT(Index!$L$7),"&gt;="&amp;$A268,INDIRECT(Index!$L$7),"&lt;"&amp;EDATE($A268,3))=0,"",AVERAGEIFS(INDIRECT(Index!$M$7),INDIRECT(Index!$L$7),"&gt;="&amp;$A268,INDIRECT(Index!$L$7),"&lt;"&amp;EDATE($A268,3))),"")</f>
        <v/>
      </c>
      <c r="C268" s="33" t="str">
        <f aca="false">IFERROR(B268/B267-1,"")</f>
        <v/>
      </c>
      <c r="D268" s="33" t="str">
        <f aca="false">IFERROR(B268/B264-1,"")</f>
        <v/>
      </c>
      <c r="E268" s="25" t="str">
        <f aca="false">IFERROR(IF(AND(B268="",ISNUMBER($C$209),ISNUMBER($G$209)),$C$209*(1+$G$209)^(($A268-$E$209)/365.25),""),"")</f>
        <v/>
      </c>
      <c r="F268" s="25" t="str">
        <f aca="false">IFERROR(IF(AND(B268="",ISNUMBER($C$209),ISNUMBER($G$209)),$C$209*(1+$G$209*0.85^MAX(0,($A268-$E$209)/91.25))^(($A268-$E$209)/365.25),""),"")</f>
        <v/>
      </c>
    </row>
    <row r="269" customFormat="false" ht="15" hidden="false" customHeight="false" outlineLevel="0" collapsed="false">
      <c r="A269" s="27" t="n">
        <v>44652</v>
      </c>
      <c r="B269" s="28" t="str">
        <f aca="true">IFERROR(IF(AVERAGEIFS(INDIRECT(Index!$M$7),INDIRECT(Index!$L$7),"&gt;="&amp;$A269,INDIRECT(Index!$L$7),"&lt;"&amp;EDATE($A269,3))=0,"",AVERAGEIFS(INDIRECT(Index!$M$7),INDIRECT(Index!$L$7),"&gt;="&amp;$A269,INDIRECT(Index!$L$7),"&lt;"&amp;EDATE($A269,3))),"")</f>
        <v/>
      </c>
      <c r="C269" s="29" t="str">
        <f aca="false">IFERROR(B269/B268-1,"")</f>
        <v/>
      </c>
      <c r="D269" s="29" t="str">
        <f aca="false">IFERROR(B269/B265-1,"")</f>
        <v/>
      </c>
      <c r="E269" s="31" t="str">
        <f aca="false">IFERROR(IF(AND(B269="",ISNUMBER($C$209),ISNUMBER($G$209)),$C$209*(1+$G$209)^(($A269-$E$209)/365.25),""),"")</f>
        <v/>
      </c>
      <c r="F269" s="31" t="str">
        <f aca="false">IFERROR(IF(AND(B269="",ISNUMBER($C$209),ISNUMBER($G$209)),$C$209*(1+$G$209*0.85^MAX(0,($A269-$E$209)/91.25))^(($A269-$E$209)/365.25),""),"")</f>
        <v/>
      </c>
    </row>
    <row r="270" customFormat="false" ht="15" hidden="false" customHeight="false" outlineLevel="0" collapsed="false">
      <c r="A270" s="15" t="n">
        <v>44743</v>
      </c>
      <c r="B270" s="20" t="str">
        <f aca="true">IFERROR(IF(AVERAGEIFS(INDIRECT(Index!$M$7),INDIRECT(Index!$L$7),"&gt;="&amp;$A270,INDIRECT(Index!$L$7),"&lt;"&amp;EDATE($A270,3))=0,"",AVERAGEIFS(INDIRECT(Index!$M$7),INDIRECT(Index!$L$7),"&gt;="&amp;$A270,INDIRECT(Index!$L$7),"&lt;"&amp;EDATE($A270,3))),"")</f>
        <v/>
      </c>
      <c r="C270" s="33" t="str">
        <f aca="false">IFERROR(B270/B269-1,"")</f>
        <v/>
      </c>
      <c r="D270" s="33" t="str">
        <f aca="false">IFERROR(B270/B266-1,"")</f>
        <v/>
      </c>
      <c r="E270" s="25" t="str">
        <f aca="false">IFERROR(IF(AND(B270="",ISNUMBER($C$209),ISNUMBER($G$209)),$C$209*(1+$G$209)^(($A270-$E$209)/365.25),""),"")</f>
        <v/>
      </c>
      <c r="F270" s="25" t="str">
        <f aca="false">IFERROR(IF(AND(B270="",ISNUMBER($C$209),ISNUMBER($G$209)),$C$209*(1+$G$209*0.85^MAX(0,($A270-$E$209)/91.25))^(($A270-$E$209)/365.25),""),"")</f>
        <v/>
      </c>
    </row>
    <row r="271" customFormat="false" ht="15" hidden="false" customHeight="false" outlineLevel="0" collapsed="false">
      <c r="A271" s="27" t="n">
        <v>44835</v>
      </c>
      <c r="B271" s="28" t="str">
        <f aca="true">IFERROR(IF(AVERAGEIFS(INDIRECT(Index!$M$7),INDIRECT(Index!$L$7),"&gt;="&amp;$A271,INDIRECT(Index!$L$7),"&lt;"&amp;EDATE($A271,3))=0,"",AVERAGEIFS(INDIRECT(Index!$M$7),INDIRECT(Index!$L$7),"&gt;="&amp;$A271,INDIRECT(Index!$L$7),"&lt;"&amp;EDATE($A271,3))),"")</f>
        <v/>
      </c>
      <c r="C271" s="29" t="str">
        <f aca="false">IFERROR(B271/B270-1,"")</f>
        <v/>
      </c>
      <c r="D271" s="29" t="str">
        <f aca="false">IFERROR(B271/B267-1,"")</f>
        <v/>
      </c>
      <c r="E271" s="31" t="str">
        <f aca="false">IFERROR(IF(AND(B271="",ISNUMBER($C$209),ISNUMBER($G$209)),$C$209*(1+$G$209)^(($A271-$E$209)/365.25),""),"")</f>
        <v/>
      </c>
      <c r="F271" s="31" t="str">
        <f aca="false">IFERROR(IF(AND(B271="",ISNUMBER($C$209),ISNUMBER($G$209)),$C$209*(1+$G$209*0.85^MAX(0,($A271-$E$209)/91.25))^(($A271-$E$209)/365.25),""),"")</f>
        <v/>
      </c>
    </row>
    <row r="272" customFormat="false" ht="15" hidden="false" customHeight="false" outlineLevel="0" collapsed="false">
      <c r="A272" s="15" t="n">
        <v>44927</v>
      </c>
      <c r="B272" s="20" t="str">
        <f aca="true">IFERROR(IF(AVERAGEIFS(INDIRECT(Index!$M$7),INDIRECT(Index!$L$7),"&gt;="&amp;$A272,INDIRECT(Index!$L$7),"&lt;"&amp;EDATE($A272,3))=0,"",AVERAGEIFS(INDIRECT(Index!$M$7),INDIRECT(Index!$L$7),"&gt;="&amp;$A272,INDIRECT(Index!$L$7),"&lt;"&amp;EDATE($A272,3))),"")</f>
        <v/>
      </c>
      <c r="C272" s="33" t="str">
        <f aca="false">IFERROR(B272/B271-1,"")</f>
        <v/>
      </c>
      <c r="D272" s="33" t="str">
        <f aca="false">IFERROR(B272/B268-1,"")</f>
        <v/>
      </c>
      <c r="E272" s="25" t="str">
        <f aca="false">IFERROR(IF(AND(B272="",ISNUMBER($C$209),ISNUMBER($G$209)),$C$209*(1+$G$209)^(($A272-$E$209)/365.25),""),"")</f>
        <v/>
      </c>
      <c r="F272" s="25" t="str">
        <f aca="false">IFERROR(IF(AND(B272="",ISNUMBER($C$209),ISNUMBER($G$209)),$C$209*(1+$G$209*0.85^MAX(0,($A272-$E$209)/91.25))^(($A272-$E$209)/365.25),""),"")</f>
        <v/>
      </c>
    </row>
    <row r="273" customFormat="false" ht="15" hidden="false" customHeight="false" outlineLevel="0" collapsed="false">
      <c r="A273" s="27" t="n">
        <v>45017</v>
      </c>
      <c r="B273" s="28" t="str">
        <f aca="true">IFERROR(IF(AVERAGEIFS(INDIRECT(Index!$M$7),INDIRECT(Index!$L$7),"&gt;="&amp;$A273,INDIRECT(Index!$L$7),"&lt;"&amp;EDATE($A273,3))=0,"",AVERAGEIFS(INDIRECT(Index!$M$7),INDIRECT(Index!$L$7),"&gt;="&amp;$A273,INDIRECT(Index!$L$7),"&lt;"&amp;EDATE($A273,3))),"")</f>
        <v/>
      </c>
      <c r="C273" s="29" t="str">
        <f aca="false">IFERROR(B273/B272-1,"")</f>
        <v/>
      </c>
      <c r="D273" s="29" t="str">
        <f aca="false">IFERROR(B273/B269-1,"")</f>
        <v/>
      </c>
      <c r="E273" s="31" t="str">
        <f aca="false">IFERROR(IF(AND(B273="",ISNUMBER($C$209),ISNUMBER($G$209)),$C$209*(1+$G$209)^(($A273-$E$209)/365.25),""),"")</f>
        <v/>
      </c>
      <c r="F273" s="31" t="str">
        <f aca="false">IFERROR(IF(AND(B273="",ISNUMBER($C$209),ISNUMBER($G$209)),$C$209*(1+$G$209*0.85^MAX(0,($A273-$E$209)/91.25))^(($A273-$E$209)/365.25),""),"")</f>
        <v/>
      </c>
    </row>
    <row r="274" customFormat="false" ht="15" hidden="false" customHeight="false" outlineLevel="0" collapsed="false">
      <c r="A274" s="15" t="n">
        <v>45108</v>
      </c>
      <c r="B274" s="20" t="str">
        <f aca="true">IFERROR(IF(AVERAGEIFS(INDIRECT(Index!$M$7),INDIRECT(Index!$L$7),"&gt;="&amp;$A274,INDIRECT(Index!$L$7),"&lt;"&amp;EDATE($A274,3))=0,"",AVERAGEIFS(INDIRECT(Index!$M$7),INDIRECT(Index!$L$7),"&gt;="&amp;$A274,INDIRECT(Index!$L$7),"&lt;"&amp;EDATE($A274,3))),"")</f>
        <v/>
      </c>
      <c r="C274" s="33" t="str">
        <f aca="false">IFERROR(B274/B273-1,"")</f>
        <v/>
      </c>
      <c r="D274" s="33" t="str">
        <f aca="false">IFERROR(B274/B270-1,"")</f>
        <v/>
      </c>
      <c r="E274" s="25" t="str">
        <f aca="false">IFERROR(IF(AND(B274="",ISNUMBER($C$209),ISNUMBER($G$209)),$C$209*(1+$G$209)^(($A274-$E$209)/365.25),""),"")</f>
        <v/>
      </c>
      <c r="F274" s="25" t="str">
        <f aca="false">IFERROR(IF(AND(B274="",ISNUMBER($C$209),ISNUMBER($G$209)),$C$209*(1+$G$209*0.85^MAX(0,($A274-$E$209)/91.25))^(($A274-$E$209)/365.25),""),"")</f>
        <v/>
      </c>
    </row>
    <row r="275" customFormat="false" ht="15" hidden="false" customHeight="false" outlineLevel="0" collapsed="false">
      <c r="A275" s="27" t="n">
        <v>45200</v>
      </c>
      <c r="B275" s="28" t="str">
        <f aca="true">IFERROR(IF(AVERAGEIFS(INDIRECT(Index!$M$7),INDIRECT(Index!$L$7),"&gt;="&amp;$A275,INDIRECT(Index!$L$7),"&lt;"&amp;EDATE($A275,3))=0,"",AVERAGEIFS(INDIRECT(Index!$M$7),INDIRECT(Index!$L$7),"&gt;="&amp;$A275,INDIRECT(Index!$L$7),"&lt;"&amp;EDATE($A275,3))),"")</f>
        <v/>
      </c>
      <c r="C275" s="29" t="str">
        <f aca="false">IFERROR(B275/B274-1,"")</f>
        <v/>
      </c>
      <c r="D275" s="29" t="str">
        <f aca="false">IFERROR(B275/B271-1,"")</f>
        <v/>
      </c>
      <c r="E275" s="31" t="str">
        <f aca="false">IFERROR(IF(AND(B275="",ISNUMBER($C$209),ISNUMBER($G$209)),$C$209*(1+$G$209)^(($A275-$E$209)/365.25),""),"")</f>
        <v/>
      </c>
      <c r="F275" s="31" t="str">
        <f aca="false">IFERROR(IF(AND(B275="",ISNUMBER($C$209),ISNUMBER($G$209)),$C$209*(1+$G$209*0.85^MAX(0,($A275-$E$209)/91.25))^(($A275-$E$209)/365.25),""),"")</f>
        <v/>
      </c>
    </row>
    <row r="276" customFormat="false" ht="15" hidden="false" customHeight="false" outlineLevel="0" collapsed="false">
      <c r="A276" s="15" t="n">
        <v>45292</v>
      </c>
      <c r="B276" s="20" t="str">
        <f aca="true">IFERROR(IF(AVERAGEIFS(INDIRECT(Index!$M$7),INDIRECT(Index!$L$7),"&gt;="&amp;$A276,INDIRECT(Index!$L$7),"&lt;"&amp;EDATE($A276,3))=0,"",AVERAGEIFS(INDIRECT(Index!$M$7),INDIRECT(Index!$L$7),"&gt;="&amp;$A276,INDIRECT(Index!$L$7),"&lt;"&amp;EDATE($A276,3))),"")</f>
        <v/>
      </c>
      <c r="C276" s="33" t="str">
        <f aca="false">IFERROR(B276/B275-1,"")</f>
        <v/>
      </c>
      <c r="D276" s="33" t="str">
        <f aca="false">IFERROR(B276/B272-1,"")</f>
        <v/>
      </c>
      <c r="E276" s="25" t="str">
        <f aca="false">IFERROR(IF(AND(B276="",ISNUMBER($C$209),ISNUMBER($G$209)),$C$209*(1+$G$209)^(($A276-$E$209)/365.25),""),"")</f>
        <v/>
      </c>
      <c r="F276" s="25" t="str">
        <f aca="false">IFERROR(IF(AND(B276="",ISNUMBER($C$209),ISNUMBER($G$209)),$C$209*(1+$G$209*0.85^MAX(0,($A276-$E$209)/91.25))^(($A276-$E$209)/365.25),""),"")</f>
        <v/>
      </c>
    </row>
    <row r="277" customFormat="false" ht="15" hidden="false" customHeight="false" outlineLevel="0" collapsed="false">
      <c r="A277" s="27" t="n">
        <v>45383</v>
      </c>
      <c r="B277" s="28" t="str">
        <f aca="true">IFERROR(IF(AVERAGEIFS(INDIRECT(Index!$M$7),INDIRECT(Index!$L$7),"&gt;="&amp;$A277,INDIRECT(Index!$L$7),"&lt;"&amp;EDATE($A277,3))=0,"",AVERAGEIFS(INDIRECT(Index!$M$7),INDIRECT(Index!$L$7),"&gt;="&amp;$A277,INDIRECT(Index!$L$7),"&lt;"&amp;EDATE($A277,3))),"")</f>
        <v/>
      </c>
      <c r="C277" s="29" t="str">
        <f aca="false">IFERROR(B277/B276-1,"")</f>
        <v/>
      </c>
      <c r="D277" s="29" t="str">
        <f aca="false">IFERROR(B277/B273-1,"")</f>
        <v/>
      </c>
      <c r="E277" s="31" t="str">
        <f aca="false">IFERROR(IF(AND(B277="",ISNUMBER($C$209),ISNUMBER($G$209)),$C$209*(1+$G$209)^(($A277-$E$209)/365.25),""),"")</f>
        <v/>
      </c>
      <c r="F277" s="31" t="str">
        <f aca="false">IFERROR(IF(AND(B277="",ISNUMBER($C$209),ISNUMBER($G$209)),$C$209*(1+$G$209*0.85^MAX(0,($A277-$E$209)/91.25))^(($A277-$E$209)/365.25),""),"")</f>
        <v/>
      </c>
    </row>
    <row r="278" customFormat="false" ht="15" hidden="false" customHeight="false" outlineLevel="0" collapsed="false">
      <c r="A278" s="15" t="n">
        <v>45474</v>
      </c>
      <c r="B278" s="20" t="str">
        <f aca="true">IFERROR(IF(AVERAGEIFS(INDIRECT(Index!$M$7),INDIRECT(Index!$L$7),"&gt;="&amp;$A278,INDIRECT(Index!$L$7),"&lt;"&amp;EDATE($A278,3))=0,"",AVERAGEIFS(INDIRECT(Index!$M$7),INDIRECT(Index!$L$7),"&gt;="&amp;$A278,INDIRECT(Index!$L$7),"&lt;"&amp;EDATE($A278,3))),"")</f>
        <v/>
      </c>
      <c r="C278" s="33" t="str">
        <f aca="false">IFERROR(B278/B277-1,"")</f>
        <v/>
      </c>
      <c r="D278" s="33" t="str">
        <f aca="false">IFERROR(B278/B274-1,"")</f>
        <v/>
      </c>
      <c r="E278" s="25" t="str">
        <f aca="false">IFERROR(IF(AND(B278="",ISNUMBER($C$209),ISNUMBER($G$209)),$C$209*(1+$G$209)^(($A278-$E$209)/365.25),""),"")</f>
        <v/>
      </c>
      <c r="F278" s="25" t="str">
        <f aca="false">IFERROR(IF(AND(B278="",ISNUMBER($C$209),ISNUMBER($G$209)),$C$209*(1+$G$209*0.85^MAX(0,($A278-$E$209)/91.25))^(($A278-$E$209)/365.25),""),"")</f>
        <v/>
      </c>
    </row>
    <row r="279" customFormat="false" ht="15" hidden="false" customHeight="false" outlineLevel="0" collapsed="false">
      <c r="A279" s="27" t="n">
        <v>45566</v>
      </c>
      <c r="B279" s="28" t="str">
        <f aca="true">IFERROR(IF(AVERAGEIFS(INDIRECT(Index!$M$7),INDIRECT(Index!$L$7),"&gt;="&amp;$A279,INDIRECT(Index!$L$7),"&lt;"&amp;EDATE($A279,3))=0,"",AVERAGEIFS(INDIRECT(Index!$M$7),INDIRECT(Index!$L$7),"&gt;="&amp;$A279,INDIRECT(Index!$L$7),"&lt;"&amp;EDATE($A279,3))),"")</f>
        <v/>
      </c>
      <c r="C279" s="29" t="str">
        <f aca="false">IFERROR(B279/B278-1,"")</f>
        <v/>
      </c>
      <c r="D279" s="29" t="str">
        <f aca="false">IFERROR(B279/B275-1,"")</f>
        <v/>
      </c>
      <c r="E279" s="31" t="str">
        <f aca="false">IFERROR(IF(AND(B279="",ISNUMBER($C$209),ISNUMBER($G$209)),$C$209*(1+$G$209)^(($A279-$E$209)/365.25),""),"")</f>
        <v/>
      </c>
      <c r="F279" s="31" t="str">
        <f aca="false">IFERROR(IF(AND(B279="",ISNUMBER($C$209),ISNUMBER($G$209)),$C$209*(1+$G$209*0.85^MAX(0,($A279-$E$209)/91.25))^(($A279-$E$209)/365.25),""),"")</f>
        <v/>
      </c>
    </row>
    <row r="280" customFormat="false" ht="15" hidden="false" customHeight="false" outlineLevel="0" collapsed="false">
      <c r="A280" s="15" t="n">
        <v>45658</v>
      </c>
      <c r="B280" s="20" t="str">
        <f aca="true">IFERROR(IF(AVERAGEIFS(INDIRECT(Index!$M$7),INDIRECT(Index!$L$7),"&gt;="&amp;$A280,INDIRECT(Index!$L$7),"&lt;"&amp;EDATE($A280,3))=0,"",AVERAGEIFS(INDIRECT(Index!$M$7),INDIRECT(Index!$L$7),"&gt;="&amp;$A280,INDIRECT(Index!$L$7),"&lt;"&amp;EDATE($A280,3))),"")</f>
        <v/>
      </c>
      <c r="C280" s="33" t="str">
        <f aca="false">IFERROR(B280/B279-1,"")</f>
        <v/>
      </c>
      <c r="D280" s="33" t="str">
        <f aca="false">IFERROR(B280/B276-1,"")</f>
        <v/>
      </c>
      <c r="E280" s="25" t="str">
        <f aca="false">IFERROR(IF(AND(B280="",ISNUMBER($C$209),ISNUMBER($G$209)),$C$209*(1+$G$209)^(($A280-$E$209)/365.25),""),"")</f>
        <v/>
      </c>
      <c r="F280" s="25" t="str">
        <f aca="false">IFERROR(IF(AND(B280="",ISNUMBER($C$209),ISNUMBER($G$209)),$C$209*(1+$G$209*0.85^MAX(0,($A280-$E$209)/91.25))^(($A280-$E$209)/365.25),""),"")</f>
        <v/>
      </c>
    </row>
    <row r="281" customFormat="false" ht="15" hidden="false" customHeight="false" outlineLevel="0" collapsed="false">
      <c r="A281" s="27" t="n">
        <v>45748</v>
      </c>
      <c r="B281" s="28" t="str">
        <f aca="true">IFERROR(IF(AVERAGEIFS(INDIRECT(Index!$M$7),INDIRECT(Index!$L$7),"&gt;="&amp;$A281,INDIRECT(Index!$L$7),"&lt;"&amp;EDATE($A281,3))=0,"",AVERAGEIFS(INDIRECT(Index!$M$7),INDIRECT(Index!$L$7),"&gt;="&amp;$A281,INDIRECT(Index!$L$7),"&lt;"&amp;EDATE($A281,3))),"")</f>
        <v/>
      </c>
      <c r="C281" s="29" t="str">
        <f aca="false">IFERROR(B281/B280-1,"")</f>
        <v/>
      </c>
      <c r="D281" s="29" t="str">
        <f aca="false">IFERROR(B281/B277-1,"")</f>
        <v/>
      </c>
      <c r="E281" s="31" t="str">
        <f aca="false">IFERROR(IF(AND(B281="",ISNUMBER($C$209),ISNUMBER($G$209)),$C$209*(1+$G$209)^(($A281-$E$209)/365.25),""),"")</f>
        <v/>
      </c>
      <c r="F281" s="31" t="str">
        <f aca="false">IFERROR(IF(AND(B281="",ISNUMBER($C$209),ISNUMBER($G$209)),$C$209*(1+$G$209*0.85^MAX(0,($A281-$E$209)/91.25))^(($A281-$E$209)/365.25),""),"")</f>
        <v/>
      </c>
    </row>
    <row r="282" customFormat="false" ht="15" hidden="false" customHeight="false" outlineLevel="0" collapsed="false">
      <c r="A282" s="15" t="n">
        <v>45839</v>
      </c>
      <c r="B282" s="20" t="str">
        <f aca="true">IFERROR(IF(AVERAGEIFS(INDIRECT(Index!$M$7),INDIRECT(Index!$L$7),"&gt;="&amp;$A282,INDIRECT(Index!$L$7),"&lt;"&amp;EDATE($A282,3))=0,"",AVERAGEIFS(INDIRECT(Index!$M$7),INDIRECT(Index!$L$7),"&gt;="&amp;$A282,INDIRECT(Index!$L$7),"&lt;"&amp;EDATE($A282,3))),"")</f>
        <v/>
      </c>
      <c r="C282" s="33" t="str">
        <f aca="false">IFERROR(B282/B281-1,"")</f>
        <v/>
      </c>
      <c r="D282" s="33" t="str">
        <f aca="false">IFERROR(B282/B278-1,"")</f>
        <v/>
      </c>
      <c r="E282" s="25" t="str">
        <f aca="false">IFERROR(IF(AND(B282="",ISNUMBER($C$209),ISNUMBER($G$209)),$C$209*(1+$G$209)^(($A282-$E$209)/365.25),""),"")</f>
        <v/>
      </c>
      <c r="F282" s="25" t="str">
        <f aca="false">IFERROR(IF(AND(B282="",ISNUMBER($C$209),ISNUMBER($G$209)),$C$209*(1+$G$209*0.85^MAX(0,($A282-$E$209)/91.25))^(($A282-$E$209)/365.25),""),"")</f>
        <v/>
      </c>
    </row>
    <row r="283" customFormat="false" ht="15" hidden="false" customHeight="false" outlineLevel="0" collapsed="false">
      <c r="A283" s="27" t="n">
        <v>45931</v>
      </c>
      <c r="B283" s="28" t="str">
        <f aca="true">IFERROR(IF(AVERAGEIFS(INDIRECT(Index!$M$7),INDIRECT(Index!$L$7),"&gt;="&amp;$A283,INDIRECT(Index!$L$7),"&lt;"&amp;EDATE($A283,3))=0,"",AVERAGEIFS(INDIRECT(Index!$M$7),INDIRECT(Index!$L$7),"&gt;="&amp;$A283,INDIRECT(Index!$L$7),"&lt;"&amp;EDATE($A283,3))),"")</f>
        <v/>
      </c>
      <c r="C283" s="29" t="str">
        <f aca="false">IFERROR(B283/B282-1,"")</f>
        <v/>
      </c>
      <c r="D283" s="29" t="str">
        <f aca="false">IFERROR(B283/B279-1,"")</f>
        <v/>
      </c>
      <c r="E283" s="31" t="str">
        <f aca="false">IFERROR(IF(AND(B283="",ISNUMBER($C$209),ISNUMBER($G$209)),$C$209*(1+$G$209)^(($A283-$E$209)/365.25),""),"")</f>
        <v/>
      </c>
      <c r="F283" s="31" t="str">
        <f aca="false">IFERROR(IF(AND(B283="",ISNUMBER($C$209),ISNUMBER($G$209)),$C$209*(1+$G$209*0.85^MAX(0,($A283-$E$209)/91.25))^(($A283-$E$209)/365.25),""),"")</f>
        <v/>
      </c>
    </row>
    <row r="284" customFormat="false" ht="15" hidden="false" customHeight="false" outlineLevel="0" collapsed="false">
      <c r="A284" s="15" t="n">
        <v>46023</v>
      </c>
      <c r="B284" s="20" t="str">
        <f aca="true">IFERROR(IF(AVERAGEIFS(INDIRECT(Index!$M$7),INDIRECT(Index!$L$7),"&gt;="&amp;$A284,INDIRECT(Index!$L$7),"&lt;"&amp;EDATE($A284,3))=0,"",AVERAGEIFS(INDIRECT(Index!$M$7),INDIRECT(Index!$L$7),"&gt;="&amp;$A284,INDIRECT(Index!$L$7),"&lt;"&amp;EDATE($A284,3))),"")</f>
        <v/>
      </c>
      <c r="C284" s="33" t="str">
        <f aca="false">IFERROR(B284/B283-1,"")</f>
        <v/>
      </c>
      <c r="D284" s="33" t="str">
        <f aca="false">IFERROR(B284/B280-1,"")</f>
        <v/>
      </c>
      <c r="E284" s="25" t="str">
        <f aca="false">IFERROR(IF(AND(B284="",ISNUMBER($C$209),ISNUMBER($G$209)),$C$209*(1+$G$209)^(($A284-$E$209)/365.25),""),"")</f>
        <v/>
      </c>
      <c r="F284" s="25" t="str">
        <f aca="false">IFERROR(IF(AND(B284="",ISNUMBER($C$209),ISNUMBER($G$209)),$C$209*(1+$G$209*0.85^MAX(0,($A284-$E$209)/91.25))^(($A284-$E$209)/365.25),""),"")</f>
        <v/>
      </c>
    </row>
    <row r="285" customFormat="false" ht="15" hidden="false" customHeight="false" outlineLevel="0" collapsed="false">
      <c r="A285" s="27" t="n">
        <v>46113</v>
      </c>
      <c r="B285" s="28" t="str">
        <f aca="true">IFERROR(IF(AVERAGEIFS(INDIRECT(Index!$M$7),INDIRECT(Index!$L$7),"&gt;="&amp;$A285,INDIRECT(Index!$L$7),"&lt;"&amp;EDATE($A285,3))=0,"",AVERAGEIFS(INDIRECT(Index!$M$7),INDIRECT(Index!$L$7),"&gt;="&amp;$A285,INDIRECT(Index!$L$7),"&lt;"&amp;EDATE($A285,3))),"")</f>
        <v/>
      </c>
      <c r="C285" s="29" t="str">
        <f aca="false">IFERROR(B285/B284-1,"")</f>
        <v/>
      </c>
      <c r="D285" s="29" t="str">
        <f aca="false">IFERROR(B285/B281-1,"")</f>
        <v/>
      </c>
      <c r="E285" s="31" t="str">
        <f aca="false">IFERROR(IF(AND(B285="",ISNUMBER($C$209),ISNUMBER($G$209)),$C$209*(1+$G$209)^(($A285-$E$209)/365.25),""),"")</f>
        <v/>
      </c>
      <c r="F285" s="31" t="str">
        <f aca="false">IFERROR(IF(AND(B285="",ISNUMBER($C$209),ISNUMBER($G$209)),$C$209*(1+$G$209*0.85^MAX(0,($A285-$E$209)/91.25))^(($A285-$E$209)/365.25),""),"")</f>
        <v/>
      </c>
    </row>
    <row r="286" customFormat="false" ht="15" hidden="false" customHeight="false" outlineLevel="0" collapsed="false">
      <c r="A286" s="15" t="n">
        <v>46204</v>
      </c>
      <c r="B286" s="20" t="str">
        <f aca="true">IFERROR(IF(AVERAGEIFS(INDIRECT(Index!$M$7),INDIRECT(Index!$L$7),"&gt;="&amp;$A286,INDIRECT(Index!$L$7),"&lt;"&amp;EDATE($A286,3))=0,"",AVERAGEIFS(INDIRECT(Index!$M$7),INDIRECT(Index!$L$7),"&gt;="&amp;$A286,INDIRECT(Index!$L$7),"&lt;"&amp;EDATE($A286,3))),"")</f>
        <v/>
      </c>
      <c r="C286" s="33" t="str">
        <f aca="false">IFERROR(B286/B285-1,"")</f>
        <v/>
      </c>
      <c r="D286" s="33" t="str">
        <f aca="false">IFERROR(B286/B282-1,"")</f>
        <v/>
      </c>
      <c r="E286" s="25" t="str">
        <f aca="false">IFERROR(IF(AND(B286="",ISNUMBER($C$209),ISNUMBER($G$209)),$C$209*(1+$G$209)^(($A286-$E$209)/365.25),""),"")</f>
        <v/>
      </c>
      <c r="F286" s="25" t="str">
        <f aca="false">IFERROR(IF(AND(B286="",ISNUMBER($C$209),ISNUMBER($G$209)),$C$209*(1+$G$209*0.85^MAX(0,($A286-$E$209)/91.25))^(($A286-$E$209)/365.25),""),"")</f>
        <v/>
      </c>
    </row>
    <row r="287" customFormat="false" ht="15" hidden="false" customHeight="false" outlineLevel="0" collapsed="false">
      <c r="A287" s="27" t="n">
        <v>46296</v>
      </c>
      <c r="B287" s="28" t="str">
        <f aca="true">IFERROR(IF(AVERAGEIFS(INDIRECT(Index!$M$7),INDIRECT(Index!$L$7),"&gt;="&amp;$A287,INDIRECT(Index!$L$7),"&lt;"&amp;EDATE($A287,3))=0,"",AVERAGEIFS(INDIRECT(Index!$M$7),INDIRECT(Index!$L$7),"&gt;="&amp;$A287,INDIRECT(Index!$L$7),"&lt;"&amp;EDATE($A287,3))),"")</f>
        <v/>
      </c>
      <c r="C287" s="29" t="str">
        <f aca="false">IFERROR(B287/B286-1,"")</f>
        <v/>
      </c>
      <c r="D287" s="29" t="str">
        <f aca="false">IFERROR(B287/B283-1,"")</f>
        <v/>
      </c>
      <c r="E287" s="31" t="str">
        <f aca="false">IFERROR(IF(AND(B287="",ISNUMBER($C$209),ISNUMBER($G$209)),$C$209*(1+$G$209)^(($A287-$E$209)/365.25),""),"")</f>
        <v/>
      </c>
      <c r="F287" s="31" t="str">
        <f aca="false">IFERROR(IF(AND(B287="",ISNUMBER($C$209),ISNUMBER($G$209)),$C$209*(1+$G$209*0.85^MAX(0,($A287-$E$209)/91.25))^(($A287-$E$209)/365.25),""),"")</f>
        <v/>
      </c>
    </row>
    <row r="288" customFormat="false" ht="15" hidden="false" customHeight="false" outlineLevel="0" collapsed="false">
      <c r="A288" s="15" t="n">
        <v>46388</v>
      </c>
      <c r="B288" s="20" t="str">
        <f aca="true">IFERROR(IF(AVERAGEIFS(INDIRECT(Index!$M$7),INDIRECT(Index!$L$7),"&gt;="&amp;$A288,INDIRECT(Index!$L$7),"&lt;"&amp;EDATE($A288,3))=0,"",AVERAGEIFS(INDIRECT(Index!$M$7),INDIRECT(Index!$L$7),"&gt;="&amp;$A288,INDIRECT(Index!$L$7),"&lt;"&amp;EDATE($A288,3))),"")</f>
        <v/>
      </c>
      <c r="C288" s="33" t="str">
        <f aca="false">IFERROR(B288/B287-1,"")</f>
        <v/>
      </c>
      <c r="D288" s="33" t="str">
        <f aca="false">IFERROR(B288/B284-1,"")</f>
        <v/>
      </c>
      <c r="E288" s="25" t="str">
        <f aca="false">IFERROR(IF(AND(B288="",ISNUMBER($C$209),ISNUMBER($G$209)),$C$209*(1+$G$209)^(($A288-$E$209)/365.25),""),"")</f>
        <v/>
      </c>
      <c r="F288" s="25" t="str">
        <f aca="false">IFERROR(IF(AND(B288="",ISNUMBER($C$209),ISNUMBER($G$209)),$C$209*(1+$G$209*0.85^MAX(0,($A288-$E$209)/91.25))^(($A288-$E$209)/365.25),""),"")</f>
        <v/>
      </c>
    </row>
    <row r="289" customFormat="false" ht="15" hidden="false" customHeight="false" outlineLevel="0" collapsed="false">
      <c r="A289" s="27" t="n">
        <v>46478</v>
      </c>
      <c r="B289" s="28" t="str">
        <f aca="true">IFERROR(IF(AVERAGEIFS(INDIRECT(Index!$M$7),INDIRECT(Index!$L$7),"&gt;="&amp;$A289,INDIRECT(Index!$L$7),"&lt;"&amp;EDATE($A289,3))=0,"",AVERAGEIFS(INDIRECT(Index!$M$7),INDIRECT(Index!$L$7),"&gt;="&amp;$A289,INDIRECT(Index!$L$7),"&lt;"&amp;EDATE($A289,3))),"")</f>
        <v/>
      </c>
      <c r="C289" s="29" t="str">
        <f aca="false">IFERROR(B289/B288-1,"")</f>
        <v/>
      </c>
      <c r="D289" s="29" t="str">
        <f aca="false">IFERROR(B289/B285-1,"")</f>
        <v/>
      </c>
      <c r="E289" s="31" t="str">
        <f aca="false">IFERROR(IF(AND(B289="",ISNUMBER($C$209),ISNUMBER($G$209)),$C$209*(1+$G$209)^(($A289-$E$209)/365.25),""),"")</f>
        <v/>
      </c>
      <c r="F289" s="31" t="str">
        <f aca="false">IFERROR(IF(AND(B289="",ISNUMBER($C$209),ISNUMBER($G$209)),$C$209*(1+$G$209*0.85^MAX(0,($A289-$E$209)/91.25))^(($A289-$E$209)/365.25),""),"")</f>
        <v/>
      </c>
    </row>
    <row r="290" customFormat="false" ht="15" hidden="false" customHeight="false" outlineLevel="0" collapsed="false">
      <c r="A290" s="15" t="n">
        <v>46569</v>
      </c>
      <c r="B290" s="20" t="str">
        <f aca="true">IFERROR(IF(AVERAGEIFS(INDIRECT(Index!$M$7),INDIRECT(Index!$L$7),"&gt;="&amp;$A290,INDIRECT(Index!$L$7),"&lt;"&amp;EDATE($A290,3))=0,"",AVERAGEIFS(INDIRECT(Index!$M$7),INDIRECT(Index!$L$7),"&gt;="&amp;$A290,INDIRECT(Index!$L$7),"&lt;"&amp;EDATE($A290,3))),"")</f>
        <v/>
      </c>
      <c r="C290" s="33" t="str">
        <f aca="false">IFERROR(B290/B289-1,"")</f>
        <v/>
      </c>
      <c r="D290" s="33" t="str">
        <f aca="false">IFERROR(B290/B286-1,"")</f>
        <v/>
      </c>
      <c r="E290" s="25" t="str">
        <f aca="false">IFERROR(IF(AND(B290="",ISNUMBER($C$209),ISNUMBER($G$209)),$C$209*(1+$G$209)^(($A290-$E$209)/365.25),""),"")</f>
        <v/>
      </c>
      <c r="F290" s="25" t="str">
        <f aca="false">IFERROR(IF(AND(B290="",ISNUMBER($C$209),ISNUMBER($G$209)),$C$209*(1+$G$209*0.85^MAX(0,($A290-$E$209)/91.25))^(($A290-$E$209)/365.25),""),"")</f>
        <v/>
      </c>
    </row>
    <row r="291" customFormat="false" ht="15" hidden="false" customHeight="false" outlineLevel="0" collapsed="false">
      <c r="A291" s="27" t="n">
        <v>46661</v>
      </c>
      <c r="B291" s="28" t="str">
        <f aca="true">IFERROR(IF(AVERAGEIFS(INDIRECT(Index!$M$7),INDIRECT(Index!$L$7),"&gt;="&amp;$A291,INDIRECT(Index!$L$7),"&lt;"&amp;EDATE($A291,3))=0,"",AVERAGEIFS(INDIRECT(Index!$M$7),INDIRECT(Index!$L$7),"&gt;="&amp;$A291,INDIRECT(Index!$L$7),"&lt;"&amp;EDATE($A291,3))),"")</f>
        <v/>
      </c>
      <c r="C291" s="29" t="str">
        <f aca="false">IFERROR(B291/B290-1,"")</f>
        <v/>
      </c>
      <c r="D291" s="29" t="str">
        <f aca="false">IFERROR(B291/B287-1,"")</f>
        <v/>
      </c>
      <c r="E291" s="31" t="str">
        <f aca="false">IFERROR(IF(AND(B291="",ISNUMBER($C$209),ISNUMBER($G$209)),$C$209*(1+$G$209)^(($A291-$E$209)/365.25),""),"")</f>
        <v/>
      </c>
      <c r="F291" s="31" t="str">
        <f aca="false">IFERROR(IF(AND(B291="",ISNUMBER($C$209),ISNUMBER($G$209)),$C$209*(1+$G$209*0.85^MAX(0,($A291-$E$209)/91.25))^(($A291-$E$209)/365.25),""),"")</f>
        <v/>
      </c>
    </row>
    <row r="292" customFormat="false" ht="15" hidden="false" customHeight="false" outlineLevel="0" collapsed="false">
      <c r="A292" s="15" t="n">
        <v>46753</v>
      </c>
      <c r="B292" s="20" t="str">
        <f aca="true">IFERROR(IF(AVERAGEIFS(INDIRECT(Index!$M$7),INDIRECT(Index!$L$7),"&gt;="&amp;$A292,INDIRECT(Index!$L$7),"&lt;"&amp;EDATE($A292,3))=0,"",AVERAGEIFS(INDIRECT(Index!$M$7),INDIRECT(Index!$L$7),"&gt;="&amp;$A292,INDIRECT(Index!$L$7),"&lt;"&amp;EDATE($A292,3))),"")</f>
        <v/>
      </c>
      <c r="C292" s="33" t="str">
        <f aca="false">IFERROR(B292/B291-1,"")</f>
        <v/>
      </c>
      <c r="D292" s="33" t="str">
        <f aca="false">IFERROR(B292/B288-1,"")</f>
        <v/>
      </c>
      <c r="E292" s="25" t="str">
        <f aca="false">IFERROR(IF(AND(B292="",ISNUMBER($C$209),ISNUMBER($G$209)),$C$209*(1+$G$209)^(($A292-$E$209)/365.25),""),"")</f>
        <v/>
      </c>
      <c r="F292" s="25" t="str">
        <f aca="false">IFERROR(IF(AND(B292="",ISNUMBER($C$209),ISNUMBER($G$209)),$C$209*(1+$G$209*0.85^MAX(0,($A292-$E$209)/91.25))^(($A292-$E$209)/365.25),""),"")</f>
        <v/>
      </c>
    </row>
    <row r="293" customFormat="false" ht="15" hidden="false" customHeight="false" outlineLevel="0" collapsed="false">
      <c r="A293" s="27" t="n">
        <v>46844</v>
      </c>
      <c r="B293" s="28" t="str">
        <f aca="true">IFERROR(IF(AVERAGEIFS(INDIRECT(Index!$M$7),INDIRECT(Index!$L$7),"&gt;="&amp;$A293,INDIRECT(Index!$L$7),"&lt;"&amp;EDATE($A293,3))=0,"",AVERAGEIFS(INDIRECT(Index!$M$7),INDIRECT(Index!$L$7),"&gt;="&amp;$A293,INDIRECT(Index!$L$7),"&lt;"&amp;EDATE($A293,3))),"")</f>
        <v/>
      </c>
      <c r="C293" s="29" t="str">
        <f aca="false">IFERROR(B293/B292-1,"")</f>
        <v/>
      </c>
      <c r="D293" s="29" t="str">
        <f aca="false">IFERROR(B293/B289-1,"")</f>
        <v/>
      </c>
      <c r="E293" s="31" t="str">
        <f aca="false">IFERROR(IF(AND(B293="",ISNUMBER($C$209),ISNUMBER($G$209)),$C$209*(1+$G$209)^(($A293-$E$209)/365.25),""),"")</f>
        <v/>
      </c>
      <c r="F293" s="31" t="str">
        <f aca="false">IFERROR(IF(AND(B293="",ISNUMBER($C$209),ISNUMBER($G$209)),$C$209*(1+$G$209*0.85^MAX(0,($A293-$E$209)/91.25))^(($A293-$E$209)/365.25),""),"")</f>
        <v/>
      </c>
    </row>
    <row r="294" customFormat="false" ht="15" hidden="false" customHeight="false" outlineLevel="0" collapsed="false">
      <c r="A294" s="15" t="n">
        <v>46935</v>
      </c>
      <c r="B294" s="20" t="str">
        <f aca="true">IFERROR(IF(AVERAGEIFS(INDIRECT(Index!$M$7),INDIRECT(Index!$L$7),"&gt;="&amp;$A294,INDIRECT(Index!$L$7),"&lt;"&amp;EDATE($A294,3))=0,"",AVERAGEIFS(INDIRECT(Index!$M$7),INDIRECT(Index!$L$7),"&gt;="&amp;$A294,INDIRECT(Index!$L$7),"&lt;"&amp;EDATE($A294,3))),"")</f>
        <v/>
      </c>
      <c r="C294" s="33" t="str">
        <f aca="false">IFERROR(B294/B293-1,"")</f>
        <v/>
      </c>
      <c r="D294" s="33" t="str">
        <f aca="false">IFERROR(B294/B290-1,"")</f>
        <v/>
      </c>
      <c r="E294" s="25" t="str">
        <f aca="false">IFERROR(IF(AND(B294="",ISNUMBER($C$209),ISNUMBER($G$209)),$C$209*(1+$G$209)^(($A294-$E$209)/365.25),""),"")</f>
        <v/>
      </c>
      <c r="F294" s="25" t="str">
        <f aca="false">IFERROR(IF(AND(B294="",ISNUMBER($C$209),ISNUMBER($G$209)),$C$209*(1+$G$209*0.85^MAX(0,($A294-$E$209)/91.25))^(($A294-$E$209)/365.25),""),"")</f>
        <v/>
      </c>
    </row>
    <row r="295" customFormat="false" ht="15" hidden="false" customHeight="false" outlineLevel="0" collapsed="false">
      <c r="A295" s="27" t="n">
        <v>47027</v>
      </c>
      <c r="B295" s="28" t="str">
        <f aca="true">IFERROR(IF(AVERAGEIFS(INDIRECT(Index!$M$7),INDIRECT(Index!$L$7),"&gt;="&amp;$A295,INDIRECT(Index!$L$7),"&lt;"&amp;EDATE($A295,3))=0,"",AVERAGEIFS(INDIRECT(Index!$M$7),INDIRECT(Index!$L$7),"&gt;="&amp;$A295,INDIRECT(Index!$L$7),"&lt;"&amp;EDATE($A295,3))),"")</f>
        <v/>
      </c>
      <c r="C295" s="29" t="str">
        <f aca="false">IFERROR(B295/B294-1,"")</f>
        <v/>
      </c>
      <c r="D295" s="29" t="str">
        <f aca="false">IFERROR(B295/B291-1,"")</f>
        <v/>
      </c>
      <c r="E295" s="31" t="str">
        <f aca="false">IFERROR(IF(AND(B295="",ISNUMBER($C$209),ISNUMBER($G$209)),$C$209*(1+$G$209)^(($A295-$E$209)/365.25),""),"")</f>
        <v/>
      </c>
      <c r="F295" s="31" t="str">
        <f aca="false">IFERROR(IF(AND(B295="",ISNUMBER($C$209),ISNUMBER($G$209)),$C$209*(1+$G$209*0.85^MAX(0,($A295-$E$209)/91.25))^(($A295-$E$209)/365.25),""),"")</f>
        <v/>
      </c>
    </row>
    <row r="296" customFormat="false" ht="15" hidden="false" customHeight="false" outlineLevel="0" collapsed="false">
      <c r="A296" s="15" t="n">
        <v>47119</v>
      </c>
      <c r="B296" s="20" t="str">
        <f aca="true">IFERROR(IF(AVERAGEIFS(INDIRECT(Index!$M$7),INDIRECT(Index!$L$7),"&gt;="&amp;$A296,INDIRECT(Index!$L$7),"&lt;"&amp;EDATE($A296,3))=0,"",AVERAGEIFS(INDIRECT(Index!$M$7),INDIRECT(Index!$L$7),"&gt;="&amp;$A296,INDIRECT(Index!$L$7),"&lt;"&amp;EDATE($A296,3))),"")</f>
        <v/>
      </c>
      <c r="C296" s="33" t="str">
        <f aca="false">IFERROR(B296/B295-1,"")</f>
        <v/>
      </c>
      <c r="D296" s="33" t="str">
        <f aca="false">IFERROR(B296/B292-1,"")</f>
        <v/>
      </c>
      <c r="E296" s="25" t="str">
        <f aca="false">IFERROR(IF(AND(B296="",ISNUMBER($C$209),ISNUMBER($G$209)),$C$209*(1+$G$209)^(($A296-$E$209)/365.25),""),"")</f>
        <v/>
      </c>
      <c r="F296" s="25" t="str">
        <f aca="false">IFERROR(IF(AND(B296="",ISNUMBER($C$209),ISNUMBER($G$209)),$C$209*(1+$G$209*0.85^MAX(0,($A296-$E$209)/91.25))^(($A296-$E$209)/365.25),""),"")</f>
        <v/>
      </c>
    </row>
    <row r="297" customFormat="false" ht="15" hidden="false" customHeight="false" outlineLevel="0" collapsed="false">
      <c r="A297" s="27" t="n">
        <v>47209</v>
      </c>
      <c r="B297" s="28" t="str">
        <f aca="true">IFERROR(IF(AVERAGEIFS(INDIRECT(Index!$M$7),INDIRECT(Index!$L$7),"&gt;="&amp;$A297,INDIRECT(Index!$L$7),"&lt;"&amp;EDATE($A297,3))=0,"",AVERAGEIFS(INDIRECT(Index!$M$7),INDIRECT(Index!$L$7),"&gt;="&amp;$A297,INDIRECT(Index!$L$7),"&lt;"&amp;EDATE($A297,3))),"")</f>
        <v/>
      </c>
      <c r="C297" s="29" t="str">
        <f aca="false">IFERROR(B297/B296-1,"")</f>
        <v/>
      </c>
      <c r="D297" s="29" t="str">
        <f aca="false">IFERROR(B297/B293-1,"")</f>
        <v/>
      </c>
      <c r="E297" s="31" t="str">
        <f aca="false">IFERROR(IF(AND(B297="",ISNUMBER($C$209),ISNUMBER($G$209)),$C$209*(1+$G$209)^(($A297-$E$209)/365.25),""),"")</f>
        <v/>
      </c>
      <c r="F297" s="31" t="str">
        <f aca="false">IFERROR(IF(AND(B297="",ISNUMBER($C$209),ISNUMBER($G$209)),$C$209*(1+$G$209*0.85^MAX(0,($A297-$E$209)/91.25))^(($A297-$E$209)/365.25),""),"")</f>
        <v/>
      </c>
    </row>
    <row r="298" customFormat="false" ht="15" hidden="false" customHeight="false" outlineLevel="0" collapsed="false">
      <c r="A298" s="15" t="n">
        <v>47300</v>
      </c>
      <c r="B298" s="20" t="str">
        <f aca="true">IFERROR(IF(AVERAGEIFS(INDIRECT(Index!$M$7),INDIRECT(Index!$L$7),"&gt;="&amp;$A298,INDIRECT(Index!$L$7),"&lt;"&amp;EDATE($A298,3))=0,"",AVERAGEIFS(INDIRECT(Index!$M$7),INDIRECT(Index!$L$7),"&gt;="&amp;$A298,INDIRECT(Index!$L$7),"&lt;"&amp;EDATE($A298,3))),"")</f>
        <v/>
      </c>
      <c r="C298" s="33" t="str">
        <f aca="false">IFERROR(B298/B297-1,"")</f>
        <v/>
      </c>
      <c r="D298" s="33" t="str">
        <f aca="false">IFERROR(B298/B294-1,"")</f>
        <v/>
      </c>
      <c r="E298" s="25" t="str">
        <f aca="false">IFERROR(IF(AND(B298="",ISNUMBER($C$209),ISNUMBER($G$209)),$C$209*(1+$G$209)^(($A298-$E$209)/365.25),""),"")</f>
        <v/>
      </c>
      <c r="F298" s="25" t="str">
        <f aca="false">IFERROR(IF(AND(B298="",ISNUMBER($C$209),ISNUMBER($G$209)),$C$209*(1+$G$209*0.85^MAX(0,($A298-$E$209)/91.25))^(($A298-$E$209)/365.25),""),"")</f>
        <v/>
      </c>
    </row>
    <row r="299" customFormat="false" ht="15" hidden="false" customHeight="false" outlineLevel="0" collapsed="false">
      <c r="A299" s="27" t="n">
        <v>47392</v>
      </c>
      <c r="B299" s="28" t="str">
        <f aca="true">IFERROR(IF(AVERAGEIFS(INDIRECT(Index!$M$7),INDIRECT(Index!$L$7),"&gt;="&amp;$A299,INDIRECT(Index!$L$7),"&lt;"&amp;EDATE($A299,3))=0,"",AVERAGEIFS(INDIRECT(Index!$M$7),INDIRECT(Index!$L$7),"&gt;="&amp;$A299,INDIRECT(Index!$L$7),"&lt;"&amp;EDATE($A299,3))),"")</f>
        <v/>
      </c>
      <c r="C299" s="29" t="str">
        <f aca="false">IFERROR(B299/B298-1,"")</f>
        <v/>
      </c>
      <c r="D299" s="29" t="str">
        <f aca="false">IFERROR(B299/B295-1,"")</f>
        <v/>
      </c>
      <c r="E299" s="31" t="str">
        <f aca="false">IFERROR(IF(AND(B299="",ISNUMBER($C$209),ISNUMBER($G$209)),$C$209*(1+$G$209)^(($A299-$E$209)/365.25),""),"")</f>
        <v/>
      </c>
      <c r="F299" s="31" t="str">
        <f aca="false">IFERROR(IF(AND(B299="",ISNUMBER($C$209),ISNUMBER($G$209)),$C$209*(1+$G$209*0.85^MAX(0,($A299-$E$209)/91.25))^(($A299-$E$209)/365.25),""),"")</f>
        <v/>
      </c>
    </row>
    <row r="300" customFormat="false" ht="15" hidden="false" customHeight="false" outlineLevel="0" collapsed="false">
      <c r="A300" s="15" t="n">
        <v>47484</v>
      </c>
      <c r="B300" s="20" t="str">
        <f aca="true">IFERROR(IF(AVERAGEIFS(INDIRECT(Index!$M$7),INDIRECT(Index!$L$7),"&gt;="&amp;$A300,INDIRECT(Index!$L$7),"&lt;"&amp;EDATE($A300,3))=0,"",AVERAGEIFS(INDIRECT(Index!$M$7),INDIRECT(Index!$L$7),"&gt;="&amp;$A300,INDIRECT(Index!$L$7),"&lt;"&amp;EDATE($A300,3))),"")</f>
        <v/>
      </c>
      <c r="C300" s="33" t="str">
        <f aca="false">IFERROR(B300/B299-1,"")</f>
        <v/>
      </c>
      <c r="D300" s="33" t="str">
        <f aca="false">IFERROR(B300/B296-1,"")</f>
        <v/>
      </c>
      <c r="E300" s="25" t="str">
        <f aca="false">IFERROR(IF(AND(B300="",ISNUMBER($C$209),ISNUMBER($G$209)),$C$209*(1+$G$209)^(($A300-$E$209)/365.25),""),"")</f>
        <v/>
      </c>
      <c r="F300" s="25" t="str">
        <f aca="false">IFERROR(IF(AND(B300="",ISNUMBER($C$209),ISNUMBER($G$209)),$C$209*(1+$G$209*0.85^MAX(0,($A300-$E$209)/91.25))^(($A300-$E$209)/365.25),""),"")</f>
        <v/>
      </c>
    </row>
    <row r="301" customFormat="false" ht="15" hidden="false" customHeight="false" outlineLevel="0" collapsed="false">
      <c r="A301" s="27" t="n">
        <v>47574</v>
      </c>
      <c r="B301" s="28" t="str">
        <f aca="true">IFERROR(IF(AVERAGEIFS(INDIRECT(Index!$M$7),INDIRECT(Index!$L$7),"&gt;="&amp;$A301,INDIRECT(Index!$L$7),"&lt;"&amp;EDATE($A301,3))=0,"",AVERAGEIFS(INDIRECT(Index!$M$7),INDIRECT(Index!$L$7),"&gt;="&amp;$A301,INDIRECT(Index!$L$7),"&lt;"&amp;EDATE($A301,3))),"")</f>
        <v/>
      </c>
      <c r="C301" s="29" t="str">
        <f aca="false">IFERROR(B301/B300-1,"")</f>
        <v/>
      </c>
      <c r="D301" s="29" t="str">
        <f aca="false">IFERROR(B301/B297-1,"")</f>
        <v/>
      </c>
      <c r="E301" s="31" t="str">
        <f aca="false">IFERROR(IF(AND(B301="",ISNUMBER($C$209),ISNUMBER($G$209)),$C$209*(1+$G$209)^(($A301-$E$209)/365.25),""),"")</f>
        <v/>
      </c>
      <c r="F301" s="31" t="str">
        <f aca="false">IFERROR(IF(AND(B301="",ISNUMBER($C$209),ISNUMBER($G$209)),$C$209*(1+$G$209*0.85^MAX(0,($A301-$E$209)/91.25))^(($A301-$E$209)/365.25),""),"")</f>
        <v/>
      </c>
    </row>
    <row r="302" customFormat="false" ht="15" hidden="false" customHeight="false" outlineLevel="0" collapsed="false">
      <c r="A302" s="15" t="n">
        <v>47665</v>
      </c>
      <c r="B302" s="20" t="str">
        <f aca="true">IFERROR(IF(AVERAGEIFS(INDIRECT(Index!$M$7),INDIRECT(Index!$L$7),"&gt;="&amp;$A302,INDIRECT(Index!$L$7),"&lt;"&amp;EDATE($A302,3))=0,"",AVERAGEIFS(INDIRECT(Index!$M$7),INDIRECT(Index!$L$7),"&gt;="&amp;$A302,INDIRECT(Index!$L$7),"&lt;"&amp;EDATE($A302,3))),"")</f>
        <v/>
      </c>
      <c r="C302" s="33" t="str">
        <f aca="false">IFERROR(B302/B301-1,"")</f>
        <v/>
      </c>
      <c r="D302" s="33" t="str">
        <f aca="false">IFERROR(B302/B298-1,"")</f>
        <v/>
      </c>
      <c r="E302" s="25" t="str">
        <f aca="false">IFERROR(IF(AND(B302="",ISNUMBER($C$209),ISNUMBER($G$209)),$C$209*(1+$G$209)^(($A302-$E$209)/365.25),""),"")</f>
        <v/>
      </c>
      <c r="F302" s="25" t="str">
        <f aca="false">IFERROR(IF(AND(B302="",ISNUMBER($C$209),ISNUMBER($G$209)),$C$209*(1+$G$209*0.85^MAX(0,($A302-$E$209)/91.25))^(($A302-$E$209)/365.25),""),"")</f>
        <v/>
      </c>
    </row>
    <row r="303" customFormat="false" ht="15" hidden="false" customHeight="false" outlineLevel="0" collapsed="false">
      <c r="A303" s="27" t="n">
        <v>47757</v>
      </c>
      <c r="B303" s="28" t="str">
        <f aca="true">IFERROR(IF(AVERAGEIFS(INDIRECT(Index!$M$7),INDIRECT(Index!$L$7),"&gt;="&amp;$A303,INDIRECT(Index!$L$7),"&lt;"&amp;EDATE($A303,3))=0,"",AVERAGEIFS(INDIRECT(Index!$M$7),INDIRECT(Index!$L$7),"&gt;="&amp;$A303,INDIRECT(Index!$L$7),"&lt;"&amp;EDATE($A303,3))),"")</f>
        <v/>
      </c>
      <c r="C303" s="29" t="str">
        <f aca="false">IFERROR(B303/B302-1,"")</f>
        <v/>
      </c>
      <c r="D303" s="29" t="str">
        <f aca="false">IFERROR(B303/B299-1,"")</f>
        <v/>
      </c>
      <c r="E303" s="31" t="str">
        <f aca="false">IFERROR(IF(AND(B303="",ISNUMBER($C$209),ISNUMBER($G$209)),$C$209*(1+$G$209)^(($A303-$E$209)/365.25),""),"")</f>
        <v/>
      </c>
      <c r="F303" s="31" t="str">
        <f aca="false">IFERROR(IF(AND(B303="",ISNUMBER($C$209),ISNUMBER($G$209)),$C$209*(1+$G$209*0.85^MAX(0,($A303-$E$209)/91.25))^(($A303-$E$209)/365.25),""),"")</f>
        <v/>
      </c>
    </row>
  </sheetData>
  <mergeCells count="16">
    <mergeCell ref="A2:N2"/>
    <mergeCell ref="A4:M4"/>
    <mergeCell ref="D5:H5"/>
    <mergeCell ref="B6:M6"/>
    <mergeCell ref="A8:F8"/>
    <mergeCell ref="J8:M8"/>
    <mergeCell ref="A105:M105"/>
    <mergeCell ref="D106:H106"/>
    <mergeCell ref="B107:M107"/>
    <mergeCell ref="A109:F109"/>
    <mergeCell ref="J109:M109"/>
    <mergeCell ref="A206:M206"/>
    <mergeCell ref="D207:H207"/>
    <mergeCell ref="B208:M208"/>
    <mergeCell ref="A210:F210"/>
    <mergeCell ref="J210:M2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4" min="3" style="0" width="9"/>
    <col collapsed="false" customWidth="true" hidden="false" outlineLevel="0" max="8" min="5" style="0" width="12"/>
    <col collapsed="false" customWidth="true" hidden="false" outlineLevel="0" max="9" min="9" style="0" width="2"/>
    <col collapsed="false" customWidth="true" hidden="false" outlineLevel="0" max="10" min="10" style="0" width="7"/>
    <col collapsed="false" customWidth="true" hidden="false" outlineLevel="0" max="11" min="11" style="0" width="14"/>
    <col collapsed="false" customWidth="true" hidden="false" outlineLevel="0" max="12" min="12" style="0" width="9"/>
    <col collapsed="false" customWidth="true" hidden="false" outlineLevel="0" max="13" min="13" style="0" width="14"/>
    <col collapsed="false" customWidth="true" hidden="false" outlineLevel="0" max="14" min="14" style="0" width="2"/>
  </cols>
  <sheetData>
    <row r="1" customFormat="false" ht="22.05" hidden="false" customHeight="false" outlineLevel="0" collapsed="false">
      <c r="A1" s="1" t="s">
        <v>122</v>
      </c>
    </row>
    <row r="2" customFormat="false" ht="15" hidden="false" customHeight="false" outlineLevel="0" collapsed="false">
      <c r="A2" s="6" t="s">
        <v>105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4" customFormat="false" ht="21.75" hidden="false" customHeight="true" outlineLevel="0" collapsed="false">
      <c r="A4" s="17" t="str">
        <f aca="false">Index!$A$8&amp;"   ("&amp;Index!$I$8&amp;")"</f>
        <v>CPI National   (Index Dec-16=100)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</row>
    <row r="5" customFormat="false" ht="15" hidden="false" customHeight="false" outlineLevel="0" collapsed="false">
      <c r="A5" s="4" t="s">
        <v>106</v>
      </c>
      <c r="B5" s="18" t="str">
        <f aca="false">Index!$J$8</f>
        <v>avg</v>
      </c>
      <c r="C5" s="4" t="s">
        <v>107</v>
      </c>
      <c r="D5" s="19" t="str">
        <f aca="false">Index!$D$8&amp;" ["&amp;Index!$F$8&amp;Index!$G$8&amp;":"&amp;Index!$F$8&amp;Index!$H$8&amp;"]"</f>
        <v>Data_Monthly [C2:C400]</v>
      </c>
      <c r="E5" s="19"/>
      <c r="F5" s="19"/>
      <c r="G5" s="19"/>
      <c r="H5" s="19"/>
    </row>
    <row r="6" customFormat="false" ht="15" hidden="false" customHeight="false" outlineLevel="0" collapsed="false">
      <c r="A6" s="4" t="s">
        <v>108</v>
      </c>
      <c r="B6" s="6" t="str">
        <f aca="false">IF(Index!$K$8="","",Index!$K$8)</f>
        <v>INDEC IPC nacional. Pre-2017 series has structural breaks.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</row>
    <row r="7" customFormat="false" ht="15" hidden="false" customHeight="false" outlineLevel="0" collapsed="false">
      <c r="A7" s="4" t="s">
        <v>109</v>
      </c>
      <c r="B7" s="4" t="s">
        <v>110</v>
      </c>
      <c r="C7" s="20" t="str">
        <f aca="false">IFERROR(LOOKUP(2,1/($B$10:$B$101&lt;&gt;""),$B$10:$B$101),"")</f>
        <v/>
      </c>
      <c r="D7" s="4" t="s">
        <v>111</v>
      </c>
      <c r="E7" s="21" t="str">
        <f aca="false">IFERROR(LOOKUP(2,1/($B$10:$B$101&lt;&gt;""),$A$10:$A$101),"")</f>
        <v/>
      </c>
      <c r="F7" s="4" t="s">
        <v>112</v>
      </c>
      <c r="G7" s="22" t="str">
        <f aca="false">IFERROR(C7/INDEX($B$10:$B$101,MATCH(EDATE(E7,-12),$A$10:$A$101,0))-1,"")</f>
        <v/>
      </c>
    </row>
    <row r="8" customFormat="false" ht="18" hidden="false" customHeight="true" outlineLevel="0" collapsed="false">
      <c r="A8" s="23" t="s">
        <v>113</v>
      </c>
      <c r="B8" s="23"/>
      <c r="C8" s="23"/>
      <c r="D8" s="23"/>
      <c r="E8" s="23"/>
      <c r="F8" s="23"/>
      <c r="J8" s="23" t="s">
        <v>114</v>
      </c>
      <c r="K8" s="23"/>
      <c r="L8" s="23"/>
      <c r="M8" s="23"/>
    </row>
    <row r="9" customFormat="false" ht="15" hidden="false" customHeight="false" outlineLevel="0" collapsed="false">
      <c r="A9" s="7" t="s">
        <v>95</v>
      </c>
      <c r="B9" s="7" t="s">
        <v>115</v>
      </c>
      <c r="C9" s="7" t="s">
        <v>116</v>
      </c>
      <c r="D9" s="7" t="s">
        <v>117</v>
      </c>
      <c r="E9" s="7" t="s">
        <v>118</v>
      </c>
      <c r="F9" s="7" t="s">
        <v>119</v>
      </c>
      <c r="J9" s="7" t="s">
        <v>120</v>
      </c>
      <c r="K9" s="7" t="s">
        <v>115</v>
      </c>
      <c r="L9" s="7" t="s">
        <v>117</v>
      </c>
      <c r="M9" s="7" t="s">
        <v>121</v>
      </c>
    </row>
    <row r="10" customFormat="false" ht="15" hidden="false" customHeight="false" outlineLevel="0" collapsed="false">
      <c r="A10" s="15" t="n">
        <v>39448</v>
      </c>
      <c r="B10" s="20" t="str">
        <f aca="true">IFERROR(IF(AVERAGEIFS(INDIRECT(Index!$M$8),INDIRECT(Index!$L$8),"&gt;="&amp;$A10,INDIRECT(Index!$L$8),"&lt;"&amp;EDATE($A10,3))=0,"",AVERAGEIFS(INDIRECT(Index!$M$8),INDIRECT(Index!$L$8),"&gt;="&amp;$A10,INDIRECT(Index!$L$8),"&lt;"&amp;EDATE($A10,3))),"")</f>
        <v/>
      </c>
      <c r="C10" s="24"/>
      <c r="D10" s="24"/>
      <c r="E10" s="25" t="str">
        <f aca="false">IFERROR(IF(AND(B10="",ISNUMBER($C$7),ISNUMBER($G$7)),$C$7*(1+$G$7)^(($A10-$E$7)/365.25),""),"")</f>
        <v/>
      </c>
      <c r="F10" s="25" t="str">
        <f aca="false">IFERROR(IF(AND(B10="",ISNUMBER($C$7),ISNUMBER($G$7)),$C$7*(1+$G$7*0.85^MAX(0,($A10-$E$7)/91.25))^(($A10-$E$7)/365.25),""),"")</f>
        <v/>
      </c>
      <c r="J10" s="26" t="n">
        <v>2008</v>
      </c>
      <c r="K10" s="25" t="str">
        <f aca="false">IFERROR(AVERAGEIFS($B$10:$B$101,$A$10:$A$101,"&gt;="&amp;DATE(J10,1,1),$A$10:$A$101,"&lt;="&amp;DATE(J10,12,31)),"")</f>
        <v/>
      </c>
      <c r="L10" s="24"/>
      <c r="M10" s="25" t="str">
        <f aca="false">IFERROR(AVERAGEIFS($E$10:$E$101,$A$10:$A$101,"&gt;="&amp;DATE(J10,1,1),$A$10:$A$101,"&lt;="&amp;DATE(J10,12,31)),"")</f>
        <v/>
      </c>
    </row>
    <row r="11" customFormat="false" ht="15" hidden="false" customHeight="false" outlineLevel="0" collapsed="false">
      <c r="A11" s="27" t="n">
        <v>39539</v>
      </c>
      <c r="B11" s="28" t="str">
        <f aca="true">IFERROR(IF(AVERAGEIFS(INDIRECT(Index!$M$8),INDIRECT(Index!$L$8),"&gt;="&amp;$A11,INDIRECT(Index!$L$8),"&lt;"&amp;EDATE($A11,3))=0,"",AVERAGEIFS(INDIRECT(Index!$M$8),INDIRECT(Index!$L$8),"&gt;="&amp;$A11,INDIRECT(Index!$L$8),"&lt;"&amp;EDATE($A11,3))),"")</f>
        <v/>
      </c>
      <c r="C11" s="29" t="str">
        <f aca="false">IFERROR(B11/B10-1,"")</f>
        <v/>
      </c>
      <c r="D11" s="30"/>
      <c r="E11" s="31" t="str">
        <f aca="false">IFERROR(IF(AND(B11="",ISNUMBER($C$7),ISNUMBER($G$7)),$C$7*(1+$G$7)^(($A11-$E$7)/365.25),""),"")</f>
        <v/>
      </c>
      <c r="F11" s="31" t="str">
        <f aca="false">IFERROR(IF(AND(B11="",ISNUMBER($C$7),ISNUMBER($G$7)),$C$7*(1+$G$7*0.85^MAX(0,($A11-$E$7)/91.25))^(($A11-$E$7)/365.25),""),"")</f>
        <v/>
      </c>
      <c r="J11" s="32" t="n">
        <v>2009</v>
      </c>
      <c r="K11" s="31" t="str">
        <f aca="false">IFERROR(AVERAGEIFS($B$10:$B$101,$A$10:$A$101,"&gt;="&amp;DATE(J11,1,1),$A$10:$A$101,"&lt;="&amp;DATE(J11,12,31)),"")</f>
        <v/>
      </c>
      <c r="L11" s="29" t="str">
        <f aca="false">IFERROR(K11/K10-1,"")</f>
        <v/>
      </c>
      <c r="M11" s="31" t="str">
        <f aca="false">IFERROR(AVERAGEIFS($E$10:$E$101,$A$10:$A$101,"&gt;="&amp;DATE(J11,1,1),$A$10:$A$101,"&lt;="&amp;DATE(J11,12,31)),"")</f>
        <v/>
      </c>
    </row>
    <row r="12" customFormat="false" ht="15" hidden="false" customHeight="false" outlineLevel="0" collapsed="false">
      <c r="A12" s="15" t="n">
        <v>39630</v>
      </c>
      <c r="B12" s="20" t="str">
        <f aca="true">IFERROR(IF(AVERAGEIFS(INDIRECT(Index!$M$8),INDIRECT(Index!$L$8),"&gt;="&amp;$A12,INDIRECT(Index!$L$8),"&lt;"&amp;EDATE($A12,3))=0,"",AVERAGEIFS(INDIRECT(Index!$M$8),INDIRECT(Index!$L$8),"&gt;="&amp;$A12,INDIRECT(Index!$L$8),"&lt;"&amp;EDATE($A12,3))),"")</f>
        <v/>
      </c>
      <c r="C12" s="33" t="str">
        <f aca="false">IFERROR(B12/B11-1,"")</f>
        <v/>
      </c>
      <c r="D12" s="24"/>
      <c r="E12" s="25" t="str">
        <f aca="false">IFERROR(IF(AND(B12="",ISNUMBER($C$7),ISNUMBER($G$7)),$C$7*(1+$G$7)^(($A12-$E$7)/365.25),""),"")</f>
        <v/>
      </c>
      <c r="F12" s="25" t="str">
        <f aca="false">IFERROR(IF(AND(B12="",ISNUMBER($C$7),ISNUMBER($G$7)),$C$7*(1+$G$7*0.85^MAX(0,($A12-$E$7)/91.25))^(($A12-$E$7)/365.25),""),"")</f>
        <v/>
      </c>
      <c r="J12" s="26" t="n">
        <v>2010</v>
      </c>
      <c r="K12" s="25" t="str">
        <f aca="false">IFERROR(AVERAGEIFS($B$10:$B$101,$A$10:$A$101,"&gt;="&amp;DATE(J12,1,1),$A$10:$A$101,"&lt;="&amp;DATE(J12,12,31)),"")</f>
        <v/>
      </c>
      <c r="L12" s="33" t="str">
        <f aca="false">IFERROR(K12/K11-1,"")</f>
        <v/>
      </c>
      <c r="M12" s="25" t="str">
        <f aca="false">IFERROR(AVERAGEIFS($E$10:$E$101,$A$10:$A$101,"&gt;="&amp;DATE(J12,1,1),$A$10:$A$101,"&lt;="&amp;DATE(J12,12,31)),"")</f>
        <v/>
      </c>
    </row>
    <row r="13" customFormat="false" ht="15" hidden="false" customHeight="false" outlineLevel="0" collapsed="false">
      <c r="A13" s="27" t="n">
        <v>39722</v>
      </c>
      <c r="B13" s="28" t="str">
        <f aca="true">IFERROR(IF(AVERAGEIFS(INDIRECT(Index!$M$8),INDIRECT(Index!$L$8),"&gt;="&amp;$A13,INDIRECT(Index!$L$8),"&lt;"&amp;EDATE($A13,3))=0,"",AVERAGEIFS(INDIRECT(Index!$M$8),INDIRECT(Index!$L$8),"&gt;="&amp;$A13,INDIRECT(Index!$L$8),"&lt;"&amp;EDATE($A13,3))),"")</f>
        <v/>
      </c>
      <c r="C13" s="29" t="str">
        <f aca="false">IFERROR(B13/B12-1,"")</f>
        <v/>
      </c>
      <c r="D13" s="30"/>
      <c r="E13" s="31" t="str">
        <f aca="false">IFERROR(IF(AND(B13="",ISNUMBER($C$7),ISNUMBER($G$7)),$C$7*(1+$G$7)^(($A13-$E$7)/365.25),""),"")</f>
        <v/>
      </c>
      <c r="F13" s="31" t="str">
        <f aca="false">IFERROR(IF(AND(B13="",ISNUMBER($C$7),ISNUMBER($G$7)),$C$7*(1+$G$7*0.85^MAX(0,($A13-$E$7)/91.25))^(($A13-$E$7)/365.25),""),"")</f>
        <v/>
      </c>
      <c r="J13" s="32" t="n">
        <v>2011</v>
      </c>
      <c r="K13" s="31" t="str">
        <f aca="false">IFERROR(AVERAGEIFS($B$10:$B$101,$A$10:$A$101,"&gt;="&amp;DATE(J13,1,1),$A$10:$A$101,"&lt;="&amp;DATE(J13,12,31)),"")</f>
        <v/>
      </c>
      <c r="L13" s="29" t="str">
        <f aca="false">IFERROR(K13/K12-1,"")</f>
        <v/>
      </c>
      <c r="M13" s="31" t="str">
        <f aca="false">IFERROR(AVERAGEIFS($E$10:$E$101,$A$10:$A$101,"&gt;="&amp;DATE(J13,1,1),$A$10:$A$101,"&lt;="&amp;DATE(J13,12,31)),"")</f>
        <v/>
      </c>
    </row>
    <row r="14" customFormat="false" ht="15" hidden="false" customHeight="false" outlineLevel="0" collapsed="false">
      <c r="A14" s="15" t="n">
        <v>39814</v>
      </c>
      <c r="B14" s="20" t="str">
        <f aca="true">IFERROR(IF(AVERAGEIFS(INDIRECT(Index!$M$8),INDIRECT(Index!$L$8),"&gt;="&amp;$A14,INDIRECT(Index!$L$8),"&lt;"&amp;EDATE($A14,3))=0,"",AVERAGEIFS(INDIRECT(Index!$M$8),INDIRECT(Index!$L$8),"&gt;="&amp;$A14,INDIRECT(Index!$L$8),"&lt;"&amp;EDATE($A14,3))),"")</f>
        <v/>
      </c>
      <c r="C14" s="33" t="str">
        <f aca="false">IFERROR(B14/B13-1,"")</f>
        <v/>
      </c>
      <c r="D14" s="33" t="str">
        <f aca="false">IFERROR(B14/B10-1,"")</f>
        <v/>
      </c>
      <c r="E14" s="25" t="str">
        <f aca="false">IFERROR(IF(AND(B14="",ISNUMBER($C$7),ISNUMBER($G$7)),$C$7*(1+$G$7)^(($A14-$E$7)/365.25),""),"")</f>
        <v/>
      </c>
      <c r="F14" s="25" t="str">
        <f aca="false">IFERROR(IF(AND(B14="",ISNUMBER($C$7),ISNUMBER($G$7)),$C$7*(1+$G$7*0.85^MAX(0,($A14-$E$7)/91.25))^(($A14-$E$7)/365.25),""),"")</f>
        <v/>
      </c>
      <c r="J14" s="26" t="n">
        <v>2012</v>
      </c>
      <c r="K14" s="25" t="str">
        <f aca="false">IFERROR(AVERAGEIFS($B$10:$B$101,$A$10:$A$101,"&gt;="&amp;DATE(J14,1,1),$A$10:$A$101,"&lt;="&amp;DATE(J14,12,31)),"")</f>
        <v/>
      </c>
      <c r="L14" s="33" t="str">
        <f aca="false">IFERROR(K14/K13-1,"")</f>
        <v/>
      </c>
      <c r="M14" s="25" t="str">
        <f aca="false">IFERROR(AVERAGEIFS($E$10:$E$101,$A$10:$A$101,"&gt;="&amp;DATE(J14,1,1),$A$10:$A$101,"&lt;="&amp;DATE(J14,12,31)),"")</f>
        <v/>
      </c>
    </row>
    <row r="15" customFormat="false" ht="15" hidden="false" customHeight="false" outlineLevel="0" collapsed="false">
      <c r="A15" s="27" t="n">
        <v>39904</v>
      </c>
      <c r="B15" s="28" t="str">
        <f aca="true">IFERROR(IF(AVERAGEIFS(INDIRECT(Index!$M$8),INDIRECT(Index!$L$8),"&gt;="&amp;$A15,INDIRECT(Index!$L$8),"&lt;"&amp;EDATE($A15,3))=0,"",AVERAGEIFS(INDIRECT(Index!$M$8),INDIRECT(Index!$L$8),"&gt;="&amp;$A15,INDIRECT(Index!$L$8),"&lt;"&amp;EDATE($A15,3))),"")</f>
        <v/>
      </c>
      <c r="C15" s="29" t="str">
        <f aca="false">IFERROR(B15/B14-1,"")</f>
        <v/>
      </c>
      <c r="D15" s="29" t="str">
        <f aca="false">IFERROR(B15/B11-1,"")</f>
        <v/>
      </c>
      <c r="E15" s="31" t="str">
        <f aca="false">IFERROR(IF(AND(B15="",ISNUMBER($C$7),ISNUMBER($G$7)),$C$7*(1+$G$7)^(($A15-$E$7)/365.25),""),"")</f>
        <v/>
      </c>
      <c r="F15" s="31" t="str">
        <f aca="false">IFERROR(IF(AND(B15="",ISNUMBER($C$7),ISNUMBER($G$7)),$C$7*(1+$G$7*0.85^MAX(0,($A15-$E$7)/91.25))^(($A15-$E$7)/365.25),""),"")</f>
        <v/>
      </c>
      <c r="J15" s="32" t="n">
        <v>2013</v>
      </c>
      <c r="K15" s="31" t="str">
        <f aca="false">IFERROR(AVERAGEIFS($B$10:$B$101,$A$10:$A$101,"&gt;="&amp;DATE(J15,1,1),$A$10:$A$101,"&lt;="&amp;DATE(J15,12,31)),"")</f>
        <v/>
      </c>
      <c r="L15" s="29" t="str">
        <f aca="false">IFERROR(K15/K14-1,"")</f>
        <v/>
      </c>
      <c r="M15" s="31" t="str">
        <f aca="false">IFERROR(AVERAGEIFS($E$10:$E$101,$A$10:$A$101,"&gt;="&amp;DATE(J15,1,1),$A$10:$A$101,"&lt;="&amp;DATE(J15,12,31)),"")</f>
        <v/>
      </c>
    </row>
    <row r="16" customFormat="false" ht="15" hidden="false" customHeight="false" outlineLevel="0" collapsed="false">
      <c r="A16" s="15" t="n">
        <v>39995</v>
      </c>
      <c r="B16" s="20" t="str">
        <f aca="true">IFERROR(IF(AVERAGEIFS(INDIRECT(Index!$M$8),INDIRECT(Index!$L$8),"&gt;="&amp;$A16,INDIRECT(Index!$L$8),"&lt;"&amp;EDATE($A16,3))=0,"",AVERAGEIFS(INDIRECT(Index!$M$8),INDIRECT(Index!$L$8),"&gt;="&amp;$A16,INDIRECT(Index!$L$8),"&lt;"&amp;EDATE($A16,3))),"")</f>
        <v/>
      </c>
      <c r="C16" s="33" t="str">
        <f aca="false">IFERROR(B16/B15-1,"")</f>
        <v/>
      </c>
      <c r="D16" s="33" t="str">
        <f aca="false">IFERROR(B16/B12-1,"")</f>
        <v/>
      </c>
      <c r="E16" s="25" t="str">
        <f aca="false">IFERROR(IF(AND(B16="",ISNUMBER($C$7),ISNUMBER($G$7)),$C$7*(1+$G$7)^(($A16-$E$7)/365.25),""),"")</f>
        <v/>
      </c>
      <c r="F16" s="25" t="str">
        <f aca="false">IFERROR(IF(AND(B16="",ISNUMBER($C$7),ISNUMBER($G$7)),$C$7*(1+$G$7*0.85^MAX(0,($A16-$E$7)/91.25))^(($A16-$E$7)/365.25),""),"")</f>
        <v/>
      </c>
      <c r="J16" s="26" t="n">
        <v>2014</v>
      </c>
      <c r="K16" s="25" t="str">
        <f aca="false">IFERROR(AVERAGEIFS($B$10:$B$101,$A$10:$A$101,"&gt;="&amp;DATE(J16,1,1),$A$10:$A$101,"&lt;="&amp;DATE(J16,12,31)),"")</f>
        <v/>
      </c>
      <c r="L16" s="33" t="str">
        <f aca="false">IFERROR(K16/K15-1,"")</f>
        <v/>
      </c>
      <c r="M16" s="25" t="str">
        <f aca="false">IFERROR(AVERAGEIFS($E$10:$E$101,$A$10:$A$101,"&gt;="&amp;DATE(J16,1,1),$A$10:$A$101,"&lt;="&amp;DATE(J16,12,31)),"")</f>
        <v/>
      </c>
    </row>
    <row r="17" customFormat="false" ht="15" hidden="false" customHeight="false" outlineLevel="0" collapsed="false">
      <c r="A17" s="27" t="n">
        <v>40087</v>
      </c>
      <c r="B17" s="28" t="str">
        <f aca="true">IFERROR(IF(AVERAGEIFS(INDIRECT(Index!$M$8),INDIRECT(Index!$L$8),"&gt;="&amp;$A17,INDIRECT(Index!$L$8),"&lt;"&amp;EDATE($A17,3))=0,"",AVERAGEIFS(INDIRECT(Index!$M$8),INDIRECT(Index!$L$8),"&gt;="&amp;$A17,INDIRECT(Index!$L$8),"&lt;"&amp;EDATE($A17,3))),"")</f>
        <v/>
      </c>
      <c r="C17" s="29" t="str">
        <f aca="false">IFERROR(B17/B16-1,"")</f>
        <v/>
      </c>
      <c r="D17" s="29" t="str">
        <f aca="false">IFERROR(B17/B13-1,"")</f>
        <v/>
      </c>
      <c r="E17" s="31" t="str">
        <f aca="false">IFERROR(IF(AND(B17="",ISNUMBER($C$7),ISNUMBER($G$7)),$C$7*(1+$G$7)^(($A17-$E$7)/365.25),""),"")</f>
        <v/>
      </c>
      <c r="F17" s="31" t="str">
        <f aca="false">IFERROR(IF(AND(B17="",ISNUMBER($C$7),ISNUMBER($G$7)),$C$7*(1+$G$7*0.85^MAX(0,($A17-$E$7)/91.25))^(($A17-$E$7)/365.25),""),"")</f>
        <v/>
      </c>
      <c r="J17" s="32" t="n">
        <v>2015</v>
      </c>
      <c r="K17" s="31" t="str">
        <f aca="false">IFERROR(AVERAGEIFS($B$10:$B$101,$A$10:$A$101,"&gt;="&amp;DATE(J17,1,1),$A$10:$A$101,"&lt;="&amp;DATE(J17,12,31)),"")</f>
        <v/>
      </c>
      <c r="L17" s="29" t="str">
        <f aca="false">IFERROR(K17/K16-1,"")</f>
        <v/>
      </c>
      <c r="M17" s="31" t="str">
        <f aca="false">IFERROR(AVERAGEIFS($E$10:$E$101,$A$10:$A$101,"&gt;="&amp;DATE(J17,1,1),$A$10:$A$101,"&lt;="&amp;DATE(J17,12,31)),"")</f>
        <v/>
      </c>
    </row>
    <row r="18" customFormat="false" ht="15" hidden="false" customHeight="false" outlineLevel="0" collapsed="false">
      <c r="A18" s="15" t="n">
        <v>40179</v>
      </c>
      <c r="B18" s="20" t="str">
        <f aca="true">IFERROR(IF(AVERAGEIFS(INDIRECT(Index!$M$8),INDIRECT(Index!$L$8),"&gt;="&amp;$A18,INDIRECT(Index!$L$8),"&lt;"&amp;EDATE($A18,3))=0,"",AVERAGEIFS(INDIRECT(Index!$M$8),INDIRECT(Index!$L$8),"&gt;="&amp;$A18,INDIRECT(Index!$L$8),"&lt;"&amp;EDATE($A18,3))),"")</f>
        <v/>
      </c>
      <c r="C18" s="33" t="str">
        <f aca="false">IFERROR(B18/B17-1,"")</f>
        <v/>
      </c>
      <c r="D18" s="33" t="str">
        <f aca="false">IFERROR(B18/B14-1,"")</f>
        <v/>
      </c>
      <c r="E18" s="25" t="str">
        <f aca="false">IFERROR(IF(AND(B18="",ISNUMBER($C$7),ISNUMBER($G$7)),$C$7*(1+$G$7)^(($A18-$E$7)/365.25),""),"")</f>
        <v/>
      </c>
      <c r="F18" s="25" t="str">
        <f aca="false">IFERROR(IF(AND(B18="",ISNUMBER($C$7),ISNUMBER($G$7)),$C$7*(1+$G$7*0.85^MAX(0,($A18-$E$7)/91.25))^(($A18-$E$7)/365.25),""),"")</f>
        <v/>
      </c>
      <c r="J18" s="26" t="n">
        <v>2016</v>
      </c>
      <c r="K18" s="25" t="str">
        <f aca="false">IFERROR(AVERAGEIFS($B$10:$B$101,$A$10:$A$101,"&gt;="&amp;DATE(J18,1,1),$A$10:$A$101,"&lt;="&amp;DATE(J18,12,31)),"")</f>
        <v/>
      </c>
      <c r="L18" s="33" t="str">
        <f aca="false">IFERROR(K18/K17-1,"")</f>
        <v/>
      </c>
      <c r="M18" s="25" t="str">
        <f aca="false">IFERROR(AVERAGEIFS($E$10:$E$101,$A$10:$A$101,"&gt;="&amp;DATE(J18,1,1),$A$10:$A$101,"&lt;="&amp;DATE(J18,12,31)),"")</f>
        <v/>
      </c>
    </row>
    <row r="19" customFormat="false" ht="15" hidden="false" customHeight="false" outlineLevel="0" collapsed="false">
      <c r="A19" s="27" t="n">
        <v>40269</v>
      </c>
      <c r="B19" s="28" t="str">
        <f aca="true">IFERROR(IF(AVERAGEIFS(INDIRECT(Index!$M$8),INDIRECT(Index!$L$8),"&gt;="&amp;$A19,INDIRECT(Index!$L$8),"&lt;"&amp;EDATE($A19,3))=0,"",AVERAGEIFS(INDIRECT(Index!$M$8),INDIRECT(Index!$L$8),"&gt;="&amp;$A19,INDIRECT(Index!$L$8),"&lt;"&amp;EDATE($A19,3))),"")</f>
        <v/>
      </c>
      <c r="C19" s="29" t="str">
        <f aca="false">IFERROR(B19/B18-1,"")</f>
        <v/>
      </c>
      <c r="D19" s="29" t="str">
        <f aca="false">IFERROR(B19/B15-1,"")</f>
        <v/>
      </c>
      <c r="E19" s="31" t="str">
        <f aca="false">IFERROR(IF(AND(B19="",ISNUMBER($C$7),ISNUMBER($G$7)),$C$7*(1+$G$7)^(($A19-$E$7)/365.25),""),"")</f>
        <v/>
      </c>
      <c r="F19" s="31" t="str">
        <f aca="false">IFERROR(IF(AND(B19="",ISNUMBER($C$7),ISNUMBER($G$7)),$C$7*(1+$G$7*0.85^MAX(0,($A19-$E$7)/91.25))^(($A19-$E$7)/365.25),""),"")</f>
        <v/>
      </c>
      <c r="J19" s="32" t="n">
        <v>2017</v>
      </c>
      <c r="K19" s="31" t="str">
        <f aca="false">IFERROR(AVERAGEIFS($B$10:$B$101,$A$10:$A$101,"&gt;="&amp;DATE(J19,1,1),$A$10:$A$101,"&lt;="&amp;DATE(J19,12,31)),"")</f>
        <v/>
      </c>
      <c r="L19" s="29" t="str">
        <f aca="false">IFERROR(K19/K18-1,"")</f>
        <v/>
      </c>
      <c r="M19" s="31" t="str">
        <f aca="false">IFERROR(AVERAGEIFS($E$10:$E$101,$A$10:$A$101,"&gt;="&amp;DATE(J19,1,1),$A$10:$A$101,"&lt;="&amp;DATE(J19,12,31)),"")</f>
        <v/>
      </c>
    </row>
    <row r="20" customFormat="false" ht="15" hidden="false" customHeight="false" outlineLevel="0" collapsed="false">
      <c r="A20" s="15" t="n">
        <v>40360</v>
      </c>
      <c r="B20" s="20" t="str">
        <f aca="true">IFERROR(IF(AVERAGEIFS(INDIRECT(Index!$M$8),INDIRECT(Index!$L$8),"&gt;="&amp;$A20,INDIRECT(Index!$L$8),"&lt;"&amp;EDATE($A20,3))=0,"",AVERAGEIFS(INDIRECT(Index!$M$8),INDIRECT(Index!$L$8),"&gt;="&amp;$A20,INDIRECT(Index!$L$8),"&lt;"&amp;EDATE($A20,3))),"")</f>
        <v/>
      </c>
      <c r="C20" s="33" t="str">
        <f aca="false">IFERROR(B20/B19-1,"")</f>
        <v/>
      </c>
      <c r="D20" s="33" t="str">
        <f aca="false">IFERROR(B20/B16-1,"")</f>
        <v/>
      </c>
      <c r="E20" s="25" t="str">
        <f aca="false">IFERROR(IF(AND(B20="",ISNUMBER($C$7),ISNUMBER($G$7)),$C$7*(1+$G$7)^(($A20-$E$7)/365.25),""),"")</f>
        <v/>
      </c>
      <c r="F20" s="25" t="str">
        <f aca="false">IFERROR(IF(AND(B20="",ISNUMBER($C$7),ISNUMBER($G$7)),$C$7*(1+$G$7*0.85^MAX(0,($A20-$E$7)/91.25))^(($A20-$E$7)/365.25),""),"")</f>
        <v/>
      </c>
      <c r="J20" s="26" t="n">
        <v>2018</v>
      </c>
      <c r="K20" s="25" t="str">
        <f aca="false">IFERROR(AVERAGEIFS($B$10:$B$101,$A$10:$A$101,"&gt;="&amp;DATE(J20,1,1),$A$10:$A$101,"&lt;="&amp;DATE(J20,12,31)),"")</f>
        <v/>
      </c>
      <c r="L20" s="33" t="str">
        <f aca="false">IFERROR(K20/K19-1,"")</f>
        <v/>
      </c>
      <c r="M20" s="25" t="str">
        <f aca="false">IFERROR(AVERAGEIFS($E$10:$E$101,$A$10:$A$101,"&gt;="&amp;DATE(J20,1,1),$A$10:$A$101,"&lt;="&amp;DATE(J20,12,31)),"")</f>
        <v/>
      </c>
    </row>
    <row r="21" customFormat="false" ht="15" hidden="false" customHeight="false" outlineLevel="0" collapsed="false">
      <c r="A21" s="27" t="n">
        <v>40452</v>
      </c>
      <c r="B21" s="28" t="str">
        <f aca="true">IFERROR(IF(AVERAGEIFS(INDIRECT(Index!$M$8),INDIRECT(Index!$L$8),"&gt;="&amp;$A21,INDIRECT(Index!$L$8),"&lt;"&amp;EDATE($A21,3))=0,"",AVERAGEIFS(INDIRECT(Index!$M$8),INDIRECT(Index!$L$8),"&gt;="&amp;$A21,INDIRECT(Index!$L$8),"&lt;"&amp;EDATE($A21,3))),"")</f>
        <v/>
      </c>
      <c r="C21" s="29" t="str">
        <f aca="false">IFERROR(B21/B20-1,"")</f>
        <v/>
      </c>
      <c r="D21" s="29" t="str">
        <f aca="false">IFERROR(B21/B17-1,"")</f>
        <v/>
      </c>
      <c r="E21" s="31" t="str">
        <f aca="false">IFERROR(IF(AND(B21="",ISNUMBER($C$7),ISNUMBER($G$7)),$C$7*(1+$G$7)^(($A21-$E$7)/365.25),""),"")</f>
        <v/>
      </c>
      <c r="F21" s="31" t="str">
        <f aca="false">IFERROR(IF(AND(B21="",ISNUMBER($C$7),ISNUMBER($G$7)),$C$7*(1+$G$7*0.85^MAX(0,($A21-$E$7)/91.25))^(($A21-$E$7)/365.25),""),"")</f>
        <v/>
      </c>
      <c r="J21" s="32" t="n">
        <v>2019</v>
      </c>
      <c r="K21" s="31" t="str">
        <f aca="false">IFERROR(AVERAGEIFS($B$10:$B$101,$A$10:$A$101,"&gt;="&amp;DATE(J21,1,1),$A$10:$A$101,"&lt;="&amp;DATE(J21,12,31)),"")</f>
        <v/>
      </c>
      <c r="L21" s="29" t="str">
        <f aca="false">IFERROR(K21/K20-1,"")</f>
        <v/>
      </c>
      <c r="M21" s="31" t="str">
        <f aca="false">IFERROR(AVERAGEIFS($E$10:$E$101,$A$10:$A$101,"&gt;="&amp;DATE(J21,1,1),$A$10:$A$101,"&lt;="&amp;DATE(J21,12,31)),"")</f>
        <v/>
      </c>
    </row>
    <row r="22" customFormat="false" ht="15" hidden="false" customHeight="false" outlineLevel="0" collapsed="false">
      <c r="A22" s="15" t="n">
        <v>40544</v>
      </c>
      <c r="B22" s="20" t="str">
        <f aca="true">IFERROR(IF(AVERAGEIFS(INDIRECT(Index!$M$8),INDIRECT(Index!$L$8),"&gt;="&amp;$A22,INDIRECT(Index!$L$8),"&lt;"&amp;EDATE($A22,3))=0,"",AVERAGEIFS(INDIRECT(Index!$M$8),INDIRECT(Index!$L$8),"&gt;="&amp;$A22,INDIRECT(Index!$L$8),"&lt;"&amp;EDATE($A22,3))),"")</f>
        <v/>
      </c>
      <c r="C22" s="33" t="str">
        <f aca="false">IFERROR(B22/B21-1,"")</f>
        <v/>
      </c>
      <c r="D22" s="33" t="str">
        <f aca="false">IFERROR(B22/B18-1,"")</f>
        <v/>
      </c>
      <c r="E22" s="25" t="str">
        <f aca="false">IFERROR(IF(AND(B22="",ISNUMBER($C$7),ISNUMBER($G$7)),$C$7*(1+$G$7)^(($A22-$E$7)/365.25),""),"")</f>
        <v/>
      </c>
      <c r="F22" s="25" t="str">
        <f aca="false">IFERROR(IF(AND(B22="",ISNUMBER($C$7),ISNUMBER($G$7)),$C$7*(1+$G$7*0.85^MAX(0,($A22-$E$7)/91.25))^(($A22-$E$7)/365.25),""),"")</f>
        <v/>
      </c>
      <c r="J22" s="26" t="n">
        <v>2020</v>
      </c>
      <c r="K22" s="25" t="str">
        <f aca="false">IFERROR(AVERAGEIFS($B$10:$B$101,$A$10:$A$101,"&gt;="&amp;DATE(J22,1,1),$A$10:$A$101,"&lt;="&amp;DATE(J22,12,31)),"")</f>
        <v/>
      </c>
      <c r="L22" s="33" t="str">
        <f aca="false">IFERROR(K22/K21-1,"")</f>
        <v/>
      </c>
      <c r="M22" s="25" t="str">
        <f aca="false">IFERROR(AVERAGEIFS($E$10:$E$101,$A$10:$A$101,"&gt;="&amp;DATE(J22,1,1),$A$10:$A$101,"&lt;="&amp;DATE(J22,12,31)),"")</f>
        <v/>
      </c>
    </row>
    <row r="23" customFormat="false" ht="15" hidden="false" customHeight="false" outlineLevel="0" collapsed="false">
      <c r="A23" s="27" t="n">
        <v>40634</v>
      </c>
      <c r="B23" s="28" t="str">
        <f aca="true">IFERROR(IF(AVERAGEIFS(INDIRECT(Index!$M$8),INDIRECT(Index!$L$8),"&gt;="&amp;$A23,INDIRECT(Index!$L$8),"&lt;"&amp;EDATE($A23,3))=0,"",AVERAGEIFS(INDIRECT(Index!$M$8),INDIRECT(Index!$L$8),"&gt;="&amp;$A23,INDIRECT(Index!$L$8),"&lt;"&amp;EDATE($A23,3))),"")</f>
        <v/>
      </c>
      <c r="C23" s="29" t="str">
        <f aca="false">IFERROR(B23/B22-1,"")</f>
        <v/>
      </c>
      <c r="D23" s="29" t="str">
        <f aca="false">IFERROR(B23/B19-1,"")</f>
        <v/>
      </c>
      <c r="E23" s="31" t="str">
        <f aca="false">IFERROR(IF(AND(B23="",ISNUMBER($C$7),ISNUMBER($G$7)),$C$7*(1+$G$7)^(($A23-$E$7)/365.25),""),"")</f>
        <v/>
      </c>
      <c r="F23" s="31" t="str">
        <f aca="false">IFERROR(IF(AND(B23="",ISNUMBER($C$7),ISNUMBER($G$7)),$C$7*(1+$G$7*0.85^MAX(0,($A23-$E$7)/91.25))^(($A23-$E$7)/365.25),""),"")</f>
        <v/>
      </c>
      <c r="J23" s="32" t="n">
        <v>2021</v>
      </c>
      <c r="K23" s="31" t="str">
        <f aca="false">IFERROR(AVERAGEIFS($B$10:$B$101,$A$10:$A$101,"&gt;="&amp;DATE(J23,1,1),$A$10:$A$101,"&lt;="&amp;DATE(J23,12,31)),"")</f>
        <v/>
      </c>
      <c r="L23" s="29" t="str">
        <f aca="false">IFERROR(K23/K22-1,"")</f>
        <v/>
      </c>
      <c r="M23" s="31" t="str">
        <f aca="false">IFERROR(AVERAGEIFS($E$10:$E$101,$A$10:$A$101,"&gt;="&amp;DATE(J23,1,1),$A$10:$A$101,"&lt;="&amp;DATE(J23,12,31)),"")</f>
        <v/>
      </c>
    </row>
    <row r="24" customFormat="false" ht="15" hidden="false" customHeight="false" outlineLevel="0" collapsed="false">
      <c r="A24" s="15" t="n">
        <v>40725</v>
      </c>
      <c r="B24" s="20" t="str">
        <f aca="true">IFERROR(IF(AVERAGEIFS(INDIRECT(Index!$M$8),INDIRECT(Index!$L$8),"&gt;="&amp;$A24,INDIRECT(Index!$L$8),"&lt;"&amp;EDATE($A24,3))=0,"",AVERAGEIFS(INDIRECT(Index!$M$8),INDIRECT(Index!$L$8),"&gt;="&amp;$A24,INDIRECT(Index!$L$8),"&lt;"&amp;EDATE($A24,3))),"")</f>
        <v/>
      </c>
      <c r="C24" s="33" t="str">
        <f aca="false">IFERROR(B24/B23-1,"")</f>
        <v/>
      </c>
      <c r="D24" s="33" t="str">
        <f aca="false">IFERROR(B24/B20-1,"")</f>
        <v/>
      </c>
      <c r="E24" s="25" t="str">
        <f aca="false">IFERROR(IF(AND(B24="",ISNUMBER($C$7),ISNUMBER($G$7)),$C$7*(1+$G$7)^(($A24-$E$7)/365.25),""),"")</f>
        <v/>
      </c>
      <c r="F24" s="25" t="str">
        <f aca="false">IFERROR(IF(AND(B24="",ISNUMBER($C$7),ISNUMBER($G$7)),$C$7*(1+$G$7*0.85^MAX(0,($A24-$E$7)/91.25))^(($A24-$E$7)/365.25),""),"")</f>
        <v/>
      </c>
      <c r="J24" s="26" t="n">
        <v>2022</v>
      </c>
      <c r="K24" s="25" t="str">
        <f aca="false">IFERROR(AVERAGEIFS($B$10:$B$101,$A$10:$A$101,"&gt;="&amp;DATE(J24,1,1),$A$10:$A$101,"&lt;="&amp;DATE(J24,12,31)),"")</f>
        <v/>
      </c>
      <c r="L24" s="33" t="str">
        <f aca="false">IFERROR(K24/K23-1,"")</f>
        <v/>
      </c>
      <c r="M24" s="25" t="str">
        <f aca="false">IFERROR(AVERAGEIFS($E$10:$E$101,$A$10:$A$101,"&gt;="&amp;DATE(J24,1,1),$A$10:$A$101,"&lt;="&amp;DATE(J24,12,31)),"")</f>
        <v/>
      </c>
    </row>
    <row r="25" customFormat="false" ht="15" hidden="false" customHeight="false" outlineLevel="0" collapsed="false">
      <c r="A25" s="27" t="n">
        <v>40817</v>
      </c>
      <c r="B25" s="28" t="str">
        <f aca="true">IFERROR(IF(AVERAGEIFS(INDIRECT(Index!$M$8),INDIRECT(Index!$L$8),"&gt;="&amp;$A25,INDIRECT(Index!$L$8),"&lt;"&amp;EDATE($A25,3))=0,"",AVERAGEIFS(INDIRECT(Index!$M$8),INDIRECT(Index!$L$8),"&gt;="&amp;$A25,INDIRECT(Index!$L$8),"&lt;"&amp;EDATE($A25,3))),"")</f>
        <v/>
      </c>
      <c r="C25" s="29" t="str">
        <f aca="false">IFERROR(B25/B24-1,"")</f>
        <v/>
      </c>
      <c r="D25" s="29" t="str">
        <f aca="false">IFERROR(B25/B21-1,"")</f>
        <v/>
      </c>
      <c r="E25" s="31" t="str">
        <f aca="false">IFERROR(IF(AND(B25="",ISNUMBER($C$7),ISNUMBER($G$7)),$C$7*(1+$G$7)^(($A25-$E$7)/365.25),""),"")</f>
        <v/>
      </c>
      <c r="F25" s="31" t="str">
        <f aca="false">IFERROR(IF(AND(B25="",ISNUMBER($C$7),ISNUMBER($G$7)),$C$7*(1+$G$7*0.85^MAX(0,($A25-$E$7)/91.25))^(($A25-$E$7)/365.25),""),"")</f>
        <v/>
      </c>
      <c r="J25" s="32" t="n">
        <v>2023</v>
      </c>
      <c r="K25" s="31" t="str">
        <f aca="false">IFERROR(AVERAGEIFS($B$10:$B$101,$A$10:$A$101,"&gt;="&amp;DATE(J25,1,1),$A$10:$A$101,"&lt;="&amp;DATE(J25,12,31)),"")</f>
        <v/>
      </c>
      <c r="L25" s="29" t="str">
        <f aca="false">IFERROR(K25/K24-1,"")</f>
        <v/>
      </c>
      <c r="M25" s="31" t="str">
        <f aca="false">IFERROR(AVERAGEIFS($E$10:$E$101,$A$10:$A$101,"&gt;="&amp;DATE(J25,1,1),$A$10:$A$101,"&lt;="&amp;DATE(J25,12,31)),"")</f>
        <v/>
      </c>
    </row>
    <row r="26" customFormat="false" ht="15" hidden="false" customHeight="false" outlineLevel="0" collapsed="false">
      <c r="A26" s="15" t="n">
        <v>40909</v>
      </c>
      <c r="B26" s="20" t="str">
        <f aca="true">IFERROR(IF(AVERAGEIFS(INDIRECT(Index!$M$8),INDIRECT(Index!$L$8),"&gt;="&amp;$A26,INDIRECT(Index!$L$8),"&lt;"&amp;EDATE($A26,3))=0,"",AVERAGEIFS(INDIRECT(Index!$M$8),INDIRECT(Index!$L$8),"&gt;="&amp;$A26,INDIRECT(Index!$L$8),"&lt;"&amp;EDATE($A26,3))),"")</f>
        <v/>
      </c>
      <c r="C26" s="33" t="str">
        <f aca="false">IFERROR(B26/B25-1,"")</f>
        <v/>
      </c>
      <c r="D26" s="33" t="str">
        <f aca="false">IFERROR(B26/B22-1,"")</f>
        <v/>
      </c>
      <c r="E26" s="25" t="str">
        <f aca="false">IFERROR(IF(AND(B26="",ISNUMBER($C$7),ISNUMBER($G$7)),$C$7*(1+$G$7)^(($A26-$E$7)/365.25),""),"")</f>
        <v/>
      </c>
      <c r="F26" s="25" t="str">
        <f aca="false">IFERROR(IF(AND(B26="",ISNUMBER($C$7),ISNUMBER($G$7)),$C$7*(1+$G$7*0.85^MAX(0,($A26-$E$7)/91.25))^(($A26-$E$7)/365.25),""),"")</f>
        <v/>
      </c>
      <c r="J26" s="26" t="n">
        <v>2024</v>
      </c>
      <c r="K26" s="25" t="str">
        <f aca="false">IFERROR(AVERAGEIFS($B$10:$B$101,$A$10:$A$101,"&gt;="&amp;DATE(J26,1,1),$A$10:$A$101,"&lt;="&amp;DATE(J26,12,31)),"")</f>
        <v/>
      </c>
      <c r="L26" s="33" t="str">
        <f aca="false">IFERROR(K26/K25-1,"")</f>
        <v/>
      </c>
      <c r="M26" s="25" t="str">
        <f aca="false">IFERROR(AVERAGEIFS($E$10:$E$101,$A$10:$A$101,"&gt;="&amp;DATE(J26,1,1),$A$10:$A$101,"&lt;="&amp;DATE(J26,12,31)),"")</f>
        <v/>
      </c>
    </row>
    <row r="27" customFormat="false" ht="15" hidden="false" customHeight="false" outlineLevel="0" collapsed="false">
      <c r="A27" s="27" t="n">
        <v>41000</v>
      </c>
      <c r="B27" s="28" t="str">
        <f aca="true">IFERROR(IF(AVERAGEIFS(INDIRECT(Index!$M$8),INDIRECT(Index!$L$8),"&gt;="&amp;$A27,INDIRECT(Index!$L$8),"&lt;"&amp;EDATE($A27,3))=0,"",AVERAGEIFS(INDIRECT(Index!$M$8),INDIRECT(Index!$L$8),"&gt;="&amp;$A27,INDIRECT(Index!$L$8),"&lt;"&amp;EDATE($A27,3))),"")</f>
        <v/>
      </c>
      <c r="C27" s="29" t="str">
        <f aca="false">IFERROR(B27/B26-1,"")</f>
        <v/>
      </c>
      <c r="D27" s="29" t="str">
        <f aca="false">IFERROR(B27/B23-1,"")</f>
        <v/>
      </c>
      <c r="E27" s="31" t="str">
        <f aca="false">IFERROR(IF(AND(B27="",ISNUMBER($C$7),ISNUMBER($G$7)),$C$7*(1+$G$7)^(($A27-$E$7)/365.25),""),"")</f>
        <v/>
      </c>
      <c r="F27" s="31" t="str">
        <f aca="false">IFERROR(IF(AND(B27="",ISNUMBER($C$7),ISNUMBER($G$7)),$C$7*(1+$G$7*0.85^MAX(0,($A27-$E$7)/91.25))^(($A27-$E$7)/365.25),""),"")</f>
        <v/>
      </c>
      <c r="J27" s="32" t="n">
        <v>2025</v>
      </c>
      <c r="K27" s="31" t="str">
        <f aca="false">IFERROR(AVERAGEIFS($B$10:$B$101,$A$10:$A$101,"&gt;="&amp;DATE(J27,1,1),$A$10:$A$101,"&lt;="&amp;DATE(J27,12,31)),"")</f>
        <v/>
      </c>
      <c r="L27" s="29" t="str">
        <f aca="false">IFERROR(K27/K26-1,"")</f>
        <v/>
      </c>
      <c r="M27" s="31" t="str">
        <f aca="false">IFERROR(AVERAGEIFS($E$10:$E$101,$A$10:$A$101,"&gt;="&amp;DATE(J27,1,1),$A$10:$A$101,"&lt;="&amp;DATE(J27,12,31)),"")</f>
        <v/>
      </c>
    </row>
    <row r="28" customFormat="false" ht="15" hidden="false" customHeight="false" outlineLevel="0" collapsed="false">
      <c r="A28" s="15" t="n">
        <v>41091</v>
      </c>
      <c r="B28" s="20" t="str">
        <f aca="true">IFERROR(IF(AVERAGEIFS(INDIRECT(Index!$M$8),INDIRECT(Index!$L$8),"&gt;="&amp;$A28,INDIRECT(Index!$L$8),"&lt;"&amp;EDATE($A28,3))=0,"",AVERAGEIFS(INDIRECT(Index!$M$8),INDIRECT(Index!$L$8),"&gt;="&amp;$A28,INDIRECT(Index!$L$8),"&lt;"&amp;EDATE($A28,3))),"")</f>
        <v/>
      </c>
      <c r="C28" s="33" t="str">
        <f aca="false">IFERROR(B28/B27-1,"")</f>
        <v/>
      </c>
      <c r="D28" s="33" t="str">
        <f aca="false">IFERROR(B28/B24-1,"")</f>
        <v/>
      </c>
      <c r="E28" s="25" t="str">
        <f aca="false">IFERROR(IF(AND(B28="",ISNUMBER($C$7),ISNUMBER($G$7)),$C$7*(1+$G$7)^(($A28-$E$7)/365.25),""),"")</f>
        <v/>
      </c>
      <c r="F28" s="25" t="str">
        <f aca="false">IFERROR(IF(AND(B28="",ISNUMBER($C$7),ISNUMBER($G$7)),$C$7*(1+$G$7*0.85^MAX(0,($A28-$E$7)/91.25))^(($A28-$E$7)/365.25),""),"")</f>
        <v/>
      </c>
      <c r="J28" s="26" t="n">
        <v>2026</v>
      </c>
      <c r="K28" s="25" t="str">
        <f aca="false">IFERROR(AVERAGEIFS($B$10:$B$101,$A$10:$A$101,"&gt;="&amp;DATE(J28,1,1),$A$10:$A$101,"&lt;="&amp;DATE(J28,12,31)),"")</f>
        <v/>
      </c>
      <c r="L28" s="33" t="str">
        <f aca="false">IFERROR(K28/K27-1,"")</f>
        <v/>
      </c>
      <c r="M28" s="25" t="str">
        <f aca="false">IFERROR(AVERAGEIFS($E$10:$E$101,$A$10:$A$101,"&gt;="&amp;DATE(J28,1,1),$A$10:$A$101,"&lt;="&amp;DATE(J28,12,31)),"")</f>
        <v/>
      </c>
    </row>
    <row r="29" customFormat="false" ht="15" hidden="false" customHeight="false" outlineLevel="0" collapsed="false">
      <c r="A29" s="27" t="n">
        <v>41183</v>
      </c>
      <c r="B29" s="28" t="str">
        <f aca="true">IFERROR(IF(AVERAGEIFS(INDIRECT(Index!$M$8),INDIRECT(Index!$L$8),"&gt;="&amp;$A29,INDIRECT(Index!$L$8),"&lt;"&amp;EDATE($A29,3))=0,"",AVERAGEIFS(INDIRECT(Index!$M$8),INDIRECT(Index!$L$8),"&gt;="&amp;$A29,INDIRECT(Index!$L$8),"&lt;"&amp;EDATE($A29,3))),"")</f>
        <v/>
      </c>
      <c r="C29" s="29" t="str">
        <f aca="false">IFERROR(B29/B28-1,"")</f>
        <v/>
      </c>
      <c r="D29" s="29" t="str">
        <f aca="false">IFERROR(B29/B25-1,"")</f>
        <v/>
      </c>
      <c r="E29" s="31" t="str">
        <f aca="false">IFERROR(IF(AND(B29="",ISNUMBER($C$7),ISNUMBER($G$7)),$C$7*(1+$G$7)^(($A29-$E$7)/365.25),""),"")</f>
        <v/>
      </c>
      <c r="F29" s="31" t="str">
        <f aca="false">IFERROR(IF(AND(B29="",ISNUMBER($C$7),ISNUMBER($G$7)),$C$7*(1+$G$7*0.85^MAX(0,($A29-$E$7)/91.25))^(($A29-$E$7)/365.25),""),"")</f>
        <v/>
      </c>
      <c r="J29" s="32" t="n">
        <v>2027</v>
      </c>
      <c r="K29" s="31" t="str">
        <f aca="false">IFERROR(AVERAGEIFS($B$10:$B$101,$A$10:$A$101,"&gt;="&amp;DATE(J29,1,1),$A$10:$A$101,"&lt;="&amp;DATE(J29,12,31)),"")</f>
        <v/>
      </c>
      <c r="L29" s="29" t="str">
        <f aca="false">IFERROR(K29/K28-1,"")</f>
        <v/>
      </c>
      <c r="M29" s="31" t="str">
        <f aca="false">IFERROR(AVERAGEIFS($E$10:$E$101,$A$10:$A$101,"&gt;="&amp;DATE(J29,1,1),$A$10:$A$101,"&lt;="&amp;DATE(J29,12,31)),"")</f>
        <v/>
      </c>
    </row>
    <row r="30" customFormat="false" ht="15" hidden="false" customHeight="false" outlineLevel="0" collapsed="false">
      <c r="A30" s="15" t="n">
        <v>41275</v>
      </c>
      <c r="B30" s="20" t="str">
        <f aca="true">IFERROR(IF(AVERAGEIFS(INDIRECT(Index!$M$8),INDIRECT(Index!$L$8),"&gt;="&amp;$A30,INDIRECT(Index!$L$8),"&lt;"&amp;EDATE($A30,3))=0,"",AVERAGEIFS(INDIRECT(Index!$M$8),INDIRECT(Index!$L$8),"&gt;="&amp;$A30,INDIRECT(Index!$L$8),"&lt;"&amp;EDATE($A30,3))),"")</f>
        <v/>
      </c>
      <c r="C30" s="33" t="str">
        <f aca="false">IFERROR(B30/B29-1,"")</f>
        <v/>
      </c>
      <c r="D30" s="33" t="str">
        <f aca="false">IFERROR(B30/B26-1,"")</f>
        <v/>
      </c>
      <c r="E30" s="25" t="str">
        <f aca="false">IFERROR(IF(AND(B30="",ISNUMBER($C$7),ISNUMBER($G$7)),$C$7*(1+$G$7)^(($A30-$E$7)/365.25),""),"")</f>
        <v/>
      </c>
      <c r="F30" s="25" t="str">
        <f aca="false">IFERROR(IF(AND(B30="",ISNUMBER($C$7),ISNUMBER($G$7)),$C$7*(1+$G$7*0.85^MAX(0,($A30-$E$7)/91.25))^(($A30-$E$7)/365.25),""),"")</f>
        <v/>
      </c>
      <c r="J30" s="26" t="n">
        <v>2028</v>
      </c>
      <c r="K30" s="25" t="str">
        <f aca="false">IFERROR(AVERAGEIFS($B$10:$B$101,$A$10:$A$101,"&gt;="&amp;DATE(J30,1,1),$A$10:$A$101,"&lt;="&amp;DATE(J30,12,31)),"")</f>
        <v/>
      </c>
      <c r="L30" s="33" t="str">
        <f aca="false">IFERROR(K30/K29-1,"")</f>
        <v/>
      </c>
      <c r="M30" s="25" t="str">
        <f aca="false">IFERROR(AVERAGEIFS($E$10:$E$101,$A$10:$A$101,"&gt;="&amp;DATE(J30,1,1),$A$10:$A$101,"&lt;="&amp;DATE(J30,12,31)),"")</f>
        <v/>
      </c>
    </row>
    <row r="31" customFormat="false" ht="15" hidden="false" customHeight="false" outlineLevel="0" collapsed="false">
      <c r="A31" s="27" t="n">
        <v>41365</v>
      </c>
      <c r="B31" s="28" t="str">
        <f aca="true">IFERROR(IF(AVERAGEIFS(INDIRECT(Index!$M$8),INDIRECT(Index!$L$8),"&gt;="&amp;$A31,INDIRECT(Index!$L$8),"&lt;"&amp;EDATE($A31,3))=0,"",AVERAGEIFS(INDIRECT(Index!$M$8),INDIRECT(Index!$L$8),"&gt;="&amp;$A31,INDIRECT(Index!$L$8),"&lt;"&amp;EDATE($A31,3))),"")</f>
        <v/>
      </c>
      <c r="C31" s="29" t="str">
        <f aca="false">IFERROR(B31/B30-1,"")</f>
        <v/>
      </c>
      <c r="D31" s="29" t="str">
        <f aca="false">IFERROR(B31/B27-1,"")</f>
        <v/>
      </c>
      <c r="E31" s="31" t="str">
        <f aca="false">IFERROR(IF(AND(B31="",ISNUMBER($C$7),ISNUMBER($G$7)),$C$7*(1+$G$7)^(($A31-$E$7)/365.25),""),"")</f>
        <v/>
      </c>
      <c r="F31" s="31" t="str">
        <f aca="false">IFERROR(IF(AND(B31="",ISNUMBER($C$7),ISNUMBER($G$7)),$C$7*(1+$G$7*0.85^MAX(0,($A31-$E$7)/91.25))^(($A31-$E$7)/365.25),""),"")</f>
        <v/>
      </c>
      <c r="J31" s="32" t="n">
        <v>2029</v>
      </c>
      <c r="K31" s="31" t="str">
        <f aca="false">IFERROR(AVERAGEIFS($B$10:$B$101,$A$10:$A$101,"&gt;="&amp;DATE(J31,1,1),$A$10:$A$101,"&lt;="&amp;DATE(J31,12,31)),"")</f>
        <v/>
      </c>
      <c r="L31" s="29" t="str">
        <f aca="false">IFERROR(K31/K30-1,"")</f>
        <v/>
      </c>
      <c r="M31" s="31" t="str">
        <f aca="false">IFERROR(AVERAGEIFS($E$10:$E$101,$A$10:$A$101,"&gt;="&amp;DATE(J31,1,1),$A$10:$A$101,"&lt;="&amp;DATE(J31,12,31)),"")</f>
        <v/>
      </c>
    </row>
    <row r="32" customFormat="false" ht="15" hidden="false" customHeight="false" outlineLevel="0" collapsed="false">
      <c r="A32" s="15" t="n">
        <v>41456</v>
      </c>
      <c r="B32" s="20" t="str">
        <f aca="true">IFERROR(IF(AVERAGEIFS(INDIRECT(Index!$M$8),INDIRECT(Index!$L$8),"&gt;="&amp;$A32,INDIRECT(Index!$L$8),"&lt;"&amp;EDATE($A32,3))=0,"",AVERAGEIFS(INDIRECT(Index!$M$8),INDIRECT(Index!$L$8),"&gt;="&amp;$A32,INDIRECT(Index!$L$8),"&lt;"&amp;EDATE($A32,3))),"")</f>
        <v/>
      </c>
      <c r="C32" s="33" t="str">
        <f aca="false">IFERROR(B32/B31-1,"")</f>
        <v/>
      </c>
      <c r="D32" s="33" t="str">
        <f aca="false">IFERROR(B32/B28-1,"")</f>
        <v/>
      </c>
      <c r="E32" s="25" t="str">
        <f aca="false">IFERROR(IF(AND(B32="",ISNUMBER($C$7),ISNUMBER($G$7)),$C$7*(1+$G$7)^(($A32-$E$7)/365.25),""),"")</f>
        <v/>
      </c>
      <c r="F32" s="25" t="str">
        <f aca="false">IFERROR(IF(AND(B32="",ISNUMBER($C$7),ISNUMBER($G$7)),$C$7*(1+$G$7*0.85^MAX(0,($A32-$E$7)/91.25))^(($A32-$E$7)/365.25),""),"")</f>
        <v/>
      </c>
      <c r="J32" s="26" t="n">
        <v>2030</v>
      </c>
      <c r="K32" s="25" t="str">
        <f aca="false">IFERROR(AVERAGEIFS($B$10:$B$101,$A$10:$A$101,"&gt;="&amp;DATE(J32,1,1),$A$10:$A$101,"&lt;="&amp;DATE(J32,12,31)),"")</f>
        <v/>
      </c>
      <c r="L32" s="33" t="str">
        <f aca="false">IFERROR(K32/K31-1,"")</f>
        <v/>
      </c>
      <c r="M32" s="25" t="str">
        <f aca="false">IFERROR(AVERAGEIFS($E$10:$E$101,$A$10:$A$101,"&gt;="&amp;DATE(J32,1,1),$A$10:$A$101,"&lt;="&amp;DATE(J32,12,31)),"")</f>
        <v/>
      </c>
    </row>
    <row r="33" customFormat="false" ht="15" hidden="false" customHeight="false" outlineLevel="0" collapsed="false">
      <c r="A33" s="27" t="n">
        <v>41548</v>
      </c>
      <c r="B33" s="28" t="str">
        <f aca="true">IFERROR(IF(AVERAGEIFS(INDIRECT(Index!$M$8),INDIRECT(Index!$L$8),"&gt;="&amp;$A33,INDIRECT(Index!$L$8),"&lt;"&amp;EDATE($A33,3))=0,"",AVERAGEIFS(INDIRECT(Index!$M$8),INDIRECT(Index!$L$8),"&gt;="&amp;$A33,INDIRECT(Index!$L$8),"&lt;"&amp;EDATE($A33,3))),"")</f>
        <v/>
      </c>
      <c r="C33" s="29" t="str">
        <f aca="false">IFERROR(B33/B32-1,"")</f>
        <v/>
      </c>
      <c r="D33" s="29" t="str">
        <f aca="false">IFERROR(B33/B29-1,"")</f>
        <v/>
      </c>
      <c r="E33" s="31" t="str">
        <f aca="false">IFERROR(IF(AND(B33="",ISNUMBER($C$7),ISNUMBER($G$7)),$C$7*(1+$G$7)^(($A33-$E$7)/365.25),""),"")</f>
        <v/>
      </c>
      <c r="F33" s="31" t="str">
        <f aca="false">IFERROR(IF(AND(B33="",ISNUMBER($C$7),ISNUMBER($G$7)),$C$7*(1+$G$7*0.85^MAX(0,($A33-$E$7)/91.25))^(($A33-$E$7)/365.25),""),"")</f>
        <v/>
      </c>
    </row>
    <row r="34" customFormat="false" ht="15" hidden="false" customHeight="false" outlineLevel="0" collapsed="false">
      <c r="A34" s="15" t="n">
        <v>41640</v>
      </c>
      <c r="B34" s="20" t="str">
        <f aca="true">IFERROR(IF(AVERAGEIFS(INDIRECT(Index!$M$8),INDIRECT(Index!$L$8),"&gt;="&amp;$A34,INDIRECT(Index!$L$8),"&lt;"&amp;EDATE($A34,3))=0,"",AVERAGEIFS(INDIRECT(Index!$M$8),INDIRECT(Index!$L$8),"&gt;="&amp;$A34,INDIRECT(Index!$L$8),"&lt;"&amp;EDATE($A34,3))),"")</f>
        <v/>
      </c>
      <c r="C34" s="33" t="str">
        <f aca="false">IFERROR(B34/B33-1,"")</f>
        <v/>
      </c>
      <c r="D34" s="33" t="str">
        <f aca="false">IFERROR(B34/B30-1,"")</f>
        <v/>
      </c>
      <c r="E34" s="25" t="str">
        <f aca="false">IFERROR(IF(AND(B34="",ISNUMBER($C$7),ISNUMBER($G$7)),$C$7*(1+$G$7)^(($A34-$E$7)/365.25),""),"")</f>
        <v/>
      </c>
      <c r="F34" s="25" t="str">
        <f aca="false">IFERROR(IF(AND(B34="",ISNUMBER($C$7),ISNUMBER($G$7)),$C$7*(1+$G$7*0.85^MAX(0,($A34-$E$7)/91.25))^(($A34-$E$7)/365.25),""),"")</f>
        <v/>
      </c>
    </row>
    <row r="35" customFormat="false" ht="15" hidden="false" customHeight="false" outlineLevel="0" collapsed="false">
      <c r="A35" s="27" t="n">
        <v>41730</v>
      </c>
      <c r="B35" s="28" t="str">
        <f aca="true">IFERROR(IF(AVERAGEIFS(INDIRECT(Index!$M$8),INDIRECT(Index!$L$8),"&gt;="&amp;$A35,INDIRECT(Index!$L$8),"&lt;"&amp;EDATE($A35,3))=0,"",AVERAGEIFS(INDIRECT(Index!$M$8),INDIRECT(Index!$L$8),"&gt;="&amp;$A35,INDIRECT(Index!$L$8),"&lt;"&amp;EDATE($A35,3))),"")</f>
        <v/>
      </c>
      <c r="C35" s="29" t="str">
        <f aca="false">IFERROR(B35/B34-1,"")</f>
        <v/>
      </c>
      <c r="D35" s="29" t="str">
        <f aca="false">IFERROR(B35/B31-1,"")</f>
        <v/>
      </c>
      <c r="E35" s="31" t="str">
        <f aca="false">IFERROR(IF(AND(B35="",ISNUMBER($C$7),ISNUMBER($G$7)),$C$7*(1+$G$7)^(($A35-$E$7)/365.25),""),"")</f>
        <v/>
      </c>
      <c r="F35" s="31" t="str">
        <f aca="false">IFERROR(IF(AND(B35="",ISNUMBER($C$7),ISNUMBER($G$7)),$C$7*(1+$G$7*0.85^MAX(0,($A35-$E$7)/91.25))^(($A35-$E$7)/365.25),""),"")</f>
        <v/>
      </c>
    </row>
    <row r="36" customFormat="false" ht="15" hidden="false" customHeight="false" outlineLevel="0" collapsed="false">
      <c r="A36" s="15" t="n">
        <v>41821</v>
      </c>
      <c r="B36" s="20" t="str">
        <f aca="true">IFERROR(IF(AVERAGEIFS(INDIRECT(Index!$M$8),INDIRECT(Index!$L$8),"&gt;="&amp;$A36,INDIRECT(Index!$L$8),"&lt;"&amp;EDATE($A36,3))=0,"",AVERAGEIFS(INDIRECT(Index!$M$8),INDIRECT(Index!$L$8),"&gt;="&amp;$A36,INDIRECT(Index!$L$8),"&lt;"&amp;EDATE($A36,3))),"")</f>
        <v/>
      </c>
      <c r="C36" s="33" t="str">
        <f aca="false">IFERROR(B36/B35-1,"")</f>
        <v/>
      </c>
      <c r="D36" s="33" t="str">
        <f aca="false">IFERROR(B36/B32-1,"")</f>
        <v/>
      </c>
      <c r="E36" s="25" t="str">
        <f aca="false">IFERROR(IF(AND(B36="",ISNUMBER($C$7),ISNUMBER($G$7)),$C$7*(1+$G$7)^(($A36-$E$7)/365.25),""),"")</f>
        <v/>
      </c>
      <c r="F36" s="25" t="str">
        <f aca="false">IFERROR(IF(AND(B36="",ISNUMBER($C$7),ISNUMBER($G$7)),$C$7*(1+$G$7*0.85^MAX(0,($A36-$E$7)/91.25))^(($A36-$E$7)/365.25),""),"")</f>
        <v/>
      </c>
    </row>
    <row r="37" customFormat="false" ht="15" hidden="false" customHeight="false" outlineLevel="0" collapsed="false">
      <c r="A37" s="27" t="n">
        <v>41913</v>
      </c>
      <c r="B37" s="28" t="str">
        <f aca="true">IFERROR(IF(AVERAGEIFS(INDIRECT(Index!$M$8),INDIRECT(Index!$L$8),"&gt;="&amp;$A37,INDIRECT(Index!$L$8),"&lt;"&amp;EDATE($A37,3))=0,"",AVERAGEIFS(INDIRECT(Index!$M$8),INDIRECT(Index!$L$8),"&gt;="&amp;$A37,INDIRECT(Index!$L$8),"&lt;"&amp;EDATE($A37,3))),"")</f>
        <v/>
      </c>
      <c r="C37" s="29" t="str">
        <f aca="false">IFERROR(B37/B36-1,"")</f>
        <v/>
      </c>
      <c r="D37" s="29" t="str">
        <f aca="false">IFERROR(B37/B33-1,"")</f>
        <v/>
      </c>
      <c r="E37" s="31" t="str">
        <f aca="false">IFERROR(IF(AND(B37="",ISNUMBER($C$7),ISNUMBER($G$7)),$C$7*(1+$G$7)^(($A37-$E$7)/365.25),""),"")</f>
        <v/>
      </c>
      <c r="F37" s="31" t="str">
        <f aca="false">IFERROR(IF(AND(B37="",ISNUMBER($C$7),ISNUMBER($G$7)),$C$7*(1+$G$7*0.85^MAX(0,($A37-$E$7)/91.25))^(($A37-$E$7)/365.25),""),"")</f>
        <v/>
      </c>
    </row>
    <row r="38" customFormat="false" ht="15" hidden="false" customHeight="false" outlineLevel="0" collapsed="false">
      <c r="A38" s="15" t="n">
        <v>42005</v>
      </c>
      <c r="B38" s="20" t="str">
        <f aca="true">IFERROR(IF(AVERAGEIFS(INDIRECT(Index!$M$8),INDIRECT(Index!$L$8),"&gt;="&amp;$A38,INDIRECT(Index!$L$8),"&lt;"&amp;EDATE($A38,3))=0,"",AVERAGEIFS(INDIRECT(Index!$M$8),INDIRECT(Index!$L$8),"&gt;="&amp;$A38,INDIRECT(Index!$L$8),"&lt;"&amp;EDATE($A38,3))),"")</f>
        <v/>
      </c>
      <c r="C38" s="33" t="str">
        <f aca="false">IFERROR(B38/B37-1,"")</f>
        <v/>
      </c>
      <c r="D38" s="33" t="str">
        <f aca="false">IFERROR(B38/B34-1,"")</f>
        <v/>
      </c>
      <c r="E38" s="25" t="str">
        <f aca="false">IFERROR(IF(AND(B38="",ISNUMBER($C$7),ISNUMBER($G$7)),$C$7*(1+$G$7)^(($A38-$E$7)/365.25),""),"")</f>
        <v/>
      </c>
      <c r="F38" s="25" t="str">
        <f aca="false">IFERROR(IF(AND(B38="",ISNUMBER($C$7),ISNUMBER($G$7)),$C$7*(1+$G$7*0.85^MAX(0,($A38-$E$7)/91.25))^(($A38-$E$7)/365.25),""),"")</f>
        <v/>
      </c>
    </row>
    <row r="39" customFormat="false" ht="15" hidden="false" customHeight="false" outlineLevel="0" collapsed="false">
      <c r="A39" s="27" t="n">
        <v>42095</v>
      </c>
      <c r="B39" s="28" t="str">
        <f aca="true">IFERROR(IF(AVERAGEIFS(INDIRECT(Index!$M$8),INDIRECT(Index!$L$8),"&gt;="&amp;$A39,INDIRECT(Index!$L$8),"&lt;"&amp;EDATE($A39,3))=0,"",AVERAGEIFS(INDIRECT(Index!$M$8),INDIRECT(Index!$L$8),"&gt;="&amp;$A39,INDIRECT(Index!$L$8),"&lt;"&amp;EDATE($A39,3))),"")</f>
        <v/>
      </c>
      <c r="C39" s="29" t="str">
        <f aca="false">IFERROR(B39/B38-1,"")</f>
        <v/>
      </c>
      <c r="D39" s="29" t="str">
        <f aca="false">IFERROR(B39/B35-1,"")</f>
        <v/>
      </c>
      <c r="E39" s="31" t="str">
        <f aca="false">IFERROR(IF(AND(B39="",ISNUMBER($C$7),ISNUMBER($G$7)),$C$7*(1+$G$7)^(($A39-$E$7)/365.25),""),"")</f>
        <v/>
      </c>
      <c r="F39" s="31" t="str">
        <f aca="false">IFERROR(IF(AND(B39="",ISNUMBER($C$7),ISNUMBER($G$7)),$C$7*(1+$G$7*0.85^MAX(0,($A39-$E$7)/91.25))^(($A39-$E$7)/365.25),""),"")</f>
        <v/>
      </c>
    </row>
    <row r="40" customFormat="false" ht="15" hidden="false" customHeight="false" outlineLevel="0" collapsed="false">
      <c r="A40" s="15" t="n">
        <v>42186</v>
      </c>
      <c r="B40" s="20" t="str">
        <f aca="true">IFERROR(IF(AVERAGEIFS(INDIRECT(Index!$M$8),INDIRECT(Index!$L$8),"&gt;="&amp;$A40,INDIRECT(Index!$L$8),"&lt;"&amp;EDATE($A40,3))=0,"",AVERAGEIFS(INDIRECT(Index!$M$8),INDIRECT(Index!$L$8),"&gt;="&amp;$A40,INDIRECT(Index!$L$8),"&lt;"&amp;EDATE($A40,3))),"")</f>
        <v/>
      </c>
      <c r="C40" s="33" t="str">
        <f aca="false">IFERROR(B40/B39-1,"")</f>
        <v/>
      </c>
      <c r="D40" s="33" t="str">
        <f aca="false">IFERROR(B40/B36-1,"")</f>
        <v/>
      </c>
      <c r="E40" s="25" t="str">
        <f aca="false">IFERROR(IF(AND(B40="",ISNUMBER($C$7),ISNUMBER($G$7)),$C$7*(1+$G$7)^(($A40-$E$7)/365.25),""),"")</f>
        <v/>
      </c>
      <c r="F40" s="25" t="str">
        <f aca="false">IFERROR(IF(AND(B40="",ISNUMBER($C$7),ISNUMBER($G$7)),$C$7*(1+$G$7*0.85^MAX(0,($A40-$E$7)/91.25))^(($A40-$E$7)/365.25),""),"")</f>
        <v/>
      </c>
    </row>
    <row r="41" customFormat="false" ht="15" hidden="false" customHeight="false" outlineLevel="0" collapsed="false">
      <c r="A41" s="27" t="n">
        <v>42278</v>
      </c>
      <c r="B41" s="28" t="str">
        <f aca="true">IFERROR(IF(AVERAGEIFS(INDIRECT(Index!$M$8),INDIRECT(Index!$L$8),"&gt;="&amp;$A41,INDIRECT(Index!$L$8),"&lt;"&amp;EDATE($A41,3))=0,"",AVERAGEIFS(INDIRECT(Index!$M$8),INDIRECT(Index!$L$8),"&gt;="&amp;$A41,INDIRECT(Index!$L$8),"&lt;"&amp;EDATE($A41,3))),"")</f>
        <v/>
      </c>
      <c r="C41" s="29" t="str">
        <f aca="false">IFERROR(B41/B40-1,"")</f>
        <v/>
      </c>
      <c r="D41" s="29" t="str">
        <f aca="false">IFERROR(B41/B37-1,"")</f>
        <v/>
      </c>
      <c r="E41" s="31" t="str">
        <f aca="false">IFERROR(IF(AND(B41="",ISNUMBER($C$7),ISNUMBER($G$7)),$C$7*(1+$G$7)^(($A41-$E$7)/365.25),""),"")</f>
        <v/>
      </c>
      <c r="F41" s="31" t="str">
        <f aca="false">IFERROR(IF(AND(B41="",ISNUMBER($C$7),ISNUMBER($G$7)),$C$7*(1+$G$7*0.85^MAX(0,($A41-$E$7)/91.25))^(($A41-$E$7)/365.25),""),"")</f>
        <v/>
      </c>
    </row>
    <row r="42" customFormat="false" ht="15" hidden="false" customHeight="false" outlineLevel="0" collapsed="false">
      <c r="A42" s="15" t="n">
        <v>42370</v>
      </c>
      <c r="B42" s="20" t="str">
        <f aca="true">IFERROR(IF(AVERAGEIFS(INDIRECT(Index!$M$8),INDIRECT(Index!$L$8),"&gt;="&amp;$A42,INDIRECT(Index!$L$8),"&lt;"&amp;EDATE($A42,3))=0,"",AVERAGEIFS(INDIRECT(Index!$M$8),INDIRECT(Index!$L$8),"&gt;="&amp;$A42,INDIRECT(Index!$L$8),"&lt;"&amp;EDATE($A42,3))),"")</f>
        <v/>
      </c>
      <c r="C42" s="33" t="str">
        <f aca="false">IFERROR(B42/B41-1,"")</f>
        <v/>
      </c>
      <c r="D42" s="33" t="str">
        <f aca="false">IFERROR(B42/B38-1,"")</f>
        <v/>
      </c>
      <c r="E42" s="25" t="str">
        <f aca="false">IFERROR(IF(AND(B42="",ISNUMBER($C$7),ISNUMBER($G$7)),$C$7*(1+$G$7)^(($A42-$E$7)/365.25),""),"")</f>
        <v/>
      </c>
      <c r="F42" s="25" t="str">
        <f aca="false">IFERROR(IF(AND(B42="",ISNUMBER($C$7),ISNUMBER($G$7)),$C$7*(1+$G$7*0.85^MAX(0,($A42-$E$7)/91.25))^(($A42-$E$7)/365.25),""),"")</f>
        <v/>
      </c>
    </row>
    <row r="43" customFormat="false" ht="15" hidden="false" customHeight="false" outlineLevel="0" collapsed="false">
      <c r="A43" s="27" t="n">
        <v>42461</v>
      </c>
      <c r="B43" s="28" t="str">
        <f aca="true">IFERROR(IF(AVERAGEIFS(INDIRECT(Index!$M$8),INDIRECT(Index!$L$8),"&gt;="&amp;$A43,INDIRECT(Index!$L$8),"&lt;"&amp;EDATE($A43,3))=0,"",AVERAGEIFS(INDIRECT(Index!$M$8),INDIRECT(Index!$L$8),"&gt;="&amp;$A43,INDIRECT(Index!$L$8),"&lt;"&amp;EDATE($A43,3))),"")</f>
        <v/>
      </c>
      <c r="C43" s="29" t="str">
        <f aca="false">IFERROR(B43/B42-1,"")</f>
        <v/>
      </c>
      <c r="D43" s="29" t="str">
        <f aca="false">IFERROR(B43/B39-1,"")</f>
        <v/>
      </c>
      <c r="E43" s="31" t="str">
        <f aca="false">IFERROR(IF(AND(B43="",ISNUMBER($C$7),ISNUMBER($G$7)),$C$7*(1+$G$7)^(($A43-$E$7)/365.25),""),"")</f>
        <v/>
      </c>
      <c r="F43" s="31" t="str">
        <f aca="false">IFERROR(IF(AND(B43="",ISNUMBER($C$7),ISNUMBER($G$7)),$C$7*(1+$G$7*0.85^MAX(0,($A43-$E$7)/91.25))^(($A43-$E$7)/365.25),""),"")</f>
        <v/>
      </c>
    </row>
    <row r="44" customFormat="false" ht="15" hidden="false" customHeight="false" outlineLevel="0" collapsed="false">
      <c r="A44" s="15" t="n">
        <v>42552</v>
      </c>
      <c r="B44" s="20" t="str">
        <f aca="true">IFERROR(IF(AVERAGEIFS(INDIRECT(Index!$M$8),INDIRECT(Index!$L$8),"&gt;="&amp;$A44,INDIRECT(Index!$L$8),"&lt;"&amp;EDATE($A44,3))=0,"",AVERAGEIFS(INDIRECT(Index!$M$8),INDIRECT(Index!$L$8),"&gt;="&amp;$A44,INDIRECT(Index!$L$8),"&lt;"&amp;EDATE($A44,3))),"")</f>
        <v/>
      </c>
      <c r="C44" s="33" t="str">
        <f aca="false">IFERROR(B44/B43-1,"")</f>
        <v/>
      </c>
      <c r="D44" s="33" t="str">
        <f aca="false">IFERROR(B44/B40-1,"")</f>
        <v/>
      </c>
      <c r="E44" s="25" t="str">
        <f aca="false">IFERROR(IF(AND(B44="",ISNUMBER($C$7),ISNUMBER($G$7)),$C$7*(1+$G$7)^(($A44-$E$7)/365.25),""),"")</f>
        <v/>
      </c>
      <c r="F44" s="25" t="str">
        <f aca="false">IFERROR(IF(AND(B44="",ISNUMBER($C$7),ISNUMBER($G$7)),$C$7*(1+$G$7*0.85^MAX(0,($A44-$E$7)/91.25))^(($A44-$E$7)/365.25),""),"")</f>
        <v/>
      </c>
    </row>
    <row r="45" customFormat="false" ht="15" hidden="false" customHeight="false" outlineLevel="0" collapsed="false">
      <c r="A45" s="27" t="n">
        <v>42644</v>
      </c>
      <c r="B45" s="28" t="str">
        <f aca="true">IFERROR(IF(AVERAGEIFS(INDIRECT(Index!$M$8),INDIRECT(Index!$L$8),"&gt;="&amp;$A45,INDIRECT(Index!$L$8),"&lt;"&amp;EDATE($A45,3))=0,"",AVERAGEIFS(INDIRECT(Index!$M$8),INDIRECT(Index!$L$8),"&gt;="&amp;$A45,INDIRECT(Index!$L$8),"&lt;"&amp;EDATE($A45,3))),"")</f>
        <v/>
      </c>
      <c r="C45" s="29" t="str">
        <f aca="false">IFERROR(B45/B44-1,"")</f>
        <v/>
      </c>
      <c r="D45" s="29" t="str">
        <f aca="false">IFERROR(B45/B41-1,"")</f>
        <v/>
      </c>
      <c r="E45" s="31" t="str">
        <f aca="false">IFERROR(IF(AND(B45="",ISNUMBER($C$7),ISNUMBER($G$7)),$C$7*(1+$G$7)^(($A45-$E$7)/365.25),""),"")</f>
        <v/>
      </c>
      <c r="F45" s="31" t="str">
        <f aca="false">IFERROR(IF(AND(B45="",ISNUMBER($C$7),ISNUMBER($G$7)),$C$7*(1+$G$7*0.85^MAX(0,($A45-$E$7)/91.25))^(($A45-$E$7)/365.25),""),"")</f>
        <v/>
      </c>
    </row>
    <row r="46" customFormat="false" ht="15" hidden="false" customHeight="false" outlineLevel="0" collapsed="false">
      <c r="A46" s="15" t="n">
        <v>42736</v>
      </c>
      <c r="B46" s="20" t="str">
        <f aca="true">IFERROR(IF(AVERAGEIFS(INDIRECT(Index!$M$8),INDIRECT(Index!$L$8),"&gt;="&amp;$A46,INDIRECT(Index!$L$8),"&lt;"&amp;EDATE($A46,3))=0,"",AVERAGEIFS(INDIRECT(Index!$M$8),INDIRECT(Index!$L$8),"&gt;="&amp;$A46,INDIRECT(Index!$L$8),"&lt;"&amp;EDATE($A46,3))),"")</f>
        <v/>
      </c>
      <c r="C46" s="33" t="str">
        <f aca="false">IFERROR(B46/B45-1,"")</f>
        <v/>
      </c>
      <c r="D46" s="33" t="str">
        <f aca="false">IFERROR(B46/B42-1,"")</f>
        <v/>
      </c>
      <c r="E46" s="25" t="str">
        <f aca="false">IFERROR(IF(AND(B46="",ISNUMBER($C$7),ISNUMBER($G$7)),$C$7*(1+$G$7)^(($A46-$E$7)/365.25),""),"")</f>
        <v/>
      </c>
      <c r="F46" s="25" t="str">
        <f aca="false">IFERROR(IF(AND(B46="",ISNUMBER($C$7),ISNUMBER($G$7)),$C$7*(1+$G$7*0.85^MAX(0,($A46-$E$7)/91.25))^(($A46-$E$7)/365.25),""),"")</f>
        <v/>
      </c>
    </row>
    <row r="47" customFormat="false" ht="15" hidden="false" customHeight="false" outlineLevel="0" collapsed="false">
      <c r="A47" s="27" t="n">
        <v>42826</v>
      </c>
      <c r="B47" s="28" t="str">
        <f aca="true">IFERROR(IF(AVERAGEIFS(INDIRECT(Index!$M$8),INDIRECT(Index!$L$8),"&gt;="&amp;$A47,INDIRECT(Index!$L$8),"&lt;"&amp;EDATE($A47,3))=0,"",AVERAGEIFS(INDIRECT(Index!$M$8),INDIRECT(Index!$L$8),"&gt;="&amp;$A47,INDIRECT(Index!$L$8),"&lt;"&amp;EDATE($A47,3))),"")</f>
        <v/>
      </c>
      <c r="C47" s="29" t="str">
        <f aca="false">IFERROR(B47/B46-1,"")</f>
        <v/>
      </c>
      <c r="D47" s="29" t="str">
        <f aca="false">IFERROR(B47/B43-1,"")</f>
        <v/>
      </c>
      <c r="E47" s="31" t="str">
        <f aca="false">IFERROR(IF(AND(B47="",ISNUMBER($C$7),ISNUMBER($G$7)),$C$7*(1+$G$7)^(($A47-$E$7)/365.25),""),"")</f>
        <v/>
      </c>
      <c r="F47" s="31" t="str">
        <f aca="false">IFERROR(IF(AND(B47="",ISNUMBER($C$7),ISNUMBER($G$7)),$C$7*(1+$G$7*0.85^MAX(0,($A47-$E$7)/91.25))^(($A47-$E$7)/365.25),""),"")</f>
        <v/>
      </c>
    </row>
    <row r="48" customFormat="false" ht="15" hidden="false" customHeight="false" outlineLevel="0" collapsed="false">
      <c r="A48" s="15" t="n">
        <v>42917</v>
      </c>
      <c r="B48" s="20" t="str">
        <f aca="true">IFERROR(IF(AVERAGEIFS(INDIRECT(Index!$M$8),INDIRECT(Index!$L$8),"&gt;="&amp;$A48,INDIRECT(Index!$L$8),"&lt;"&amp;EDATE($A48,3))=0,"",AVERAGEIFS(INDIRECT(Index!$M$8),INDIRECT(Index!$L$8),"&gt;="&amp;$A48,INDIRECT(Index!$L$8),"&lt;"&amp;EDATE($A48,3))),"")</f>
        <v/>
      </c>
      <c r="C48" s="33" t="str">
        <f aca="false">IFERROR(B48/B47-1,"")</f>
        <v/>
      </c>
      <c r="D48" s="33" t="str">
        <f aca="false">IFERROR(B48/B44-1,"")</f>
        <v/>
      </c>
      <c r="E48" s="25" t="str">
        <f aca="false">IFERROR(IF(AND(B48="",ISNUMBER($C$7),ISNUMBER($G$7)),$C$7*(1+$G$7)^(($A48-$E$7)/365.25),""),"")</f>
        <v/>
      </c>
      <c r="F48" s="25" t="str">
        <f aca="false">IFERROR(IF(AND(B48="",ISNUMBER($C$7),ISNUMBER($G$7)),$C$7*(1+$G$7*0.85^MAX(0,($A48-$E$7)/91.25))^(($A48-$E$7)/365.25),""),"")</f>
        <v/>
      </c>
    </row>
    <row r="49" customFormat="false" ht="15" hidden="false" customHeight="false" outlineLevel="0" collapsed="false">
      <c r="A49" s="27" t="n">
        <v>43009</v>
      </c>
      <c r="B49" s="28" t="str">
        <f aca="true">IFERROR(IF(AVERAGEIFS(INDIRECT(Index!$M$8),INDIRECT(Index!$L$8),"&gt;="&amp;$A49,INDIRECT(Index!$L$8),"&lt;"&amp;EDATE($A49,3))=0,"",AVERAGEIFS(INDIRECT(Index!$M$8),INDIRECT(Index!$L$8),"&gt;="&amp;$A49,INDIRECT(Index!$L$8),"&lt;"&amp;EDATE($A49,3))),"")</f>
        <v/>
      </c>
      <c r="C49" s="29" t="str">
        <f aca="false">IFERROR(B49/B48-1,"")</f>
        <v/>
      </c>
      <c r="D49" s="29" t="str">
        <f aca="false">IFERROR(B49/B45-1,"")</f>
        <v/>
      </c>
      <c r="E49" s="31" t="str">
        <f aca="false">IFERROR(IF(AND(B49="",ISNUMBER($C$7),ISNUMBER($G$7)),$C$7*(1+$G$7)^(($A49-$E$7)/365.25),""),"")</f>
        <v/>
      </c>
      <c r="F49" s="31" t="str">
        <f aca="false">IFERROR(IF(AND(B49="",ISNUMBER($C$7),ISNUMBER($G$7)),$C$7*(1+$G$7*0.85^MAX(0,($A49-$E$7)/91.25))^(($A49-$E$7)/365.25),""),"")</f>
        <v/>
      </c>
    </row>
    <row r="50" customFormat="false" ht="15" hidden="false" customHeight="false" outlineLevel="0" collapsed="false">
      <c r="A50" s="15" t="n">
        <v>43101</v>
      </c>
      <c r="B50" s="20" t="str">
        <f aca="true">IFERROR(IF(AVERAGEIFS(INDIRECT(Index!$M$8),INDIRECT(Index!$L$8),"&gt;="&amp;$A50,INDIRECT(Index!$L$8),"&lt;"&amp;EDATE($A50,3))=0,"",AVERAGEIFS(INDIRECT(Index!$M$8),INDIRECT(Index!$L$8),"&gt;="&amp;$A50,INDIRECT(Index!$L$8),"&lt;"&amp;EDATE($A50,3))),"")</f>
        <v/>
      </c>
      <c r="C50" s="33" t="str">
        <f aca="false">IFERROR(B50/B49-1,"")</f>
        <v/>
      </c>
      <c r="D50" s="33" t="str">
        <f aca="false">IFERROR(B50/B46-1,"")</f>
        <v/>
      </c>
      <c r="E50" s="25" t="str">
        <f aca="false">IFERROR(IF(AND(B50="",ISNUMBER($C$7),ISNUMBER($G$7)),$C$7*(1+$G$7)^(($A50-$E$7)/365.25),""),"")</f>
        <v/>
      </c>
      <c r="F50" s="25" t="str">
        <f aca="false">IFERROR(IF(AND(B50="",ISNUMBER($C$7),ISNUMBER($G$7)),$C$7*(1+$G$7*0.85^MAX(0,($A50-$E$7)/91.25))^(($A50-$E$7)/365.25),""),"")</f>
        <v/>
      </c>
    </row>
    <row r="51" customFormat="false" ht="15" hidden="false" customHeight="false" outlineLevel="0" collapsed="false">
      <c r="A51" s="27" t="n">
        <v>43191</v>
      </c>
      <c r="B51" s="28" t="str">
        <f aca="true">IFERROR(IF(AVERAGEIFS(INDIRECT(Index!$M$8),INDIRECT(Index!$L$8),"&gt;="&amp;$A51,INDIRECT(Index!$L$8),"&lt;"&amp;EDATE($A51,3))=0,"",AVERAGEIFS(INDIRECT(Index!$M$8),INDIRECT(Index!$L$8),"&gt;="&amp;$A51,INDIRECT(Index!$L$8),"&lt;"&amp;EDATE($A51,3))),"")</f>
        <v/>
      </c>
      <c r="C51" s="29" t="str">
        <f aca="false">IFERROR(B51/B50-1,"")</f>
        <v/>
      </c>
      <c r="D51" s="29" t="str">
        <f aca="false">IFERROR(B51/B47-1,"")</f>
        <v/>
      </c>
      <c r="E51" s="31" t="str">
        <f aca="false">IFERROR(IF(AND(B51="",ISNUMBER($C$7),ISNUMBER($G$7)),$C$7*(1+$G$7)^(($A51-$E$7)/365.25),""),"")</f>
        <v/>
      </c>
      <c r="F51" s="31" t="str">
        <f aca="false">IFERROR(IF(AND(B51="",ISNUMBER($C$7),ISNUMBER($G$7)),$C$7*(1+$G$7*0.85^MAX(0,($A51-$E$7)/91.25))^(($A51-$E$7)/365.25),""),"")</f>
        <v/>
      </c>
    </row>
    <row r="52" customFormat="false" ht="15" hidden="false" customHeight="false" outlineLevel="0" collapsed="false">
      <c r="A52" s="15" t="n">
        <v>43282</v>
      </c>
      <c r="B52" s="20" t="str">
        <f aca="true">IFERROR(IF(AVERAGEIFS(INDIRECT(Index!$M$8),INDIRECT(Index!$L$8),"&gt;="&amp;$A52,INDIRECT(Index!$L$8),"&lt;"&amp;EDATE($A52,3))=0,"",AVERAGEIFS(INDIRECT(Index!$M$8),INDIRECT(Index!$L$8),"&gt;="&amp;$A52,INDIRECT(Index!$L$8),"&lt;"&amp;EDATE($A52,3))),"")</f>
        <v/>
      </c>
      <c r="C52" s="33" t="str">
        <f aca="false">IFERROR(B52/B51-1,"")</f>
        <v/>
      </c>
      <c r="D52" s="33" t="str">
        <f aca="false">IFERROR(B52/B48-1,"")</f>
        <v/>
      </c>
      <c r="E52" s="25" t="str">
        <f aca="false">IFERROR(IF(AND(B52="",ISNUMBER($C$7),ISNUMBER($G$7)),$C$7*(1+$G$7)^(($A52-$E$7)/365.25),""),"")</f>
        <v/>
      </c>
      <c r="F52" s="25" t="str">
        <f aca="false">IFERROR(IF(AND(B52="",ISNUMBER($C$7),ISNUMBER($G$7)),$C$7*(1+$G$7*0.85^MAX(0,($A52-$E$7)/91.25))^(($A52-$E$7)/365.25),""),"")</f>
        <v/>
      </c>
    </row>
    <row r="53" customFormat="false" ht="15" hidden="false" customHeight="false" outlineLevel="0" collapsed="false">
      <c r="A53" s="27" t="n">
        <v>43374</v>
      </c>
      <c r="B53" s="28" t="str">
        <f aca="true">IFERROR(IF(AVERAGEIFS(INDIRECT(Index!$M$8),INDIRECT(Index!$L$8),"&gt;="&amp;$A53,INDIRECT(Index!$L$8),"&lt;"&amp;EDATE($A53,3))=0,"",AVERAGEIFS(INDIRECT(Index!$M$8),INDIRECT(Index!$L$8),"&gt;="&amp;$A53,INDIRECT(Index!$L$8),"&lt;"&amp;EDATE($A53,3))),"")</f>
        <v/>
      </c>
      <c r="C53" s="29" t="str">
        <f aca="false">IFERROR(B53/B52-1,"")</f>
        <v/>
      </c>
      <c r="D53" s="29" t="str">
        <f aca="false">IFERROR(B53/B49-1,"")</f>
        <v/>
      </c>
      <c r="E53" s="31" t="str">
        <f aca="false">IFERROR(IF(AND(B53="",ISNUMBER($C$7),ISNUMBER($G$7)),$C$7*(1+$G$7)^(($A53-$E$7)/365.25),""),"")</f>
        <v/>
      </c>
      <c r="F53" s="31" t="str">
        <f aca="false">IFERROR(IF(AND(B53="",ISNUMBER($C$7),ISNUMBER($G$7)),$C$7*(1+$G$7*0.85^MAX(0,($A53-$E$7)/91.25))^(($A53-$E$7)/365.25),""),"")</f>
        <v/>
      </c>
    </row>
    <row r="54" customFormat="false" ht="15" hidden="false" customHeight="false" outlineLevel="0" collapsed="false">
      <c r="A54" s="15" t="n">
        <v>43466</v>
      </c>
      <c r="B54" s="20" t="str">
        <f aca="true">IFERROR(IF(AVERAGEIFS(INDIRECT(Index!$M$8),INDIRECT(Index!$L$8),"&gt;="&amp;$A54,INDIRECT(Index!$L$8),"&lt;"&amp;EDATE($A54,3))=0,"",AVERAGEIFS(INDIRECT(Index!$M$8),INDIRECT(Index!$L$8),"&gt;="&amp;$A54,INDIRECT(Index!$L$8),"&lt;"&amp;EDATE($A54,3))),"")</f>
        <v/>
      </c>
      <c r="C54" s="33" t="str">
        <f aca="false">IFERROR(B54/B53-1,"")</f>
        <v/>
      </c>
      <c r="D54" s="33" t="str">
        <f aca="false">IFERROR(B54/B50-1,"")</f>
        <v/>
      </c>
      <c r="E54" s="25" t="str">
        <f aca="false">IFERROR(IF(AND(B54="",ISNUMBER($C$7),ISNUMBER($G$7)),$C$7*(1+$G$7)^(($A54-$E$7)/365.25),""),"")</f>
        <v/>
      </c>
      <c r="F54" s="25" t="str">
        <f aca="false">IFERROR(IF(AND(B54="",ISNUMBER($C$7),ISNUMBER($G$7)),$C$7*(1+$G$7*0.85^MAX(0,($A54-$E$7)/91.25))^(($A54-$E$7)/365.25),""),"")</f>
        <v/>
      </c>
    </row>
    <row r="55" customFormat="false" ht="15" hidden="false" customHeight="false" outlineLevel="0" collapsed="false">
      <c r="A55" s="27" t="n">
        <v>43556</v>
      </c>
      <c r="B55" s="28" t="str">
        <f aca="true">IFERROR(IF(AVERAGEIFS(INDIRECT(Index!$M$8),INDIRECT(Index!$L$8),"&gt;="&amp;$A55,INDIRECT(Index!$L$8),"&lt;"&amp;EDATE($A55,3))=0,"",AVERAGEIFS(INDIRECT(Index!$M$8),INDIRECT(Index!$L$8),"&gt;="&amp;$A55,INDIRECT(Index!$L$8),"&lt;"&amp;EDATE($A55,3))),"")</f>
        <v/>
      </c>
      <c r="C55" s="29" t="str">
        <f aca="false">IFERROR(B55/B54-1,"")</f>
        <v/>
      </c>
      <c r="D55" s="29" t="str">
        <f aca="false">IFERROR(B55/B51-1,"")</f>
        <v/>
      </c>
      <c r="E55" s="31" t="str">
        <f aca="false">IFERROR(IF(AND(B55="",ISNUMBER($C$7),ISNUMBER($G$7)),$C$7*(1+$G$7)^(($A55-$E$7)/365.25),""),"")</f>
        <v/>
      </c>
      <c r="F55" s="31" t="str">
        <f aca="false">IFERROR(IF(AND(B55="",ISNUMBER($C$7),ISNUMBER($G$7)),$C$7*(1+$G$7*0.85^MAX(0,($A55-$E$7)/91.25))^(($A55-$E$7)/365.25),""),"")</f>
        <v/>
      </c>
    </row>
    <row r="56" customFormat="false" ht="15" hidden="false" customHeight="false" outlineLevel="0" collapsed="false">
      <c r="A56" s="15" t="n">
        <v>43647</v>
      </c>
      <c r="B56" s="20" t="str">
        <f aca="true">IFERROR(IF(AVERAGEIFS(INDIRECT(Index!$M$8),INDIRECT(Index!$L$8),"&gt;="&amp;$A56,INDIRECT(Index!$L$8),"&lt;"&amp;EDATE($A56,3))=0,"",AVERAGEIFS(INDIRECT(Index!$M$8),INDIRECT(Index!$L$8),"&gt;="&amp;$A56,INDIRECT(Index!$L$8),"&lt;"&amp;EDATE($A56,3))),"")</f>
        <v/>
      </c>
      <c r="C56" s="33" t="str">
        <f aca="false">IFERROR(B56/B55-1,"")</f>
        <v/>
      </c>
      <c r="D56" s="33" t="str">
        <f aca="false">IFERROR(B56/B52-1,"")</f>
        <v/>
      </c>
      <c r="E56" s="25" t="str">
        <f aca="false">IFERROR(IF(AND(B56="",ISNUMBER($C$7),ISNUMBER($G$7)),$C$7*(1+$G$7)^(($A56-$E$7)/365.25),""),"")</f>
        <v/>
      </c>
      <c r="F56" s="25" t="str">
        <f aca="false">IFERROR(IF(AND(B56="",ISNUMBER($C$7),ISNUMBER($G$7)),$C$7*(1+$G$7*0.85^MAX(0,($A56-$E$7)/91.25))^(($A56-$E$7)/365.25),""),"")</f>
        <v/>
      </c>
    </row>
    <row r="57" customFormat="false" ht="15" hidden="false" customHeight="false" outlineLevel="0" collapsed="false">
      <c r="A57" s="27" t="n">
        <v>43739</v>
      </c>
      <c r="B57" s="28" t="str">
        <f aca="true">IFERROR(IF(AVERAGEIFS(INDIRECT(Index!$M$8),INDIRECT(Index!$L$8),"&gt;="&amp;$A57,INDIRECT(Index!$L$8),"&lt;"&amp;EDATE($A57,3))=0,"",AVERAGEIFS(INDIRECT(Index!$M$8),INDIRECT(Index!$L$8),"&gt;="&amp;$A57,INDIRECT(Index!$L$8),"&lt;"&amp;EDATE($A57,3))),"")</f>
        <v/>
      </c>
      <c r="C57" s="29" t="str">
        <f aca="false">IFERROR(B57/B56-1,"")</f>
        <v/>
      </c>
      <c r="D57" s="29" t="str">
        <f aca="false">IFERROR(B57/B53-1,"")</f>
        <v/>
      </c>
      <c r="E57" s="31" t="str">
        <f aca="false">IFERROR(IF(AND(B57="",ISNUMBER($C$7),ISNUMBER($G$7)),$C$7*(1+$G$7)^(($A57-$E$7)/365.25),""),"")</f>
        <v/>
      </c>
      <c r="F57" s="31" t="str">
        <f aca="false">IFERROR(IF(AND(B57="",ISNUMBER($C$7),ISNUMBER($G$7)),$C$7*(1+$G$7*0.85^MAX(0,($A57-$E$7)/91.25))^(($A57-$E$7)/365.25),""),"")</f>
        <v/>
      </c>
    </row>
    <row r="58" customFormat="false" ht="15" hidden="false" customHeight="false" outlineLevel="0" collapsed="false">
      <c r="A58" s="15" t="n">
        <v>43831</v>
      </c>
      <c r="B58" s="20" t="str">
        <f aca="true">IFERROR(IF(AVERAGEIFS(INDIRECT(Index!$M$8),INDIRECT(Index!$L$8),"&gt;="&amp;$A58,INDIRECT(Index!$L$8),"&lt;"&amp;EDATE($A58,3))=0,"",AVERAGEIFS(INDIRECT(Index!$M$8),INDIRECT(Index!$L$8),"&gt;="&amp;$A58,INDIRECT(Index!$L$8),"&lt;"&amp;EDATE($A58,3))),"")</f>
        <v/>
      </c>
      <c r="C58" s="33" t="str">
        <f aca="false">IFERROR(B58/B57-1,"")</f>
        <v/>
      </c>
      <c r="D58" s="33" t="str">
        <f aca="false">IFERROR(B58/B54-1,"")</f>
        <v/>
      </c>
      <c r="E58" s="25" t="str">
        <f aca="false">IFERROR(IF(AND(B58="",ISNUMBER($C$7),ISNUMBER($G$7)),$C$7*(1+$G$7)^(($A58-$E$7)/365.25),""),"")</f>
        <v/>
      </c>
      <c r="F58" s="25" t="str">
        <f aca="false">IFERROR(IF(AND(B58="",ISNUMBER($C$7),ISNUMBER($G$7)),$C$7*(1+$G$7*0.85^MAX(0,($A58-$E$7)/91.25))^(($A58-$E$7)/365.25),""),"")</f>
        <v/>
      </c>
    </row>
    <row r="59" customFormat="false" ht="15" hidden="false" customHeight="false" outlineLevel="0" collapsed="false">
      <c r="A59" s="27" t="n">
        <v>43922</v>
      </c>
      <c r="B59" s="28" t="str">
        <f aca="true">IFERROR(IF(AVERAGEIFS(INDIRECT(Index!$M$8),INDIRECT(Index!$L$8),"&gt;="&amp;$A59,INDIRECT(Index!$L$8),"&lt;"&amp;EDATE($A59,3))=0,"",AVERAGEIFS(INDIRECT(Index!$M$8),INDIRECT(Index!$L$8),"&gt;="&amp;$A59,INDIRECT(Index!$L$8),"&lt;"&amp;EDATE($A59,3))),"")</f>
        <v/>
      </c>
      <c r="C59" s="29" t="str">
        <f aca="false">IFERROR(B59/B58-1,"")</f>
        <v/>
      </c>
      <c r="D59" s="29" t="str">
        <f aca="false">IFERROR(B59/B55-1,"")</f>
        <v/>
      </c>
      <c r="E59" s="31" t="str">
        <f aca="false">IFERROR(IF(AND(B59="",ISNUMBER($C$7),ISNUMBER($G$7)),$C$7*(1+$G$7)^(($A59-$E$7)/365.25),""),"")</f>
        <v/>
      </c>
      <c r="F59" s="31" t="str">
        <f aca="false">IFERROR(IF(AND(B59="",ISNUMBER($C$7),ISNUMBER($G$7)),$C$7*(1+$G$7*0.85^MAX(0,($A59-$E$7)/91.25))^(($A59-$E$7)/365.25),""),"")</f>
        <v/>
      </c>
    </row>
    <row r="60" customFormat="false" ht="15" hidden="false" customHeight="false" outlineLevel="0" collapsed="false">
      <c r="A60" s="15" t="n">
        <v>44013</v>
      </c>
      <c r="B60" s="20" t="str">
        <f aca="true">IFERROR(IF(AVERAGEIFS(INDIRECT(Index!$M$8),INDIRECT(Index!$L$8),"&gt;="&amp;$A60,INDIRECT(Index!$L$8),"&lt;"&amp;EDATE($A60,3))=0,"",AVERAGEIFS(INDIRECT(Index!$M$8),INDIRECT(Index!$L$8),"&gt;="&amp;$A60,INDIRECT(Index!$L$8),"&lt;"&amp;EDATE($A60,3))),"")</f>
        <v/>
      </c>
      <c r="C60" s="33" t="str">
        <f aca="false">IFERROR(B60/B59-1,"")</f>
        <v/>
      </c>
      <c r="D60" s="33" t="str">
        <f aca="false">IFERROR(B60/B56-1,"")</f>
        <v/>
      </c>
      <c r="E60" s="25" t="str">
        <f aca="false">IFERROR(IF(AND(B60="",ISNUMBER($C$7),ISNUMBER($G$7)),$C$7*(1+$G$7)^(($A60-$E$7)/365.25),""),"")</f>
        <v/>
      </c>
      <c r="F60" s="25" t="str">
        <f aca="false">IFERROR(IF(AND(B60="",ISNUMBER($C$7),ISNUMBER($G$7)),$C$7*(1+$G$7*0.85^MAX(0,($A60-$E$7)/91.25))^(($A60-$E$7)/365.25),""),"")</f>
        <v/>
      </c>
    </row>
    <row r="61" customFormat="false" ht="15" hidden="false" customHeight="false" outlineLevel="0" collapsed="false">
      <c r="A61" s="27" t="n">
        <v>44105</v>
      </c>
      <c r="B61" s="28" t="str">
        <f aca="true">IFERROR(IF(AVERAGEIFS(INDIRECT(Index!$M$8),INDIRECT(Index!$L$8),"&gt;="&amp;$A61,INDIRECT(Index!$L$8),"&lt;"&amp;EDATE($A61,3))=0,"",AVERAGEIFS(INDIRECT(Index!$M$8),INDIRECT(Index!$L$8),"&gt;="&amp;$A61,INDIRECT(Index!$L$8),"&lt;"&amp;EDATE($A61,3))),"")</f>
        <v/>
      </c>
      <c r="C61" s="29" t="str">
        <f aca="false">IFERROR(B61/B60-1,"")</f>
        <v/>
      </c>
      <c r="D61" s="29" t="str">
        <f aca="false">IFERROR(B61/B57-1,"")</f>
        <v/>
      </c>
      <c r="E61" s="31" t="str">
        <f aca="false">IFERROR(IF(AND(B61="",ISNUMBER($C$7),ISNUMBER($G$7)),$C$7*(1+$G$7)^(($A61-$E$7)/365.25),""),"")</f>
        <v/>
      </c>
      <c r="F61" s="31" t="str">
        <f aca="false">IFERROR(IF(AND(B61="",ISNUMBER($C$7),ISNUMBER($G$7)),$C$7*(1+$G$7*0.85^MAX(0,($A61-$E$7)/91.25))^(($A61-$E$7)/365.25),""),"")</f>
        <v/>
      </c>
    </row>
    <row r="62" customFormat="false" ht="15" hidden="false" customHeight="false" outlineLevel="0" collapsed="false">
      <c r="A62" s="15" t="n">
        <v>44197</v>
      </c>
      <c r="B62" s="20" t="str">
        <f aca="true">IFERROR(IF(AVERAGEIFS(INDIRECT(Index!$M$8),INDIRECT(Index!$L$8),"&gt;="&amp;$A62,INDIRECT(Index!$L$8),"&lt;"&amp;EDATE($A62,3))=0,"",AVERAGEIFS(INDIRECT(Index!$M$8),INDIRECT(Index!$L$8),"&gt;="&amp;$A62,INDIRECT(Index!$L$8),"&lt;"&amp;EDATE($A62,3))),"")</f>
        <v/>
      </c>
      <c r="C62" s="33" t="str">
        <f aca="false">IFERROR(B62/B61-1,"")</f>
        <v/>
      </c>
      <c r="D62" s="33" t="str">
        <f aca="false">IFERROR(B62/B58-1,"")</f>
        <v/>
      </c>
      <c r="E62" s="25" t="str">
        <f aca="false">IFERROR(IF(AND(B62="",ISNUMBER($C$7),ISNUMBER($G$7)),$C$7*(1+$G$7)^(($A62-$E$7)/365.25),""),"")</f>
        <v/>
      </c>
      <c r="F62" s="25" t="str">
        <f aca="false">IFERROR(IF(AND(B62="",ISNUMBER($C$7),ISNUMBER($G$7)),$C$7*(1+$G$7*0.85^MAX(0,($A62-$E$7)/91.25))^(($A62-$E$7)/365.25),""),"")</f>
        <v/>
      </c>
    </row>
    <row r="63" customFormat="false" ht="15" hidden="false" customHeight="false" outlineLevel="0" collapsed="false">
      <c r="A63" s="27" t="n">
        <v>44287</v>
      </c>
      <c r="B63" s="28" t="str">
        <f aca="true">IFERROR(IF(AVERAGEIFS(INDIRECT(Index!$M$8),INDIRECT(Index!$L$8),"&gt;="&amp;$A63,INDIRECT(Index!$L$8),"&lt;"&amp;EDATE($A63,3))=0,"",AVERAGEIFS(INDIRECT(Index!$M$8),INDIRECT(Index!$L$8),"&gt;="&amp;$A63,INDIRECT(Index!$L$8),"&lt;"&amp;EDATE($A63,3))),"")</f>
        <v/>
      </c>
      <c r="C63" s="29" t="str">
        <f aca="false">IFERROR(B63/B62-1,"")</f>
        <v/>
      </c>
      <c r="D63" s="29" t="str">
        <f aca="false">IFERROR(B63/B59-1,"")</f>
        <v/>
      </c>
      <c r="E63" s="31" t="str">
        <f aca="false">IFERROR(IF(AND(B63="",ISNUMBER($C$7),ISNUMBER($G$7)),$C$7*(1+$G$7)^(($A63-$E$7)/365.25),""),"")</f>
        <v/>
      </c>
      <c r="F63" s="31" t="str">
        <f aca="false">IFERROR(IF(AND(B63="",ISNUMBER($C$7),ISNUMBER($G$7)),$C$7*(1+$G$7*0.85^MAX(0,($A63-$E$7)/91.25))^(($A63-$E$7)/365.25),""),"")</f>
        <v/>
      </c>
    </row>
    <row r="64" customFormat="false" ht="15" hidden="false" customHeight="false" outlineLevel="0" collapsed="false">
      <c r="A64" s="15" t="n">
        <v>44378</v>
      </c>
      <c r="B64" s="20" t="str">
        <f aca="true">IFERROR(IF(AVERAGEIFS(INDIRECT(Index!$M$8),INDIRECT(Index!$L$8),"&gt;="&amp;$A64,INDIRECT(Index!$L$8),"&lt;"&amp;EDATE($A64,3))=0,"",AVERAGEIFS(INDIRECT(Index!$M$8),INDIRECT(Index!$L$8),"&gt;="&amp;$A64,INDIRECT(Index!$L$8),"&lt;"&amp;EDATE($A64,3))),"")</f>
        <v/>
      </c>
      <c r="C64" s="33" t="str">
        <f aca="false">IFERROR(B64/B63-1,"")</f>
        <v/>
      </c>
      <c r="D64" s="33" t="str">
        <f aca="false">IFERROR(B64/B60-1,"")</f>
        <v/>
      </c>
      <c r="E64" s="25" t="str">
        <f aca="false">IFERROR(IF(AND(B64="",ISNUMBER($C$7),ISNUMBER($G$7)),$C$7*(1+$G$7)^(($A64-$E$7)/365.25),""),"")</f>
        <v/>
      </c>
      <c r="F64" s="25" t="str">
        <f aca="false">IFERROR(IF(AND(B64="",ISNUMBER($C$7),ISNUMBER($G$7)),$C$7*(1+$G$7*0.85^MAX(0,($A64-$E$7)/91.25))^(($A64-$E$7)/365.25),""),"")</f>
        <v/>
      </c>
    </row>
    <row r="65" customFormat="false" ht="15" hidden="false" customHeight="false" outlineLevel="0" collapsed="false">
      <c r="A65" s="27" t="n">
        <v>44470</v>
      </c>
      <c r="B65" s="28" t="str">
        <f aca="true">IFERROR(IF(AVERAGEIFS(INDIRECT(Index!$M$8),INDIRECT(Index!$L$8),"&gt;="&amp;$A65,INDIRECT(Index!$L$8),"&lt;"&amp;EDATE($A65,3))=0,"",AVERAGEIFS(INDIRECT(Index!$M$8),INDIRECT(Index!$L$8),"&gt;="&amp;$A65,INDIRECT(Index!$L$8),"&lt;"&amp;EDATE($A65,3))),"")</f>
        <v/>
      </c>
      <c r="C65" s="29" t="str">
        <f aca="false">IFERROR(B65/B64-1,"")</f>
        <v/>
      </c>
      <c r="D65" s="29" t="str">
        <f aca="false">IFERROR(B65/B61-1,"")</f>
        <v/>
      </c>
      <c r="E65" s="31" t="str">
        <f aca="false">IFERROR(IF(AND(B65="",ISNUMBER($C$7),ISNUMBER($G$7)),$C$7*(1+$G$7)^(($A65-$E$7)/365.25),""),"")</f>
        <v/>
      </c>
      <c r="F65" s="31" t="str">
        <f aca="false">IFERROR(IF(AND(B65="",ISNUMBER($C$7),ISNUMBER($G$7)),$C$7*(1+$G$7*0.85^MAX(0,($A65-$E$7)/91.25))^(($A65-$E$7)/365.25),""),"")</f>
        <v/>
      </c>
    </row>
    <row r="66" customFormat="false" ht="15" hidden="false" customHeight="false" outlineLevel="0" collapsed="false">
      <c r="A66" s="15" t="n">
        <v>44562</v>
      </c>
      <c r="B66" s="20" t="str">
        <f aca="true">IFERROR(IF(AVERAGEIFS(INDIRECT(Index!$M$8),INDIRECT(Index!$L$8),"&gt;="&amp;$A66,INDIRECT(Index!$L$8),"&lt;"&amp;EDATE($A66,3))=0,"",AVERAGEIFS(INDIRECT(Index!$M$8),INDIRECT(Index!$L$8),"&gt;="&amp;$A66,INDIRECT(Index!$L$8),"&lt;"&amp;EDATE($A66,3))),"")</f>
        <v/>
      </c>
      <c r="C66" s="33" t="str">
        <f aca="false">IFERROR(B66/B65-1,"")</f>
        <v/>
      </c>
      <c r="D66" s="33" t="str">
        <f aca="false">IFERROR(B66/B62-1,"")</f>
        <v/>
      </c>
      <c r="E66" s="25" t="str">
        <f aca="false">IFERROR(IF(AND(B66="",ISNUMBER($C$7),ISNUMBER($G$7)),$C$7*(1+$G$7)^(($A66-$E$7)/365.25),""),"")</f>
        <v/>
      </c>
      <c r="F66" s="25" t="str">
        <f aca="false">IFERROR(IF(AND(B66="",ISNUMBER($C$7),ISNUMBER($G$7)),$C$7*(1+$G$7*0.85^MAX(0,($A66-$E$7)/91.25))^(($A66-$E$7)/365.25),""),"")</f>
        <v/>
      </c>
    </row>
    <row r="67" customFormat="false" ht="15" hidden="false" customHeight="false" outlineLevel="0" collapsed="false">
      <c r="A67" s="27" t="n">
        <v>44652</v>
      </c>
      <c r="B67" s="28" t="str">
        <f aca="true">IFERROR(IF(AVERAGEIFS(INDIRECT(Index!$M$8),INDIRECT(Index!$L$8),"&gt;="&amp;$A67,INDIRECT(Index!$L$8),"&lt;"&amp;EDATE($A67,3))=0,"",AVERAGEIFS(INDIRECT(Index!$M$8),INDIRECT(Index!$L$8),"&gt;="&amp;$A67,INDIRECT(Index!$L$8),"&lt;"&amp;EDATE($A67,3))),"")</f>
        <v/>
      </c>
      <c r="C67" s="29" t="str">
        <f aca="false">IFERROR(B67/B66-1,"")</f>
        <v/>
      </c>
      <c r="D67" s="29" t="str">
        <f aca="false">IFERROR(B67/B63-1,"")</f>
        <v/>
      </c>
      <c r="E67" s="31" t="str">
        <f aca="false">IFERROR(IF(AND(B67="",ISNUMBER($C$7),ISNUMBER($G$7)),$C$7*(1+$G$7)^(($A67-$E$7)/365.25),""),"")</f>
        <v/>
      </c>
      <c r="F67" s="31" t="str">
        <f aca="false">IFERROR(IF(AND(B67="",ISNUMBER($C$7),ISNUMBER($G$7)),$C$7*(1+$G$7*0.85^MAX(0,($A67-$E$7)/91.25))^(($A67-$E$7)/365.25),""),"")</f>
        <v/>
      </c>
    </row>
    <row r="68" customFormat="false" ht="15" hidden="false" customHeight="false" outlineLevel="0" collapsed="false">
      <c r="A68" s="15" t="n">
        <v>44743</v>
      </c>
      <c r="B68" s="20" t="str">
        <f aca="true">IFERROR(IF(AVERAGEIFS(INDIRECT(Index!$M$8),INDIRECT(Index!$L$8),"&gt;="&amp;$A68,INDIRECT(Index!$L$8),"&lt;"&amp;EDATE($A68,3))=0,"",AVERAGEIFS(INDIRECT(Index!$M$8),INDIRECT(Index!$L$8),"&gt;="&amp;$A68,INDIRECT(Index!$L$8),"&lt;"&amp;EDATE($A68,3))),"")</f>
        <v/>
      </c>
      <c r="C68" s="33" t="str">
        <f aca="false">IFERROR(B68/B67-1,"")</f>
        <v/>
      </c>
      <c r="D68" s="33" t="str">
        <f aca="false">IFERROR(B68/B64-1,"")</f>
        <v/>
      </c>
      <c r="E68" s="25" t="str">
        <f aca="false">IFERROR(IF(AND(B68="",ISNUMBER($C$7),ISNUMBER($G$7)),$C$7*(1+$G$7)^(($A68-$E$7)/365.25),""),"")</f>
        <v/>
      </c>
      <c r="F68" s="25" t="str">
        <f aca="false">IFERROR(IF(AND(B68="",ISNUMBER($C$7),ISNUMBER($G$7)),$C$7*(1+$G$7*0.85^MAX(0,($A68-$E$7)/91.25))^(($A68-$E$7)/365.25),""),"")</f>
        <v/>
      </c>
    </row>
    <row r="69" customFormat="false" ht="15" hidden="false" customHeight="false" outlineLevel="0" collapsed="false">
      <c r="A69" s="27" t="n">
        <v>44835</v>
      </c>
      <c r="B69" s="28" t="str">
        <f aca="true">IFERROR(IF(AVERAGEIFS(INDIRECT(Index!$M$8),INDIRECT(Index!$L$8),"&gt;="&amp;$A69,INDIRECT(Index!$L$8),"&lt;"&amp;EDATE($A69,3))=0,"",AVERAGEIFS(INDIRECT(Index!$M$8),INDIRECT(Index!$L$8),"&gt;="&amp;$A69,INDIRECT(Index!$L$8),"&lt;"&amp;EDATE($A69,3))),"")</f>
        <v/>
      </c>
      <c r="C69" s="29" t="str">
        <f aca="false">IFERROR(B69/B68-1,"")</f>
        <v/>
      </c>
      <c r="D69" s="29" t="str">
        <f aca="false">IFERROR(B69/B65-1,"")</f>
        <v/>
      </c>
      <c r="E69" s="31" t="str">
        <f aca="false">IFERROR(IF(AND(B69="",ISNUMBER($C$7),ISNUMBER($G$7)),$C$7*(1+$G$7)^(($A69-$E$7)/365.25),""),"")</f>
        <v/>
      </c>
      <c r="F69" s="31" t="str">
        <f aca="false">IFERROR(IF(AND(B69="",ISNUMBER($C$7),ISNUMBER($G$7)),$C$7*(1+$G$7*0.85^MAX(0,($A69-$E$7)/91.25))^(($A69-$E$7)/365.25),""),"")</f>
        <v/>
      </c>
    </row>
    <row r="70" customFormat="false" ht="15" hidden="false" customHeight="false" outlineLevel="0" collapsed="false">
      <c r="A70" s="15" t="n">
        <v>44927</v>
      </c>
      <c r="B70" s="20" t="str">
        <f aca="true">IFERROR(IF(AVERAGEIFS(INDIRECT(Index!$M$8),INDIRECT(Index!$L$8),"&gt;="&amp;$A70,INDIRECT(Index!$L$8),"&lt;"&amp;EDATE($A70,3))=0,"",AVERAGEIFS(INDIRECT(Index!$M$8),INDIRECT(Index!$L$8),"&gt;="&amp;$A70,INDIRECT(Index!$L$8),"&lt;"&amp;EDATE($A70,3))),"")</f>
        <v/>
      </c>
      <c r="C70" s="33" t="str">
        <f aca="false">IFERROR(B70/B69-1,"")</f>
        <v/>
      </c>
      <c r="D70" s="33" t="str">
        <f aca="false">IFERROR(B70/B66-1,"")</f>
        <v/>
      </c>
      <c r="E70" s="25" t="str">
        <f aca="false">IFERROR(IF(AND(B70="",ISNUMBER($C$7),ISNUMBER($G$7)),$C$7*(1+$G$7)^(($A70-$E$7)/365.25),""),"")</f>
        <v/>
      </c>
      <c r="F70" s="25" t="str">
        <f aca="false">IFERROR(IF(AND(B70="",ISNUMBER($C$7),ISNUMBER($G$7)),$C$7*(1+$G$7*0.85^MAX(0,($A70-$E$7)/91.25))^(($A70-$E$7)/365.25),""),"")</f>
        <v/>
      </c>
    </row>
    <row r="71" customFormat="false" ht="15" hidden="false" customHeight="false" outlineLevel="0" collapsed="false">
      <c r="A71" s="27" t="n">
        <v>45017</v>
      </c>
      <c r="B71" s="28" t="str">
        <f aca="true">IFERROR(IF(AVERAGEIFS(INDIRECT(Index!$M$8),INDIRECT(Index!$L$8),"&gt;="&amp;$A71,INDIRECT(Index!$L$8),"&lt;"&amp;EDATE($A71,3))=0,"",AVERAGEIFS(INDIRECT(Index!$M$8),INDIRECT(Index!$L$8),"&gt;="&amp;$A71,INDIRECT(Index!$L$8),"&lt;"&amp;EDATE($A71,3))),"")</f>
        <v/>
      </c>
      <c r="C71" s="29" t="str">
        <f aca="false">IFERROR(B71/B70-1,"")</f>
        <v/>
      </c>
      <c r="D71" s="29" t="str">
        <f aca="false">IFERROR(B71/B67-1,"")</f>
        <v/>
      </c>
      <c r="E71" s="31" t="str">
        <f aca="false">IFERROR(IF(AND(B71="",ISNUMBER($C$7),ISNUMBER($G$7)),$C$7*(1+$G$7)^(($A71-$E$7)/365.25),""),"")</f>
        <v/>
      </c>
      <c r="F71" s="31" t="str">
        <f aca="false">IFERROR(IF(AND(B71="",ISNUMBER($C$7),ISNUMBER($G$7)),$C$7*(1+$G$7*0.85^MAX(0,($A71-$E$7)/91.25))^(($A71-$E$7)/365.25),""),"")</f>
        <v/>
      </c>
    </row>
    <row r="72" customFormat="false" ht="15" hidden="false" customHeight="false" outlineLevel="0" collapsed="false">
      <c r="A72" s="15" t="n">
        <v>45108</v>
      </c>
      <c r="B72" s="20" t="str">
        <f aca="true">IFERROR(IF(AVERAGEIFS(INDIRECT(Index!$M$8),INDIRECT(Index!$L$8),"&gt;="&amp;$A72,INDIRECT(Index!$L$8),"&lt;"&amp;EDATE($A72,3))=0,"",AVERAGEIFS(INDIRECT(Index!$M$8),INDIRECT(Index!$L$8),"&gt;="&amp;$A72,INDIRECT(Index!$L$8),"&lt;"&amp;EDATE($A72,3))),"")</f>
        <v/>
      </c>
      <c r="C72" s="33" t="str">
        <f aca="false">IFERROR(B72/B71-1,"")</f>
        <v/>
      </c>
      <c r="D72" s="33" t="str">
        <f aca="false">IFERROR(B72/B68-1,"")</f>
        <v/>
      </c>
      <c r="E72" s="25" t="str">
        <f aca="false">IFERROR(IF(AND(B72="",ISNUMBER($C$7),ISNUMBER($G$7)),$C$7*(1+$G$7)^(($A72-$E$7)/365.25),""),"")</f>
        <v/>
      </c>
      <c r="F72" s="25" t="str">
        <f aca="false">IFERROR(IF(AND(B72="",ISNUMBER($C$7),ISNUMBER($G$7)),$C$7*(1+$G$7*0.85^MAX(0,($A72-$E$7)/91.25))^(($A72-$E$7)/365.25),""),"")</f>
        <v/>
      </c>
    </row>
    <row r="73" customFormat="false" ht="15" hidden="false" customHeight="false" outlineLevel="0" collapsed="false">
      <c r="A73" s="27" t="n">
        <v>45200</v>
      </c>
      <c r="B73" s="28" t="str">
        <f aca="true">IFERROR(IF(AVERAGEIFS(INDIRECT(Index!$M$8),INDIRECT(Index!$L$8),"&gt;="&amp;$A73,INDIRECT(Index!$L$8),"&lt;"&amp;EDATE($A73,3))=0,"",AVERAGEIFS(INDIRECT(Index!$M$8),INDIRECT(Index!$L$8),"&gt;="&amp;$A73,INDIRECT(Index!$L$8),"&lt;"&amp;EDATE($A73,3))),"")</f>
        <v/>
      </c>
      <c r="C73" s="29" t="str">
        <f aca="false">IFERROR(B73/B72-1,"")</f>
        <v/>
      </c>
      <c r="D73" s="29" t="str">
        <f aca="false">IFERROR(B73/B69-1,"")</f>
        <v/>
      </c>
      <c r="E73" s="31" t="str">
        <f aca="false">IFERROR(IF(AND(B73="",ISNUMBER($C$7),ISNUMBER($G$7)),$C$7*(1+$G$7)^(($A73-$E$7)/365.25),""),"")</f>
        <v/>
      </c>
      <c r="F73" s="31" t="str">
        <f aca="false">IFERROR(IF(AND(B73="",ISNUMBER($C$7),ISNUMBER($G$7)),$C$7*(1+$G$7*0.85^MAX(0,($A73-$E$7)/91.25))^(($A73-$E$7)/365.25),""),"")</f>
        <v/>
      </c>
    </row>
    <row r="74" customFormat="false" ht="15" hidden="false" customHeight="false" outlineLevel="0" collapsed="false">
      <c r="A74" s="15" t="n">
        <v>45292</v>
      </c>
      <c r="B74" s="20" t="str">
        <f aca="true">IFERROR(IF(AVERAGEIFS(INDIRECT(Index!$M$8),INDIRECT(Index!$L$8),"&gt;="&amp;$A74,INDIRECT(Index!$L$8),"&lt;"&amp;EDATE($A74,3))=0,"",AVERAGEIFS(INDIRECT(Index!$M$8),INDIRECT(Index!$L$8),"&gt;="&amp;$A74,INDIRECT(Index!$L$8),"&lt;"&amp;EDATE($A74,3))),"")</f>
        <v/>
      </c>
      <c r="C74" s="33" t="str">
        <f aca="false">IFERROR(B74/B73-1,"")</f>
        <v/>
      </c>
      <c r="D74" s="33" t="str">
        <f aca="false">IFERROR(B74/B70-1,"")</f>
        <v/>
      </c>
      <c r="E74" s="25" t="str">
        <f aca="false">IFERROR(IF(AND(B74="",ISNUMBER($C$7),ISNUMBER($G$7)),$C$7*(1+$G$7)^(($A74-$E$7)/365.25),""),"")</f>
        <v/>
      </c>
      <c r="F74" s="25" t="str">
        <f aca="false">IFERROR(IF(AND(B74="",ISNUMBER($C$7),ISNUMBER($G$7)),$C$7*(1+$G$7*0.85^MAX(0,($A74-$E$7)/91.25))^(($A74-$E$7)/365.25),""),"")</f>
        <v/>
      </c>
    </row>
    <row r="75" customFormat="false" ht="15" hidden="false" customHeight="false" outlineLevel="0" collapsed="false">
      <c r="A75" s="27" t="n">
        <v>45383</v>
      </c>
      <c r="B75" s="28" t="str">
        <f aca="true">IFERROR(IF(AVERAGEIFS(INDIRECT(Index!$M$8),INDIRECT(Index!$L$8),"&gt;="&amp;$A75,INDIRECT(Index!$L$8),"&lt;"&amp;EDATE($A75,3))=0,"",AVERAGEIFS(INDIRECT(Index!$M$8),INDIRECT(Index!$L$8),"&gt;="&amp;$A75,INDIRECT(Index!$L$8),"&lt;"&amp;EDATE($A75,3))),"")</f>
        <v/>
      </c>
      <c r="C75" s="29" t="str">
        <f aca="false">IFERROR(B75/B74-1,"")</f>
        <v/>
      </c>
      <c r="D75" s="29" t="str">
        <f aca="false">IFERROR(B75/B71-1,"")</f>
        <v/>
      </c>
      <c r="E75" s="31" t="str">
        <f aca="false">IFERROR(IF(AND(B75="",ISNUMBER($C$7),ISNUMBER($G$7)),$C$7*(1+$G$7)^(($A75-$E$7)/365.25),""),"")</f>
        <v/>
      </c>
      <c r="F75" s="31" t="str">
        <f aca="false">IFERROR(IF(AND(B75="",ISNUMBER($C$7),ISNUMBER($G$7)),$C$7*(1+$G$7*0.85^MAX(0,($A75-$E$7)/91.25))^(($A75-$E$7)/365.25),""),"")</f>
        <v/>
      </c>
    </row>
    <row r="76" customFormat="false" ht="15" hidden="false" customHeight="false" outlineLevel="0" collapsed="false">
      <c r="A76" s="15" t="n">
        <v>45474</v>
      </c>
      <c r="B76" s="20" t="str">
        <f aca="true">IFERROR(IF(AVERAGEIFS(INDIRECT(Index!$M$8),INDIRECT(Index!$L$8),"&gt;="&amp;$A76,INDIRECT(Index!$L$8),"&lt;"&amp;EDATE($A76,3))=0,"",AVERAGEIFS(INDIRECT(Index!$M$8),INDIRECT(Index!$L$8),"&gt;="&amp;$A76,INDIRECT(Index!$L$8),"&lt;"&amp;EDATE($A76,3))),"")</f>
        <v/>
      </c>
      <c r="C76" s="33" t="str">
        <f aca="false">IFERROR(B76/B75-1,"")</f>
        <v/>
      </c>
      <c r="D76" s="33" t="str">
        <f aca="false">IFERROR(B76/B72-1,"")</f>
        <v/>
      </c>
      <c r="E76" s="25" t="str">
        <f aca="false">IFERROR(IF(AND(B76="",ISNUMBER($C$7),ISNUMBER($G$7)),$C$7*(1+$G$7)^(($A76-$E$7)/365.25),""),"")</f>
        <v/>
      </c>
      <c r="F76" s="25" t="str">
        <f aca="false">IFERROR(IF(AND(B76="",ISNUMBER($C$7),ISNUMBER($G$7)),$C$7*(1+$G$7*0.85^MAX(0,($A76-$E$7)/91.25))^(($A76-$E$7)/365.25),""),"")</f>
        <v/>
      </c>
    </row>
    <row r="77" customFormat="false" ht="15" hidden="false" customHeight="false" outlineLevel="0" collapsed="false">
      <c r="A77" s="27" t="n">
        <v>45566</v>
      </c>
      <c r="B77" s="28" t="str">
        <f aca="true">IFERROR(IF(AVERAGEIFS(INDIRECT(Index!$M$8),INDIRECT(Index!$L$8),"&gt;="&amp;$A77,INDIRECT(Index!$L$8),"&lt;"&amp;EDATE($A77,3))=0,"",AVERAGEIFS(INDIRECT(Index!$M$8),INDIRECT(Index!$L$8),"&gt;="&amp;$A77,INDIRECT(Index!$L$8),"&lt;"&amp;EDATE($A77,3))),"")</f>
        <v/>
      </c>
      <c r="C77" s="29" t="str">
        <f aca="false">IFERROR(B77/B76-1,"")</f>
        <v/>
      </c>
      <c r="D77" s="29" t="str">
        <f aca="false">IFERROR(B77/B73-1,"")</f>
        <v/>
      </c>
      <c r="E77" s="31" t="str">
        <f aca="false">IFERROR(IF(AND(B77="",ISNUMBER($C$7),ISNUMBER($G$7)),$C$7*(1+$G$7)^(($A77-$E$7)/365.25),""),"")</f>
        <v/>
      </c>
      <c r="F77" s="31" t="str">
        <f aca="false">IFERROR(IF(AND(B77="",ISNUMBER($C$7),ISNUMBER($G$7)),$C$7*(1+$G$7*0.85^MAX(0,($A77-$E$7)/91.25))^(($A77-$E$7)/365.25),""),"")</f>
        <v/>
      </c>
    </row>
    <row r="78" customFormat="false" ht="15" hidden="false" customHeight="false" outlineLevel="0" collapsed="false">
      <c r="A78" s="15" t="n">
        <v>45658</v>
      </c>
      <c r="B78" s="20" t="str">
        <f aca="true">IFERROR(IF(AVERAGEIFS(INDIRECT(Index!$M$8),INDIRECT(Index!$L$8),"&gt;="&amp;$A78,INDIRECT(Index!$L$8),"&lt;"&amp;EDATE($A78,3))=0,"",AVERAGEIFS(INDIRECT(Index!$M$8),INDIRECT(Index!$L$8),"&gt;="&amp;$A78,INDIRECT(Index!$L$8),"&lt;"&amp;EDATE($A78,3))),"")</f>
        <v/>
      </c>
      <c r="C78" s="33" t="str">
        <f aca="false">IFERROR(B78/B77-1,"")</f>
        <v/>
      </c>
      <c r="D78" s="33" t="str">
        <f aca="false">IFERROR(B78/B74-1,"")</f>
        <v/>
      </c>
      <c r="E78" s="25" t="str">
        <f aca="false">IFERROR(IF(AND(B78="",ISNUMBER($C$7),ISNUMBER($G$7)),$C$7*(1+$G$7)^(($A78-$E$7)/365.25),""),"")</f>
        <v/>
      </c>
      <c r="F78" s="25" t="str">
        <f aca="false">IFERROR(IF(AND(B78="",ISNUMBER($C$7),ISNUMBER($G$7)),$C$7*(1+$G$7*0.85^MAX(0,($A78-$E$7)/91.25))^(($A78-$E$7)/365.25),""),"")</f>
        <v/>
      </c>
    </row>
    <row r="79" customFormat="false" ht="15" hidden="false" customHeight="false" outlineLevel="0" collapsed="false">
      <c r="A79" s="27" t="n">
        <v>45748</v>
      </c>
      <c r="B79" s="28" t="str">
        <f aca="true">IFERROR(IF(AVERAGEIFS(INDIRECT(Index!$M$8),INDIRECT(Index!$L$8),"&gt;="&amp;$A79,INDIRECT(Index!$L$8),"&lt;"&amp;EDATE($A79,3))=0,"",AVERAGEIFS(INDIRECT(Index!$M$8),INDIRECT(Index!$L$8),"&gt;="&amp;$A79,INDIRECT(Index!$L$8),"&lt;"&amp;EDATE($A79,3))),"")</f>
        <v/>
      </c>
      <c r="C79" s="29" t="str">
        <f aca="false">IFERROR(B79/B78-1,"")</f>
        <v/>
      </c>
      <c r="D79" s="29" t="str">
        <f aca="false">IFERROR(B79/B75-1,"")</f>
        <v/>
      </c>
      <c r="E79" s="31" t="str">
        <f aca="false">IFERROR(IF(AND(B79="",ISNUMBER($C$7),ISNUMBER($G$7)),$C$7*(1+$G$7)^(($A79-$E$7)/365.25),""),"")</f>
        <v/>
      </c>
      <c r="F79" s="31" t="str">
        <f aca="false">IFERROR(IF(AND(B79="",ISNUMBER($C$7),ISNUMBER($G$7)),$C$7*(1+$G$7*0.85^MAX(0,($A79-$E$7)/91.25))^(($A79-$E$7)/365.25),""),"")</f>
        <v/>
      </c>
    </row>
    <row r="80" customFormat="false" ht="15" hidden="false" customHeight="false" outlineLevel="0" collapsed="false">
      <c r="A80" s="15" t="n">
        <v>45839</v>
      </c>
      <c r="B80" s="20" t="str">
        <f aca="true">IFERROR(IF(AVERAGEIFS(INDIRECT(Index!$M$8),INDIRECT(Index!$L$8),"&gt;="&amp;$A80,INDIRECT(Index!$L$8),"&lt;"&amp;EDATE($A80,3))=0,"",AVERAGEIFS(INDIRECT(Index!$M$8),INDIRECT(Index!$L$8),"&gt;="&amp;$A80,INDIRECT(Index!$L$8),"&lt;"&amp;EDATE($A80,3))),"")</f>
        <v/>
      </c>
      <c r="C80" s="33" t="str">
        <f aca="false">IFERROR(B80/B79-1,"")</f>
        <v/>
      </c>
      <c r="D80" s="33" t="str">
        <f aca="false">IFERROR(B80/B76-1,"")</f>
        <v/>
      </c>
      <c r="E80" s="25" t="str">
        <f aca="false">IFERROR(IF(AND(B80="",ISNUMBER($C$7),ISNUMBER($G$7)),$C$7*(1+$G$7)^(($A80-$E$7)/365.25),""),"")</f>
        <v/>
      </c>
      <c r="F80" s="25" t="str">
        <f aca="false">IFERROR(IF(AND(B80="",ISNUMBER($C$7),ISNUMBER($G$7)),$C$7*(1+$G$7*0.85^MAX(0,($A80-$E$7)/91.25))^(($A80-$E$7)/365.25),""),"")</f>
        <v/>
      </c>
    </row>
    <row r="81" customFormat="false" ht="15" hidden="false" customHeight="false" outlineLevel="0" collapsed="false">
      <c r="A81" s="27" t="n">
        <v>45931</v>
      </c>
      <c r="B81" s="28" t="str">
        <f aca="true">IFERROR(IF(AVERAGEIFS(INDIRECT(Index!$M$8),INDIRECT(Index!$L$8),"&gt;="&amp;$A81,INDIRECT(Index!$L$8),"&lt;"&amp;EDATE($A81,3))=0,"",AVERAGEIFS(INDIRECT(Index!$M$8),INDIRECT(Index!$L$8),"&gt;="&amp;$A81,INDIRECT(Index!$L$8),"&lt;"&amp;EDATE($A81,3))),"")</f>
        <v/>
      </c>
      <c r="C81" s="29" t="str">
        <f aca="false">IFERROR(B81/B80-1,"")</f>
        <v/>
      </c>
      <c r="D81" s="29" t="str">
        <f aca="false">IFERROR(B81/B77-1,"")</f>
        <v/>
      </c>
      <c r="E81" s="31" t="str">
        <f aca="false">IFERROR(IF(AND(B81="",ISNUMBER($C$7),ISNUMBER($G$7)),$C$7*(1+$G$7)^(($A81-$E$7)/365.25),""),"")</f>
        <v/>
      </c>
      <c r="F81" s="31" t="str">
        <f aca="false">IFERROR(IF(AND(B81="",ISNUMBER($C$7),ISNUMBER($G$7)),$C$7*(1+$G$7*0.85^MAX(0,($A81-$E$7)/91.25))^(($A81-$E$7)/365.25),""),"")</f>
        <v/>
      </c>
    </row>
    <row r="82" customFormat="false" ht="15" hidden="false" customHeight="false" outlineLevel="0" collapsed="false">
      <c r="A82" s="15" t="n">
        <v>46023</v>
      </c>
      <c r="B82" s="20" t="str">
        <f aca="true">IFERROR(IF(AVERAGEIFS(INDIRECT(Index!$M$8),INDIRECT(Index!$L$8),"&gt;="&amp;$A82,INDIRECT(Index!$L$8),"&lt;"&amp;EDATE($A82,3))=0,"",AVERAGEIFS(INDIRECT(Index!$M$8),INDIRECT(Index!$L$8),"&gt;="&amp;$A82,INDIRECT(Index!$L$8),"&lt;"&amp;EDATE($A82,3))),"")</f>
        <v/>
      </c>
      <c r="C82" s="33" t="str">
        <f aca="false">IFERROR(B82/B81-1,"")</f>
        <v/>
      </c>
      <c r="D82" s="33" t="str">
        <f aca="false">IFERROR(B82/B78-1,"")</f>
        <v/>
      </c>
      <c r="E82" s="25" t="str">
        <f aca="false">IFERROR(IF(AND(B82="",ISNUMBER($C$7),ISNUMBER($G$7)),$C$7*(1+$G$7)^(($A82-$E$7)/365.25),""),"")</f>
        <v/>
      </c>
      <c r="F82" s="25" t="str">
        <f aca="false">IFERROR(IF(AND(B82="",ISNUMBER($C$7),ISNUMBER($G$7)),$C$7*(1+$G$7*0.85^MAX(0,($A82-$E$7)/91.25))^(($A82-$E$7)/365.25),""),"")</f>
        <v/>
      </c>
    </row>
    <row r="83" customFormat="false" ht="15" hidden="false" customHeight="false" outlineLevel="0" collapsed="false">
      <c r="A83" s="27" t="n">
        <v>46113</v>
      </c>
      <c r="B83" s="28" t="str">
        <f aca="true">IFERROR(IF(AVERAGEIFS(INDIRECT(Index!$M$8),INDIRECT(Index!$L$8),"&gt;="&amp;$A83,INDIRECT(Index!$L$8),"&lt;"&amp;EDATE($A83,3))=0,"",AVERAGEIFS(INDIRECT(Index!$M$8),INDIRECT(Index!$L$8),"&gt;="&amp;$A83,INDIRECT(Index!$L$8),"&lt;"&amp;EDATE($A83,3))),"")</f>
        <v/>
      </c>
      <c r="C83" s="29" t="str">
        <f aca="false">IFERROR(B83/B82-1,"")</f>
        <v/>
      </c>
      <c r="D83" s="29" t="str">
        <f aca="false">IFERROR(B83/B79-1,"")</f>
        <v/>
      </c>
      <c r="E83" s="31" t="str">
        <f aca="false">IFERROR(IF(AND(B83="",ISNUMBER($C$7),ISNUMBER($G$7)),$C$7*(1+$G$7)^(($A83-$E$7)/365.25),""),"")</f>
        <v/>
      </c>
      <c r="F83" s="31" t="str">
        <f aca="false">IFERROR(IF(AND(B83="",ISNUMBER($C$7),ISNUMBER($G$7)),$C$7*(1+$G$7*0.85^MAX(0,($A83-$E$7)/91.25))^(($A83-$E$7)/365.25),""),"")</f>
        <v/>
      </c>
    </row>
    <row r="84" customFormat="false" ht="15" hidden="false" customHeight="false" outlineLevel="0" collapsed="false">
      <c r="A84" s="15" t="n">
        <v>46204</v>
      </c>
      <c r="B84" s="20" t="str">
        <f aca="true">IFERROR(IF(AVERAGEIFS(INDIRECT(Index!$M$8),INDIRECT(Index!$L$8),"&gt;="&amp;$A84,INDIRECT(Index!$L$8),"&lt;"&amp;EDATE($A84,3))=0,"",AVERAGEIFS(INDIRECT(Index!$M$8),INDIRECT(Index!$L$8),"&gt;="&amp;$A84,INDIRECT(Index!$L$8),"&lt;"&amp;EDATE($A84,3))),"")</f>
        <v/>
      </c>
      <c r="C84" s="33" t="str">
        <f aca="false">IFERROR(B84/B83-1,"")</f>
        <v/>
      </c>
      <c r="D84" s="33" t="str">
        <f aca="false">IFERROR(B84/B80-1,"")</f>
        <v/>
      </c>
      <c r="E84" s="25" t="str">
        <f aca="false">IFERROR(IF(AND(B84="",ISNUMBER($C$7),ISNUMBER($G$7)),$C$7*(1+$G$7)^(($A84-$E$7)/365.25),""),"")</f>
        <v/>
      </c>
      <c r="F84" s="25" t="str">
        <f aca="false">IFERROR(IF(AND(B84="",ISNUMBER($C$7),ISNUMBER($G$7)),$C$7*(1+$G$7*0.85^MAX(0,($A84-$E$7)/91.25))^(($A84-$E$7)/365.25),""),"")</f>
        <v/>
      </c>
    </row>
    <row r="85" customFormat="false" ht="15" hidden="false" customHeight="false" outlineLevel="0" collapsed="false">
      <c r="A85" s="27" t="n">
        <v>46296</v>
      </c>
      <c r="B85" s="28" t="str">
        <f aca="true">IFERROR(IF(AVERAGEIFS(INDIRECT(Index!$M$8),INDIRECT(Index!$L$8),"&gt;="&amp;$A85,INDIRECT(Index!$L$8),"&lt;"&amp;EDATE($A85,3))=0,"",AVERAGEIFS(INDIRECT(Index!$M$8),INDIRECT(Index!$L$8),"&gt;="&amp;$A85,INDIRECT(Index!$L$8),"&lt;"&amp;EDATE($A85,3))),"")</f>
        <v/>
      </c>
      <c r="C85" s="29" t="str">
        <f aca="false">IFERROR(B85/B84-1,"")</f>
        <v/>
      </c>
      <c r="D85" s="29" t="str">
        <f aca="false">IFERROR(B85/B81-1,"")</f>
        <v/>
      </c>
      <c r="E85" s="31" t="str">
        <f aca="false">IFERROR(IF(AND(B85="",ISNUMBER($C$7),ISNUMBER($G$7)),$C$7*(1+$G$7)^(($A85-$E$7)/365.25),""),"")</f>
        <v/>
      </c>
      <c r="F85" s="31" t="str">
        <f aca="false">IFERROR(IF(AND(B85="",ISNUMBER($C$7),ISNUMBER($G$7)),$C$7*(1+$G$7*0.85^MAX(0,($A85-$E$7)/91.25))^(($A85-$E$7)/365.25),""),"")</f>
        <v/>
      </c>
    </row>
    <row r="86" customFormat="false" ht="15" hidden="false" customHeight="false" outlineLevel="0" collapsed="false">
      <c r="A86" s="15" t="n">
        <v>46388</v>
      </c>
      <c r="B86" s="20" t="str">
        <f aca="true">IFERROR(IF(AVERAGEIFS(INDIRECT(Index!$M$8),INDIRECT(Index!$L$8),"&gt;="&amp;$A86,INDIRECT(Index!$L$8),"&lt;"&amp;EDATE($A86,3))=0,"",AVERAGEIFS(INDIRECT(Index!$M$8),INDIRECT(Index!$L$8),"&gt;="&amp;$A86,INDIRECT(Index!$L$8),"&lt;"&amp;EDATE($A86,3))),"")</f>
        <v/>
      </c>
      <c r="C86" s="33" t="str">
        <f aca="false">IFERROR(B86/B85-1,"")</f>
        <v/>
      </c>
      <c r="D86" s="33" t="str">
        <f aca="false">IFERROR(B86/B82-1,"")</f>
        <v/>
      </c>
      <c r="E86" s="25" t="str">
        <f aca="false">IFERROR(IF(AND(B86="",ISNUMBER($C$7),ISNUMBER($G$7)),$C$7*(1+$G$7)^(($A86-$E$7)/365.25),""),"")</f>
        <v/>
      </c>
      <c r="F86" s="25" t="str">
        <f aca="false">IFERROR(IF(AND(B86="",ISNUMBER($C$7),ISNUMBER($G$7)),$C$7*(1+$G$7*0.85^MAX(0,($A86-$E$7)/91.25))^(($A86-$E$7)/365.25),""),"")</f>
        <v/>
      </c>
    </row>
    <row r="87" customFormat="false" ht="15" hidden="false" customHeight="false" outlineLevel="0" collapsed="false">
      <c r="A87" s="27" t="n">
        <v>46478</v>
      </c>
      <c r="B87" s="28" t="str">
        <f aca="true">IFERROR(IF(AVERAGEIFS(INDIRECT(Index!$M$8),INDIRECT(Index!$L$8),"&gt;="&amp;$A87,INDIRECT(Index!$L$8),"&lt;"&amp;EDATE($A87,3))=0,"",AVERAGEIFS(INDIRECT(Index!$M$8),INDIRECT(Index!$L$8),"&gt;="&amp;$A87,INDIRECT(Index!$L$8),"&lt;"&amp;EDATE($A87,3))),"")</f>
        <v/>
      </c>
      <c r="C87" s="29" t="str">
        <f aca="false">IFERROR(B87/B86-1,"")</f>
        <v/>
      </c>
      <c r="D87" s="29" t="str">
        <f aca="false">IFERROR(B87/B83-1,"")</f>
        <v/>
      </c>
      <c r="E87" s="31" t="str">
        <f aca="false">IFERROR(IF(AND(B87="",ISNUMBER($C$7),ISNUMBER($G$7)),$C$7*(1+$G$7)^(($A87-$E$7)/365.25),""),"")</f>
        <v/>
      </c>
      <c r="F87" s="31" t="str">
        <f aca="false">IFERROR(IF(AND(B87="",ISNUMBER($C$7),ISNUMBER($G$7)),$C$7*(1+$G$7*0.85^MAX(0,($A87-$E$7)/91.25))^(($A87-$E$7)/365.25),""),"")</f>
        <v/>
      </c>
    </row>
    <row r="88" customFormat="false" ht="15" hidden="false" customHeight="false" outlineLevel="0" collapsed="false">
      <c r="A88" s="15" t="n">
        <v>46569</v>
      </c>
      <c r="B88" s="20" t="str">
        <f aca="true">IFERROR(IF(AVERAGEIFS(INDIRECT(Index!$M$8),INDIRECT(Index!$L$8),"&gt;="&amp;$A88,INDIRECT(Index!$L$8),"&lt;"&amp;EDATE($A88,3))=0,"",AVERAGEIFS(INDIRECT(Index!$M$8),INDIRECT(Index!$L$8),"&gt;="&amp;$A88,INDIRECT(Index!$L$8),"&lt;"&amp;EDATE($A88,3))),"")</f>
        <v/>
      </c>
      <c r="C88" s="33" t="str">
        <f aca="false">IFERROR(B88/B87-1,"")</f>
        <v/>
      </c>
      <c r="D88" s="33" t="str">
        <f aca="false">IFERROR(B88/B84-1,"")</f>
        <v/>
      </c>
      <c r="E88" s="25" t="str">
        <f aca="false">IFERROR(IF(AND(B88="",ISNUMBER($C$7),ISNUMBER($G$7)),$C$7*(1+$G$7)^(($A88-$E$7)/365.25),""),"")</f>
        <v/>
      </c>
      <c r="F88" s="25" t="str">
        <f aca="false">IFERROR(IF(AND(B88="",ISNUMBER($C$7),ISNUMBER($G$7)),$C$7*(1+$G$7*0.85^MAX(0,($A88-$E$7)/91.25))^(($A88-$E$7)/365.25),""),"")</f>
        <v/>
      </c>
    </row>
    <row r="89" customFormat="false" ht="15" hidden="false" customHeight="false" outlineLevel="0" collapsed="false">
      <c r="A89" s="27" t="n">
        <v>46661</v>
      </c>
      <c r="B89" s="28" t="str">
        <f aca="true">IFERROR(IF(AVERAGEIFS(INDIRECT(Index!$M$8),INDIRECT(Index!$L$8),"&gt;="&amp;$A89,INDIRECT(Index!$L$8),"&lt;"&amp;EDATE($A89,3))=0,"",AVERAGEIFS(INDIRECT(Index!$M$8),INDIRECT(Index!$L$8),"&gt;="&amp;$A89,INDIRECT(Index!$L$8),"&lt;"&amp;EDATE($A89,3))),"")</f>
        <v/>
      </c>
      <c r="C89" s="29" t="str">
        <f aca="false">IFERROR(B89/B88-1,"")</f>
        <v/>
      </c>
      <c r="D89" s="29" t="str">
        <f aca="false">IFERROR(B89/B85-1,"")</f>
        <v/>
      </c>
      <c r="E89" s="31" t="str">
        <f aca="false">IFERROR(IF(AND(B89="",ISNUMBER($C$7),ISNUMBER($G$7)),$C$7*(1+$G$7)^(($A89-$E$7)/365.25),""),"")</f>
        <v/>
      </c>
      <c r="F89" s="31" t="str">
        <f aca="false">IFERROR(IF(AND(B89="",ISNUMBER($C$7),ISNUMBER($G$7)),$C$7*(1+$G$7*0.85^MAX(0,($A89-$E$7)/91.25))^(($A89-$E$7)/365.25),""),"")</f>
        <v/>
      </c>
    </row>
    <row r="90" customFormat="false" ht="15" hidden="false" customHeight="false" outlineLevel="0" collapsed="false">
      <c r="A90" s="15" t="n">
        <v>46753</v>
      </c>
      <c r="B90" s="20" t="str">
        <f aca="true">IFERROR(IF(AVERAGEIFS(INDIRECT(Index!$M$8),INDIRECT(Index!$L$8),"&gt;="&amp;$A90,INDIRECT(Index!$L$8),"&lt;"&amp;EDATE($A90,3))=0,"",AVERAGEIFS(INDIRECT(Index!$M$8),INDIRECT(Index!$L$8),"&gt;="&amp;$A90,INDIRECT(Index!$L$8),"&lt;"&amp;EDATE($A90,3))),"")</f>
        <v/>
      </c>
      <c r="C90" s="33" t="str">
        <f aca="false">IFERROR(B90/B89-1,"")</f>
        <v/>
      </c>
      <c r="D90" s="33" t="str">
        <f aca="false">IFERROR(B90/B86-1,"")</f>
        <v/>
      </c>
      <c r="E90" s="25" t="str">
        <f aca="false">IFERROR(IF(AND(B90="",ISNUMBER($C$7),ISNUMBER($G$7)),$C$7*(1+$G$7)^(($A90-$E$7)/365.25),""),"")</f>
        <v/>
      </c>
      <c r="F90" s="25" t="str">
        <f aca="false">IFERROR(IF(AND(B90="",ISNUMBER($C$7),ISNUMBER($G$7)),$C$7*(1+$G$7*0.85^MAX(0,($A90-$E$7)/91.25))^(($A90-$E$7)/365.25),""),"")</f>
        <v/>
      </c>
    </row>
    <row r="91" customFormat="false" ht="15" hidden="false" customHeight="false" outlineLevel="0" collapsed="false">
      <c r="A91" s="27" t="n">
        <v>46844</v>
      </c>
      <c r="B91" s="28" t="str">
        <f aca="true">IFERROR(IF(AVERAGEIFS(INDIRECT(Index!$M$8),INDIRECT(Index!$L$8),"&gt;="&amp;$A91,INDIRECT(Index!$L$8),"&lt;"&amp;EDATE($A91,3))=0,"",AVERAGEIFS(INDIRECT(Index!$M$8),INDIRECT(Index!$L$8),"&gt;="&amp;$A91,INDIRECT(Index!$L$8),"&lt;"&amp;EDATE($A91,3))),"")</f>
        <v/>
      </c>
      <c r="C91" s="29" t="str">
        <f aca="false">IFERROR(B91/B90-1,"")</f>
        <v/>
      </c>
      <c r="D91" s="29" t="str">
        <f aca="false">IFERROR(B91/B87-1,"")</f>
        <v/>
      </c>
      <c r="E91" s="31" t="str">
        <f aca="false">IFERROR(IF(AND(B91="",ISNUMBER($C$7),ISNUMBER($G$7)),$C$7*(1+$G$7)^(($A91-$E$7)/365.25),""),"")</f>
        <v/>
      </c>
      <c r="F91" s="31" t="str">
        <f aca="false">IFERROR(IF(AND(B91="",ISNUMBER($C$7),ISNUMBER($G$7)),$C$7*(1+$G$7*0.85^MAX(0,($A91-$E$7)/91.25))^(($A91-$E$7)/365.25),""),"")</f>
        <v/>
      </c>
    </row>
    <row r="92" customFormat="false" ht="15" hidden="false" customHeight="false" outlineLevel="0" collapsed="false">
      <c r="A92" s="15" t="n">
        <v>46935</v>
      </c>
      <c r="B92" s="20" t="str">
        <f aca="true">IFERROR(IF(AVERAGEIFS(INDIRECT(Index!$M$8),INDIRECT(Index!$L$8),"&gt;="&amp;$A92,INDIRECT(Index!$L$8),"&lt;"&amp;EDATE($A92,3))=0,"",AVERAGEIFS(INDIRECT(Index!$M$8),INDIRECT(Index!$L$8),"&gt;="&amp;$A92,INDIRECT(Index!$L$8),"&lt;"&amp;EDATE($A92,3))),"")</f>
        <v/>
      </c>
      <c r="C92" s="33" t="str">
        <f aca="false">IFERROR(B92/B91-1,"")</f>
        <v/>
      </c>
      <c r="D92" s="33" t="str">
        <f aca="false">IFERROR(B92/B88-1,"")</f>
        <v/>
      </c>
      <c r="E92" s="25" t="str">
        <f aca="false">IFERROR(IF(AND(B92="",ISNUMBER($C$7),ISNUMBER($G$7)),$C$7*(1+$G$7)^(($A92-$E$7)/365.25),""),"")</f>
        <v/>
      </c>
      <c r="F92" s="25" t="str">
        <f aca="false">IFERROR(IF(AND(B92="",ISNUMBER($C$7),ISNUMBER($G$7)),$C$7*(1+$G$7*0.85^MAX(0,($A92-$E$7)/91.25))^(($A92-$E$7)/365.25),""),"")</f>
        <v/>
      </c>
    </row>
    <row r="93" customFormat="false" ht="15" hidden="false" customHeight="false" outlineLevel="0" collapsed="false">
      <c r="A93" s="27" t="n">
        <v>47027</v>
      </c>
      <c r="B93" s="28" t="str">
        <f aca="true">IFERROR(IF(AVERAGEIFS(INDIRECT(Index!$M$8),INDIRECT(Index!$L$8),"&gt;="&amp;$A93,INDIRECT(Index!$L$8),"&lt;"&amp;EDATE($A93,3))=0,"",AVERAGEIFS(INDIRECT(Index!$M$8),INDIRECT(Index!$L$8),"&gt;="&amp;$A93,INDIRECT(Index!$L$8),"&lt;"&amp;EDATE($A93,3))),"")</f>
        <v/>
      </c>
      <c r="C93" s="29" t="str">
        <f aca="false">IFERROR(B93/B92-1,"")</f>
        <v/>
      </c>
      <c r="D93" s="29" t="str">
        <f aca="false">IFERROR(B93/B89-1,"")</f>
        <v/>
      </c>
      <c r="E93" s="31" t="str">
        <f aca="false">IFERROR(IF(AND(B93="",ISNUMBER($C$7),ISNUMBER($G$7)),$C$7*(1+$G$7)^(($A93-$E$7)/365.25),""),"")</f>
        <v/>
      </c>
      <c r="F93" s="31" t="str">
        <f aca="false">IFERROR(IF(AND(B93="",ISNUMBER($C$7),ISNUMBER($G$7)),$C$7*(1+$G$7*0.85^MAX(0,($A93-$E$7)/91.25))^(($A93-$E$7)/365.25),""),"")</f>
        <v/>
      </c>
    </row>
    <row r="94" customFormat="false" ht="15" hidden="false" customHeight="false" outlineLevel="0" collapsed="false">
      <c r="A94" s="15" t="n">
        <v>47119</v>
      </c>
      <c r="B94" s="20" t="str">
        <f aca="true">IFERROR(IF(AVERAGEIFS(INDIRECT(Index!$M$8),INDIRECT(Index!$L$8),"&gt;="&amp;$A94,INDIRECT(Index!$L$8),"&lt;"&amp;EDATE($A94,3))=0,"",AVERAGEIFS(INDIRECT(Index!$M$8),INDIRECT(Index!$L$8),"&gt;="&amp;$A94,INDIRECT(Index!$L$8),"&lt;"&amp;EDATE($A94,3))),"")</f>
        <v/>
      </c>
      <c r="C94" s="33" t="str">
        <f aca="false">IFERROR(B94/B93-1,"")</f>
        <v/>
      </c>
      <c r="D94" s="33" t="str">
        <f aca="false">IFERROR(B94/B90-1,"")</f>
        <v/>
      </c>
      <c r="E94" s="25" t="str">
        <f aca="false">IFERROR(IF(AND(B94="",ISNUMBER($C$7),ISNUMBER($G$7)),$C$7*(1+$G$7)^(($A94-$E$7)/365.25),""),"")</f>
        <v/>
      </c>
      <c r="F94" s="25" t="str">
        <f aca="false">IFERROR(IF(AND(B94="",ISNUMBER($C$7),ISNUMBER($G$7)),$C$7*(1+$G$7*0.85^MAX(0,($A94-$E$7)/91.25))^(($A94-$E$7)/365.25),""),"")</f>
        <v/>
      </c>
    </row>
    <row r="95" customFormat="false" ht="15" hidden="false" customHeight="false" outlineLevel="0" collapsed="false">
      <c r="A95" s="27" t="n">
        <v>47209</v>
      </c>
      <c r="B95" s="28" t="str">
        <f aca="true">IFERROR(IF(AVERAGEIFS(INDIRECT(Index!$M$8),INDIRECT(Index!$L$8),"&gt;="&amp;$A95,INDIRECT(Index!$L$8),"&lt;"&amp;EDATE($A95,3))=0,"",AVERAGEIFS(INDIRECT(Index!$M$8),INDIRECT(Index!$L$8),"&gt;="&amp;$A95,INDIRECT(Index!$L$8),"&lt;"&amp;EDATE($A95,3))),"")</f>
        <v/>
      </c>
      <c r="C95" s="29" t="str">
        <f aca="false">IFERROR(B95/B94-1,"")</f>
        <v/>
      </c>
      <c r="D95" s="29" t="str">
        <f aca="false">IFERROR(B95/B91-1,"")</f>
        <v/>
      </c>
      <c r="E95" s="31" t="str">
        <f aca="false">IFERROR(IF(AND(B95="",ISNUMBER($C$7),ISNUMBER($G$7)),$C$7*(1+$G$7)^(($A95-$E$7)/365.25),""),"")</f>
        <v/>
      </c>
      <c r="F95" s="31" t="str">
        <f aca="false">IFERROR(IF(AND(B95="",ISNUMBER($C$7),ISNUMBER($G$7)),$C$7*(1+$G$7*0.85^MAX(0,($A95-$E$7)/91.25))^(($A95-$E$7)/365.25),""),"")</f>
        <v/>
      </c>
    </row>
    <row r="96" customFormat="false" ht="15" hidden="false" customHeight="false" outlineLevel="0" collapsed="false">
      <c r="A96" s="15" t="n">
        <v>47300</v>
      </c>
      <c r="B96" s="20" t="str">
        <f aca="true">IFERROR(IF(AVERAGEIFS(INDIRECT(Index!$M$8),INDIRECT(Index!$L$8),"&gt;="&amp;$A96,INDIRECT(Index!$L$8),"&lt;"&amp;EDATE($A96,3))=0,"",AVERAGEIFS(INDIRECT(Index!$M$8),INDIRECT(Index!$L$8),"&gt;="&amp;$A96,INDIRECT(Index!$L$8),"&lt;"&amp;EDATE($A96,3))),"")</f>
        <v/>
      </c>
      <c r="C96" s="33" t="str">
        <f aca="false">IFERROR(B96/B95-1,"")</f>
        <v/>
      </c>
      <c r="D96" s="33" t="str">
        <f aca="false">IFERROR(B96/B92-1,"")</f>
        <v/>
      </c>
      <c r="E96" s="25" t="str">
        <f aca="false">IFERROR(IF(AND(B96="",ISNUMBER($C$7),ISNUMBER($G$7)),$C$7*(1+$G$7)^(($A96-$E$7)/365.25),""),"")</f>
        <v/>
      </c>
      <c r="F96" s="25" t="str">
        <f aca="false">IFERROR(IF(AND(B96="",ISNUMBER($C$7),ISNUMBER($G$7)),$C$7*(1+$G$7*0.85^MAX(0,($A96-$E$7)/91.25))^(($A96-$E$7)/365.25),""),"")</f>
        <v/>
      </c>
    </row>
    <row r="97" customFormat="false" ht="15" hidden="false" customHeight="false" outlineLevel="0" collapsed="false">
      <c r="A97" s="27" t="n">
        <v>47392</v>
      </c>
      <c r="B97" s="28" t="str">
        <f aca="true">IFERROR(IF(AVERAGEIFS(INDIRECT(Index!$M$8),INDIRECT(Index!$L$8),"&gt;="&amp;$A97,INDIRECT(Index!$L$8),"&lt;"&amp;EDATE($A97,3))=0,"",AVERAGEIFS(INDIRECT(Index!$M$8),INDIRECT(Index!$L$8),"&gt;="&amp;$A97,INDIRECT(Index!$L$8),"&lt;"&amp;EDATE($A97,3))),"")</f>
        <v/>
      </c>
      <c r="C97" s="29" t="str">
        <f aca="false">IFERROR(B97/B96-1,"")</f>
        <v/>
      </c>
      <c r="D97" s="29" t="str">
        <f aca="false">IFERROR(B97/B93-1,"")</f>
        <v/>
      </c>
      <c r="E97" s="31" t="str">
        <f aca="false">IFERROR(IF(AND(B97="",ISNUMBER($C$7),ISNUMBER($G$7)),$C$7*(1+$G$7)^(($A97-$E$7)/365.25),""),"")</f>
        <v/>
      </c>
      <c r="F97" s="31" t="str">
        <f aca="false">IFERROR(IF(AND(B97="",ISNUMBER($C$7),ISNUMBER($G$7)),$C$7*(1+$G$7*0.85^MAX(0,($A97-$E$7)/91.25))^(($A97-$E$7)/365.25),""),"")</f>
        <v/>
      </c>
    </row>
    <row r="98" customFormat="false" ht="15" hidden="false" customHeight="false" outlineLevel="0" collapsed="false">
      <c r="A98" s="15" t="n">
        <v>47484</v>
      </c>
      <c r="B98" s="20" t="str">
        <f aca="true">IFERROR(IF(AVERAGEIFS(INDIRECT(Index!$M$8),INDIRECT(Index!$L$8),"&gt;="&amp;$A98,INDIRECT(Index!$L$8),"&lt;"&amp;EDATE($A98,3))=0,"",AVERAGEIFS(INDIRECT(Index!$M$8),INDIRECT(Index!$L$8),"&gt;="&amp;$A98,INDIRECT(Index!$L$8),"&lt;"&amp;EDATE($A98,3))),"")</f>
        <v/>
      </c>
      <c r="C98" s="33" t="str">
        <f aca="false">IFERROR(B98/B97-1,"")</f>
        <v/>
      </c>
      <c r="D98" s="33" t="str">
        <f aca="false">IFERROR(B98/B94-1,"")</f>
        <v/>
      </c>
      <c r="E98" s="25" t="str">
        <f aca="false">IFERROR(IF(AND(B98="",ISNUMBER($C$7),ISNUMBER($G$7)),$C$7*(1+$G$7)^(($A98-$E$7)/365.25),""),"")</f>
        <v/>
      </c>
      <c r="F98" s="25" t="str">
        <f aca="false">IFERROR(IF(AND(B98="",ISNUMBER($C$7),ISNUMBER($G$7)),$C$7*(1+$G$7*0.85^MAX(0,($A98-$E$7)/91.25))^(($A98-$E$7)/365.25),""),"")</f>
        <v/>
      </c>
    </row>
    <row r="99" customFormat="false" ht="15" hidden="false" customHeight="false" outlineLevel="0" collapsed="false">
      <c r="A99" s="27" t="n">
        <v>47574</v>
      </c>
      <c r="B99" s="28" t="str">
        <f aca="true">IFERROR(IF(AVERAGEIFS(INDIRECT(Index!$M$8),INDIRECT(Index!$L$8),"&gt;="&amp;$A99,INDIRECT(Index!$L$8),"&lt;"&amp;EDATE($A99,3))=0,"",AVERAGEIFS(INDIRECT(Index!$M$8),INDIRECT(Index!$L$8),"&gt;="&amp;$A99,INDIRECT(Index!$L$8),"&lt;"&amp;EDATE($A99,3))),"")</f>
        <v/>
      </c>
      <c r="C99" s="29" t="str">
        <f aca="false">IFERROR(B99/B98-1,"")</f>
        <v/>
      </c>
      <c r="D99" s="29" t="str">
        <f aca="false">IFERROR(B99/B95-1,"")</f>
        <v/>
      </c>
      <c r="E99" s="31" t="str">
        <f aca="false">IFERROR(IF(AND(B99="",ISNUMBER($C$7),ISNUMBER($G$7)),$C$7*(1+$G$7)^(($A99-$E$7)/365.25),""),"")</f>
        <v/>
      </c>
      <c r="F99" s="31" t="str">
        <f aca="false">IFERROR(IF(AND(B99="",ISNUMBER($C$7),ISNUMBER($G$7)),$C$7*(1+$G$7*0.85^MAX(0,($A99-$E$7)/91.25))^(($A99-$E$7)/365.25),""),"")</f>
        <v/>
      </c>
    </row>
    <row r="100" customFormat="false" ht="15" hidden="false" customHeight="false" outlineLevel="0" collapsed="false">
      <c r="A100" s="15" t="n">
        <v>47665</v>
      </c>
      <c r="B100" s="20" t="str">
        <f aca="true">IFERROR(IF(AVERAGEIFS(INDIRECT(Index!$M$8),INDIRECT(Index!$L$8),"&gt;="&amp;$A100,INDIRECT(Index!$L$8),"&lt;"&amp;EDATE($A100,3))=0,"",AVERAGEIFS(INDIRECT(Index!$M$8),INDIRECT(Index!$L$8),"&gt;="&amp;$A100,INDIRECT(Index!$L$8),"&lt;"&amp;EDATE($A100,3))),"")</f>
        <v/>
      </c>
      <c r="C100" s="33" t="str">
        <f aca="false">IFERROR(B100/B99-1,"")</f>
        <v/>
      </c>
      <c r="D100" s="33" t="str">
        <f aca="false">IFERROR(B100/B96-1,"")</f>
        <v/>
      </c>
      <c r="E100" s="25" t="str">
        <f aca="false">IFERROR(IF(AND(B100="",ISNUMBER($C$7),ISNUMBER($G$7)),$C$7*(1+$G$7)^(($A100-$E$7)/365.25),""),"")</f>
        <v/>
      </c>
      <c r="F100" s="25" t="str">
        <f aca="false">IFERROR(IF(AND(B100="",ISNUMBER($C$7),ISNUMBER($G$7)),$C$7*(1+$G$7*0.85^MAX(0,($A100-$E$7)/91.25))^(($A100-$E$7)/365.25),""),"")</f>
        <v/>
      </c>
    </row>
    <row r="101" customFormat="false" ht="15" hidden="false" customHeight="false" outlineLevel="0" collapsed="false">
      <c r="A101" s="27" t="n">
        <v>47757</v>
      </c>
      <c r="B101" s="28" t="str">
        <f aca="true">IFERROR(IF(AVERAGEIFS(INDIRECT(Index!$M$8),INDIRECT(Index!$L$8),"&gt;="&amp;$A101,INDIRECT(Index!$L$8),"&lt;"&amp;EDATE($A101,3))=0,"",AVERAGEIFS(INDIRECT(Index!$M$8),INDIRECT(Index!$L$8),"&gt;="&amp;$A101,INDIRECT(Index!$L$8),"&lt;"&amp;EDATE($A101,3))),"")</f>
        <v/>
      </c>
      <c r="C101" s="29" t="str">
        <f aca="false">IFERROR(B101/B100-1,"")</f>
        <v/>
      </c>
      <c r="D101" s="29" t="str">
        <f aca="false">IFERROR(B101/B97-1,"")</f>
        <v/>
      </c>
      <c r="E101" s="31" t="str">
        <f aca="false">IFERROR(IF(AND(B101="",ISNUMBER($C$7),ISNUMBER($G$7)),$C$7*(1+$G$7)^(($A101-$E$7)/365.25),""),"")</f>
        <v/>
      </c>
      <c r="F101" s="31" t="str">
        <f aca="false">IFERROR(IF(AND(B101="",ISNUMBER($C$7),ISNUMBER($G$7)),$C$7*(1+$G$7*0.85^MAX(0,($A101-$E$7)/91.25))^(($A101-$E$7)/365.25),""),"")</f>
        <v/>
      </c>
    </row>
    <row r="105" customFormat="false" ht="21.75" hidden="false" customHeight="true" outlineLevel="0" collapsed="false">
      <c r="A105" s="17" t="str">
        <f aca="false">Index!$A$9&amp;"   ("&amp;Index!$I$9&amp;")"</f>
        <v>Core CPI   (Index)</v>
      </c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</row>
    <row r="106" customFormat="false" ht="15" hidden="false" customHeight="false" outlineLevel="0" collapsed="false">
      <c r="A106" s="4" t="s">
        <v>106</v>
      </c>
      <c r="B106" s="18" t="str">
        <f aca="false">Index!$J$9</f>
        <v>avg</v>
      </c>
      <c r="C106" s="4" t="s">
        <v>107</v>
      </c>
      <c r="D106" s="19" t="str">
        <f aca="false">Index!$D$9&amp;" ["&amp;Index!$F$9&amp;Index!$G$9&amp;":"&amp;Index!$F$9&amp;Index!$H$9&amp;"]"</f>
        <v>Data_Monthly [D2:D400]</v>
      </c>
      <c r="E106" s="19"/>
      <c r="F106" s="19"/>
      <c r="G106" s="19"/>
      <c r="H106" s="19"/>
    </row>
    <row r="107" customFormat="false" ht="15" hidden="false" customHeight="false" outlineLevel="0" collapsed="false">
      <c r="A107" s="4" t="s">
        <v>108</v>
      </c>
      <c r="B107" s="6" t="str">
        <f aca="false">IF(Index!$K$9="","",Index!$K$9)</f>
        <v/>
      </c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</row>
    <row r="108" customFormat="false" ht="15" hidden="false" customHeight="false" outlineLevel="0" collapsed="false">
      <c r="A108" s="4" t="s">
        <v>109</v>
      </c>
      <c r="B108" s="4" t="s">
        <v>110</v>
      </c>
      <c r="C108" s="20" t="str">
        <f aca="false">IFERROR(LOOKUP(2,1/($B$111:$B$202&lt;&gt;""),$B$111:$B$202),"")</f>
        <v/>
      </c>
      <c r="D108" s="4" t="s">
        <v>111</v>
      </c>
      <c r="E108" s="21" t="str">
        <f aca="false">IFERROR(LOOKUP(2,1/($B$111:$B$202&lt;&gt;""),$A$111:$A$202),"")</f>
        <v/>
      </c>
      <c r="F108" s="4" t="s">
        <v>112</v>
      </c>
      <c r="G108" s="22" t="str">
        <f aca="false">IFERROR(C108/INDEX($B$111:$B$202,MATCH(EDATE(E108,-12),$A$111:$A$202,0))-1,"")</f>
        <v/>
      </c>
    </row>
    <row r="109" customFormat="false" ht="18" hidden="false" customHeight="true" outlineLevel="0" collapsed="false">
      <c r="A109" s="23" t="s">
        <v>113</v>
      </c>
      <c r="B109" s="23"/>
      <c r="C109" s="23"/>
      <c r="D109" s="23"/>
      <c r="E109" s="23"/>
      <c r="F109" s="23"/>
      <c r="J109" s="23" t="s">
        <v>114</v>
      </c>
      <c r="K109" s="23"/>
      <c r="L109" s="23"/>
      <c r="M109" s="23"/>
    </row>
    <row r="110" customFormat="false" ht="15" hidden="false" customHeight="false" outlineLevel="0" collapsed="false">
      <c r="A110" s="7" t="s">
        <v>95</v>
      </c>
      <c r="B110" s="7" t="s">
        <v>115</v>
      </c>
      <c r="C110" s="7" t="s">
        <v>116</v>
      </c>
      <c r="D110" s="7" t="s">
        <v>117</v>
      </c>
      <c r="E110" s="7" t="s">
        <v>118</v>
      </c>
      <c r="F110" s="7" t="s">
        <v>119</v>
      </c>
      <c r="J110" s="7" t="s">
        <v>120</v>
      </c>
      <c r="K110" s="7" t="s">
        <v>115</v>
      </c>
      <c r="L110" s="7" t="s">
        <v>117</v>
      </c>
      <c r="M110" s="7" t="s">
        <v>121</v>
      </c>
    </row>
    <row r="111" customFormat="false" ht="15" hidden="false" customHeight="false" outlineLevel="0" collapsed="false">
      <c r="A111" s="15" t="n">
        <v>39448</v>
      </c>
      <c r="B111" s="20" t="str">
        <f aca="true">IFERROR(IF(AVERAGEIFS(INDIRECT(Index!$M$9),INDIRECT(Index!$L$9),"&gt;="&amp;$A111,INDIRECT(Index!$L$9),"&lt;"&amp;EDATE($A111,3))=0,"",AVERAGEIFS(INDIRECT(Index!$M$9),INDIRECT(Index!$L$9),"&gt;="&amp;$A111,INDIRECT(Index!$L$9),"&lt;"&amp;EDATE($A111,3))),"")</f>
        <v/>
      </c>
      <c r="C111" s="24"/>
      <c r="D111" s="24"/>
      <c r="E111" s="25" t="str">
        <f aca="false">IFERROR(IF(AND(B111="",ISNUMBER($C$108),ISNUMBER($G$108)),$C$108*(1+$G$108)^(($A111-$E$108)/365.25),""),"")</f>
        <v/>
      </c>
      <c r="F111" s="25" t="str">
        <f aca="false">IFERROR(IF(AND(B111="",ISNUMBER($C$108),ISNUMBER($G$108)),$C$108*(1+$G$108*0.85^MAX(0,($A111-$E$108)/91.25))^(($A111-$E$108)/365.25),""),"")</f>
        <v/>
      </c>
      <c r="J111" s="26" t="n">
        <v>2008</v>
      </c>
      <c r="K111" s="25" t="str">
        <f aca="false">IFERROR(AVERAGEIFS($B$111:$B$202,$A$111:$A$202,"&gt;="&amp;DATE(J111,1,1),$A$111:$A$202,"&lt;="&amp;DATE(J111,12,31)),"")</f>
        <v/>
      </c>
      <c r="L111" s="24"/>
      <c r="M111" s="25" t="str">
        <f aca="false">IFERROR(AVERAGEIFS($E$111:$E$202,$A$111:$A$202,"&gt;="&amp;DATE(J111,1,1),$A$111:$A$202,"&lt;="&amp;DATE(J111,12,31)),"")</f>
        <v/>
      </c>
    </row>
    <row r="112" customFormat="false" ht="15" hidden="false" customHeight="false" outlineLevel="0" collapsed="false">
      <c r="A112" s="27" t="n">
        <v>39539</v>
      </c>
      <c r="B112" s="28" t="str">
        <f aca="true">IFERROR(IF(AVERAGEIFS(INDIRECT(Index!$M$9),INDIRECT(Index!$L$9),"&gt;="&amp;$A112,INDIRECT(Index!$L$9),"&lt;"&amp;EDATE($A112,3))=0,"",AVERAGEIFS(INDIRECT(Index!$M$9),INDIRECT(Index!$L$9),"&gt;="&amp;$A112,INDIRECT(Index!$L$9),"&lt;"&amp;EDATE($A112,3))),"")</f>
        <v/>
      </c>
      <c r="C112" s="29" t="str">
        <f aca="false">IFERROR(B112/B111-1,"")</f>
        <v/>
      </c>
      <c r="D112" s="30"/>
      <c r="E112" s="31" t="str">
        <f aca="false">IFERROR(IF(AND(B112="",ISNUMBER($C$108),ISNUMBER($G$108)),$C$108*(1+$G$108)^(($A112-$E$108)/365.25),""),"")</f>
        <v/>
      </c>
      <c r="F112" s="31" t="str">
        <f aca="false">IFERROR(IF(AND(B112="",ISNUMBER($C$108),ISNUMBER($G$108)),$C$108*(1+$G$108*0.85^MAX(0,($A112-$E$108)/91.25))^(($A112-$E$108)/365.25),""),"")</f>
        <v/>
      </c>
      <c r="J112" s="32" t="n">
        <v>2009</v>
      </c>
      <c r="K112" s="31" t="str">
        <f aca="false">IFERROR(AVERAGEIFS($B$111:$B$202,$A$111:$A$202,"&gt;="&amp;DATE(J112,1,1),$A$111:$A$202,"&lt;="&amp;DATE(J112,12,31)),"")</f>
        <v/>
      </c>
      <c r="L112" s="29" t="str">
        <f aca="false">IFERROR(K112/K111-1,"")</f>
        <v/>
      </c>
      <c r="M112" s="31" t="str">
        <f aca="false">IFERROR(AVERAGEIFS($E$111:$E$202,$A$111:$A$202,"&gt;="&amp;DATE(J112,1,1),$A$111:$A$202,"&lt;="&amp;DATE(J112,12,31)),"")</f>
        <v/>
      </c>
    </row>
    <row r="113" customFormat="false" ht="15" hidden="false" customHeight="false" outlineLevel="0" collapsed="false">
      <c r="A113" s="15" t="n">
        <v>39630</v>
      </c>
      <c r="B113" s="20" t="str">
        <f aca="true">IFERROR(IF(AVERAGEIFS(INDIRECT(Index!$M$9),INDIRECT(Index!$L$9),"&gt;="&amp;$A113,INDIRECT(Index!$L$9),"&lt;"&amp;EDATE($A113,3))=0,"",AVERAGEIFS(INDIRECT(Index!$M$9),INDIRECT(Index!$L$9),"&gt;="&amp;$A113,INDIRECT(Index!$L$9),"&lt;"&amp;EDATE($A113,3))),"")</f>
        <v/>
      </c>
      <c r="C113" s="33" t="str">
        <f aca="false">IFERROR(B113/B112-1,"")</f>
        <v/>
      </c>
      <c r="D113" s="24"/>
      <c r="E113" s="25" t="str">
        <f aca="false">IFERROR(IF(AND(B113="",ISNUMBER($C$108),ISNUMBER($G$108)),$C$108*(1+$G$108)^(($A113-$E$108)/365.25),""),"")</f>
        <v/>
      </c>
      <c r="F113" s="25" t="str">
        <f aca="false">IFERROR(IF(AND(B113="",ISNUMBER($C$108),ISNUMBER($G$108)),$C$108*(1+$G$108*0.85^MAX(0,($A113-$E$108)/91.25))^(($A113-$E$108)/365.25),""),"")</f>
        <v/>
      </c>
      <c r="J113" s="26" t="n">
        <v>2010</v>
      </c>
      <c r="K113" s="25" t="str">
        <f aca="false">IFERROR(AVERAGEIFS($B$111:$B$202,$A$111:$A$202,"&gt;="&amp;DATE(J113,1,1),$A$111:$A$202,"&lt;="&amp;DATE(J113,12,31)),"")</f>
        <v/>
      </c>
      <c r="L113" s="33" t="str">
        <f aca="false">IFERROR(K113/K112-1,"")</f>
        <v/>
      </c>
      <c r="M113" s="25" t="str">
        <f aca="false">IFERROR(AVERAGEIFS($E$111:$E$202,$A$111:$A$202,"&gt;="&amp;DATE(J113,1,1),$A$111:$A$202,"&lt;="&amp;DATE(J113,12,31)),"")</f>
        <v/>
      </c>
    </row>
    <row r="114" customFormat="false" ht="15" hidden="false" customHeight="false" outlineLevel="0" collapsed="false">
      <c r="A114" s="27" t="n">
        <v>39722</v>
      </c>
      <c r="B114" s="28" t="str">
        <f aca="true">IFERROR(IF(AVERAGEIFS(INDIRECT(Index!$M$9),INDIRECT(Index!$L$9),"&gt;="&amp;$A114,INDIRECT(Index!$L$9),"&lt;"&amp;EDATE($A114,3))=0,"",AVERAGEIFS(INDIRECT(Index!$M$9),INDIRECT(Index!$L$9),"&gt;="&amp;$A114,INDIRECT(Index!$L$9),"&lt;"&amp;EDATE($A114,3))),"")</f>
        <v/>
      </c>
      <c r="C114" s="29" t="str">
        <f aca="false">IFERROR(B114/B113-1,"")</f>
        <v/>
      </c>
      <c r="D114" s="30"/>
      <c r="E114" s="31" t="str">
        <f aca="false">IFERROR(IF(AND(B114="",ISNUMBER($C$108),ISNUMBER($G$108)),$C$108*(1+$G$108)^(($A114-$E$108)/365.25),""),"")</f>
        <v/>
      </c>
      <c r="F114" s="31" t="str">
        <f aca="false">IFERROR(IF(AND(B114="",ISNUMBER($C$108),ISNUMBER($G$108)),$C$108*(1+$G$108*0.85^MAX(0,($A114-$E$108)/91.25))^(($A114-$E$108)/365.25),""),"")</f>
        <v/>
      </c>
      <c r="J114" s="32" t="n">
        <v>2011</v>
      </c>
      <c r="K114" s="31" t="str">
        <f aca="false">IFERROR(AVERAGEIFS($B$111:$B$202,$A$111:$A$202,"&gt;="&amp;DATE(J114,1,1),$A$111:$A$202,"&lt;="&amp;DATE(J114,12,31)),"")</f>
        <v/>
      </c>
      <c r="L114" s="29" t="str">
        <f aca="false">IFERROR(K114/K113-1,"")</f>
        <v/>
      </c>
      <c r="M114" s="31" t="str">
        <f aca="false">IFERROR(AVERAGEIFS($E$111:$E$202,$A$111:$A$202,"&gt;="&amp;DATE(J114,1,1),$A$111:$A$202,"&lt;="&amp;DATE(J114,12,31)),"")</f>
        <v/>
      </c>
    </row>
    <row r="115" customFormat="false" ht="15" hidden="false" customHeight="false" outlineLevel="0" collapsed="false">
      <c r="A115" s="15" t="n">
        <v>39814</v>
      </c>
      <c r="B115" s="20" t="str">
        <f aca="true">IFERROR(IF(AVERAGEIFS(INDIRECT(Index!$M$9),INDIRECT(Index!$L$9),"&gt;="&amp;$A115,INDIRECT(Index!$L$9),"&lt;"&amp;EDATE($A115,3))=0,"",AVERAGEIFS(INDIRECT(Index!$M$9),INDIRECT(Index!$L$9),"&gt;="&amp;$A115,INDIRECT(Index!$L$9),"&lt;"&amp;EDATE($A115,3))),"")</f>
        <v/>
      </c>
      <c r="C115" s="33" t="str">
        <f aca="false">IFERROR(B115/B114-1,"")</f>
        <v/>
      </c>
      <c r="D115" s="33" t="str">
        <f aca="false">IFERROR(B115/B111-1,"")</f>
        <v/>
      </c>
      <c r="E115" s="25" t="str">
        <f aca="false">IFERROR(IF(AND(B115="",ISNUMBER($C$108),ISNUMBER($G$108)),$C$108*(1+$G$108)^(($A115-$E$108)/365.25),""),"")</f>
        <v/>
      </c>
      <c r="F115" s="25" t="str">
        <f aca="false">IFERROR(IF(AND(B115="",ISNUMBER($C$108),ISNUMBER($G$108)),$C$108*(1+$G$108*0.85^MAX(0,($A115-$E$108)/91.25))^(($A115-$E$108)/365.25),""),"")</f>
        <v/>
      </c>
      <c r="J115" s="26" t="n">
        <v>2012</v>
      </c>
      <c r="K115" s="25" t="str">
        <f aca="false">IFERROR(AVERAGEIFS($B$111:$B$202,$A$111:$A$202,"&gt;="&amp;DATE(J115,1,1),$A$111:$A$202,"&lt;="&amp;DATE(J115,12,31)),"")</f>
        <v/>
      </c>
      <c r="L115" s="33" t="str">
        <f aca="false">IFERROR(K115/K114-1,"")</f>
        <v/>
      </c>
      <c r="M115" s="25" t="str">
        <f aca="false">IFERROR(AVERAGEIFS($E$111:$E$202,$A$111:$A$202,"&gt;="&amp;DATE(J115,1,1),$A$111:$A$202,"&lt;="&amp;DATE(J115,12,31)),"")</f>
        <v/>
      </c>
    </row>
    <row r="116" customFormat="false" ht="15" hidden="false" customHeight="false" outlineLevel="0" collapsed="false">
      <c r="A116" s="27" t="n">
        <v>39904</v>
      </c>
      <c r="B116" s="28" t="str">
        <f aca="true">IFERROR(IF(AVERAGEIFS(INDIRECT(Index!$M$9),INDIRECT(Index!$L$9),"&gt;="&amp;$A116,INDIRECT(Index!$L$9),"&lt;"&amp;EDATE($A116,3))=0,"",AVERAGEIFS(INDIRECT(Index!$M$9),INDIRECT(Index!$L$9),"&gt;="&amp;$A116,INDIRECT(Index!$L$9),"&lt;"&amp;EDATE($A116,3))),"")</f>
        <v/>
      </c>
      <c r="C116" s="29" t="str">
        <f aca="false">IFERROR(B116/B115-1,"")</f>
        <v/>
      </c>
      <c r="D116" s="29" t="str">
        <f aca="false">IFERROR(B116/B112-1,"")</f>
        <v/>
      </c>
      <c r="E116" s="31" t="str">
        <f aca="false">IFERROR(IF(AND(B116="",ISNUMBER($C$108),ISNUMBER($G$108)),$C$108*(1+$G$108)^(($A116-$E$108)/365.25),""),"")</f>
        <v/>
      </c>
      <c r="F116" s="31" t="str">
        <f aca="false">IFERROR(IF(AND(B116="",ISNUMBER($C$108),ISNUMBER($G$108)),$C$108*(1+$G$108*0.85^MAX(0,($A116-$E$108)/91.25))^(($A116-$E$108)/365.25),""),"")</f>
        <v/>
      </c>
      <c r="J116" s="32" t="n">
        <v>2013</v>
      </c>
      <c r="K116" s="31" t="str">
        <f aca="false">IFERROR(AVERAGEIFS($B$111:$B$202,$A$111:$A$202,"&gt;="&amp;DATE(J116,1,1),$A$111:$A$202,"&lt;="&amp;DATE(J116,12,31)),"")</f>
        <v/>
      </c>
      <c r="L116" s="29" t="str">
        <f aca="false">IFERROR(K116/K115-1,"")</f>
        <v/>
      </c>
      <c r="M116" s="31" t="str">
        <f aca="false">IFERROR(AVERAGEIFS($E$111:$E$202,$A$111:$A$202,"&gt;="&amp;DATE(J116,1,1),$A$111:$A$202,"&lt;="&amp;DATE(J116,12,31)),"")</f>
        <v/>
      </c>
    </row>
    <row r="117" customFormat="false" ht="15" hidden="false" customHeight="false" outlineLevel="0" collapsed="false">
      <c r="A117" s="15" t="n">
        <v>39995</v>
      </c>
      <c r="B117" s="20" t="str">
        <f aca="true">IFERROR(IF(AVERAGEIFS(INDIRECT(Index!$M$9),INDIRECT(Index!$L$9),"&gt;="&amp;$A117,INDIRECT(Index!$L$9),"&lt;"&amp;EDATE($A117,3))=0,"",AVERAGEIFS(INDIRECT(Index!$M$9),INDIRECT(Index!$L$9),"&gt;="&amp;$A117,INDIRECT(Index!$L$9),"&lt;"&amp;EDATE($A117,3))),"")</f>
        <v/>
      </c>
      <c r="C117" s="33" t="str">
        <f aca="false">IFERROR(B117/B116-1,"")</f>
        <v/>
      </c>
      <c r="D117" s="33" t="str">
        <f aca="false">IFERROR(B117/B113-1,"")</f>
        <v/>
      </c>
      <c r="E117" s="25" t="str">
        <f aca="false">IFERROR(IF(AND(B117="",ISNUMBER($C$108),ISNUMBER($G$108)),$C$108*(1+$G$108)^(($A117-$E$108)/365.25),""),"")</f>
        <v/>
      </c>
      <c r="F117" s="25" t="str">
        <f aca="false">IFERROR(IF(AND(B117="",ISNUMBER($C$108),ISNUMBER($G$108)),$C$108*(1+$G$108*0.85^MAX(0,($A117-$E$108)/91.25))^(($A117-$E$108)/365.25),""),"")</f>
        <v/>
      </c>
      <c r="J117" s="26" t="n">
        <v>2014</v>
      </c>
      <c r="K117" s="25" t="str">
        <f aca="false">IFERROR(AVERAGEIFS($B$111:$B$202,$A$111:$A$202,"&gt;="&amp;DATE(J117,1,1),$A$111:$A$202,"&lt;="&amp;DATE(J117,12,31)),"")</f>
        <v/>
      </c>
      <c r="L117" s="33" t="str">
        <f aca="false">IFERROR(K117/K116-1,"")</f>
        <v/>
      </c>
      <c r="M117" s="25" t="str">
        <f aca="false">IFERROR(AVERAGEIFS($E$111:$E$202,$A$111:$A$202,"&gt;="&amp;DATE(J117,1,1),$A$111:$A$202,"&lt;="&amp;DATE(J117,12,31)),"")</f>
        <v/>
      </c>
    </row>
    <row r="118" customFormat="false" ht="15" hidden="false" customHeight="false" outlineLevel="0" collapsed="false">
      <c r="A118" s="27" t="n">
        <v>40087</v>
      </c>
      <c r="B118" s="28" t="str">
        <f aca="true">IFERROR(IF(AVERAGEIFS(INDIRECT(Index!$M$9),INDIRECT(Index!$L$9),"&gt;="&amp;$A118,INDIRECT(Index!$L$9),"&lt;"&amp;EDATE($A118,3))=0,"",AVERAGEIFS(INDIRECT(Index!$M$9),INDIRECT(Index!$L$9),"&gt;="&amp;$A118,INDIRECT(Index!$L$9),"&lt;"&amp;EDATE($A118,3))),"")</f>
        <v/>
      </c>
      <c r="C118" s="29" t="str">
        <f aca="false">IFERROR(B118/B117-1,"")</f>
        <v/>
      </c>
      <c r="D118" s="29" t="str">
        <f aca="false">IFERROR(B118/B114-1,"")</f>
        <v/>
      </c>
      <c r="E118" s="31" t="str">
        <f aca="false">IFERROR(IF(AND(B118="",ISNUMBER($C$108),ISNUMBER($G$108)),$C$108*(1+$G$108)^(($A118-$E$108)/365.25),""),"")</f>
        <v/>
      </c>
      <c r="F118" s="31" t="str">
        <f aca="false">IFERROR(IF(AND(B118="",ISNUMBER($C$108),ISNUMBER($G$108)),$C$108*(1+$G$108*0.85^MAX(0,($A118-$E$108)/91.25))^(($A118-$E$108)/365.25),""),"")</f>
        <v/>
      </c>
      <c r="J118" s="32" t="n">
        <v>2015</v>
      </c>
      <c r="K118" s="31" t="str">
        <f aca="false">IFERROR(AVERAGEIFS($B$111:$B$202,$A$111:$A$202,"&gt;="&amp;DATE(J118,1,1),$A$111:$A$202,"&lt;="&amp;DATE(J118,12,31)),"")</f>
        <v/>
      </c>
      <c r="L118" s="29" t="str">
        <f aca="false">IFERROR(K118/K117-1,"")</f>
        <v/>
      </c>
      <c r="M118" s="31" t="str">
        <f aca="false">IFERROR(AVERAGEIFS($E$111:$E$202,$A$111:$A$202,"&gt;="&amp;DATE(J118,1,1),$A$111:$A$202,"&lt;="&amp;DATE(J118,12,31)),"")</f>
        <v/>
      </c>
    </row>
    <row r="119" customFormat="false" ht="15" hidden="false" customHeight="false" outlineLevel="0" collapsed="false">
      <c r="A119" s="15" t="n">
        <v>40179</v>
      </c>
      <c r="B119" s="20" t="str">
        <f aca="true">IFERROR(IF(AVERAGEIFS(INDIRECT(Index!$M$9),INDIRECT(Index!$L$9),"&gt;="&amp;$A119,INDIRECT(Index!$L$9),"&lt;"&amp;EDATE($A119,3))=0,"",AVERAGEIFS(INDIRECT(Index!$M$9),INDIRECT(Index!$L$9),"&gt;="&amp;$A119,INDIRECT(Index!$L$9),"&lt;"&amp;EDATE($A119,3))),"")</f>
        <v/>
      </c>
      <c r="C119" s="33" t="str">
        <f aca="false">IFERROR(B119/B118-1,"")</f>
        <v/>
      </c>
      <c r="D119" s="33" t="str">
        <f aca="false">IFERROR(B119/B115-1,"")</f>
        <v/>
      </c>
      <c r="E119" s="25" t="str">
        <f aca="false">IFERROR(IF(AND(B119="",ISNUMBER($C$108),ISNUMBER($G$108)),$C$108*(1+$G$108)^(($A119-$E$108)/365.25),""),"")</f>
        <v/>
      </c>
      <c r="F119" s="25" t="str">
        <f aca="false">IFERROR(IF(AND(B119="",ISNUMBER($C$108),ISNUMBER($G$108)),$C$108*(1+$G$108*0.85^MAX(0,($A119-$E$108)/91.25))^(($A119-$E$108)/365.25),""),"")</f>
        <v/>
      </c>
      <c r="J119" s="26" t="n">
        <v>2016</v>
      </c>
      <c r="K119" s="25" t="str">
        <f aca="false">IFERROR(AVERAGEIFS($B$111:$B$202,$A$111:$A$202,"&gt;="&amp;DATE(J119,1,1),$A$111:$A$202,"&lt;="&amp;DATE(J119,12,31)),"")</f>
        <v/>
      </c>
      <c r="L119" s="33" t="str">
        <f aca="false">IFERROR(K119/K118-1,"")</f>
        <v/>
      </c>
      <c r="M119" s="25" t="str">
        <f aca="false">IFERROR(AVERAGEIFS($E$111:$E$202,$A$111:$A$202,"&gt;="&amp;DATE(J119,1,1),$A$111:$A$202,"&lt;="&amp;DATE(J119,12,31)),"")</f>
        <v/>
      </c>
    </row>
    <row r="120" customFormat="false" ht="15" hidden="false" customHeight="false" outlineLevel="0" collapsed="false">
      <c r="A120" s="27" t="n">
        <v>40269</v>
      </c>
      <c r="B120" s="28" t="str">
        <f aca="true">IFERROR(IF(AVERAGEIFS(INDIRECT(Index!$M$9),INDIRECT(Index!$L$9),"&gt;="&amp;$A120,INDIRECT(Index!$L$9),"&lt;"&amp;EDATE($A120,3))=0,"",AVERAGEIFS(INDIRECT(Index!$M$9),INDIRECT(Index!$L$9),"&gt;="&amp;$A120,INDIRECT(Index!$L$9),"&lt;"&amp;EDATE($A120,3))),"")</f>
        <v/>
      </c>
      <c r="C120" s="29" t="str">
        <f aca="false">IFERROR(B120/B119-1,"")</f>
        <v/>
      </c>
      <c r="D120" s="29" t="str">
        <f aca="false">IFERROR(B120/B116-1,"")</f>
        <v/>
      </c>
      <c r="E120" s="31" t="str">
        <f aca="false">IFERROR(IF(AND(B120="",ISNUMBER($C$108),ISNUMBER($G$108)),$C$108*(1+$G$108)^(($A120-$E$108)/365.25),""),"")</f>
        <v/>
      </c>
      <c r="F120" s="31" t="str">
        <f aca="false">IFERROR(IF(AND(B120="",ISNUMBER($C$108),ISNUMBER($G$108)),$C$108*(1+$G$108*0.85^MAX(0,($A120-$E$108)/91.25))^(($A120-$E$108)/365.25),""),"")</f>
        <v/>
      </c>
      <c r="J120" s="32" t="n">
        <v>2017</v>
      </c>
      <c r="K120" s="31" t="str">
        <f aca="false">IFERROR(AVERAGEIFS($B$111:$B$202,$A$111:$A$202,"&gt;="&amp;DATE(J120,1,1),$A$111:$A$202,"&lt;="&amp;DATE(J120,12,31)),"")</f>
        <v/>
      </c>
      <c r="L120" s="29" t="str">
        <f aca="false">IFERROR(K120/K119-1,"")</f>
        <v/>
      </c>
      <c r="M120" s="31" t="str">
        <f aca="false">IFERROR(AVERAGEIFS($E$111:$E$202,$A$111:$A$202,"&gt;="&amp;DATE(J120,1,1),$A$111:$A$202,"&lt;="&amp;DATE(J120,12,31)),"")</f>
        <v/>
      </c>
    </row>
    <row r="121" customFormat="false" ht="15" hidden="false" customHeight="false" outlineLevel="0" collapsed="false">
      <c r="A121" s="15" t="n">
        <v>40360</v>
      </c>
      <c r="B121" s="20" t="str">
        <f aca="true">IFERROR(IF(AVERAGEIFS(INDIRECT(Index!$M$9),INDIRECT(Index!$L$9),"&gt;="&amp;$A121,INDIRECT(Index!$L$9),"&lt;"&amp;EDATE($A121,3))=0,"",AVERAGEIFS(INDIRECT(Index!$M$9),INDIRECT(Index!$L$9),"&gt;="&amp;$A121,INDIRECT(Index!$L$9),"&lt;"&amp;EDATE($A121,3))),"")</f>
        <v/>
      </c>
      <c r="C121" s="33" t="str">
        <f aca="false">IFERROR(B121/B120-1,"")</f>
        <v/>
      </c>
      <c r="D121" s="33" t="str">
        <f aca="false">IFERROR(B121/B117-1,"")</f>
        <v/>
      </c>
      <c r="E121" s="25" t="str">
        <f aca="false">IFERROR(IF(AND(B121="",ISNUMBER($C$108),ISNUMBER($G$108)),$C$108*(1+$G$108)^(($A121-$E$108)/365.25),""),"")</f>
        <v/>
      </c>
      <c r="F121" s="25" t="str">
        <f aca="false">IFERROR(IF(AND(B121="",ISNUMBER($C$108),ISNUMBER($G$108)),$C$108*(1+$G$108*0.85^MAX(0,($A121-$E$108)/91.25))^(($A121-$E$108)/365.25),""),"")</f>
        <v/>
      </c>
      <c r="J121" s="26" t="n">
        <v>2018</v>
      </c>
      <c r="K121" s="25" t="str">
        <f aca="false">IFERROR(AVERAGEIFS($B$111:$B$202,$A$111:$A$202,"&gt;="&amp;DATE(J121,1,1),$A$111:$A$202,"&lt;="&amp;DATE(J121,12,31)),"")</f>
        <v/>
      </c>
      <c r="L121" s="33" t="str">
        <f aca="false">IFERROR(K121/K120-1,"")</f>
        <v/>
      </c>
      <c r="M121" s="25" t="str">
        <f aca="false">IFERROR(AVERAGEIFS($E$111:$E$202,$A$111:$A$202,"&gt;="&amp;DATE(J121,1,1),$A$111:$A$202,"&lt;="&amp;DATE(J121,12,31)),"")</f>
        <v/>
      </c>
    </row>
    <row r="122" customFormat="false" ht="15" hidden="false" customHeight="false" outlineLevel="0" collapsed="false">
      <c r="A122" s="27" t="n">
        <v>40452</v>
      </c>
      <c r="B122" s="28" t="str">
        <f aca="true">IFERROR(IF(AVERAGEIFS(INDIRECT(Index!$M$9),INDIRECT(Index!$L$9),"&gt;="&amp;$A122,INDIRECT(Index!$L$9),"&lt;"&amp;EDATE($A122,3))=0,"",AVERAGEIFS(INDIRECT(Index!$M$9),INDIRECT(Index!$L$9),"&gt;="&amp;$A122,INDIRECT(Index!$L$9),"&lt;"&amp;EDATE($A122,3))),"")</f>
        <v/>
      </c>
      <c r="C122" s="29" t="str">
        <f aca="false">IFERROR(B122/B121-1,"")</f>
        <v/>
      </c>
      <c r="D122" s="29" t="str">
        <f aca="false">IFERROR(B122/B118-1,"")</f>
        <v/>
      </c>
      <c r="E122" s="31" t="str">
        <f aca="false">IFERROR(IF(AND(B122="",ISNUMBER($C$108),ISNUMBER($G$108)),$C$108*(1+$G$108)^(($A122-$E$108)/365.25),""),"")</f>
        <v/>
      </c>
      <c r="F122" s="31" t="str">
        <f aca="false">IFERROR(IF(AND(B122="",ISNUMBER($C$108),ISNUMBER($G$108)),$C$108*(1+$G$108*0.85^MAX(0,($A122-$E$108)/91.25))^(($A122-$E$108)/365.25),""),"")</f>
        <v/>
      </c>
      <c r="J122" s="32" t="n">
        <v>2019</v>
      </c>
      <c r="K122" s="31" t="str">
        <f aca="false">IFERROR(AVERAGEIFS($B$111:$B$202,$A$111:$A$202,"&gt;="&amp;DATE(J122,1,1),$A$111:$A$202,"&lt;="&amp;DATE(J122,12,31)),"")</f>
        <v/>
      </c>
      <c r="L122" s="29" t="str">
        <f aca="false">IFERROR(K122/K121-1,"")</f>
        <v/>
      </c>
      <c r="M122" s="31" t="str">
        <f aca="false">IFERROR(AVERAGEIFS($E$111:$E$202,$A$111:$A$202,"&gt;="&amp;DATE(J122,1,1),$A$111:$A$202,"&lt;="&amp;DATE(J122,12,31)),"")</f>
        <v/>
      </c>
    </row>
    <row r="123" customFormat="false" ht="15" hidden="false" customHeight="false" outlineLevel="0" collapsed="false">
      <c r="A123" s="15" t="n">
        <v>40544</v>
      </c>
      <c r="B123" s="20" t="str">
        <f aca="true">IFERROR(IF(AVERAGEIFS(INDIRECT(Index!$M$9),INDIRECT(Index!$L$9),"&gt;="&amp;$A123,INDIRECT(Index!$L$9),"&lt;"&amp;EDATE($A123,3))=0,"",AVERAGEIFS(INDIRECT(Index!$M$9),INDIRECT(Index!$L$9),"&gt;="&amp;$A123,INDIRECT(Index!$L$9),"&lt;"&amp;EDATE($A123,3))),"")</f>
        <v/>
      </c>
      <c r="C123" s="33" t="str">
        <f aca="false">IFERROR(B123/B122-1,"")</f>
        <v/>
      </c>
      <c r="D123" s="33" t="str">
        <f aca="false">IFERROR(B123/B119-1,"")</f>
        <v/>
      </c>
      <c r="E123" s="25" t="str">
        <f aca="false">IFERROR(IF(AND(B123="",ISNUMBER($C$108),ISNUMBER($G$108)),$C$108*(1+$G$108)^(($A123-$E$108)/365.25),""),"")</f>
        <v/>
      </c>
      <c r="F123" s="25" t="str">
        <f aca="false">IFERROR(IF(AND(B123="",ISNUMBER($C$108),ISNUMBER($G$108)),$C$108*(1+$G$108*0.85^MAX(0,($A123-$E$108)/91.25))^(($A123-$E$108)/365.25),""),"")</f>
        <v/>
      </c>
      <c r="J123" s="26" t="n">
        <v>2020</v>
      </c>
      <c r="K123" s="25" t="str">
        <f aca="false">IFERROR(AVERAGEIFS($B$111:$B$202,$A$111:$A$202,"&gt;="&amp;DATE(J123,1,1),$A$111:$A$202,"&lt;="&amp;DATE(J123,12,31)),"")</f>
        <v/>
      </c>
      <c r="L123" s="33" t="str">
        <f aca="false">IFERROR(K123/K122-1,"")</f>
        <v/>
      </c>
      <c r="M123" s="25" t="str">
        <f aca="false">IFERROR(AVERAGEIFS($E$111:$E$202,$A$111:$A$202,"&gt;="&amp;DATE(J123,1,1),$A$111:$A$202,"&lt;="&amp;DATE(J123,12,31)),"")</f>
        <v/>
      </c>
    </row>
    <row r="124" customFormat="false" ht="15" hidden="false" customHeight="false" outlineLevel="0" collapsed="false">
      <c r="A124" s="27" t="n">
        <v>40634</v>
      </c>
      <c r="B124" s="28" t="str">
        <f aca="true">IFERROR(IF(AVERAGEIFS(INDIRECT(Index!$M$9),INDIRECT(Index!$L$9),"&gt;="&amp;$A124,INDIRECT(Index!$L$9),"&lt;"&amp;EDATE($A124,3))=0,"",AVERAGEIFS(INDIRECT(Index!$M$9),INDIRECT(Index!$L$9),"&gt;="&amp;$A124,INDIRECT(Index!$L$9),"&lt;"&amp;EDATE($A124,3))),"")</f>
        <v/>
      </c>
      <c r="C124" s="29" t="str">
        <f aca="false">IFERROR(B124/B123-1,"")</f>
        <v/>
      </c>
      <c r="D124" s="29" t="str">
        <f aca="false">IFERROR(B124/B120-1,"")</f>
        <v/>
      </c>
      <c r="E124" s="31" t="str">
        <f aca="false">IFERROR(IF(AND(B124="",ISNUMBER($C$108),ISNUMBER($G$108)),$C$108*(1+$G$108)^(($A124-$E$108)/365.25),""),"")</f>
        <v/>
      </c>
      <c r="F124" s="31" t="str">
        <f aca="false">IFERROR(IF(AND(B124="",ISNUMBER($C$108),ISNUMBER($G$108)),$C$108*(1+$G$108*0.85^MAX(0,($A124-$E$108)/91.25))^(($A124-$E$108)/365.25),""),"")</f>
        <v/>
      </c>
      <c r="J124" s="32" t="n">
        <v>2021</v>
      </c>
      <c r="K124" s="31" t="str">
        <f aca="false">IFERROR(AVERAGEIFS($B$111:$B$202,$A$111:$A$202,"&gt;="&amp;DATE(J124,1,1),$A$111:$A$202,"&lt;="&amp;DATE(J124,12,31)),"")</f>
        <v/>
      </c>
      <c r="L124" s="29" t="str">
        <f aca="false">IFERROR(K124/K123-1,"")</f>
        <v/>
      </c>
      <c r="M124" s="31" t="str">
        <f aca="false">IFERROR(AVERAGEIFS($E$111:$E$202,$A$111:$A$202,"&gt;="&amp;DATE(J124,1,1),$A$111:$A$202,"&lt;="&amp;DATE(J124,12,31)),"")</f>
        <v/>
      </c>
    </row>
    <row r="125" customFormat="false" ht="15" hidden="false" customHeight="false" outlineLevel="0" collapsed="false">
      <c r="A125" s="15" t="n">
        <v>40725</v>
      </c>
      <c r="B125" s="20" t="str">
        <f aca="true">IFERROR(IF(AVERAGEIFS(INDIRECT(Index!$M$9),INDIRECT(Index!$L$9),"&gt;="&amp;$A125,INDIRECT(Index!$L$9),"&lt;"&amp;EDATE($A125,3))=0,"",AVERAGEIFS(INDIRECT(Index!$M$9),INDIRECT(Index!$L$9),"&gt;="&amp;$A125,INDIRECT(Index!$L$9),"&lt;"&amp;EDATE($A125,3))),"")</f>
        <v/>
      </c>
      <c r="C125" s="33" t="str">
        <f aca="false">IFERROR(B125/B124-1,"")</f>
        <v/>
      </c>
      <c r="D125" s="33" t="str">
        <f aca="false">IFERROR(B125/B121-1,"")</f>
        <v/>
      </c>
      <c r="E125" s="25" t="str">
        <f aca="false">IFERROR(IF(AND(B125="",ISNUMBER($C$108),ISNUMBER($G$108)),$C$108*(1+$G$108)^(($A125-$E$108)/365.25),""),"")</f>
        <v/>
      </c>
      <c r="F125" s="25" t="str">
        <f aca="false">IFERROR(IF(AND(B125="",ISNUMBER($C$108),ISNUMBER($G$108)),$C$108*(1+$G$108*0.85^MAX(0,($A125-$E$108)/91.25))^(($A125-$E$108)/365.25),""),"")</f>
        <v/>
      </c>
      <c r="J125" s="26" t="n">
        <v>2022</v>
      </c>
      <c r="K125" s="25" t="str">
        <f aca="false">IFERROR(AVERAGEIFS($B$111:$B$202,$A$111:$A$202,"&gt;="&amp;DATE(J125,1,1),$A$111:$A$202,"&lt;="&amp;DATE(J125,12,31)),"")</f>
        <v/>
      </c>
      <c r="L125" s="33" t="str">
        <f aca="false">IFERROR(K125/K124-1,"")</f>
        <v/>
      </c>
      <c r="M125" s="25" t="str">
        <f aca="false">IFERROR(AVERAGEIFS($E$111:$E$202,$A$111:$A$202,"&gt;="&amp;DATE(J125,1,1),$A$111:$A$202,"&lt;="&amp;DATE(J125,12,31)),"")</f>
        <v/>
      </c>
    </row>
    <row r="126" customFormat="false" ht="15" hidden="false" customHeight="false" outlineLevel="0" collapsed="false">
      <c r="A126" s="27" t="n">
        <v>40817</v>
      </c>
      <c r="B126" s="28" t="str">
        <f aca="true">IFERROR(IF(AVERAGEIFS(INDIRECT(Index!$M$9),INDIRECT(Index!$L$9),"&gt;="&amp;$A126,INDIRECT(Index!$L$9),"&lt;"&amp;EDATE($A126,3))=0,"",AVERAGEIFS(INDIRECT(Index!$M$9),INDIRECT(Index!$L$9),"&gt;="&amp;$A126,INDIRECT(Index!$L$9),"&lt;"&amp;EDATE($A126,3))),"")</f>
        <v/>
      </c>
      <c r="C126" s="29" t="str">
        <f aca="false">IFERROR(B126/B125-1,"")</f>
        <v/>
      </c>
      <c r="D126" s="29" t="str">
        <f aca="false">IFERROR(B126/B122-1,"")</f>
        <v/>
      </c>
      <c r="E126" s="31" t="str">
        <f aca="false">IFERROR(IF(AND(B126="",ISNUMBER($C$108),ISNUMBER($G$108)),$C$108*(1+$G$108)^(($A126-$E$108)/365.25),""),"")</f>
        <v/>
      </c>
      <c r="F126" s="31" t="str">
        <f aca="false">IFERROR(IF(AND(B126="",ISNUMBER($C$108),ISNUMBER($G$108)),$C$108*(1+$G$108*0.85^MAX(0,($A126-$E$108)/91.25))^(($A126-$E$108)/365.25),""),"")</f>
        <v/>
      </c>
      <c r="J126" s="32" t="n">
        <v>2023</v>
      </c>
      <c r="K126" s="31" t="str">
        <f aca="false">IFERROR(AVERAGEIFS($B$111:$B$202,$A$111:$A$202,"&gt;="&amp;DATE(J126,1,1),$A$111:$A$202,"&lt;="&amp;DATE(J126,12,31)),"")</f>
        <v/>
      </c>
      <c r="L126" s="29" t="str">
        <f aca="false">IFERROR(K126/K125-1,"")</f>
        <v/>
      </c>
      <c r="M126" s="31" t="str">
        <f aca="false">IFERROR(AVERAGEIFS($E$111:$E$202,$A$111:$A$202,"&gt;="&amp;DATE(J126,1,1),$A$111:$A$202,"&lt;="&amp;DATE(J126,12,31)),"")</f>
        <v/>
      </c>
    </row>
    <row r="127" customFormat="false" ht="15" hidden="false" customHeight="false" outlineLevel="0" collapsed="false">
      <c r="A127" s="15" t="n">
        <v>40909</v>
      </c>
      <c r="B127" s="20" t="str">
        <f aca="true">IFERROR(IF(AVERAGEIFS(INDIRECT(Index!$M$9),INDIRECT(Index!$L$9),"&gt;="&amp;$A127,INDIRECT(Index!$L$9),"&lt;"&amp;EDATE($A127,3))=0,"",AVERAGEIFS(INDIRECT(Index!$M$9),INDIRECT(Index!$L$9),"&gt;="&amp;$A127,INDIRECT(Index!$L$9),"&lt;"&amp;EDATE($A127,3))),"")</f>
        <v/>
      </c>
      <c r="C127" s="33" t="str">
        <f aca="false">IFERROR(B127/B126-1,"")</f>
        <v/>
      </c>
      <c r="D127" s="33" t="str">
        <f aca="false">IFERROR(B127/B123-1,"")</f>
        <v/>
      </c>
      <c r="E127" s="25" t="str">
        <f aca="false">IFERROR(IF(AND(B127="",ISNUMBER($C$108),ISNUMBER($G$108)),$C$108*(1+$G$108)^(($A127-$E$108)/365.25),""),"")</f>
        <v/>
      </c>
      <c r="F127" s="25" t="str">
        <f aca="false">IFERROR(IF(AND(B127="",ISNUMBER($C$108),ISNUMBER($G$108)),$C$108*(1+$G$108*0.85^MAX(0,($A127-$E$108)/91.25))^(($A127-$E$108)/365.25),""),"")</f>
        <v/>
      </c>
      <c r="J127" s="26" t="n">
        <v>2024</v>
      </c>
      <c r="K127" s="25" t="str">
        <f aca="false">IFERROR(AVERAGEIFS($B$111:$B$202,$A$111:$A$202,"&gt;="&amp;DATE(J127,1,1),$A$111:$A$202,"&lt;="&amp;DATE(J127,12,31)),"")</f>
        <v/>
      </c>
      <c r="L127" s="33" t="str">
        <f aca="false">IFERROR(K127/K126-1,"")</f>
        <v/>
      </c>
      <c r="M127" s="25" t="str">
        <f aca="false">IFERROR(AVERAGEIFS($E$111:$E$202,$A$111:$A$202,"&gt;="&amp;DATE(J127,1,1),$A$111:$A$202,"&lt;="&amp;DATE(J127,12,31)),"")</f>
        <v/>
      </c>
    </row>
    <row r="128" customFormat="false" ht="15" hidden="false" customHeight="false" outlineLevel="0" collapsed="false">
      <c r="A128" s="27" t="n">
        <v>41000</v>
      </c>
      <c r="B128" s="28" t="str">
        <f aca="true">IFERROR(IF(AVERAGEIFS(INDIRECT(Index!$M$9),INDIRECT(Index!$L$9),"&gt;="&amp;$A128,INDIRECT(Index!$L$9),"&lt;"&amp;EDATE($A128,3))=0,"",AVERAGEIFS(INDIRECT(Index!$M$9),INDIRECT(Index!$L$9),"&gt;="&amp;$A128,INDIRECT(Index!$L$9),"&lt;"&amp;EDATE($A128,3))),"")</f>
        <v/>
      </c>
      <c r="C128" s="29" t="str">
        <f aca="false">IFERROR(B128/B127-1,"")</f>
        <v/>
      </c>
      <c r="D128" s="29" t="str">
        <f aca="false">IFERROR(B128/B124-1,"")</f>
        <v/>
      </c>
      <c r="E128" s="31" t="str">
        <f aca="false">IFERROR(IF(AND(B128="",ISNUMBER($C$108),ISNUMBER($G$108)),$C$108*(1+$G$108)^(($A128-$E$108)/365.25),""),"")</f>
        <v/>
      </c>
      <c r="F128" s="31" t="str">
        <f aca="false">IFERROR(IF(AND(B128="",ISNUMBER($C$108),ISNUMBER($G$108)),$C$108*(1+$G$108*0.85^MAX(0,($A128-$E$108)/91.25))^(($A128-$E$108)/365.25),""),"")</f>
        <v/>
      </c>
      <c r="J128" s="32" t="n">
        <v>2025</v>
      </c>
      <c r="K128" s="31" t="str">
        <f aca="false">IFERROR(AVERAGEIFS($B$111:$B$202,$A$111:$A$202,"&gt;="&amp;DATE(J128,1,1),$A$111:$A$202,"&lt;="&amp;DATE(J128,12,31)),"")</f>
        <v/>
      </c>
      <c r="L128" s="29" t="str">
        <f aca="false">IFERROR(K128/K127-1,"")</f>
        <v/>
      </c>
      <c r="M128" s="31" t="str">
        <f aca="false">IFERROR(AVERAGEIFS($E$111:$E$202,$A$111:$A$202,"&gt;="&amp;DATE(J128,1,1),$A$111:$A$202,"&lt;="&amp;DATE(J128,12,31)),"")</f>
        <v/>
      </c>
    </row>
    <row r="129" customFormat="false" ht="15" hidden="false" customHeight="false" outlineLevel="0" collapsed="false">
      <c r="A129" s="15" t="n">
        <v>41091</v>
      </c>
      <c r="B129" s="20" t="str">
        <f aca="true">IFERROR(IF(AVERAGEIFS(INDIRECT(Index!$M$9),INDIRECT(Index!$L$9),"&gt;="&amp;$A129,INDIRECT(Index!$L$9),"&lt;"&amp;EDATE($A129,3))=0,"",AVERAGEIFS(INDIRECT(Index!$M$9),INDIRECT(Index!$L$9),"&gt;="&amp;$A129,INDIRECT(Index!$L$9),"&lt;"&amp;EDATE($A129,3))),"")</f>
        <v/>
      </c>
      <c r="C129" s="33" t="str">
        <f aca="false">IFERROR(B129/B128-1,"")</f>
        <v/>
      </c>
      <c r="D129" s="33" t="str">
        <f aca="false">IFERROR(B129/B125-1,"")</f>
        <v/>
      </c>
      <c r="E129" s="25" t="str">
        <f aca="false">IFERROR(IF(AND(B129="",ISNUMBER($C$108),ISNUMBER($G$108)),$C$108*(1+$G$108)^(($A129-$E$108)/365.25),""),"")</f>
        <v/>
      </c>
      <c r="F129" s="25" t="str">
        <f aca="false">IFERROR(IF(AND(B129="",ISNUMBER($C$108),ISNUMBER($G$108)),$C$108*(1+$G$108*0.85^MAX(0,($A129-$E$108)/91.25))^(($A129-$E$108)/365.25),""),"")</f>
        <v/>
      </c>
      <c r="J129" s="26" t="n">
        <v>2026</v>
      </c>
      <c r="K129" s="25" t="str">
        <f aca="false">IFERROR(AVERAGEIFS($B$111:$B$202,$A$111:$A$202,"&gt;="&amp;DATE(J129,1,1),$A$111:$A$202,"&lt;="&amp;DATE(J129,12,31)),"")</f>
        <v/>
      </c>
      <c r="L129" s="33" t="str">
        <f aca="false">IFERROR(K129/K128-1,"")</f>
        <v/>
      </c>
      <c r="M129" s="25" t="str">
        <f aca="false">IFERROR(AVERAGEIFS($E$111:$E$202,$A$111:$A$202,"&gt;="&amp;DATE(J129,1,1),$A$111:$A$202,"&lt;="&amp;DATE(J129,12,31)),"")</f>
        <v/>
      </c>
    </row>
    <row r="130" customFormat="false" ht="15" hidden="false" customHeight="false" outlineLevel="0" collapsed="false">
      <c r="A130" s="27" t="n">
        <v>41183</v>
      </c>
      <c r="B130" s="28" t="str">
        <f aca="true">IFERROR(IF(AVERAGEIFS(INDIRECT(Index!$M$9),INDIRECT(Index!$L$9),"&gt;="&amp;$A130,INDIRECT(Index!$L$9),"&lt;"&amp;EDATE($A130,3))=0,"",AVERAGEIFS(INDIRECT(Index!$M$9),INDIRECT(Index!$L$9),"&gt;="&amp;$A130,INDIRECT(Index!$L$9),"&lt;"&amp;EDATE($A130,3))),"")</f>
        <v/>
      </c>
      <c r="C130" s="29" t="str">
        <f aca="false">IFERROR(B130/B129-1,"")</f>
        <v/>
      </c>
      <c r="D130" s="29" t="str">
        <f aca="false">IFERROR(B130/B126-1,"")</f>
        <v/>
      </c>
      <c r="E130" s="31" t="str">
        <f aca="false">IFERROR(IF(AND(B130="",ISNUMBER($C$108),ISNUMBER($G$108)),$C$108*(1+$G$108)^(($A130-$E$108)/365.25),""),"")</f>
        <v/>
      </c>
      <c r="F130" s="31" t="str">
        <f aca="false">IFERROR(IF(AND(B130="",ISNUMBER($C$108),ISNUMBER($G$108)),$C$108*(1+$G$108*0.85^MAX(0,($A130-$E$108)/91.25))^(($A130-$E$108)/365.25),""),"")</f>
        <v/>
      </c>
      <c r="J130" s="32" t="n">
        <v>2027</v>
      </c>
      <c r="K130" s="31" t="str">
        <f aca="false">IFERROR(AVERAGEIFS($B$111:$B$202,$A$111:$A$202,"&gt;="&amp;DATE(J130,1,1),$A$111:$A$202,"&lt;="&amp;DATE(J130,12,31)),"")</f>
        <v/>
      </c>
      <c r="L130" s="29" t="str">
        <f aca="false">IFERROR(K130/K129-1,"")</f>
        <v/>
      </c>
      <c r="M130" s="31" t="str">
        <f aca="false">IFERROR(AVERAGEIFS($E$111:$E$202,$A$111:$A$202,"&gt;="&amp;DATE(J130,1,1),$A$111:$A$202,"&lt;="&amp;DATE(J130,12,31)),"")</f>
        <v/>
      </c>
    </row>
    <row r="131" customFormat="false" ht="15" hidden="false" customHeight="false" outlineLevel="0" collapsed="false">
      <c r="A131" s="15" t="n">
        <v>41275</v>
      </c>
      <c r="B131" s="20" t="str">
        <f aca="true">IFERROR(IF(AVERAGEIFS(INDIRECT(Index!$M$9),INDIRECT(Index!$L$9),"&gt;="&amp;$A131,INDIRECT(Index!$L$9),"&lt;"&amp;EDATE($A131,3))=0,"",AVERAGEIFS(INDIRECT(Index!$M$9),INDIRECT(Index!$L$9),"&gt;="&amp;$A131,INDIRECT(Index!$L$9),"&lt;"&amp;EDATE($A131,3))),"")</f>
        <v/>
      </c>
      <c r="C131" s="33" t="str">
        <f aca="false">IFERROR(B131/B130-1,"")</f>
        <v/>
      </c>
      <c r="D131" s="33" t="str">
        <f aca="false">IFERROR(B131/B127-1,"")</f>
        <v/>
      </c>
      <c r="E131" s="25" t="str">
        <f aca="false">IFERROR(IF(AND(B131="",ISNUMBER($C$108),ISNUMBER($G$108)),$C$108*(1+$G$108)^(($A131-$E$108)/365.25),""),"")</f>
        <v/>
      </c>
      <c r="F131" s="25" t="str">
        <f aca="false">IFERROR(IF(AND(B131="",ISNUMBER($C$108),ISNUMBER($G$108)),$C$108*(1+$G$108*0.85^MAX(0,($A131-$E$108)/91.25))^(($A131-$E$108)/365.25),""),"")</f>
        <v/>
      </c>
      <c r="J131" s="26" t="n">
        <v>2028</v>
      </c>
      <c r="K131" s="25" t="str">
        <f aca="false">IFERROR(AVERAGEIFS($B$111:$B$202,$A$111:$A$202,"&gt;="&amp;DATE(J131,1,1),$A$111:$A$202,"&lt;="&amp;DATE(J131,12,31)),"")</f>
        <v/>
      </c>
      <c r="L131" s="33" t="str">
        <f aca="false">IFERROR(K131/K130-1,"")</f>
        <v/>
      </c>
      <c r="M131" s="25" t="str">
        <f aca="false">IFERROR(AVERAGEIFS($E$111:$E$202,$A$111:$A$202,"&gt;="&amp;DATE(J131,1,1),$A$111:$A$202,"&lt;="&amp;DATE(J131,12,31)),"")</f>
        <v/>
      </c>
    </row>
    <row r="132" customFormat="false" ht="15" hidden="false" customHeight="false" outlineLevel="0" collapsed="false">
      <c r="A132" s="27" t="n">
        <v>41365</v>
      </c>
      <c r="B132" s="28" t="str">
        <f aca="true">IFERROR(IF(AVERAGEIFS(INDIRECT(Index!$M$9),INDIRECT(Index!$L$9),"&gt;="&amp;$A132,INDIRECT(Index!$L$9),"&lt;"&amp;EDATE($A132,3))=0,"",AVERAGEIFS(INDIRECT(Index!$M$9),INDIRECT(Index!$L$9),"&gt;="&amp;$A132,INDIRECT(Index!$L$9),"&lt;"&amp;EDATE($A132,3))),"")</f>
        <v/>
      </c>
      <c r="C132" s="29" t="str">
        <f aca="false">IFERROR(B132/B131-1,"")</f>
        <v/>
      </c>
      <c r="D132" s="29" t="str">
        <f aca="false">IFERROR(B132/B128-1,"")</f>
        <v/>
      </c>
      <c r="E132" s="31" t="str">
        <f aca="false">IFERROR(IF(AND(B132="",ISNUMBER($C$108),ISNUMBER($G$108)),$C$108*(1+$G$108)^(($A132-$E$108)/365.25),""),"")</f>
        <v/>
      </c>
      <c r="F132" s="31" t="str">
        <f aca="false">IFERROR(IF(AND(B132="",ISNUMBER($C$108),ISNUMBER($G$108)),$C$108*(1+$G$108*0.85^MAX(0,($A132-$E$108)/91.25))^(($A132-$E$108)/365.25),""),"")</f>
        <v/>
      </c>
      <c r="J132" s="32" t="n">
        <v>2029</v>
      </c>
      <c r="K132" s="31" t="str">
        <f aca="false">IFERROR(AVERAGEIFS($B$111:$B$202,$A$111:$A$202,"&gt;="&amp;DATE(J132,1,1),$A$111:$A$202,"&lt;="&amp;DATE(J132,12,31)),"")</f>
        <v/>
      </c>
      <c r="L132" s="29" t="str">
        <f aca="false">IFERROR(K132/K131-1,"")</f>
        <v/>
      </c>
      <c r="M132" s="31" t="str">
        <f aca="false">IFERROR(AVERAGEIFS($E$111:$E$202,$A$111:$A$202,"&gt;="&amp;DATE(J132,1,1),$A$111:$A$202,"&lt;="&amp;DATE(J132,12,31)),"")</f>
        <v/>
      </c>
    </row>
    <row r="133" customFormat="false" ht="15" hidden="false" customHeight="false" outlineLevel="0" collapsed="false">
      <c r="A133" s="15" t="n">
        <v>41456</v>
      </c>
      <c r="B133" s="20" t="str">
        <f aca="true">IFERROR(IF(AVERAGEIFS(INDIRECT(Index!$M$9),INDIRECT(Index!$L$9),"&gt;="&amp;$A133,INDIRECT(Index!$L$9),"&lt;"&amp;EDATE($A133,3))=0,"",AVERAGEIFS(INDIRECT(Index!$M$9),INDIRECT(Index!$L$9),"&gt;="&amp;$A133,INDIRECT(Index!$L$9),"&lt;"&amp;EDATE($A133,3))),"")</f>
        <v/>
      </c>
      <c r="C133" s="33" t="str">
        <f aca="false">IFERROR(B133/B132-1,"")</f>
        <v/>
      </c>
      <c r="D133" s="33" t="str">
        <f aca="false">IFERROR(B133/B129-1,"")</f>
        <v/>
      </c>
      <c r="E133" s="25" t="str">
        <f aca="false">IFERROR(IF(AND(B133="",ISNUMBER($C$108),ISNUMBER($G$108)),$C$108*(1+$G$108)^(($A133-$E$108)/365.25),""),"")</f>
        <v/>
      </c>
      <c r="F133" s="25" t="str">
        <f aca="false">IFERROR(IF(AND(B133="",ISNUMBER($C$108),ISNUMBER($G$108)),$C$108*(1+$G$108*0.85^MAX(0,($A133-$E$108)/91.25))^(($A133-$E$108)/365.25),""),"")</f>
        <v/>
      </c>
      <c r="J133" s="26" t="n">
        <v>2030</v>
      </c>
      <c r="K133" s="25" t="str">
        <f aca="false">IFERROR(AVERAGEIFS($B$111:$B$202,$A$111:$A$202,"&gt;="&amp;DATE(J133,1,1),$A$111:$A$202,"&lt;="&amp;DATE(J133,12,31)),"")</f>
        <v/>
      </c>
      <c r="L133" s="33" t="str">
        <f aca="false">IFERROR(K133/K132-1,"")</f>
        <v/>
      </c>
      <c r="M133" s="25" t="str">
        <f aca="false">IFERROR(AVERAGEIFS($E$111:$E$202,$A$111:$A$202,"&gt;="&amp;DATE(J133,1,1),$A$111:$A$202,"&lt;="&amp;DATE(J133,12,31)),"")</f>
        <v/>
      </c>
    </row>
    <row r="134" customFormat="false" ht="15" hidden="false" customHeight="false" outlineLevel="0" collapsed="false">
      <c r="A134" s="27" t="n">
        <v>41548</v>
      </c>
      <c r="B134" s="28" t="str">
        <f aca="true">IFERROR(IF(AVERAGEIFS(INDIRECT(Index!$M$9),INDIRECT(Index!$L$9),"&gt;="&amp;$A134,INDIRECT(Index!$L$9),"&lt;"&amp;EDATE($A134,3))=0,"",AVERAGEIFS(INDIRECT(Index!$M$9),INDIRECT(Index!$L$9),"&gt;="&amp;$A134,INDIRECT(Index!$L$9),"&lt;"&amp;EDATE($A134,3))),"")</f>
        <v/>
      </c>
      <c r="C134" s="29" t="str">
        <f aca="false">IFERROR(B134/B133-1,"")</f>
        <v/>
      </c>
      <c r="D134" s="29" t="str">
        <f aca="false">IFERROR(B134/B130-1,"")</f>
        <v/>
      </c>
      <c r="E134" s="31" t="str">
        <f aca="false">IFERROR(IF(AND(B134="",ISNUMBER($C$108),ISNUMBER($G$108)),$C$108*(1+$G$108)^(($A134-$E$108)/365.25),""),"")</f>
        <v/>
      </c>
      <c r="F134" s="31" t="str">
        <f aca="false">IFERROR(IF(AND(B134="",ISNUMBER($C$108),ISNUMBER($G$108)),$C$108*(1+$G$108*0.85^MAX(0,($A134-$E$108)/91.25))^(($A134-$E$108)/365.25),""),"")</f>
        <v/>
      </c>
    </row>
    <row r="135" customFormat="false" ht="15" hidden="false" customHeight="false" outlineLevel="0" collapsed="false">
      <c r="A135" s="15" t="n">
        <v>41640</v>
      </c>
      <c r="B135" s="20" t="str">
        <f aca="true">IFERROR(IF(AVERAGEIFS(INDIRECT(Index!$M$9),INDIRECT(Index!$L$9),"&gt;="&amp;$A135,INDIRECT(Index!$L$9),"&lt;"&amp;EDATE($A135,3))=0,"",AVERAGEIFS(INDIRECT(Index!$M$9),INDIRECT(Index!$L$9),"&gt;="&amp;$A135,INDIRECT(Index!$L$9),"&lt;"&amp;EDATE($A135,3))),"")</f>
        <v/>
      </c>
      <c r="C135" s="33" t="str">
        <f aca="false">IFERROR(B135/B134-1,"")</f>
        <v/>
      </c>
      <c r="D135" s="33" t="str">
        <f aca="false">IFERROR(B135/B131-1,"")</f>
        <v/>
      </c>
      <c r="E135" s="25" t="str">
        <f aca="false">IFERROR(IF(AND(B135="",ISNUMBER($C$108),ISNUMBER($G$108)),$C$108*(1+$G$108)^(($A135-$E$108)/365.25),""),"")</f>
        <v/>
      </c>
      <c r="F135" s="25" t="str">
        <f aca="false">IFERROR(IF(AND(B135="",ISNUMBER($C$108),ISNUMBER($G$108)),$C$108*(1+$G$108*0.85^MAX(0,($A135-$E$108)/91.25))^(($A135-$E$108)/365.25),""),"")</f>
        <v/>
      </c>
    </row>
    <row r="136" customFormat="false" ht="15" hidden="false" customHeight="false" outlineLevel="0" collapsed="false">
      <c r="A136" s="27" t="n">
        <v>41730</v>
      </c>
      <c r="B136" s="28" t="str">
        <f aca="true">IFERROR(IF(AVERAGEIFS(INDIRECT(Index!$M$9),INDIRECT(Index!$L$9),"&gt;="&amp;$A136,INDIRECT(Index!$L$9),"&lt;"&amp;EDATE($A136,3))=0,"",AVERAGEIFS(INDIRECT(Index!$M$9),INDIRECT(Index!$L$9),"&gt;="&amp;$A136,INDIRECT(Index!$L$9),"&lt;"&amp;EDATE($A136,3))),"")</f>
        <v/>
      </c>
      <c r="C136" s="29" t="str">
        <f aca="false">IFERROR(B136/B135-1,"")</f>
        <v/>
      </c>
      <c r="D136" s="29" t="str">
        <f aca="false">IFERROR(B136/B132-1,"")</f>
        <v/>
      </c>
      <c r="E136" s="31" t="str">
        <f aca="false">IFERROR(IF(AND(B136="",ISNUMBER($C$108),ISNUMBER($G$108)),$C$108*(1+$G$108)^(($A136-$E$108)/365.25),""),"")</f>
        <v/>
      </c>
      <c r="F136" s="31" t="str">
        <f aca="false">IFERROR(IF(AND(B136="",ISNUMBER($C$108),ISNUMBER($G$108)),$C$108*(1+$G$108*0.85^MAX(0,($A136-$E$108)/91.25))^(($A136-$E$108)/365.25),""),"")</f>
        <v/>
      </c>
    </row>
    <row r="137" customFormat="false" ht="15" hidden="false" customHeight="false" outlineLevel="0" collapsed="false">
      <c r="A137" s="15" t="n">
        <v>41821</v>
      </c>
      <c r="B137" s="20" t="str">
        <f aca="true">IFERROR(IF(AVERAGEIFS(INDIRECT(Index!$M$9),INDIRECT(Index!$L$9),"&gt;="&amp;$A137,INDIRECT(Index!$L$9),"&lt;"&amp;EDATE($A137,3))=0,"",AVERAGEIFS(INDIRECT(Index!$M$9),INDIRECT(Index!$L$9),"&gt;="&amp;$A137,INDIRECT(Index!$L$9),"&lt;"&amp;EDATE($A137,3))),"")</f>
        <v/>
      </c>
      <c r="C137" s="33" t="str">
        <f aca="false">IFERROR(B137/B136-1,"")</f>
        <v/>
      </c>
      <c r="D137" s="33" t="str">
        <f aca="false">IFERROR(B137/B133-1,"")</f>
        <v/>
      </c>
      <c r="E137" s="25" t="str">
        <f aca="false">IFERROR(IF(AND(B137="",ISNUMBER($C$108),ISNUMBER($G$108)),$C$108*(1+$G$108)^(($A137-$E$108)/365.25),""),"")</f>
        <v/>
      </c>
      <c r="F137" s="25" t="str">
        <f aca="false">IFERROR(IF(AND(B137="",ISNUMBER($C$108),ISNUMBER($G$108)),$C$108*(1+$G$108*0.85^MAX(0,($A137-$E$108)/91.25))^(($A137-$E$108)/365.25),""),"")</f>
        <v/>
      </c>
    </row>
    <row r="138" customFormat="false" ht="15" hidden="false" customHeight="false" outlineLevel="0" collapsed="false">
      <c r="A138" s="27" t="n">
        <v>41913</v>
      </c>
      <c r="B138" s="28" t="str">
        <f aca="true">IFERROR(IF(AVERAGEIFS(INDIRECT(Index!$M$9),INDIRECT(Index!$L$9),"&gt;="&amp;$A138,INDIRECT(Index!$L$9),"&lt;"&amp;EDATE($A138,3))=0,"",AVERAGEIFS(INDIRECT(Index!$M$9),INDIRECT(Index!$L$9),"&gt;="&amp;$A138,INDIRECT(Index!$L$9),"&lt;"&amp;EDATE($A138,3))),"")</f>
        <v/>
      </c>
      <c r="C138" s="29" t="str">
        <f aca="false">IFERROR(B138/B137-1,"")</f>
        <v/>
      </c>
      <c r="D138" s="29" t="str">
        <f aca="false">IFERROR(B138/B134-1,"")</f>
        <v/>
      </c>
      <c r="E138" s="31" t="str">
        <f aca="false">IFERROR(IF(AND(B138="",ISNUMBER($C$108),ISNUMBER($G$108)),$C$108*(1+$G$108)^(($A138-$E$108)/365.25),""),"")</f>
        <v/>
      </c>
      <c r="F138" s="31" t="str">
        <f aca="false">IFERROR(IF(AND(B138="",ISNUMBER($C$108),ISNUMBER($G$108)),$C$108*(1+$G$108*0.85^MAX(0,($A138-$E$108)/91.25))^(($A138-$E$108)/365.25),""),"")</f>
        <v/>
      </c>
    </row>
    <row r="139" customFormat="false" ht="15" hidden="false" customHeight="false" outlineLevel="0" collapsed="false">
      <c r="A139" s="15" t="n">
        <v>42005</v>
      </c>
      <c r="B139" s="20" t="str">
        <f aca="true">IFERROR(IF(AVERAGEIFS(INDIRECT(Index!$M$9),INDIRECT(Index!$L$9),"&gt;="&amp;$A139,INDIRECT(Index!$L$9),"&lt;"&amp;EDATE($A139,3))=0,"",AVERAGEIFS(INDIRECT(Index!$M$9),INDIRECT(Index!$L$9),"&gt;="&amp;$A139,INDIRECT(Index!$L$9),"&lt;"&amp;EDATE($A139,3))),"")</f>
        <v/>
      </c>
      <c r="C139" s="33" t="str">
        <f aca="false">IFERROR(B139/B138-1,"")</f>
        <v/>
      </c>
      <c r="D139" s="33" t="str">
        <f aca="false">IFERROR(B139/B135-1,"")</f>
        <v/>
      </c>
      <c r="E139" s="25" t="str">
        <f aca="false">IFERROR(IF(AND(B139="",ISNUMBER($C$108),ISNUMBER($G$108)),$C$108*(1+$G$108)^(($A139-$E$108)/365.25),""),"")</f>
        <v/>
      </c>
      <c r="F139" s="25" t="str">
        <f aca="false">IFERROR(IF(AND(B139="",ISNUMBER($C$108),ISNUMBER($G$108)),$C$108*(1+$G$108*0.85^MAX(0,($A139-$E$108)/91.25))^(($A139-$E$108)/365.25),""),"")</f>
        <v/>
      </c>
    </row>
    <row r="140" customFormat="false" ht="15" hidden="false" customHeight="false" outlineLevel="0" collapsed="false">
      <c r="A140" s="27" t="n">
        <v>42095</v>
      </c>
      <c r="B140" s="28" t="str">
        <f aca="true">IFERROR(IF(AVERAGEIFS(INDIRECT(Index!$M$9),INDIRECT(Index!$L$9),"&gt;="&amp;$A140,INDIRECT(Index!$L$9),"&lt;"&amp;EDATE($A140,3))=0,"",AVERAGEIFS(INDIRECT(Index!$M$9),INDIRECT(Index!$L$9),"&gt;="&amp;$A140,INDIRECT(Index!$L$9),"&lt;"&amp;EDATE($A140,3))),"")</f>
        <v/>
      </c>
      <c r="C140" s="29" t="str">
        <f aca="false">IFERROR(B140/B139-1,"")</f>
        <v/>
      </c>
      <c r="D140" s="29" t="str">
        <f aca="false">IFERROR(B140/B136-1,"")</f>
        <v/>
      </c>
      <c r="E140" s="31" t="str">
        <f aca="false">IFERROR(IF(AND(B140="",ISNUMBER($C$108),ISNUMBER($G$108)),$C$108*(1+$G$108)^(($A140-$E$108)/365.25),""),"")</f>
        <v/>
      </c>
      <c r="F140" s="31" t="str">
        <f aca="false">IFERROR(IF(AND(B140="",ISNUMBER($C$108),ISNUMBER($G$108)),$C$108*(1+$G$108*0.85^MAX(0,($A140-$E$108)/91.25))^(($A140-$E$108)/365.25),""),"")</f>
        <v/>
      </c>
    </row>
    <row r="141" customFormat="false" ht="15" hidden="false" customHeight="false" outlineLevel="0" collapsed="false">
      <c r="A141" s="15" t="n">
        <v>42186</v>
      </c>
      <c r="B141" s="20" t="str">
        <f aca="true">IFERROR(IF(AVERAGEIFS(INDIRECT(Index!$M$9),INDIRECT(Index!$L$9),"&gt;="&amp;$A141,INDIRECT(Index!$L$9),"&lt;"&amp;EDATE($A141,3))=0,"",AVERAGEIFS(INDIRECT(Index!$M$9),INDIRECT(Index!$L$9),"&gt;="&amp;$A141,INDIRECT(Index!$L$9),"&lt;"&amp;EDATE($A141,3))),"")</f>
        <v/>
      </c>
      <c r="C141" s="33" t="str">
        <f aca="false">IFERROR(B141/B140-1,"")</f>
        <v/>
      </c>
      <c r="D141" s="33" t="str">
        <f aca="false">IFERROR(B141/B137-1,"")</f>
        <v/>
      </c>
      <c r="E141" s="25" t="str">
        <f aca="false">IFERROR(IF(AND(B141="",ISNUMBER($C$108),ISNUMBER($G$108)),$C$108*(1+$G$108)^(($A141-$E$108)/365.25),""),"")</f>
        <v/>
      </c>
      <c r="F141" s="25" t="str">
        <f aca="false">IFERROR(IF(AND(B141="",ISNUMBER($C$108),ISNUMBER($G$108)),$C$108*(1+$G$108*0.85^MAX(0,($A141-$E$108)/91.25))^(($A141-$E$108)/365.25),""),"")</f>
        <v/>
      </c>
    </row>
    <row r="142" customFormat="false" ht="15" hidden="false" customHeight="false" outlineLevel="0" collapsed="false">
      <c r="A142" s="27" t="n">
        <v>42278</v>
      </c>
      <c r="B142" s="28" t="str">
        <f aca="true">IFERROR(IF(AVERAGEIFS(INDIRECT(Index!$M$9),INDIRECT(Index!$L$9),"&gt;="&amp;$A142,INDIRECT(Index!$L$9),"&lt;"&amp;EDATE($A142,3))=0,"",AVERAGEIFS(INDIRECT(Index!$M$9),INDIRECT(Index!$L$9),"&gt;="&amp;$A142,INDIRECT(Index!$L$9),"&lt;"&amp;EDATE($A142,3))),"")</f>
        <v/>
      </c>
      <c r="C142" s="29" t="str">
        <f aca="false">IFERROR(B142/B141-1,"")</f>
        <v/>
      </c>
      <c r="D142" s="29" t="str">
        <f aca="false">IFERROR(B142/B138-1,"")</f>
        <v/>
      </c>
      <c r="E142" s="31" t="str">
        <f aca="false">IFERROR(IF(AND(B142="",ISNUMBER($C$108),ISNUMBER($G$108)),$C$108*(1+$G$108)^(($A142-$E$108)/365.25),""),"")</f>
        <v/>
      </c>
      <c r="F142" s="31" t="str">
        <f aca="false">IFERROR(IF(AND(B142="",ISNUMBER($C$108),ISNUMBER($G$108)),$C$108*(1+$G$108*0.85^MAX(0,($A142-$E$108)/91.25))^(($A142-$E$108)/365.25),""),"")</f>
        <v/>
      </c>
    </row>
    <row r="143" customFormat="false" ht="15" hidden="false" customHeight="false" outlineLevel="0" collapsed="false">
      <c r="A143" s="15" t="n">
        <v>42370</v>
      </c>
      <c r="B143" s="20" t="str">
        <f aca="true">IFERROR(IF(AVERAGEIFS(INDIRECT(Index!$M$9),INDIRECT(Index!$L$9),"&gt;="&amp;$A143,INDIRECT(Index!$L$9),"&lt;"&amp;EDATE($A143,3))=0,"",AVERAGEIFS(INDIRECT(Index!$M$9),INDIRECT(Index!$L$9),"&gt;="&amp;$A143,INDIRECT(Index!$L$9),"&lt;"&amp;EDATE($A143,3))),"")</f>
        <v/>
      </c>
      <c r="C143" s="33" t="str">
        <f aca="false">IFERROR(B143/B142-1,"")</f>
        <v/>
      </c>
      <c r="D143" s="33" t="str">
        <f aca="false">IFERROR(B143/B139-1,"")</f>
        <v/>
      </c>
      <c r="E143" s="25" t="str">
        <f aca="false">IFERROR(IF(AND(B143="",ISNUMBER($C$108),ISNUMBER($G$108)),$C$108*(1+$G$108)^(($A143-$E$108)/365.25),""),"")</f>
        <v/>
      </c>
      <c r="F143" s="25" t="str">
        <f aca="false">IFERROR(IF(AND(B143="",ISNUMBER($C$108),ISNUMBER($G$108)),$C$108*(1+$G$108*0.85^MAX(0,($A143-$E$108)/91.25))^(($A143-$E$108)/365.25),""),"")</f>
        <v/>
      </c>
    </row>
    <row r="144" customFormat="false" ht="15" hidden="false" customHeight="false" outlineLevel="0" collapsed="false">
      <c r="A144" s="27" t="n">
        <v>42461</v>
      </c>
      <c r="B144" s="28" t="str">
        <f aca="true">IFERROR(IF(AVERAGEIFS(INDIRECT(Index!$M$9),INDIRECT(Index!$L$9),"&gt;="&amp;$A144,INDIRECT(Index!$L$9),"&lt;"&amp;EDATE($A144,3))=0,"",AVERAGEIFS(INDIRECT(Index!$M$9),INDIRECT(Index!$L$9),"&gt;="&amp;$A144,INDIRECT(Index!$L$9),"&lt;"&amp;EDATE($A144,3))),"")</f>
        <v/>
      </c>
      <c r="C144" s="29" t="str">
        <f aca="false">IFERROR(B144/B143-1,"")</f>
        <v/>
      </c>
      <c r="D144" s="29" t="str">
        <f aca="false">IFERROR(B144/B140-1,"")</f>
        <v/>
      </c>
      <c r="E144" s="31" t="str">
        <f aca="false">IFERROR(IF(AND(B144="",ISNUMBER($C$108),ISNUMBER($G$108)),$C$108*(1+$G$108)^(($A144-$E$108)/365.25),""),"")</f>
        <v/>
      </c>
      <c r="F144" s="31" t="str">
        <f aca="false">IFERROR(IF(AND(B144="",ISNUMBER($C$108),ISNUMBER($G$108)),$C$108*(1+$G$108*0.85^MAX(0,($A144-$E$108)/91.25))^(($A144-$E$108)/365.25),""),"")</f>
        <v/>
      </c>
    </row>
    <row r="145" customFormat="false" ht="15" hidden="false" customHeight="false" outlineLevel="0" collapsed="false">
      <c r="A145" s="15" t="n">
        <v>42552</v>
      </c>
      <c r="B145" s="20" t="str">
        <f aca="true">IFERROR(IF(AVERAGEIFS(INDIRECT(Index!$M$9),INDIRECT(Index!$L$9),"&gt;="&amp;$A145,INDIRECT(Index!$L$9),"&lt;"&amp;EDATE($A145,3))=0,"",AVERAGEIFS(INDIRECT(Index!$M$9),INDIRECT(Index!$L$9),"&gt;="&amp;$A145,INDIRECT(Index!$L$9),"&lt;"&amp;EDATE($A145,3))),"")</f>
        <v/>
      </c>
      <c r="C145" s="33" t="str">
        <f aca="false">IFERROR(B145/B144-1,"")</f>
        <v/>
      </c>
      <c r="D145" s="33" t="str">
        <f aca="false">IFERROR(B145/B141-1,"")</f>
        <v/>
      </c>
      <c r="E145" s="25" t="str">
        <f aca="false">IFERROR(IF(AND(B145="",ISNUMBER($C$108),ISNUMBER($G$108)),$C$108*(1+$G$108)^(($A145-$E$108)/365.25),""),"")</f>
        <v/>
      </c>
      <c r="F145" s="25" t="str">
        <f aca="false">IFERROR(IF(AND(B145="",ISNUMBER($C$108),ISNUMBER($G$108)),$C$108*(1+$G$108*0.85^MAX(0,($A145-$E$108)/91.25))^(($A145-$E$108)/365.25),""),"")</f>
        <v/>
      </c>
    </row>
    <row r="146" customFormat="false" ht="15" hidden="false" customHeight="false" outlineLevel="0" collapsed="false">
      <c r="A146" s="27" t="n">
        <v>42644</v>
      </c>
      <c r="B146" s="28" t="str">
        <f aca="true">IFERROR(IF(AVERAGEIFS(INDIRECT(Index!$M$9),INDIRECT(Index!$L$9),"&gt;="&amp;$A146,INDIRECT(Index!$L$9),"&lt;"&amp;EDATE($A146,3))=0,"",AVERAGEIFS(INDIRECT(Index!$M$9),INDIRECT(Index!$L$9),"&gt;="&amp;$A146,INDIRECT(Index!$L$9),"&lt;"&amp;EDATE($A146,3))),"")</f>
        <v/>
      </c>
      <c r="C146" s="29" t="str">
        <f aca="false">IFERROR(B146/B145-1,"")</f>
        <v/>
      </c>
      <c r="D146" s="29" t="str">
        <f aca="false">IFERROR(B146/B142-1,"")</f>
        <v/>
      </c>
      <c r="E146" s="31" t="str">
        <f aca="false">IFERROR(IF(AND(B146="",ISNUMBER($C$108),ISNUMBER($G$108)),$C$108*(1+$G$108)^(($A146-$E$108)/365.25),""),"")</f>
        <v/>
      </c>
      <c r="F146" s="31" t="str">
        <f aca="false">IFERROR(IF(AND(B146="",ISNUMBER($C$108),ISNUMBER($G$108)),$C$108*(1+$G$108*0.85^MAX(0,($A146-$E$108)/91.25))^(($A146-$E$108)/365.25),""),"")</f>
        <v/>
      </c>
    </row>
    <row r="147" customFormat="false" ht="15" hidden="false" customHeight="false" outlineLevel="0" collapsed="false">
      <c r="A147" s="15" t="n">
        <v>42736</v>
      </c>
      <c r="B147" s="20" t="str">
        <f aca="true">IFERROR(IF(AVERAGEIFS(INDIRECT(Index!$M$9),INDIRECT(Index!$L$9),"&gt;="&amp;$A147,INDIRECT(Index!$L$9),"&lt;"&amp;EDATE($A147,3))=0,"",AVERAGEIFS(INDIRECT(Index!$M$9),INDIRECT(Index!$L$9),"&gt;="&amp;$A147,INDIRECT(Index!$L$9),"&lt;"&amp;EDATE($A147,3))),"")</f>
        <v/>
      </c>
      <c r="C147" s="33" t="str">
        <f aca="false">IFERROR(B147/B146-1,"")</f>
        <v/>
      </c>
      <c r="D147" s="33" t="str">
        <f aca="false">IFERROR(B147/B143-1,"")</f>
        <v/>
      </c>
      <c r="E147" s="25" t="str">
        <f aca="false">IFERROR(IF(AND(B147="",ISNUMBER($C$108),ISNUMBER($G$108)),$C$108*(1+$G$108)^(($A147-$E$108)/365.25),""),"")</f>
        <v/>
      </c>
      <c r="F147" s="25" t="str">
        <f aca="false">IFERROR(IF(AND(B147="",ISNUMBER($C$108),ISNUMBER($G$108)),$C$108*(1+$G$108*0.85^MAX(0,($A147-$E$108)/91.25))^(($A147-$E$108)/365.25),""),"")</f>
        <v/>
      </c>
    </row>
    <row r="148" customFormat="false" ht="15" hidden="false" customHeight="false" outlineLevel="0" collapsed="false">
      <c r="A148" s="27" t="n">
        <v>42826</v>
      </c>
      <c r="B148" s="28" t="str">
        <f aca="true">IFERROR(IF(AVERAGEIFS(INDIRECT(Index!$M$9),INDIRECT(Index!$L$9),"&gt;="&amp;$A148,INDIRECT(Index!$L$9),"&lt;"&amp;EDATE($A148,3))=0,"",AVERAGEIFS(INDIRECT(Index!$M$9),INDIRECT(Index!$L$9),"&gt;="&amp;$A148,INDIRECT(Index!$L$9),"&lt;"&amp;EDATE($A148,3))),"")</f>
        <v/>
      </c>
      <c r="C148" s="29" t="str">
        <f aca="false">IFERROR(B148/B147-1,"")</f>
        <v/>
      </c>
      <c r="D148" s="29" t="str">
        <f aca="false">IFERROR(B148/B144-1,"")</f>
        <v/>
      </c>
      <c r="E148" s="31" t="str">
        <f aca="false">IFERROR(IF(AND(B148="",ISNUMBER($C$108),ISNUMBER($G$108)),$C$108*(1+$G$108)^(($A148-$E$108)/365.25),""),"")</f>
        <v/>
      </c>
      <c r="F148" s="31" t="str">
        <f aca="false">IFERROR(IF(AND(B148="",ISNUMBER($C$108),ISNUMBER($G$108)),$C$108*(1+$G$108*0.85^MAX(0,($A148-$E$108)/91.25))^(($A148-$E$108)/365.25),""),"")</f>
        <v/>
      </c>
    </row>
    <row r="149" customFormat="false" ht="15" hidden="false" customHeight="false" outlineLevel="0" collapsed="false">
      <c r="A149" s="15" t="n">
        <v>42917</v>
      </c>
      <c r="B149" s="20" t="str">
        <f aca="true">IFERROR(IF(AVERAGEIFS(INDIRECT(Index!$M$9),INDIRECT(Index!$L$9),"&gt;="&amp;$A149,INDIRECT(Index!$L$9),"&lt;"&amp;EDATE($A149,3))=0,"",AVERAGEIFS(INDIRECT(Index!$M$9),INDIRECT(Index!$L$9),"&gt;="&amp;$A149,INDIRECT(Index!$L$9),"&lt;"&amp;EDATE($A149,3))),"")</f>
        <v/>
      </c>
      <c r="C149" s="33" t="str">
        <f aca="false">IFERROR(B149/B148-1,"")</f>
        <v/>
      </c>
      <c r="D149" s="33" t="str">
        <f aca="false">IFERROR(B149/B145-1,"")</f>
        <v/>
      </c>
      <c r="E149" s="25" t="str">
        <f aca="false">IFERROR(IF(AND(B149="",ISNUMBER($C$108),ISNUMBER($G$108)),$C$108*(1+$G$108)^(($A149-$E$108)/365.25),""),"")</f>
        <v/>
      </c>
      <c r="F149" s="25" t="str">
        <f aca="false">IFERROR(IF(AND(B149="",ISNUMBER($C$108),ISNUMBER($G$108)),$C$108*(1+$G$108*0.85^MAX(0,($A149-$E$108)/91.25))^(($A149-$E$108)/365.25),""),"")</f>
        <v/>
      </c>
    </row>
    <row r="150" customFormat="false" ht="15" hidden="false" customHeight="false" outlineLevel="0" collapsed="false">
      <c r="A150" s="27" t="n">
        <v>43009</v>
      </c>
      <c r="B150" s="28" t="str">
        <f aca="true">IFERROR(IF(AVERAGEIFS(INDIRECT(Index!$M$9),INDIRECT(Index!$L$9),"&gt;="&amp;$A150,INDIRECT(Index!$L$9),"&lt;"&amp;EDATE($A150,3))=0,"",AVERAGEIFS(INDIRECT(Index!$M$9),INDIRECT(Index!$L$9),"&gt;="&amp;$A150,INDIRECT(Index!$L$9),"&lt;"&amp;EDATE($A150,3))),"")</f>
        <v/>
      </c>
      <c r="C150" s="29" t="str">
        <f aca="false">IFERROR(B150/B149-1,"")</f>
        <v/>
      </c>
      <c r="D150" s="29" t="str">
        <f aca="false">IFERROR(B150/B146-1,"")</f>
        <v/>
      </c>
      <c r="E150" s="31" t="str">
        <f aca="false">IFERROR(IF(AND(B150="",ISNUMBER($C$108),ISNUMBER($G$108)),$C$108*(1+$G$108)^(($A150-$E$108)/365.25),""),"")</f>
        <v/>
      </c>
      <c r="F150" s="31" t="str">
        <f aca="false">IFERROR(IF(AND(B150="",ISNUMBER($C$108),ISNUMBER($G$108)),$C$108*(1+$G$108*0.85^MAX(0,($A150-$E$108)/91.25))^(($A150-$E$108)/365.25),""),"")</f>
        <v/>
      </c>
    </row>
    <row r="151" customFormat="false" ht="15" hidden="false" customHeight="false" outlineLevel="0" collapsed="false">
      <c r="A151" s="15" t="n">
        <v>43101</v>
      </c>
      <c r="B151" s="20" t="str">
        <f aca="true">IFERROR(IF(AVERAGEIFS(INDIRECT(Index!$M$9),INDIRECT(Index!$L$9),"&gt;="&amp;$A151,INDIRECT(Index!$L$9),"&lt;"&amp;EDATE($A151,3))=0,"",AVERAGEIFS(INDIRECT(Index!$M$9),INDIRECT(Index!$L$9),"&gt;="&amp;$A151,INDIRECT(Index!$L$9),"&lt;"&amp;EDATE($A151,3))),"")</f>
        <v/>
      </c>
      <c r="C151" s="33" t="str">
        <f aca="false">IFERROR(B151/B150-1,"")</f>
        <v/>
      </c>
      <c r="D151" s="33" t="str">
        <f aca="false">IFERROR(B151/B147-1,"")</f>
        <v/>
      </c>
      <c r="E151" s="25" t="str">
        <f aca="false">IFERROR(IF(AND(B151="",ISNUMBER($C$108),ISNUMBER($G$108)),$C$108*(1+$G$108)^(($A151-$E$108)/365.25),""),"")</f>
        <v/>
      </c>
      <c r="F151" s="25" t="str">
        <f aca="false">IFERROR(IF(AND(B151="",ISNUMBER($C$108),ISNUMBER($G$108)),$C$108*(1+$G$108*0.85^MAX(0,($A151-$E$108)/91.25))^(($A151-$E$108)/365.25),""),"")</f>
        <v/>
      </c>
    </row>
    <row r="152" customFormat="false" ht="15" hidden="false" customHeight="false" outlineLevel="0" collapsed="false">
      <c r="A152" s="27" t="n">
        <v>43191</v>
      </c>
      <c r="B152" s="28" t="str">
        <f aca="true">IFERROR(IF(AVERAGEIFS(INDIRECT(Index!$M$9),INDIRECT(Index!$L$9),"&gt;="&amp;$A152,INDIRECT(Index!$L$9),"&lt;"&amp;EDATE($A152,3))=0,"",AVERAGEIFS(INDIRECT(Index!$M$9),INDIRECT(Index!$L$9),"&gt;="&amp;$A152,INDIRECT(Index!$L$9),"&lt;"&amp;EDATE($A152,3))),"")</f>
        <v/>
      </c>
      <c r="C152" s="29" t="str">
        <f aca="false">IFERROR(B152/B151-1,"")</f>
        <v/>
      </c>
      <c r="D152" s="29" t="str">
        <f aca="false">IFERROR(B152/B148-1,"")</f>
        <v/>
      </c>
      <c r="E152" s="31" t="str">
        <f aca="false">IFERROR(IF(AND(B152="",ISNUMBER($C$108),ISNUMBER($G$108)),$C$108*(1+$G$108)^(($A152-$E$108)/365.25),""),"")</f>
        <v/>
      </c>
      <c r="F152" s="31" t="str">
        <f aca="false">IFERROR(IF(AND(B152="",ISNUMBER($C$108),ISNUMBER($G$108)),$C$108*(1+$G$108*0.85^MAX(0,($A152-$E$108)/91.25))^(($A152-$E$108)/365.25),""),"")</f>
        <v/>
      </c>
    </row>
    <row r="153" customFormat="false" ht="15" hidden="false" customHeight="false" outlineLevel="0" collapsed="false">
      <c r="A153" s="15" t="n">
        <v>43282</v>
      </c>
      <c r="B153" s="20" t="str">
        <f aca="true">IFERROR(IF(AVERAGEIFS(INDIRECT(Index!$M$9),INDIRECT(Index!$L$9),"&gt;="&amp;$A153,INDIRECT(Index!$L$9),"&lt;"&amp;EDATE($A153,3))=0,"",AVERAGEIFS(INDIRECT(Index!$M$9),INDIRECT(Index!$L$9),"&gt;="&amp;$A153,INDIRECT(Index!$L$9),"&lt;"&amp;EDATE($A153,3))),"")</f>
        <v/>
      </c>
      <c r="C153" s="33" t="str">
        <f aca="false">IFERROR(B153/B152-1,"")</f>
        <v/>
      </c>
      <c r="D153" s="33" t="str">
        <f aca="false">IFERROR(B153/B149-1,"")</f>
        <v/>
      </c>
      <c r="E153" s="25" t="str">
        <f aca="false">IFERROR(IF(AND(B153="",ISNUMBER($C$108),ISNUMBER($G$108)),$C$108*(1+$G$108)^(($A153-$E$108)/365.25),""),"")</f>
        <v/>
      </c>
      <c r="F153" s="25" t="str">
        <f aca="false">IFERROR(IF(AND(B153="",ISNUMBER($C$108),ISNUMBER($G$108)),$C$108*(1+$G$108*0.85^MAX(0,($A153-$E$108)/91.25))^(($A153-$E$108)/365.25),""),"")</f>
        <v/>
      </c>
    </row>
    <row r="154" customFormat="false" ht="15" hidden="false" customHeight="false" outlineLevel="0" collapsed="false">
      <c r="A154" s="27" t="n">
        <v>43374</v>
      </c>
      <c r="B154" s="28" t="str">
        <f aca="true">IFERROR(IF(AVERAGEIFS(INDIRECT(Index!$M$9),INDIRECT(Index!$L$9),"&gt;="&amp;$A154,INDIRECT(Index!$L$9),"&lt;"&amp;EDATE($A154,3))=0,"",AVERAGEIFS(INDIRECT(Index!$M$9),INDIRECT(Index!$L$9),"&gt;="&amp;$A154,INDIRECT(Index!$L$9),"&lt;"&amp;EDATE($A154,3))),"")</f>
        <v/>
      </c>
      <c r="C154" s="29" t="str">
        <f aca="false">IFERROR(B154/B153-1,"")</f>
        <v/>
      </c>
      <c r="D154" s="29" t="str">
        <f aca="false">IFERROR(B154/B150-1,"")</f>
        <v/>
      </c>
      <c r="E154" s="31" t="str">
        <f aca="false">IFERROR(IF(AND(B154="",ISNUMBER($C$108),ISNUMBER($G$108)),$C$108*(1+$G$108)^(($A154-$E$108)/365.25),""),"")</f>
        <v/>
      </c>
      <c r="F154" s="31" t="str">
        <f aca="false">IFERROR(IF(AND(B154="",ISNUMBER($C$108),ISNUMBER($G$108)),$C$108*(1+$G$108*0.85^MAX(0,($A154-$E$108)/91.25))^(($A154-$E$108)/365.25),""),"")</f>
        <v/>
      </c>
    </row>
    <row r="155" customFormat="false" ht="15" hidden="false" customHeight="false" outlineLevel="0" collapsed="false">
      <c r="A155" s="15" t="n">
        <v>43466</v>
      </c>
      <c r="B155" s="20" t="str">
        <f aca="true">IFERROR(IF(AVERAGEIFS(INDIRECT(Index!$M$9),INDIRECT(Index!$L$9),"&gt;="&amp;$A155,INDIRECT(Index!$L$9),"&lt;"&amp;EDATE($A155,3))=0,"",AVERAGEIFS(INDIRECT(Index!$M$9),INDIRECT(Index!$L$9),"&gt;="&amp;$A155,INDIRECT(Index!$L$9),"&lt;"&amp;EDATE($A155,3))),"")</f>
        <v/>
      </c>
      <c r="C155" s="33" t="str">
        <f aca="false">IFERROR(B155/B154-1,"")</f>
        <v/>
      </c>
      <c r="D155" s="33" t="str">
        <f aca="false">IFERROR(B155/B151-1,"")</f>
        <v/>
      </c>
      <c r="E155" s="25" t="str">
        <f aca="false">IFERROR(IF(AND(B155="",ISNUMBER($C$108),ISNUMBER($G$108)),$C$108*(1+$G$108)^(($A155-$E$108)/365.25),""),"")</f>
        <v/>
      </c>
      <c r="F155" s="25" t="str">
        <f aca="false">IFERROR(IF(AND(B155="",ISNUMBER($C$108),ISNUMBER($G$108)),$C$108*(1+$G$108*0.85^MAX(0,($A155-$E$108)/91.25))^(($A155-$E$108)/365.25),""),"")</f>
        <v/>
      </c>
    </row>
    <row r="156" customFormat="false" ht="15" hidden="false" customHeight="false" outlineLevel="0" collapsed="false">
      <c r="A156" s="27" t="n">
        <v>43556</v>
      </c>
      <c r="B156" s="28" t="str">
        <f aca="true">IFERROR(IF(AVERAGEIFS(INDIRECT(Index!$M$9),INDIRECT(Index!$L$9),"&gt;="&amp;$A156,INDIRECT(Index!$L$9),"&lt;"&amp;EDATE($A156,3))=0,"",AVERAGEIFS(INDIRECT(Index!$M$9),INDIRECT(Index!$L$9),"&gt;="&amp;$A156,INDIRECT(Index!$L$9),"&lt;"&amp;EDATE($A156,3))),"")</f>
        <v/>
      </c>
      <c r="C156" s="29" t="str">
        <f aca="false">IFERROR(B156/B155-1,"")</f>
        <v/>
      </c>
      <c r="D156" s="29" t="str">
        <f aca="false">IFERROR(B156/B152-1,"")</f>
        <v/>
      </c>
      <c r="E156" s="31" t="str">
        <f aca="false">IFERROR(IF(AND(B156="",ISNUMBER($C$108),ISNUMBER($G$108)),$C$108*(1+$G$108)^(($A156-$E$108)/365.25),""),"")</f>
        <v/>
      </c>
      <c r="F156" s="31" t="str">
        <f aca="false">IFERROR(IF(AND(B156="",ISNUMBER($C$108),ISNUMBER($G$108)),$C$108*(1+$G$108*0.85^MAX(0,($A156-$E$108)/91.25))^(($A156-$E$108)/365.25),""),"")</f>
        <v/>
      </c>
    </row>
    <row r="157" customFormat="false" ht="15" hidden="false" customHeight="false" outlineLevel="0" collapsed="false">
      <c r="A157" s="15" t="n">
        <v>43647</v>
      </c>
      <c r="B157" s="20" t="str">
        <f aca="true">IFERROR(IF(AVERAGEIFS(INDIRECT(Index!$M$9),INDIRECT(Index!$L$9),"&gt;="&amp;$A157,INDIRECT(Index!$L$9),"&lt;"&amp;EDATE($A157,3))=0,"",AVERAGEIFS(INDIRECT(Index!$M$9),INDIRECT(Index!$L$9),"&gt;="&amp;$A157,INDIRECT(Index!$L$9),"&lt;"&amp;EDATE($A157,3))),"")</f>
        <v/>
      </c>
      <c r="C157" s="33" t="str">
        <f aca="false">IFERROR(B157/B156-1,"")</f>
        <v/>
      </c>
      <c r="D157" s="33" t="str">
        <f aca="false">IFERROR(B157/B153-1,"")</f>
        <v/>
      </c>
      <c r="E157" s="25" t="str">
        <f aca="false">IFERROR(IF(AND(B157="",ISNUMBER($C$108),ISNUMBER($G$108)),$C$108*(1+$G$108)^(($A157-$E$108)/365.25),""),"")</f>
        <v/>
      </c>
      <c r="F157" s="25" t="str">
        <f aca="false">IFERROR(IF(AND(B157="",ISNUMBER($C$108),ISNUMBER($G$108)),$C$108*(1+$G$108*0.85^MAX(0,($A157-$E$108)/91.25))^(($A157-$E$108)/365.25),""),"")</f>
        <v/>
      </c>
    </row>
    <row r="158" customFormat="false" ht="15" hidden="false" customHeight="false" outlineLevel="0" collapsed="false">
      <c r="A158" s="27" t="n">
        <v>43739</v>
      </c>
      <c r="B158" s="28" t="str">
        <f aca="true">IFERROR(IF(AVERAGEIFS(INDIRECT(Index!$M$9),INDIRECT(Index!$L$9),"&gt;="&amp;$A158,INDIRECT(Index!$L$9),"&lt;"&amp;EDATE($A158,3))=0,"",AVERAGEIFS(INDIRECT(Index!$M$9),INDIRECT(Index!$L$9),"&gt;="&amp;$A158,INDIRECT(Index!$L$9),"&lt;"&amp;EDATE($A158,3))),"")</f>
        <v/>
      </c>
      <c r="C158" s="29" t="str">
        <f aca="false">IFERROR(B158/B157-1,"")</f>
        <v/>
      </c>
      <c r="D158" s="29" t="str">
        <f aca="false">IFERROR(B158/B154-1,"")</f>
        <v/>
      </c>
      <c r="E158" s="31" t="str">
        <f aca="false">IFERROR(IF(AND(B158="",ISNUMBER($C$108),ISNUMBER($G$108)),$C$108*(1+$G$108)^(($A158-$E$108)/365.25),""),"")</f>
        <v/>
      </c>
      <c r="F158" s="31" t="str">
        <f aca="false">IFERROR(IF(AND(B158="",ISNUMBER($C$108),ISNUMBER($G$108)),$C$108*(1+$G$108*0.85^MAX(0,($A158-$E$108)/91.25))^(($A158-$E$108)/365.25),""),"")</f>
        <v/>
      </c>
    </row>
    <row r="159" customFormat="false" ht="15" hidden="false" customHeight="false" outlineLevel="0" collapsed="false">
      <c r="A159" s="15" t="n">
        <v>43831</v>
      </c>
      <c r="B159" s="20" t="str">
        <f aca="true">IFERROR(IF(AVERAGEIFS(INDIRECT(Index!$M$9),INDIRECT(Index!$L$9),"&gt;="&amp;$A159,INDIRECT(Index!$L$9),"&lt;"&amp;EDATE($A159,3))=0,"",AVERAGEIFS(INDIRECT(Index!$M$9),INDIRECT(Index!$L$9),"&gt;="&amp;$A159,INDIRECT(Index!$L$9),"&lt;"&amp;EDATE($A159,3))),"")</f>
        <v/>
      </c>
      <c r="C159" s="33" t="str">
        <f aca="false">IFERROR(B159/B158-1,"")</f>
        <v/>
      </c>
      <c r="D159" s="33" t="str">
        <f aca="false">IFERROR(B159/B155-1,"")</f>
        <v/>
      </c>
      <c r="E159" s="25" t="str">
        <f aca="false">IFERROR(IF(AND(B159="",ISNUMBER($C$108),ISNUMBER($G$108)),$C$108*(1+$G$108)^(($A159-$E$108)/365.25),""),"")</f>
        <v/>
      </c>
      <c r="F159" s="25" t="str">
        <f aca="false">IFERROR(IF(AND(B159="",ISNUMBER($C$108),ISNUMBER($G$108)),$C$108*(1+$G$108*0.85^MAX(0,($A159-$E$108)/91.25))^(($A159-$E$108)/365.25),""),"")</f>
        <v/>
      </c>
    </row>
    <row r="160" customFormat="false" ht="15" hidden="false" customHeight="false" outlineLevel="0" collapsed="false">
      <c r="A160" s="27" t="n">
        <v>43922</v>
      </c>
      <c r="B160" s="28" t="str">
        <f aca="true">IFERROR(IF(AVERAGEIFS(INDIRECT(Index!$M$9),INDIRECT(Index!$L$9),"&gt;="&amp;$A160,INDIRECT(Index!$L$9),"&lt;"&amp;EDATE($A160,3))=0,"",AVERAGEIFS(INDIRECT(Index!$M$9),INDIRECT(Index!$L$9),"&gt;="&amp;$A160,INDIRECT(Index!$L$9),"&lt;"&amp;EDATE($A160,3))),"")</f>
        <v/>
      </c>
      <c r="C160" s="29" t="str">
        <f aca="false">IFERROR(B160/B159-1,"")</f>
        <v/>
      </c>
      <c r="D160" s="29" t="str">
        <f aca="false">IFERROR(B160/B156-1,"")</f>
        <v/>
      </c>
      <c r="E160" s="31" t="str">
        <f aca="false">IFERROR(IF(AND(B160="",ISNUMBER($C$108),ISNUMBER($G$108)),$C$108*(1+$G$108)^(($A160-$E$108)/365.25),""),"")</f>
        <v/>
      </c>
      <c r="F160" s="31" t="str">
        <f aca="false">IFERROR(IF(AND(B160="",ISNUMBER($C$108),ISNUMBER($G$108)),$C$108*(1+$G$108*0.85^MAX(0,($A160-$E$108)/91.25))^(($A160-$E$108)/365.25),""),"")</f>
        <v/>
      </c>
    </row>
    <row r="161" customFormat="false" ht="15" hidden="false" customHeight="false" outlineLevel="0" collapsed="false">
      <c r="A161" s="15" t="n">
        <v>44013</v>
      </c>
      <c r="B161" s="20" t="str">
        <f aca="true">IFERROR(IF(AVERAGEIFS(INDIRECT(Index!$M$9),INDIRECT(Index!$L$9),"&gt;="&amp;$A161,INDIRECT(Index!$L$9),"&lt;"&amp;EDATE($A161,3))=0,"",AVERAGEIFS(INDIRECT(Index!$M$9),INDIRECT(Index!$L$9),"&gt;="&amp;$A161,INDIRECT(Index!$L$9),"&lt;"&amp;EDATE($A161,3))),"")</f>
        <v/>
      </c>
      <c r="C161" s="33" t="str">
        <f aca="false">IFERROR(B161/B160-1,"")</f>
        <v/>
      </c>
      <c r="D161" s="33" t="str">
        <f aca="false">IFERROR(B161/B157-1,"")</f>
        <v/>
      </c>
      <c r="E161" s="25" t="str">
        <f aca="false">IFERROR(IF(AND(B161="",ISNUMBER($C$108),ISNUMBER($G$108)),$C$108*(1+$G$108)^(($A161-$E$108)/365.25),""),"")</f>
        <v/>
      </c>
      <c r="F161" s="25" t="str">
        <f aca="false">IFERROR(IF(AND(B161="",ISNUMBER($C$108),ISNUMBER($G$108)),$C$108*(1+$G$108*0.85^MAX(0,($A161-$E$108)/91.25))^(($A161-$E$108)/365.25),""),"")</f>
        <v/>
      </c>
    </row>
    <row r="162" customFormat="false" ht="15" hidden="false" customHeight="false" outlineLevel="0" collapsed="false">
      <c r="A162" s="27" t="n">
        <v>44105</v>
      </c>
      <c r="B162" s="28" t="str">
        <f aca="true">IFERROR(IF(AVERAGEIFS(INDIRECT(Index!$M$9),INDIRECT(Index!$L$9),"&gt;="&amp;$A162,INDIRECT(Index!$L$9),"&lt;"&amp;EDATE($A162,3))=0,"",AVERAGEIFS(INDIRECT(Index!$M$9),INDIRECT(Index!$L$9),"&gt;="&amp;$A162,INDIRECT(Index!$L$9),"&lt;"&amp;EDATE($A162,3))),"")</f>
        <v/>
      </c>
      <c r="C162" s="29" t="str">
        <f aca="false">IFERROR(B162/B161-1,"")</f>
        <v/>
      </c>
      <c r="D162" s="29" t="str">
        <f aca="false">IFERROR(B162/B158-1,"")</f>
        <v/>
      </c>
      <c r="E162" s="31" t="str">
        <f aca="false">IFERROR(IF(AND(B162="",ISNUMBER($C$108),ISNUMBER($G$108)),$C$108*(1+$G$108)^(($A162-$E$108)/365.25),""),"")</f>
        <v/>
      </c>
      <c r="F162" s="31" t="str">
        <f aca="false">IFERROR(IF(AND(B162="",ISNUMBER($C$108),ISNUMBER($G$108)),$C$108*(1+$G$108*0.85^MAX(0,($A162-$E$108)/91.25))^(($A162-$E$108)/365.25),""),"")</f>
        <v/>
      </c>
    </row>
    <row r="163" customFormat="false" ht="15" hidden="false" customHeight="false" outlineLevel="0" collapsed="false">
      <c r="A163" s="15" t="n">
        <v>44197</v>
      </c>
      <c r="B163" s="20" t="str">
        <f aca="true">IFERROR(IF(AVERAGEIFS(INDIRECT(Index!$M$9),INDIRECT(Index!$L$9),"&gt;="&amp;$A163,INDIRECT(Index!$L$9),"&lt;"&amp;EDATE($A163,3))=0,"",AVERAGEIFS(INDIRECT(Index!$M$9),INDIRECT(Index!$L$9),"&gt;="&amp;$A163,INDIRECT(Index!$L$9),"&lt;"&amp;EDATE($A163,3))),"")</f>
        <v/>
      </c>
      <c r="C163" s="33" t="str">
        <f aca="false">IFERROR(B163/B162-1,"")</f>
        <v/>
      </c>
      <c r="D163" s="33" t="str">
        <f aca="false">IFERROR(B163/B159-1,"")</f>
        <v/>
      </c>
      <c r="E163" s="25" t="str">
        <f aca="false">IFERROR(IF(AND(B163="",ISNUMBER($C$108),ISNUMBER($G$108)),$C$108*(1+$G$108)^(($A163-$E$108)/365.25),""),"")</f>
        <v/>
      </c>
      <c r="F163" s="25" t="str">
        <f aca="false">IFERROR(IF(AND(B163="",ISNUMBER($C$108),ISNUMBER($G$108)),$C$108*(1+$G$108*0.85^MAX(0,($A163-$E$108)/91.25))^(($A163-$E$108)/365.25),""),"")</f>
        <v/>
      </c>
    </row>
    <row r="164" customFormat="false" ht="15" hidden="false" customHeight="false" outlineLevel="0" collapsed="false">
      <c r="A164" s="27" t="n">
        <v>44287</v>
      </c>
      <c r="B164" s="28" t="str">
        <f aca="true">IFERROR(IF(AVERAGEIFS(INDIRECT(Index!$M$9),INDIRECT(Index!$L$9),"&gt;="&amp;$A164,INDIRECT(Index!$L$9),"&lt;"&amp;EDATE($A164,3))=0,"",AVERAGEIFS(INDIRECT(Index!$M$9),INDIRECT(Index!$L$9),"&gt;="&amp;$A164,INDIRECT(Index!$L$9),"&lt;"&amp;EDATE($A164,3))),"")</f>
        <v/>
      </c>
      <c r="C164" s="29" t="str">
        <f aca="false">IFERROR(B164/B163-1,"")</f>
        <v/>
      </c>
      <c r="D164" s="29" t="str">
        <f aca="false">IFERROR(B164/B160-1,"")</f>
        <v/>
      </c>
      <c r="E164" s="31" t="str">
        <f aca="false">IFERROR(IF(AND(B164="",ISNUMBER($C$108),ISNUMBER($G$108)),$C$108*(1+$G$108)^(($A164-$E$108)/365.25),""),"")</f>
        <v/>
      </c>
      <c r="F164" s="31" t="str">
        <f aca="false">IFERROR(IF(AND(B164="",ISNUMBER($C$108),ISNUMBER($G$108)),$C$108*(1+$G$108*0.85^MAX(0,($A164-$E$108)/91.25))^(($A164-$E$108)/365.25),""),"")</f>
        <v/>
      </c>
    </row>
    <row r="165" customFormat="false" ht="15" hidden="false" customHeight="false" outlineLevel="0" collapsed="false">
      <c r="A165" s="15" t="n">
        <v>44378</v>
      </c>
      <c r="B165" s="20" t="str">
        <f aca="true">IFERROR(IF(AVERAGEIFS(INDIRECT(Index!$M$9),INDIRECT(Index!$L$9),"&gt;="&amp;$A165,INDIRECT(Index!$L$9),"&lt;"&amp;EDATE($A165,3))=0,"",AVERAGEIFS(INDIRECT(Index!$M$9),INDIRECT(Index!$L$9),"&gt;="&amp;$A165,INDIRECT(Index!$L$9),"&lt;"&amp;EDATE($A165,3))),"")</f>
        <v/>
      </c>
      <c r="C165" s="33" t="str">
        <f aca="false">IFERROR(B165/B164-1,"")</f>
        <v/>
      </c>
      <c r="D165" s="33" t="str">
        <f aca="false">IFERROR(B165/B161-1,"")</f>
        <v/>
      </c>
      <c r="E165" s="25" t="str">
        <f aca="false">IFERROR(IF(AND(B165="",ISNUMBER($C$108),ISNUMBER($G$108)),$C$108*(1+$G$108)^(($A165-$E$108)/365.25),""),"")</f>
        <v/>
      </c>
      <c r="F165" s="25" t="str">
        <f aca="false">IFERROR(IF(AND(B165="",ISNUMBER($C$108),ISNUMBER($G$108)),$C$108*(1+$G$108*0.85^MAX(0,($A165-$E$108)/91.25))^(($A165-$E$108)/365.25),""),"")</f>
        <v/>
      </c>
    </row>
    <row r="166" customFormat="false" ht="15" hidden="false" customHeight="false" outlineLevel="0" collapsed="false">
      <c r="A166" s="27" t="n">
        <v>44470</v>
      </c>
      <c r="B166" s="28" t="str">
        <f aca="true">IFERROR(IF(AVERAGEIFS(INDIRECT(Index!$M$9),INDIRECT(Index!$L$9),"&gt;="&amp;$A166,INDIRECT(Index!$L$9),"&lt;"&amp;EDATE($A166,3))=0,"",AVERAGEIFS(INDIRECT(Index!$M$9),INDIRECT(Index!$L$9),"&gt;="&amp;$A166,INDIRECT(Index!$L$9),"&lt;"&amp;EDATE($A166,3))),"")</f>
        <v/>
      </c>
      <c r="C166" s="29" t="str">
        <f aca="false">IFERROR(B166/B165-1,"")</f>
        <v/>
      </c>
      <c r="D166" s="29" t="str">
        <f aca="false">IFERROR(B166/B162-1,"")</f>
        <v/>
      </c>
      <c r="E166" s="31" t="str">
        <f aca="false">IFERROR(IF(AND(B166="",ISNUMBER($C$108),ISNUMBER($G$108)),$C$108*(1+$G$108)^(($A166-$E$108)/365.25),""),"")</f>
        <v/>
      </c>
      <c r="F166" s="31" t="str">
        <f aca="false">IFERROR(IF(AND(B166="",ISNUMBER($C$108),ISNUMBER($G$108)),$C$108*(1+$G$108*0.85^MAX(0,($A166-$E$108)/91.25))^(($A166-$E$108)/365.25),""),"")</f>
        <v/>
      </c>
    </row>
    <row r="167" customFormat="false" ht="15" hidden="false" customHeight="false" outlineLevel="0" collapsed="false">
      <c r="A167" s="15" t="n">
        <v>44562</v>
      </c>
      <c r="B167" s="20" t="str">
        <f aca="true">IFERROR(IF(AVERAGEIFS(INDIRECT(Index!$M$9),INDIRECT(Index!$L$9),"&gt;="&amp;$A167,INDIRECT(Index!$L$9),"&lt;"&amp;EDATE($A167,3))=0,"",AVERAGEIFS(INDIRECT(Index!$M$9),INDIRECT(Index!$L$9),"&gt;="&amp;$A167,INDIRECT(Index!$L$9),"&lt;"&amp;EDATE($A167,3))),"")</f>
        <v/>
      </c>
      <c r="C167" s="33" t="str">
        <f aca="false">IFERROR(B167/B166-1,"")</f>
        <v/>
      </c>
      <c r="D167" s="33" t="str">
        <f aca="false">IFERROR(B167/B163-1,"")</f>
        <v/>
      </c>
      <c r="E167" s="25" t="str">
        <f aca="false">IFERROR(IF(AND(B167="",ISNUMBER($C$108),ISNUMBER($G$108)),$C$108*(1+$G$108)^(($A167-$E$108)/365.25),""),"")</f>
        <v/>
      </c>
      <c r="F167" s="25" t="str">
        <f aca="false">IFERROR(IF(AND(B167="",ISNUMBER($C$108),ISNUMBER($G$108)),$C$108*(1+$G$108*0.85^MAX(0,($A167-$E$108)/91.25))^(($A167-$E$108)/365.25),""),"")</f>
        <v/>
      </c>
    </row>
    <row r="168" customFormat="false" ht="15" hidden="false" customHeight="false" outlineLevel="0" collapsed="false">
      <c r="A168" s="27" t="n">
        <v>44652</v>
      </c>
      <c r="B168" s="28" t="str">
        <f aca="true">IFERROR(IF(AVERAGEIFS(INDIRECT(Index!$M$9),INDIRECT(Index!$L$9),"&gt;="&amp;$A168,INDIRECT(Index!$L$9),"&lt;"&amp;EDATE($A168,3))=0,"",AVERAGEIFS(INDIRECT(Index!$M$9),INDIRECT(Index!$L$9),"&gt;="&amp;$A168,INDIRECT(Index!$L$9),"&lt;"&amp;EDATE($A168,3))),"")</f>
        <v/>
      </c>
      <c r="C168" s="29" t="str">
        <f aca="false">IFERROR(B168/B167-1,"")</f>
        <v/>
      </c>
      <c r="D168" s="29" t="str">
        <f aca="false">IFERROR(B168/B164-1,"")</f>
        <v/>
      </c>
      <c r="E168" s="31" t="str">
        <f aca="false">IFERROR(IF(AND(B168="",ISNUMBER($C$108),ISNUMBER($G$108)),$C$108*(1+$G$108)^(($A168-$E$108)/365.25),""),"")</f>
        <v/>
      </c>
      <c r="F168" s="31" t="str">
        <f aca="false">IFERROR(IF(AND(B168="",ISNUMBER($C$108),ISNUMBER($G$108)),$C$108*(1+$G$108*0.85^MAX(0,($A168-$E$108)/91.25))^(($A168-$E$108)/365.25),""),"")</f>
        <v/>
      </c>
    </row>
    <row r="169" customFormat="false" ht="15" hidden="false" customHeight="false" outlineLevel="0" collapsed="false">
      <c r="A169" s="15" t="n">
        <v>44743</v>
      </c>
      <c r="B169" s="20" t="str">
        <f aca="true">IFERROR(IF(AVERAGEIFS(INDIRECT(Index!$M$9),INDIRECT(Index!$L$9),"&gt;="&amp;$A169,INDIRECT(Index!$L$9),"&lt;"&amp;EDATE($A169,3))=0,"",AVERAGEIFS(INDIRECT(Index!$M$9),INDIRECT(Index!$L$9),"&gt;="&amp;$A169,INDIRECT(Index!$L$9),"&lt;"&amp;EDATE($A169,3))),"")</f>
        <v/>
      </c>
      <c r="C169" s="33" t="str">
        <f aca="false">IFERROR(B169/B168-1,"")</f>
        <v/>
      </c>
      <c r="D169" s="33" t="str">
        <f aca="false">IFERROR(B169/B165-1,"")</f>
        <v/>
      </c>
      <c r="E169" s="25" t="str">
        <f aca="false">IFERROR(IF(AND(B169="",ISNUMBER($C$108),ISNUMBER($G$108)),$C$108*(1+$G$108)^(($A169-$E$108)/365.25),""),"")</f>
        <v/>
      </c>
      <c r="F169" s="25" t="str">
        <f aca="false">IFERROR(IF(AND(B169="",ISNUMBER($C$108),ISNUMBER($G$108)),$C$108*(1+$G$108*0.85^MAX(0,($A169-$E$108)/91.25))^(($A169-$E$108)/365.25),""),"")</f>
        <v/>
      </c>
    </row>
    <row r="170" customFormat="false" ht="15" hidden="false" customHeight="false" outlineLevel="0" collapsed="false">
      <c r="A170" s="27" t="n">
        <v>44835</v>
      </c>
      <c r="B170" s="28" t="str">
        <f aca="true">IFERROR(IF(AVERAGEIFS(INDIRECT(Index!$M$9),INDIRECT(Index!$L$9),"&gt;="&amp;$A170,INDIRECT(Index!$L$9),"&lt;"&amp;EDATE($A170,3))=0,"",AVERAGEIFS(INDIRECT(Index!$M$9),INDIRECT(Index!$L$9),"&gt;="&amp;$A170,INDIRECT(Index!$L$9),"&lt;"&amp;EDATE($A170,3))),"")</f>
        <v/>
      </c>
      <c r="C170" s="29" t="str">
        <f aca="false">IFERROR(B170/B169-1,"")</f>
        <v/>
      </c>
      <c r="D170" s="29" t="str">
        <f aca="false">IFERROR(B170/B166-1,"")</f>
        <v/>
      </c>
      <c r="E170" s="31" t="str">
        <f aca="false">IFERROR(IF(AND(B170="",ISNUMBER($C$108),ISNUMBER($G$108)),$C$108*(1+$G$108)^(($A170-$E$108)/365.25),""),"")</f>
        <v/>
      </c>
      <c r="F170" s="31" t="str">
        <f aca="false">IFERROR(IF(AND(B170="",ISNUMBER($C$108),ISNUMBER($G$108)),$C$108*(1+$G$108*0.85^MAX(0,($A170-$E$108)/91.25))^(($A170-$E$108)/365.25),""),"")</f>
        <v/>
      </c>
    </row>
    <row r="171" customFormat="false" ht="15" hidden="false" customHeight="false" outlineLevel="0" collapsed="false">
      <c r="A171" s="15" t="n">
        <v>44927</v>
      </c>
      <c r="B171" s="20" t="str">
        <f aca="true">IFERROR(IF(AVERAGEIFS(INDIRECT(Index!$M$9),INDIRECT(Index!$L$9),"&gt;="&amp;$A171,INDIRECT(Index!$L$9),"&lt;"&amp;EDATE($A171,3))=0,"",AVERAGEIFS(INDIRECT(Index!$M$9),INDIRECT(Index!$L$9),"&gt;="&amp;$A171,INDIRECT(Index!$L$9),"&lt;"&amp;EDATE($A171,3))),"")</f>
        <v/>
      </c>
      <c r="C171" s="33" t="str">
        <f aca="false">IFERROR(B171/B170-1,"")</f>
        <v/>
      </c>
      <c r="D171" s="33" t="str">
        <f aca="false">IFERROR(B171/B167-1,"")</f>
        <v/>
      </c>
      <c r="E171" s="25" t="str">
        <f aca="false">IFERROR(IF(AND(B171="",ISNUMBER($C$108),ISNUMBER($G$108)),$C$108*(1+$G$108)^(($A171-$E$108)/365.25),""),"")</f>
        <v/>
      </c>
      <c r="F171" s="25" t="str">
        <f aca="false">IFERROR(IF(AND(B171="",ISNUMBER($C$108),ISNUMBER($G$108)),$C$108*(1+$G$108*0.85^MAX(0,($A171-$E$108)/91.25))^(($A171-$E$108)/365.25),""),"")</f>
        <v/>
      </c>
    </row>
    <row r="172" customFormat="false" ht="15" hidden="false" customHeight="false" outlineLevel="0" collapsed="false">
      <c r="A172" s="27" t="n">
        <v>45017</v>
      </c>
      <c r="B172" s="28" t="str">
        <f aca="true">IFERROR(IF(AVERAGEIFS(INDIRECT(Index!$M$9),INDIRECT(Index!$L$9),"&gt;="&amp;$A172,INDIRECT(Index!$L$9),"&lt;"&amp;EDATE($A172,3))=0,"",AVERAGEIFS(INDIRECT(Index!$M$9),INDIRECT(Index!$L$9),"&gt;="&amp;$A172,INDIRECT(Index!$L$9),"&lt;"&amp;EDATE($A172,3))),"")</f>
        <v/>
      </c>
      <c r="C172" s="29" t="str">
        <f aca="false">IFERROR(B172/B171-1,"")</f>
        <v/>
      </c>
      <c r="D172" s="29" t="str">
        <f aca="false">IFERROR(B172/B168-1,"")</f>
        <v/>
      </c>
      <c r="E172" s="31" t="str">
        <f aca="false">IFERROR(IF(AND(B172="",ISNUMBER($C$108),ISNUMBER($G$108)),$C$108*(1+$G$108)^(($A172-$E$108)/365.25),""),"")</f>
        <v/>
      </c>
      <c r="F172" s="31" t="str">
        <f aca="false">IFERROR(IF(AND(B172="",ISNUMBER($C$108),ISNUMBER($G$108)),$C$108*(1+$G$108*0.85^MAX(0,($A172-$E$108)/91.25))^(($A172-$E$108)/365.25),""),"")</f>
        <v/>
      </c>
    </row>
    <row r="173" customFormat="false" ht="15" hidden="false" customHeight="false" outlineLevel="0" collapsed="false">
      <c r="A173" s="15" t="n">
        <v>45108</v>
      </c>
      <c r="B173" s="20" t="str">
        <f aca="true">IFERROR(IF(AVERAGEIFS(INDIRECT(Index!$M$9),INDIRECT(Index!$L$9),"&gt;="&amp;$A173,INDIRECT(Index!$L$9),"&lt;"&amp;EDATE($A173,3))=0,"",AVERAGEIFS(INDIRECT(Index!$M$9),INDIRECT(Index!$L$9),"&gt;="&amp;$A173,INDIRECT(Index!$L$9),"&lt;"&amp;EDATE($A173,3))),"")</f>
        <v/>
      </c>
      <c r="C173" s="33" t="str">
        <f aca="false">IFERROR(B173/B172-1,"")</f>
        <v/>
      </c>
      <c r="D173" s="33" t="str">
        <f aca="false">IFERROR(B173/B169-1,"")</f>
        <v/>
      </c>
      <c r="E173" s="25" t="str">
        <f aca="false">IFERROR(IF(AND(B173="",ISNUMBER($C$108),ISNUMBER($G$108)),$C$108*(1+$G$108)^(($A173-$E$108)/365.25),""),"")</f>
        <v/>
      </c>
      <c r="F173" s="25" t="str">
        <f aca="false">IFERROR(IF(AND(B173="",ISNUMBER($C$108),ISNUMBER($G$108)),$C$108*(1+$G$108*0.85^MAX(0,($A173-$E$108)/91.25))^(($A173-$E$108)/365.25),""),"")</f>
        <v/>
      </c>
    </row>
    <row r="174" customFormat="false" ht="15" hidden="false" customHeight="false" outlineLevel="0" collapsed="false">
      <c r="A174" s="27" t="n">
        <v>45200</v>
      </c>
      <c r="B174" s="28" t="str">
        <f aca="true">IFERROR(IF(AVERAGEIFS(INDIRECT(Index!$M$9),INDIRECT(Index!$L$9),"&gt;="&amp;$A174,INDIRECT(Index!$L$9),"&lt;"&amp;EDATE($A174,3))=0,"",AVERAGEIFS(INDIRECT(Index!$M$9),INDIRECT(Index!$L$9),"&gt;="&amp;$A174,INDIRECT(Index!$L$9),"&lt;"&amp;EDATE($A174,3))),"")</f>
        <v/>
      </c>
      <c r="C174" s="29" t="str">
        <f aca="false">IFERROR(B174/B173-1,"")</f>
        <v/>
      </c>
      <c r="D174" s="29" t="str">
        <f aca="false">IFERROR(B174/B170-1,"")</f>
        <v/>
      </c>
      <c r="E174" s="31" t="str">
        <f aca="false">IFERROR(IF(AND(B174="",ISNUMBER($C$108),ISNUMBER($G$108)),$C$108*(1+$G$108)^(($A174-$E$108)/365.25),""),"")</f>
        <v/>
      </c>
      <c r="F174" s="31" t="str">
        <f aca="false">IFERROR(IF(AND(B174="",ISNUMBER($C$108),ISNUMBER($G$108)),$C$108*(1+$G$108*0.85^MAX(0,($A174-$E$108)/91.25))^(($A174-$E$108)/365.25),""),"")</f>
        <v/>
      </c>
    </row>
    <row r="175" customFormat="false" ht="15" hidden="false" customHeight="false" outlineLevel="0" collapsed="false">
      <c r="A175" s="15" t="n">
        <v>45292</v>
      </c>
      <c r="B175" s="20" t="str">
        <f aca="true">IFERROR(IF(AVERAGEIFS(INDIRECT(Index!$M$9),INDIRECT(Index!$L$9),"&gt;="&amp;$A175,INDIRECT(Index!$L$9),"&lt;"&amp;EDATE($A175,3))=0,"",AVERAGEIFS(INDIRECT(Index!$M$9),INDIRECT(Index!$L$9),"&gt;="&amp;$A175,INDIRECT(Index!$L$9),"&lt;"&amp;EDATE($A175,3))),"")</f>
        <v/>
      </c>
      <c r="C175" s="33" t="str">
        <f aca="false">IFERROR(B175/B174-1,"")</f>
        <v/>
      </c>
      <c r="D175" s="33" t="str">
        <f aca="false">IFERROR(B175/B171-1,"")</f>
        <v/>
      </c>
      <c r="E175" s="25" t="str">
        <f aca="false">IFERROR(IF(AND(B175="",ISNUMBER($C$108),ISNUMBER($G$108)),$C$108*(1+$G$108)^(($A175-$E$108)/365.25),""),"")</f>
        <v/>
      </c>
      <c r="F175" s="25" t="str">
        <f aca="false">IFERROR(IF(AND(B175="",ISNUMBER($C$108),ISNUMBER($G$108)),$C$108*(1+$G$108*0.85^MAX(0,($A175-$E$108)/91.25))^(($A175-$E$108)/365.25),""),"")</f>
        <v/>
      </c>
    </row>
    <row r="176" customFormat="false" ht="15" hidden="false" customHeight="false" outlineLevel="0" collapsed="false">
      <c r="A176" s="27" t="n">
        <v>45383</v>
      </c>
      <c r="B176" s="28" t="str">
        <f aca="true">IFERROR(IF(AVERAGEIFS(INDIRECT(Index!$M$9),INDIRECT(Index!$L$9),"&gt;="&amp;$A176,INDIRECT(Index!$L$9),"&lt;"&amp;EDATE($A176,3))=0,"",AVERAGEIFS(INDIRECT(Index!$M$9),INDIRECT(Index!$L$9),"&gt;="&amp;$A176,INDIRECT(Index!$L$9),"&lt;"&amp;EDATE($A176,3))),"")</f>
        <v/>
      </c>
      <c r="C176" s="29" t="str">
        <f aca="false">IFERROR(B176/B175-1,"")</f>
        <v/>
      </c>
      <c r="D176" s="29" t="str">
        <f aca="false">IFERROR(B176/B172-1,"")</f>
        <v/>
      </c>
      <c r="E176" s="31" t="str">
        <f aca="false">IFERROR(IF(AND(B176="",ISNUMBER($C$108),ISNUMBER($G$108)),$C$108*(1+$G$108)^(($A176-$E$108)/365.25),""),"")</f>
        <v/>
      </c>
      <c r="F176" s="31" t="str">
        <f aca="false">IFERROR(IF(AND(B176="",ISNUMBER($C$108),ISNUMBER($G$108)),$C$108*(1+$G$108*0.85^MAX(0,($A176-$E$108)/91.25))^(($A176-$E$108)/365.25),""),"")</f>
        <v/>
      </c>
    </row>
    <row r="177" customFormat="false" ht="15" hidden="false" customHeight="false" outlineLevel="0" collapsed="false">
      <c r="A177" s="15" t="n">
        <v>45474</v>
      </c>
      <c r="B177" s="20" t="str">
        <f aca="true">IFERROR(IF(AVERAGEIFS(INDIRECT(Index!$M$9),INDIRECT(Index!$L$9),"&gt;="&amp;$A177,INDIRECT(Index!$L$9),"&lt;"&amp;EDATE($A177,3))=0,"",AVERAGEIFS(INDIRECT(Index!$M$9),INDIRECT(Index!$L$9),"&gt;="&amp;$A177,INDIRECT(Index!$L$9),"&lt;"&amp;EDATE($A177,3))),"")</f>
        <v/>
      </c>
      <c r="C177" s="33" t="str">
        <f aca="false">IFERROR(B177/B176-1,"")</f>
        <v/>
      </c>
      <c r="D177" s="33" t="str">
        <f aca="false">IFERROR(B177/B173-1,"")</f>
        <v/>
      </c>
      <c r="E177" s="25" t="str">
        <f aca="false">IFERROR(IF(AND(B177="",ISNUMBER($C$108),ISNUMBER($G$108)),$C$108*(1+$G$108)^(($A177-$E$108)/365.25),""),"")</f>
        <v/>
      </c>
      <c r="F177" s="25" t="str">
        <f aca="false">IFERROR(IF(AND(B177="",ISNUMBER($C$108),ISNUMBER($G$108)),$C$108*(1+$G$108*0.85^MAX(0,($A177-$E$108)/91.25))^(($A177-$E$108)/365.25),""),"")</f>
        <v/>
      </c>
    </row>
    <row r="178" customFormat="false" ht="15" hidden="false" customHeight="false" outlineLevel="0" collapsed="false">
      <c r="A178" s="27" t="n">
        <v>45566</v>
      </c>
      <c r="B178" s="28" t="str">
        <f aca="true">IFERROR(IF(AVERAGEIFS(INDIRECT(Index!$M$9),INDIRECT(Index!$L$9),"&gt;="&amp;$A178,INDIRECT(Index!$L$9),"&lt;"&amp;EDATE($A178,3))=0,"",AVERAGEIFS(INDIRECT(Index!$M$9),INDIRECT(Index!$L$9),"&gt;="&amp;$A178,INDIRECT(Index!$L$9),"&lt;"&amp;EDATE($A178,3))),"")</f>
        <v/>
      </c>
      <c r="C178" s="29" t="str">
        <f aca="false">IFERROR(B178/B177-1,"")</f>
        <v/>
      </c>
      <c r="D178" s="29" t="str">
        <f aca="false">IFERROR(B178/B174-1,"")</f>
        <v/>
      </c>
      <c r="E178" s="31" t="str">
        <f aca="false">IFERROR(IF(AND(B178="",ISNUMBER($C$108),ISNUMBER($G$108)),$C$108*(1+$G$108)^(($A178-$E$108)/365.25),""),"")</f>
        <v/>
      </c>
      <c r="F178" s="31" t="str">
        <f aca="false">IFERROR(IF(AND(B178="",ISNUMBER($C$108),ISNUMBER($G$108)),$C$108*(1+$G$108*0.85^MAX(0,($A178-$E$108)/91.25))^(($A178-$E$108)/365.25),""),"")</f>
        <v/>
      </c>
    </row>
    <row r="179" customFormat="false" ht="15" hidden="false" customHeight="false" outlineLevel="0" collapsed="false">
      <c r="A179" s="15" t="n">
        <v>45658</v>
      </c>
      <c r="B179" s="20" t="str">
        <f aca="true">IFERROR(IF(AVERAGEIFS(INDIRECT(Index!$M$9),INDIRECT(Index!$L$9),"&gt;="&amp;$A179,INDIRECT(Index!$L$9),"&lt;"&amp;EDATE($A179,3))=0,"",AVERAGEIFS(INDIRECT(Index!$M$9),INDIRECT(Index!$L$9),"&gt;="&amp;$A179,INDIRECT(Index!$L$9),"&lt;"&amp;EDATE($A179,3))),"")</f>
        <v/>
      </c>
      <c r="C179" s="33" t="str">
        <f aca="false">IFERROR(B179/B178-1,"")</f>
        <v/>
      </c>
      <c r="D179" s="33" t="str">
        <f aca="false">IFERROR(B179/B175-1,"")</f>
        <v/>
      </c>
      <c r="E179" s="25" t="str">
        <f aca="false">IFERROR(IF(AND(B179="",ISNUMBER($C$108),ISNUMBER($G$108)),$C$108*(1+$G$108)^(($A179-$E$108)/365.25),""),"")</f>
        <v/>
      </c>
      <c r="F179" s="25" t="str">
        <f aca="false">IFERROR(IF(AND(B179="",ISNUMBER($C$108),ISNUMBER($G$108)),$C$108*(1+$G$108*0.85^MAX(0,($A179-$E$108)/91.25))^(($A179-$E$108)/365.25),""),"")</f>
        <v/>
      </c>
    </row>
    <row r="180" customFormat="false" ht="15" hidden="false" customHeight="false" outlineLevel="0" collapsed="false">
      <c r="A180" s="27" t="n">
        <v>45748</v>
      </c>
      <c r="B180" s="28" t="str">
        <f aca="true">IFERROR(IF(AVERAGEIFS(INDIRECT(Index!$M$9),INDIRECT(Index!$L$9),"&gt;="&amp;$A180,INDIRECT(Index!$L$9),"&lt;"&amp;EDATE($A180,3))=0,"",AVERAGEIFS(INDIRECT(Index!$M$9),INDIRECT(Index!$L$9),"&gt;="&amp;$A180,INDIRECT(Index!$L$9),"&lt;"&amp;EDATE($A180,3))),"")</f>
        <v/>
      </c>
      <c r="C180" s="29" t="str">
        <f aca="false">IFERROR(B180/B179-1,"")</f>
        <v/>
      </c>
      <c r="D180" s="29" t="str">
        <f aca="false">IFERROR(B180/B176-1,"")</f>
        <v/>
      </c>
      <c r="E180" s="31" t="str">
        <f aca="false">IFERROR(IF(AND(B180="",ISNUMBER($C$108),ISNUMBER($G$108)),$C$108*(1+$G$108)^(($A180-$E$108)/365.25),""),"")</f>
        <v/>
      </c>
      <c r="F180" s="31" t="str">
        <f aca="false">IFERROR(IF(AND(B180="",ISNUMBER($C$108),ISNUMBER($G$108)),$C$108*(1+$G$108*0.85^MAX(0,($A180-$E$108)/91.25))^(($A180-$E$108)/365.25),""),"")</f>
        <v/>
      </c>
    </row>
    <row r="181" customFormat="false" ht="15" hidden="false" customHeight="false" outlineLevel="0" collapsed="false">
      <c r="A181" s="15" t="n">
        <v>45839</v>
      </c>
      <c r="B181" s="20" t="str">
        <f aca="true">IFERROR(IF(AVERAGEIFS(INDIRECT(Index!$M$9),INDIRECT(Index!$L$9),"&gt;="&amp;$A181,INDIRECT(Index!$L$9),"&lt;"&amp;EDATE($A181,3))=0,"",AVERAGEIFS(INDIRECT(Index!$M$9),INDIRECT(Index!$L$9),"&gt;="&amp;$A181,INDIRECT(Index!$L$9),"&lt;"&amp;EDATE($A181,3))),"")</f>
        <v/>
      </c>
      <c r="C181" s="33" t="str">
        <f aca="false">IFERROR(B181/B180-1,"")</f>
        <v/>
      </c>
      <c r="D181" s="33" t="str">
        <f aca="false">IFERROR(B181/B177-1,"")</f>
        <v/>
      </c>
      <c r="E181" s="25" t="str">
        <f aca="false">IFERROR(IF(AND(B181="",ISNUMBER($C$108),ISNUMBER($G$108)),$C$108*(1+$G$108)^(($A181-$E$108)/365.25),""),"")</f>
        <v/>
      </c>
      <c r="F181" s="25" t="str">
        <f aca="false">IFERROR(IF(AND(B181="",ISNUMBER($C$108),ISNUMBER($G$108)),$C$108*(1+$G$108*0.85^MAX(0,($A181-$E$108)/91.25))^(($A181-$E$108)/365.25),""),"")</f>
        <v/>
      </c>
    </row>
    <row r="182" customFormat="false" ht="15" hidden="false" customHeight="false" outlineLevel="0" collapsed="false">
      <c r="A182" s="27" t="n">
        <v>45931</v>
      </c>
      <c r="B182" s="28" t="str">
        <f aca="true">IFERROR(IF(AVERAGEIFS(INDIRECT(Index!$M$9),INDIRECT(Index!$L$9),"&gt;="&amp;$A182,INDIRECT(Index!$L$9),"&lt;"&amp;EDATE($A182,3))=0,"",AVERAGEIFS(INDIRECT(Index!$M$9),INDIRECT(Index!$L$9),"&gt;="&amp;$A182,INDIRECT(Index!$L$9),"&lt;"&amp;EDATE($A182,3))),"")</f>
        <v/>
      </c>
      <c r="C182" s="29" t="str">
        <f aca="false">IFERROR(B182/B181-1,"")</f>
        <v/>
      </c>
      <c r="D182" s="29" t="str">
        <f aca="false">IFERROR(B182/B178-1,"")</f>
        <v/>
      </c>
      <c r="E182" s="31" t="str">
        <f aca="false">IFERROR(IF(AND(B182="",ISNUMBER($C$108),ISNUMBER($G$108)),$C$108*(1+$G$108)^(($A182-$E$108)/365.25),""),"")</f>
        <v/>
      </c>
      <c r="F182" s="31" t="str">
        <f aca="false">IFERROR(IF(AND(B182="",ISNUMBER($C$108),ISNUMBER($G$108)),$C$108*(1+$G$108*0.85^MAX(0,($A182-$E$108)/91.25))^(($A182-$E$108)/365.25),""),"")</f>
        <v/>
      </c>
    </row>
    <row r="183" customFormat="false" ht="15" hidden="false" customHeight="false" outlineLevel="0" collapsed="false">
      <c r="A183" s="15" t="n">
        <v>46023</v>
      </c>
      <c r="B183" s="20" t="str">
        <f aca="true">IFERROR(IF(AVERAGEIFS(INDIRECT(Index!$M$9),INDIRECT(Index!$L$9),"&gt;="&amp;$A183,INDIRECT(Index!$L$9),"&lt;"&amp;EDATE($A183,3))=0,"",AVERAGEIFS(INDIRECT(Index!$M$9),INDIRECT(Index!$L$9),"&gt;="&amp;$A183,INDIRECT(Index!$L$9),"&lt;"&amp;EDATE($A183,3))),"")</f>
        <v/>
      </c>
      <c r="C183" s="33" t="str">
        <f aca="false">IFERROR(B183/B182-1,"")</f>
        <v/>
      </c>
      <c r="D183" s="33" t="str">
        <f aca="false">IFERROR(B183/B179-1,"")</f>
        <v/>
      </c>
      <c r="E183" s="25" t="str">
        <f aca="false">IFERROR(IF(AND(B183="",ISNUMBER($C$108),ISNUMBER($G$108)),$C$108*(1+$G$108)^(($A183-$E$108)/365.25),""),"")</f>
        <v/>
      </c>
      <c r="F183" s="25" t="str">
        <f aca="false">IFERROR(IF(AND(B183="",ISNUMBER($C$108),ISNUMBER($G$108)),$C$108*(1+$G$108*0.85^MAX(0,($A183-$E$108)/91.25))^(($A183-$E$108)/365.25),""),"")</f>
        <v/>
      </c>
    </row>
    <row r="184" customFormat="false" ht="15" hidden="false" customHeight="false" outlineLevel="0" collapsed="false">
      <c r="A184" s="27" t="n">
        <v>46113</v>
      </c>
      <c r="B184" s="28" t="str">
        <f aca="true">IFERROR(IF(AVERAGEIFS(INDIRECT(Index!$M$9),INDIRECT(Index!$L$9),"&gt;="&amp;$A184,INDIRECT(Index!$L$9),"&lt;"&amp;EDATE($A184,3))=0,"",AVERAGEIFS(INDIRECT(Index!$M$9),INDIRECT(Index!$L$9),"&gt;="&amp;$A184,INDIRECT(Index!$L$9),"&lt;"&amp;EDATE($A184,3))),"")</f>
        <v/>
      </c>
      <c r="C184" s="29" t="str">
        <f aca="false">IFERROR(B184/B183-1,"")</f>
        <v/>
      </c>
      <c r="D184" s="29" t="str">
        <f aca="false">IFERROR(B184/B180-1,"")</f>
        <v/>
      </c>
      <c r="E184" s="31" t="str">
        <f aca="false">IFERROR(IF(AND(B184="",ISNUMBER($C$108),ISNUMBER($G$108)),$C$108*(1+$G$108)^(($A184-$E$108)/365.25),""),"")</f>
        <v/>
      </c>
      <c r="F184" s="31" t="str">
        <f aca="false">IFERROR(IF(AND(B184="",ISNUMBER($C$108),ISNUMBER($G$108)),$C$108*(1+$G$108*0.85^MAX(0,($A184-$E$108)/91.25))^(($A184-$E$108)/365.25),""),"")</f>
        <v/>
      </c>
    </row>
    <row r="185" customFormat="false" ht="15" hidden="false" customHeight="false" outlineLevel="0" collapsed="false">
      <c r="A185" s="15" t="n">
        <v>46204</v>
      </c>
      <c r="B185" s="20" t="str">
        <f aca="true">IFERROR(IF(AVERAGEIFS(INDIRECT(Index!$M$9),INDIRECT(Index!$L$9),"&gt;="&amp;$A185,INDIRECT(Index!$L$9),"&lt;"&amp;EDATE($A185,3))=0,"",AVERAGEIFS(INDIRECT(Index!$M$9),INDIRECT(Index!$L$9),"&gt;="&amp;$A185,INDIRECT(Index!$L$9),"&lt;"&amp;EDATE($A185,3))),"")</f>
        <v/>
      </c>
      <c r="C185" s="33" t="str">
        <f aca="false">IFERROR(B185/B184-1,"")</f>
        <v/>
      </c>
      <c r="D185" s="33" t="str">
        <f aca="false">IFERROR(B185/B181-1,"")</f>
        <v/>
      </c>
      <c r="E185" s="25" t="str">
        <f aca="false">IFERROR(IF(AND(B185="",ISNUMBER($C$108),ISNUMBER($G$108)),$C$108*(1+$G$108)^(($A185-$E$108)/365.25),""),"")</f>
        <v/>
      </c>
      <c r="F185" s="25" t="str">
        <f aca="false">IFERROR(IF(AND(B185="",ISNUMBER($C$108),ISNUMBER($G$108)),$C$108*(1+$G$108*0.85^MAX(0,($A185-$E$108)/91.25))^(($A185-$E$108)/365.25),""),"")</f>
        <v/>
      </c>
    </row>
    <row r="186" customFormat="false" ht="15" hidden="false" customHeight="false" outlineLevel="0" collapsed="false">
      <c r="A186" s="27" t="n">
        <v>46296</v>
      </c>
      <c r="B186" s="28" t="str">
        <f aca="true">IFERROR(IF(AVERAGEIFS(INDIRECT(Index!$M$9),INDIRECT(Index!$L$9),"&gt;="&amp;$A186,INDIRECT(Index!$L$9),"&lt;"&amp;EDATE($A186,3))=0,"",AVERAGEIFS(INDIRECT(Index!$M$9),INDIRECT(Index!$L$9),"&gt;="&amp;$A186,INDIRECT(Index!$L$9),"&lt;"&amp;EDATE($A186,3))),"")</f>
        <v/>
      </c>
      <c r="C186" s="29" t="str">
        <f aca="false">IFERROR(B186/B185-1,"")</f>
        <v/>
      </c>
      <c r="D186" s="29" t="str">
        <f aca="false">IFERROR(B186/B182-1,"")</f>
        <v/>
      </c>
      <c r="E186" s="31" t="str">
        <f aca="false">IFERROR(IF(AND(B186="",ISNUMBER($C$108),ISNUMBER($G$108)),$C$108*(1+$G$108)^(($A186-$E$108)/365.25),""),"")</f>
        <v/>
      </c>
      <c r="F186" s="31" t="str">
        <f aca="false">IFERROR(IF(AND(B186="",ISNUMBER($C$108),ISNUMBER($G$108)),$C$108*(1+$G$108*0.85^MAX(0,($A186-$E$108)/91.25))^(($A186-$E$108)/365.25),""),"")</f>
        <v/>
      </c>
    </row>
    <row r="187" customFormat="false" ht="15" hidden="false" customHeight="false" outlineLevel="0" collapsed="false">
      <c r="A187" s="15" t="n">
        <v>46388</v>
      </c>
      <c r="B187" s="20" t="str">
        <f aca="true">IFERROR(IF(AVERAGEIFS(INDIRECT(Index!$M$9),INDIRECT(Index!$L$9),"&gt;="&amp;$A187,INDIRECT(Index!$L$9),"&lt;"&amp;EDATE($A187,3))=0,"",AVERAGEIFS(INDIRECT(Index!$M$9),INDIRECT(Index!$L$9),"&gt;="&amp;$A187,INDIRECT(Index!$L$9),"&lt;"&amp;EDATE($A187,3))),"")</f>
        <v/>
      </c>
      <c r="C187" s="33" t="str">
        <f aca="false">IFERROR(B187/B186-1,"")</f>
        <v/>
      </c>
      <c r="D187" s="33" t="str">
        <f aca="false">IFERROR(B187/B183-1,"")</f>
        <v/>
      </c>
      <c r="E187" s="25" t="str">
        <f aca="false">IFERROR(IF(AND(B187="",ISNUMBER($C$108),ISNUMBER($G$108)),$C$108*(1+$G$108)^(($A187-$E$108)/365.25),""),"")</f>
        <v/>
      </c>
      <c r="F187" s="25" t="str">
        <f aca="false">IFERROR(IF(AND(B187="",ISNUMBER($C$108),ISNUMBER($G$108)),$C$108*(1+$G$108*0.85^MAX(0,($A187-$E$108)/91.25))^(($A187-$E$108)/365.25),""),"")</f>
        <v/>
      </c>
    </row>
    <row r="188" customFormat="false" ht="15" hidden="false" customHeight="false" outlineLevel="0" collapsed="false">
      <c r="A188" s="27" t="n">
        <v>46478</v>
      </c>
      <c r="B188" s="28" t="str">
        <f aca="true">IFERROR(IF(AVERAGEIFS(INDIRECT(Index!$M$9),INDIRECT(Index!$L$9),"&gt;="&amp;$A188,INDIRECT(Index!$L$9),"&lt;"&amp;EDATE($A188,3))=0,"",AVERAGEIFS(INDIRECT(Index!$M$9),INDIRECT(Index!$L$9),"&gt;="&amp;$A188,INDIRECT(Index!$L$9),"&lt;"&amp;EDATE($A188,3))),"")</f>
        <v/>
      </c>
      <c r="C188" s="29" t="str">
        <f aca="false">IFERROR(B188/B187-1,"")</f>
        <v/>
      </c>
      <c r="D188" s="29" t="str">
        <f aca="false">IFERROR(B188/B184-1,"")</f>
        <v/>
      </c>
      <c r="E188" s="31" t="str">
        <f aca="false">IFERROR(IF(AND(B188="",ISNUMBER($C$108),ISNUMBER($G$108)),$C$108*(1+$G$108)^(($A188-$E$108)/365.25),""),"")</f>
        <v/>
      </c>
      <c r="F188" s="31" t="str">
        <f aca="false">IFERROR(IF(AND(B188="",ISNUMBER($C$108),ISNUMBER($G$108)),$C$108*(1+$G$108*0.85^MAX(0,($A188-$E$108)/91.25))^(($A188-$E$108)/365.25),""),"")</f>
        <v/>
      </c>
    </row>
    <row r="189" customFormat="false" ht="15" hidden="false" customHeight="false" outlineLevel="0" collapsed="false">
      <c r="A189" s="15" t="n">
        <v>46569</v>
      </c>
      <c r="B189" s="20" t="str">
        <f aca="true">IFERROR(IF(AVERAGEIFS(INDIRECT(Index!$M$9),INDIRECT(Index!$L$9),"&gt;="&amp;$A189,INDIRECT(Index!$L$9),"&lt;"&amp;EDATE($A189,3))=0,"",AVERAGEIFS(INDIRECT(Index!$M$9),INDIRECT(Index!$L$9),"&gt;="&amp;$A189,INDIRECT(Index!$L$9),"&lt;"&amp;EDATE($A189,3))),"")</f>
        <v/>
      </c>
      <c r="C189" s="33" t="str">
        <f aca="false">IFERROR(B189/B188-1,"")</f>
        <v/>
      </c>
      <c r="D189" s="33" t="str">
        <f aca="false">IFERROR(B189/B185-1,"")</f>
        <v/>
      </c>
      <c r="E189" s="25" t="str">
        <f aca="false">IFERROR(IF(AND(B189="",ISNUMBER($C$108),ISNUMBER($G$108)),$C$108*(1+$G$108)^(($A189-$E$108)/365.25),""),"")</f>
        <v/>
      </c>
      <c r="F189" s="25" t="str">
        <f aca="false">IFERROR(IF(AND(B189="",ISNUMBER($C$108),ISNUMBER($G$108)),$C$108*(1+$G$108*0.85^MAX(0,($A189-$E$108)/91.25))^(($A189-$E$108)/365.25),""),"")</f>
        <v/>
      </c>
    </row>
    <row r="190" customFormat="false" ht="15" hidden="false" customHeight="false" outlineLevel="0" collapsed="false">
      <c r="A190" s="27" t="n">
        <v>46661</v>
      </c>
      <c r="B190" s="28" t="str">
        <f aca="true">IFERROR(IF(AVERAGEIFS(INDIRECT(Index!$M$9),INDIRECT(Index!$L$9),"&gt;="&amp;$A190,INDIRECT(Index!$L$9),"&lt;"&amp;EDATE($A190,3))=0,"",AVERAGEIFS(INDIRECT(Index!$M$9),INDIRECT(Index!$L$9),"&gt;="&amp;$A190,INDIRECT(Index!$L$9),"&lt;"&amp;EDATE($A190,3))),"")</f>
        <v/>
      </c>
      <c r="C190" s="29" t="str">
        <f aca="false">IFERROR(B190/B189-1,"")</f>
        <v/>
      </c>
      <c r="D190" s="29" t="str">
        <f aca="false">IFERROR(B190/B186-1,"")</f>
        <v/>
      </c>
      <c r="E190" s="31" t="str">
        <f aca="false">IFERROR(IF(AND(B190="",ISNUMBER($C$108),ISNUMBER($G$108)),$C$108*(1+$G$108)^(($A190-$E$108)/365.25),""),"")</f>
        <v/>
      </c>
      <c r="F190" s="31" t="str">
        <f aca="false">IFERROR(IF(AND(B190="",ISNUMBER($C$108),ISNUMBER($G$108)),$C$108*(1+$G$108*0.85^MAX(0,($A190-$E$108)/91.25))^(($A190-$E$108)/365.25),""),"")</f>
        <v/>
      </c>
    </row>
    <row r="191" customFormat="false" ht="15" hidden="false" customHeight="false" outlineLevel="0" collapsed="false">
      <c r="A191" s="15" t="n">
        <v>46753</v>
      </c>
      <c r="B191" s="20" t="str">
        <f aca="true">IFERROR(IF(AVERAGEIFS(INDIRECT(Index!$M$9),INDIRECT(Index!$L$9),"&gt;="&amp;$A191,INDIRECT(Index!$L$9),"&lt;"&amp;EDATE($A191,3))=0,"",AVERAGEIFS(INDIRECT(Index!$M$9),INDIRECT(Index!$L$9),"&gt;="&amp;$A191,INDIRECT(Index!$L$9),"&lt;"&amp;EDATE($A191,3))),"")</f>
        <v/>
      </c>
      <c r="C191" s="33" t="str">
        <f aca="false">IFERROR(B191/B190-1,"")</f>
        <v/>
      </c>
      <c r="D191" s="33" t="str">
        <f aca="false">IFERROR(B191/B187-1,"")</f>
        <v/>
      </c>
      <c r="E191" s="25" t="str">
        <f aca="false">IFERROR(IF(AND(B191="",ISNUMBER($C$108),ISNUMBER($G$108)),$C$108*(1+$G$108)^(($A191-$E$108)/365.25),""),"")</f>
        <v/>
      </c>
      <c r="F191" s="25" t="str">
        <f aca="false">IFERROR(IF(AND(B191="",ISNUMBER($C$108),ISNUMBER($G$108)),$C$108*(1+$G$108*0.85^MAX(0,($A191-$E$108)/91.25))^(($A191-$E$108)/365.25),""),"")</f>
        <v/>
      </c>
    </row>
    <row r="192" customFormat="false" ht="15" hidden="false" customHeight="false" outlineLevel="0" collapsed="false">
      <c r="A192" s="27" t="n">
        <v>46844</v>
      </c>
      <c r="B192" s="28" t="str">
        <f aca="true">IFERROR(IF(AVERAGEIFS(INDIRECT(Index!$M$9),INDIRECT(Index!$L$9),"&gt;="&amp;$A192,INDIRECT(Index!$L$9),"&lt;"&amp;EDATE($A192,3))=0,"",AVERAGEIFS(INDIRECT(Index!$M$9),INDIRECT(Index!$L$9),"&gt;="&amp;$A192,INDIRECT(Index!$L$9),"&lt;"&amp;EDATE($A192,3))),"")</f>
        <v/>
      </c>
      <c r="C192" s="29" t="str">
        <f aca="false">IFERROR(B192/B191-1,"")</f>
        <v/>
      </c>
      <c r="D192" s="29" t="str">
        <f aca="false">IFERROR(B192/B188-1,"")</f>
        <v/>
      </c>
      <c r="E192" s="31" t="str">
        <f aca="false">IFERROR(IF(AND(B192="",ISNUMBER($C$108),ISNUMBER($G$108)),$C$108*(1+$G$108)^(($A192-$E$108)/365.25),""),"")</f>
        <v/>
      </c>
      <c r="F192" s="31" t="str">
        <f aca="false">IFERROR(IF(AND(B192="",ISNUMBER($C$108),ISNUMBER($G$108)),$C$108*(1+$G$108*0.85^MAX(0,($A192-$E$108)/91.25))^(($A192-$E$108)/365.25),""),"")</f>
        <v/>
      </c>
    </row>
    <row r="193" customFormat="false" ht="15" hidden="false" customHeight="false" outlineLevel="0" collapsed="false">
      <c r="A193" s="15" t="n">
        <v>46935</v>
      </c>
      <c r="B193" s="20" t="str">
        <f aca="true">IFERROR(IF(AVERAGEIFS(INDIRECT(Index!$M$9),INDIRECT(Index!$L$9),"&gt;="&amp;$A193,INDIRECT(Index!$L$9),"&lt;"&amp;EDATE($A193,3))=0,"",AVERAGEIFS(INDIRECT(Index!$M$9),INDIRECT(Index!$L$9),"&gt;="&amp;$A193,INDIRECT(Index!$L$9),"&lt;"&amp;EDATE($A193,3))),"")</f>
        <v/>
      </c>
      <c r="C193" s="33" t="str">
        <f aca="false">IFERROR(B193/B192-1,"")</f>
        <v/>
      </c>
      <c r="D193" s="33" t="str">
        <f aca="false">IFERROR(B193/B189-1,"")</f>
        <v/>
      </c>
      <c r="E193" s="25" t="str">
        <f aca="false">IFERROR(IF(AND(B193="",ISNUMBER($C$108),ISNUMBER($G$108)),$C$108*(1+$G$108)^(($A193-$E$108)/365.25),""),"")</f>
        <v/>
      </c>
      <c r="F193" s="25" t="str">
        <f aca="false">IFERROR(IF(AND(B193="",ISNUMBER($C$108),ISNUMBER($G$108)),$C$108*(1+$G$108*0.85^MAX(0,($A193-$E$108)/91.25))^(($A193-$E$108)/365.25),""),"")</f>
        <v/>
      </c>
    </row>
    <row r="194" customFormat="false" ht="15" hidden="false" customHeight="false" outlineLevel="0" collapsed="false">
      <c r="A194" s="27" t="n">
        <v>47027</v>
      </c>
      <c r="B194" s="28" t="str">
        <f aca="true">IFERROR(IF(AVERAGEIFS(INDIRECT(Index!$M$9),INDIRECT(Index!$L$9),"&gt;="&amp;$A194,INDIRECT(Index!$L$9),"&lt;"&amp;EDATE($A194,3))=0,"",AVERAGEIFS(INDIRECT(Index!$M$9),INDIRECT(Index!$L$9),"&gt;="&amp;$A194,INDIRECT(Index!$L$9),"&lt;"&amp;EDATE($A194,3))),"")</f>
        <v/>
      </c>
      <c r="C194" s="29" t="str">
        <f aca="false">IFERROR(B194/B193-1,"")</f>
        <v/>
      </c>
      <c r="D194" s="29" t="str">
        <f aca="false">IFERROR(B194/B190-1,"")</f>
        <v/>
      </c>
      <c r="E194" s="31" t="str">
        <f aca="false">IFERROR(IF(AND(B194="",ISNUMBER($C$108),ISNUMBER($G$108)),$C$108*(1+$G$108)^(($A194-$E$108)/365.25),""),"")</f>
        <v/>
      </c>
      <c r="F194" s="31" t="str">
        <f aca="false">IFERROR(IF(AND(B194="",ISNUMBER($C$108),ISNUMBER($G$108)),$C$108*(1+$G$108*0.85^MAX(0,($A194-$E$108)/91.25))^(($A194-$E$108)/365.25),""),"")</f>
        <v/>
      </c>
    </row>
    <row r="195" customFormat="false" ht="15" hidden="false" customHeight="false" outlineLevel="0" collapsed="false">
      <c r="A195" s="15" t="n">
        <v>47119</v>
      </c>
      <c r="B195" s="20" t="str">
        <f aca="true">IFERROR(IF(AVERAGEIFS(INDIRECT(Index!$M$9),INDIRECT(Index!$L$9),"&gt;="&amp;$A195,INDIRECT(Index!$L$9),"&lt;"&amp;EDATE($A195,3))=0,"",AVERAGEIFS(INDIRECT(Index!$M$9),INDIRECT(Index!$L$9),"&gt;="&amp;$A195,INDIRECT(Index!$L$9),"&lt;"&amp;EDATE($A195,3))),"")</f>
        <v/>
      </c>
      <c r="C195" s="33" t="str">
        <f aca="false">IFERROR(B195/B194-1,"")</f>
        <v/>
      </c>
      <c r="D195" s="33" t="str">
        <f aca="false">IFERROR(B195/B191-1,"")</f>
        <v/>
      </c>
      <c r="E195" s="25" t="str">
        <f aca="false">IFERROR(IF(AND(B195="",ISNUMBER($C$108),ISNUMBER($G$108)),$C$108*(1+$G$108)^(($A195-$E$108)/365.25),""),"")</f>
        <v/>
      </c>
      <c r="F195" s="25" t="str">
        <f aca="false">IFERROR(IF(AND(B195="",ISNUMBER($C$108),ISNUMBER($G$108)),$C$108*(1+$G$108*0.85^MAX(0,($A195-$E$108)/91.25))^(($A195-$E$108)/365.25),""),"")</f>
        <v/>
      </c>
    </row>
    <row r="196" customFormat="false" ht="15" hidden="false" customHeight="false" outlineLevel="0" collapsed="false">
      <c r="A196" s="27" t="n">
        <v>47209</v>
      </c>
      <c r="B196" s="28" t="str">
        <f aca="true">IFERROR(IF(AVERAGEIFS(INDIRECT(Index!$M$9),INDIRECT(Index!$L$9),"&gt;="&amp;$A196,INDIRECT(Index!$L$9),"&lt;"&amp;EDATE($A196,3))=0,"",AVERAGEIFS(INDIRECT(Index!$M$9),INDIRECT(Index!$L$9),"&gt;="&amp;$A196,INDIRECT(Index!$L$9),"&lt;"&amp;EDATE($A196,3))),"")</f>
        <v/>
      </c>
      <c r="C196" s="29" t="str">
        <f aca="false">IFERROR(B196/B195-1,"")</f>
        <v/>
      </c>
      <c r="D196" s="29" t="str">
        <f aca="false">IFERROR(B196/B192-1,"")</f>
        <v/>
      </c>
      <c r="E196" s="31" t="str">
        <f aca="false">IFERROR(IF(AND(B196="",ISNUMBER($C$108),ISNUMBER($G$108)),$C$108*(1+$G$108)^(($A196-$E$108)/365.25),""),"")</f>
        <v/>
      </c>
      <c r="F196" s="31" t="str">
        <f aca="false">IFERROR(IF(AND(B196="",ISNUMBER($C$108),ISNUMBER($G$108)),$C$108*(1+$G$108*0.85^MAX(0,($A196-$E$108)/91.25))^(($A196-$E$108)/365.25),""),"")</f>
        <v/>
      </c>
    </row>
    <row r="197" customFormat="false" ht="15" hidden="false" customHeight="false" outlineLevel="0" collapsed="false">
      <c r="A197" s="15" t="n">
        <v>47300</v>
      </c>
      <c r="B197" s="20" t="str">
        <f aca="true">IFERROR(IF(AVERAGEIFS(INDIRECT(Index!$M$9),INDIRECT(Index!$L$9),"&gt;="&amp;$A197,INDIRECT(Index!$L$9),"&lt;"&amp;EDATE($A197,3))=0,"",AVERAGEIFS(INDIRECT(Index!$M$9),INDIRECT(Index!$L$9),"&gt;="&amp;$A197,INDIRECT(Index!$L$9),"&lt;"&amp;EDATE($A197,3))),"")</f>
        <v/>
      </c>
      <c r="C197" s="33" t="str">
        <f aca="false">IFERROR(B197/B196-1,"")</f>
        <v/>
      </c>
      <c r="D197" s="33" t="str">
        <f aca="false">IFERROR(B197/B193-1,"")</f>
        <v/>
      </c>
      <c r="E197" s="25" t="str">
        <f aca="false">IFERROR(IF(AND(B197="",ISNUMBER($C$108),ISNUMBER($G$108)),$C$108*(1+$G$108)^(($A197-$E$108)/365.25),""),"")</f>
        <v/>
      </c>
      <c r="F197" s="25" t="str">
        <f aca="false">IFERROR(IF(AND(B197="",ISNUMBER($C$108),ISNUMBER($G$108)),$C$108*(1+$G$108*0.85^MAX(0,($A197-$E$108)/91.25))^(($A197-$E$108)/365.25),""),"")</f>
        <v/>
      </c>
    </row>
    <row r="198" customFormat="false" ht="15" hidden="false" customHeight="false" outlineLevel="0" collapsed="false">
      <c r="A198" s="27" t="n">
        <v>47392</v>
      </c>
      <c r="B198" s="28" t="str">
        <f aca="true">IFERROR(IF(AVERAGEIFS(INDIRECT(Index!$M$9),INDIRECT(Index!$L$9),"&gt;="&amp;$A198,INDIRECT(Index!$L$9),"&lt;"&amp;EDATE($A198,3))=0,"",AVERAGEIFS(INDIRECT(Index!$M$9),INDIRECT(Index!$L$9),"&gt;="&amp;$A198,INDIRECT(Index!$L$9),"&lt;"&amp;EDATE($A198,3))),"")</f>
        <v/>
      </c>
      <c r="C198" s="29" t="str">
        <f aca="false">IFERROR(B198/B197-1,"")</f>
        <v/>
      </c>
      <c r="D198" s="29" t="str">
        <f aca="false">IFERROR(B198/B194-1,"")</f>
        <v/>
      </c>
      <c r="E198" s="31" t="str">
        <f aca="false">IFERROR(IF(AND(B198="",ISNUMBER($C$108),ISNUMBER($G$108)),$C$108*(1+$G$108)^(($A198-$E$108)/365.25),""),"")</f>
        <v/>
      </c>
      <c r="F198" s="31" t="str">
        <f aca="false">IFERROR(IF(AND(B198="",ISNUMBER($C$108),ISNUMBER($G$108)),$C$108*(1+$G$108*0.85^MAX(0,($A198-$E$108)/91.25))^(($A198-$E$108)/365.25),""),"")</f>
        <v/>
      </c>
    </row>
    <row r="199" customFormat="false" ht="15" hidden="false" customHeight="false" outlineLevel="0" collapsed="false">
      <c r="A199" s="15" t="n">
        <v>47484</v>
      </c>
      <c r="B199" s="20" t="str">
        <f aca="true">IFERROR(IF(AVERAGEIFS(INDIRECT(Index!$M$9),INDIRECT(Index!$L$9),"&gt;="&amp;$A199,INDIRECT(Index!$L$9),"&lt;"&amp;EDATE($A199,3))=0,"",AVERAGEIFS(INDIRECT(Index!$M$9),INDIRECT(Index!$L$9),"&gt;="&amp;$A199,INDIRECT(Index!$L$9),"&lt;"&amp;EDATE($A199,3))),"")</f>
        <v/>
      </c>
      <c r="C199" s="33" t="str">
        <f aca="false">IFERROR(B199/B198-1,"")</f>
        <v/>
      </c>
      <c r="D199" s="33" t="str">
        <f aca="false">IFERROR(B199/B195-1,"")</f>
        <v/>
      </c>
      <c r="E199" s="25" t="str">
        <f aca="false">IFERROR(IF(AND(B199="",ISNUMBER($C$108),ISNUMBER($G$108)),$C$108*(1+$G$108)^(($A199-$E$108)/365.25),""),"")</f>
        <v/>
      </c>
      <c r="F199" s="25" t="str">
        <f aca="false">IFERROR(IF(AND(B199="",ISNUMBER($C$108),ISNUMBER($G$108)),$C$108*(1+$G$108*0.85^MAX(0,($A199-$E$108)/91.25))^(($A199-$E$108)/365.25),""),"")</f>
        <v/>
      </c>
    </row>
    <row r="200" customFormat="false" ht="15" hidden="false" customHeight="false" outlineLevel="0" collapsed="false">
      <c r="A200" s="27" t="n">
        <v>47574</v>
      </c>
      <c r="B200" s="28" t="str">
        <f aca="true">IFERROR(IF(AVERAGEIFS(INDIRECT(Index!$M$9),INDIRECT(Index!$L$9),"&gt;="&amp;$A200,INDIRECT(Index!$L$9),"&lt;"&amp;EDATE($A200,3))=0,"",AVERAGEIFS(INDIRECT(Index!$M$9),INDIRECT(Index!$L$9),"&gt;="&amp;$A200,INDIRECT(Index!$L$9),"&lt;"&amp;EDATE($A200,3))),"")</f>
        <v/>
      </c>
      <c r="C200" s="29" t="str">
        <f aca="false">IFERROR(B200/B199-1,"")</f>
        <v/>
      </c>
      <c r="D200" s="29" t="str">
        <f aca="false">IFERROR(B200/B196-1,"")</f>
        <v/>
      </c>
      <c r="E200" s="31" t="str">
        <f aca="false">IFERROR(IF(AND(B200="",ISNUMBER($C$108),ISNUMBER($G$108)),$C$108*(1+$G$108)^(($A200-$E$108)/365.25),""),"")</f>
        <v/>
      </c>
      <c r="F200" s="31" t="str">
        <f aca="false">IFERROR(IF(AND(B200="",ISNUMBER($C$108),ISNUMBER($G$108)),$C$108*(1+$G$108*0.85^MAX(0,($A200-$E$108)/91.25))^(($A200-$E$108)/365.25),""),"")</f>
        <v/>
      </c>
    </row>
    <row r="201" customFormat="false" ht="15" hidden="false" customHeight="false" outlineLevel="0" collapsed="false">
      <c r="A201" s="15" t="n">
        <v>47665</v>
      </c>
      <c r="B201" s="20" t="str">
        <f aca="true">IFERROR(IF(AVERAGEIFS(INDIRECT(Index!$M$9),INDIRECT(Index!$L$9),"&gt;="&amp;$A201,INDIRECT(Index!$L$9),"&lt;"&amp;EDATE($A201,3))=0,"",AVERAGEIFS(INDIRECT(Index!$M$9),INDIRECT(Index!$L$9),"&gt;="&amp;$A201,INDIRECT(Index!$L$9),"&lt;"&amp;EDATE($A201,3))),"")</f>
        <v/>
      </c>
      <c r="C201" s="33" t="str">
        <f aca="false">IFERROR(B201/B200-1,"")</f>
        <v/>
      </c>
      <c r="D201" s="33" t="str">
        <f aca="false">IFERROR(B201/B197-1,"")</f>
        <v/>
      </c>
      <c r="E201" s="25" t="str">
        <f aca="false">IFERROR(IF(AND(B201="",ISNUMBER($C$108),ISNUMBER($G$108)),$C$108*(1+$G$108)^(($A201-$E$108)/365.25),""),"")</f>
        <v/>
      </c>
      <c r="F201" s="25" t="str">
        <f aca="false">IFERROR(IF(AND(B201="",ISNUMBER($C$108),ISNUMBER($G$108)),$C$108*(1+$G$108*0.85^MAX(0,($A201-$E$108)/91.25))^(($A201-$E$108)/365.25),""),"")</f>
        <v/>
      </c>
    </row>
    <row r="202" customFormat="false" ht="15" hidden="false" customHeight="false" outlineLevel="0" collapsed="false">
      <c r="A202" s="27" t="n">
        <v>47757</v>
      </c>
      <c r="B202" s="28" t="str">
        <f aca="true">IFERROR(IF(AVERAGEIFS(INDIRECT(Index!$M$9),INDIRECT(Index!$L$9),"&gt;="&amp;$A202,INDIRECT(Index!$L$9),"&lt;"&amp;EDATE($A202,3))=0,"",AVERAGEIFS(INDIRECT(Index!$M$9),INDIRECT(Index!$L$9),"&gt;="&amp;$A202,INDIRECT(Index!$L$9),"&lt;"&amp;EDATE($A202,3))),"")</f>
        <v/>
      </c>
      <c r="C202" s="29" t="str">
        <f aca="false">IFERROR(B202/B201-1,"")</f>
        <v/>
      </c>
      <c r="D202" s="29" t="str">
        <f aca="false">IFERROR(B202/B198-1,"")</f>
        <v/>
      </c>
      <c r="E202" s="31" t="str">
        <f aca="false">IFERROR(IF(AND(B202="",ISNUMBER($C$108),ISNUMBER($G$108)),$C$108*(1+$G$108)^(($A202-$E$108)/365.25),""),"")</f>
        <v/>
      </c>
      <c r="F202" s="31" t="str">
        <f aca="false">IFERROR(IF(AND(B202="",ISNUMBER($C$108),ISNUMBER($G$108)),$C$108*(1+$G$108*0.85^MAX(0,($A202-$E$108)/91.25))^(($A202-$E$108)/365.25),""),"")</f>
        <v/>
      </c>
    </row>
    <row r="206" customFormat="false" ht="21.75" hidden="false" customHeight="true" outlineLevel="0" collapsed="false">
      <c r="A206" s="17" t="str">
        <f aca="false">Index!$A$10&amp;"   ("&amp;Index!$I$10&amp;")"</f>
        <v>Wholesale (IPIM)   (Index)</v>
      </c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</row>
    <row r="207" customFormat="false" ht="15" hidden="false" customHeight="false" outlineLevel="0" collapsed="false">
      <c r="A207" s="4" t="s">
        <v>106</v>
      </c>
      <c r="B207" s="18" t="str">
        <f aca="false">Index!$J$10</f>
        <v>avg</v>
      </c>
      <c r="C207" s="4" t="s">
        <v>107</v>
      </c>
      <c r="D207" s="19" t="str">
        <f aca="false">Index!$D$10&amp;" ["&amp;Index!$F$10&amp;Index!$G$10&amp;":"&amp;Index!$F$10&amp;Index!$H$10&amp;"]"</f>
        <v>Data_Monthly [E2:E400]</v>
      </c>
      <c r="E207" s="19"/>
      <c r="F207" s="19"/>
      <c r="G207" s="19"/>
      <c r="H207" s="19"/>
    </row>
    <row r="208" customFormat="false" ht="15" hidden="false" customHeight="false" outlineLevel="0" collapsed="false">
      <c r="A208" s="4" t="s">
        <v>108</v>
      </c>
      <c r="B208" s="6" t="str">
        <f aca="false">IF(Index!$K$10="","",Index!$K$10)</f>
        <v/>
      </c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</row>
    <row r="209" customFormat="false" ht="15" hidden="false" customHeight="false" outlineLevel="0" collapsed="false">
      <c r="A209" s="4" t="s">
        <v>109</v>
      </c>
      <c r="B209" s="4" t="s">
        <v>110</v>
      </c>
      <c r="C209" s="20" t="str">
        <f aca="false">IFERROR(LOOKUP(2,1/($B$212:$B$303&lt;&gt;""),$B$212:$B$303),"")</f>
        <v/>
      </c>
      <c r="D209" s="4" t="s">
        <v>111</v>
      </c>
      <c r="E209" s="21" t="str">
        <f aca="false">IFERROR(LOOKUP(2,1/($B$212:$B$303&lt;&gt;""),$A$212:$A$303),"")</f>
        <v/>
      </c>
      <c r="F209" s="4" t="s">
        <v>112</v>
      </c>
      <c r="G209" s="22" t="str">
        <f aca="false">IFERROR(C209/INDEX($B$212:$B$303,MATCH(EDATE(E209,-12),$A$212:$A$303,0))-1,"")</f>
        <v/>
      </c>
    </row>
    <row r="210" customFormat="false" ht="18" hidden="false" customHeight="true" outlineLevel="0" collapsed="false">
      <c r="A210" s="23" t="s">
        <v>113</v>
      </c>
      <c r="B210" s="23"/>
      <c r="C210" s="23"/>
      <c r="D210" s="23"/>
      <c r="E210" s="23"/>
      <c r="F210" s="23"/>
      <c r="J210" s="23" t="s">
        <v>114</v>
      </c>
      <c r="K210" s="23"/>
      <c r="L210" s="23"/>
      <c r="M210" s="23"/>
    </row>
    <row r="211" customFormat="false" ht="15" hidden="false" customHeight="false" outlineLevel="0" collapsed="false">
      <c r="A211" s="7" t="s">
        <v>95</v>
      </c>
      <c r="B211" s="7" t="s">
        <v>115</v>
      </c>
      <c r="C211" s="7" t="s">
        <v>116</v>
      </c>
      <c r="D211" s="7" t="s">
        <v>117</v>
      </c>
      <c r="E211" s="7" t="s">
        <v>118</v>
      </c>
      <c r="F211" s="7" t="s">
        <v>119</v>
      </c>
      <c r="J211" s="7" t="s">
        <v>120</v>
      </c>
      <c r="K211" s="7" t="s">
        <v>115</v>
      </c>
      <c r="L211" s="7" t="s">
        <v>117</v>
      </c>
      <c r="M211" s="7" t="s">
        <v>121</v>
      </c>
    </row>
    <row r="212" customFormat="false" ht="15" hidden="false" customHeight="false" outlineLevel="0" collapsed="false">
      <c r="A212" s="15" t="n">
        <v>39448</v>
      </c>
      <c r="B212" s="20" t="str">
        <f aca="true">IFERROR(IF(AVERAGEIFS(INDIRECT(Index!$M$10),INDIRECT(Index!$L$10),"&gt;="&amp;$A212,INDIRECT(Index!$L$10),"&lt;"&amp;EDATE($A212,3))=0,"",AVERAGEIFS(INDIRECT(Index!$M$10),INDIRECT(Index!$L$10),"&gt;="&amp;$A212,INDIRECT(Index!$L$10),"&lt;"&amp;EDATE($A212,3))),"")</f>
        <v/>
      </c>
      <c r="C212" s="24"/>
      <c r="D212" s="24"/>
      <c r="E212" s="25" t="str">
        <f aca="false">IFERROR(IF(AND(B212="",ISNUMBER($C$209),ISNUMBER($G$209)),$C$209*(1+$G$209)^(($A212-$E$209)/365.25),""),"")</f>
        <v/>
      </c>
      <c r="F212" s="25" t="str">
        <f aca="false">IFERROR(IF(AND(B212="",ISNUMBER($C$209),ISNUMBER($G$209)),$C$209*(1+$G$209*0.85^MAX(0,($A212-$E$209)/91.25))^(($A212-$E$209)/365.25),""),"")</f>
        <v/>
      </c>
      <c r="J212" s="26" t="n">
        <v>2008</v>
      </c>
      <c r="K212" s="25" t="str">
        <f aca="false">IFERROR(AVERAGEIFS($B$212:$B$303,$A$212:$A$303,"&gt;="&amp;DATE(J212,1,1),$A$212:$A$303,"&lt;="&amp;DATE(J212,12,31)),"")</f>
        <v/>
      </c>
      <c r="L212" s="24"/>
      <c r="M212" s="25" t="str">
        <f aca="false">IFERROR(AVERAGEIFS($E$212:$E$303,$A$212:$A$303,"&gt;="&amp;DATE(J212,1,1),$A$212:$A$303,"&lt;="&amp;DATE(J212,12,31)),"")</f>
        <v/>
      </c>
    </row>
    <row r="213" customFormat="false" ht="15" hidden="false" customHeight="false" outlineLevel="0" collapsed="false">
      <c r="A213" s="27" t="n">
        <v>39539</v>
      </c>
      <c r="B213" s="28" t="str">
        <f aca="true">IFERROR(IF(AVERAGEIFS(INDIRECT(Index!$M$10),INDIRECT(Index!$L$10),"&gt;="&amp;$A213,INDIRECT(Index!$L$10),"&lt;"&amp;EDATE($A213,3))=0,"",AVERAGEIFS(INDIRECT(Index!$M$10),INDIRECT(Index!$L$10),"&gt;="&amp;$A213,INDIRECT(Index!$L$10),"&lt;"&amp;EDATE($A213,3))),"")</f>
        <v/>
      </c>
      <c r="C213" s="29" t="str">
        <f aca="false">IFERROR(B213/B212-1,"")</f>
        <v/>
      </c>
      <c r="D213" s="30"/>
      <c r="E213" s="31" t="str">
        <f aca="false">IFERROR(IF(AND(B213="",ISNUMBER($C$209),ISNUMBER($G$209)),$C$209*(1+$G$209)^(($A213-$E$209)/365.25),""),"")</f>
        <v/>
      </c>
      <c r="F213" s="31" t="str">
        <f aca="false">IFERROR(IF(AND(B213="",ISNUMBER($C$209),ISNUMBER($G$209)),$C$209*(1+$G$209*0.85^MAX(0,($A213-$E$209)/91.25))^(($A213-$E$209)/365.25),""),"")</f>
        <v/>
      </c>
      <c r="J213" s="32" t="n">
        <v>2009</v>
      </c>
      <c r="K213" s="31" t="str">
        <f aca="false">IFERROR(AVERAGEIFS($B$212:$B$303,$A$212:$A$303,"&gt;="&amp;DATE(J213,1,1),$A$212:$A$303,"&lt;="&amp;DATE(J213,12,31)),"")</f>
        <v/>
      </c>
      <c r="L213" s="29" t="str">
        <f aca="false">IFERROR(K213/K212-1,"")</f>
        <v/>
      </c>
      <c r="M213" s="31" t="str">
        <f aca="false">IFERROR(AVERAGEIFS($E$212:$E$303,$A$212:$A$303,"&gt;="&amp;DATE(J213,1,1),$A$212:$A$303,"&lt;="&amp;DATE(J213,12,31)),"")</f>
        <v/>
      </c>
    </row>
    <row r="214" customFormat="false" ht="15" hidden="false" customHeight="false" outlineLevel="0" collapsed="false">
      <c r="A214" s="15" t="n">
        <v>39630</v>
      </c>
      <c r="B214" s="20" t="str">
        <f aca="true">IFERROR(IF(AVERAGEIFS(INDIRECT(Index!$M$10),INDIRECT(Index!$L$10),"&gt;="&amp;$A214,INDIRECT(Index!$L$10),"&lt;"&amp;EDATE($A214,3))=0,"",AVERAGEIFS(INDIRECT(Index!$M$10),INDIRECT(Index!$L$10),"&gt;="&amp;$A214,INDIRECT(Index!$L$10),"&lt;"&amp;EDATE($A214,3))),"")</f>
        <v/>
      </c>
      <c r="C214" s="33" t="str">
        <f aca="false">IFERROR(B214/B213-1,"")</f>
        <v/>
      </c>
      <c r="D214" s="24"/>
      <c r="E214" s="25" t="str">
        <f aca="false">IFERROR(IF(AND(B214="",ISNUMBER($C$209),ISNUMBER($G$209)),$C$209*(1+$G$209)^(($A214-$E$209)/365.25),""),"")</f>
        <v/>
      </c>
      <c r="F214" s="25" t="str">
        <f aca="false">IFERROR(IF(AND(B214="",ISNUMBER($C$209),ISNUMBER($G$209)),$C$209*(1+$G$209*0.85^MAX(0,($A214-$E$209)/91.25))^(($A214-$E$209)/365.25),""),"")</f>
        <v/>
      </c>
      <c r="J214" s="26" t="n">
        <v>2010</v>
      </c>
      <c r="K214" s="25" t="str">
        <f aca="false">IFERROR(AVERAGEIFS($B$212:$B$303,$A$212:$A$303,"&gt;="&amp;DATE(J214,1,1),$A$212:$A$303,"&lt;="&amp;DATE(J214,12,31)),"")</f>
        <v/>
      </c>
      <c r="L214" s="33" t="str">
        <f aca="false">IFERROR(K214/K213-1,"")</f>
        <v/>
      </c>
      <c r="M214" s="25" t="str">
        <f aca="false">IFERROR(AVERAGEIFS($E$212:$E$303,$A$212:$A$303,"&gt;="&amp;DATE(J214,1,1),$A$212:$A$303,"&lt;="&amp;DATE(J214,12,31)),"")</f>
        <v/>
      </c>
    </row>
    <row r="215" customFormat="false" ht="15" hidden="false" customHeight="false" outlineLevel="0" collapsed="false">
      <c r="A215" s="27" t="n">
        <v>39722</v>
      </c>
      <c r="B215" s="28" t="str">
        <f aca="true">IFERROR(IF(AVERAGEIFS(INDIRECT(Index!$M$10),INDIRECT(Index!$L$10),"&gt;="&amp;$A215,INDIRECT(Index!$L$10),"&lt;"&amp;EDATE($A215,3))=0,"",AVERAGEIFS(INDIRECT(Index!$M$10),INDIRECT(Index!$L$10),"&gt;="&amp;$A215,INDIRECT(Index!$L$10),"&lt;"&amp;EDATE($A215,3))),"")</f>
        <v/>
      </c>
      <c r="C215" s="29" t="str">
        <f aca="false">IFERROR(B215/B214-1,"")</f>
        <v/>
      </c>
      <c r="D215" s="30"/>
      <c r="E215" s="31" t="str">
        <f aca="false">IFERROR(IF(AND(B215="",ISNUMBER($C$209),ISNUMBER($G$209)),$C$209*(1+$G$209)^(($A215-$E$209)/365.25),""),"")</f>
        <v/>
      </c>
      <c r="F215" s="31" t="str">
        <f aca="false">IFERROR(IF(AND(B215="",ISNUMBER($C$209),ISNUMBER($G$209)),$C$209*(1+$G$209*0.85^MAX(0,($A215-$E$209)/91.25))^(($A215-$E$209)/365.25),""),"")</f>
        <v/>
      </c>
      <c r="J215" s="32" t="n">
        <v>2011</v>
      </c>
      <c r="K215" s="31" t="str">
        <f aca="false">IFERROR(AVERAGEIFS($B$212:$B$303,$A$212:$A$303,"&gt;="&amp;DATE(J215,1,1),$A$212:$A$303,"&lt;="&amp;DATE(J215,12,31)),"")</f>
        <v/>
      </c>
      <c r="L215" s="29" t="str">
        <f aca="false">IFERROR(K215/K214-1,"")</f>
        <v/>
      </c>
      <c r="M215" s="31" t="str">
        <f aca="false">IFERROR(AVERAGEIFS($E$212:$E$303,$A$212:$A$303,"&gt;="&amp;DATE(J215,1,1),$A$212:$A$303,"&lt;="&amp;DATE(J215,12,31)),"")</f>
        <v/>
      </c>
    </row>
    <row r="216" customFormat="false" ht="15" hidden="false" customHeight="false" outlineLevel="0" collapsed="false">
      <c r="A216" s="15" t="n">
        <v>39814</v>
      </c>
      <c r="B216" s="20" t="str">
        <f aca="true">IFERROR(IF(AVERAGEIFS(INDIRECT(Index!$M$10),INDIRECT(Index!$L$10),"&gt;="&amp;$A216,INDIRECT(Index!$L$10),"&lt;"&amp;EDATE($A216,3))=0,"",AVERAGEIFS(INDIRECT(Index!$M$10),INDIRECT(Index!$L$10),"&gt;="&amp;$A216,INDIRECT(Index!$L$10),"&lt;"&amp;EDATE($A216,3))),"")</f>
        <v/>
      </c>
      <c r="C216" s="33" t="str">
        <f aca="false">IFERROR(B216/B215-1,"")</f>
        <v/>
      </c>
      <c r="D216" s="33" t="str">
        <f aca="false">IFERROR(B216/B212-1,"")</f>
        <v/>
      </c>
      <c r="E216" s="25" t="str">
        <f aca="false">IFERROR(IF(AND(B216="",ISNUMBER($C$209),ISNUMBER($G$209)),$C$209*(1+$G$209)^(($A216-$E$209)/365.25),""),"")</f>
        <v/>
      </c>
      <c r="F216" s="25" t="str">
        <f aca="false">IFERROR(IF(AND(B216="",ISNUMBER($C$209),ISNUMBER($G$209)),$C$209*(1+$G$209*0.85^MAX(0,($A216-$E$209)/91.25))^(($A216-$E$209)/365.25),""),"")</f>
        <v/>
      </c>
      <c r="J216" s="26" t="n">
        <v>2012</v>
      </c>
      <c r="K216" s="25" t="str">
        <f aca="false">IFERROR(AVERAGEIFS($B$212:$B$303,$A$212:$A$303,"&gt;="&amp;DATE(J216,1,1),$A$212:$A$303,"&lt;="&amp;DATE(J216,12,31)),"")</f>
        <v/>
      </c>
      <c r="L216" s="33" t="str">
        <f aca="false">IFERROR(K216/K215-1,"")</f>
        <v/>
      </c>
      <c r="M216" s="25" t="str">
        <f aca="false">IFERROR(AVERAGEIFS($E$212:$E$303,$A$212:$A$303,"&gt;="&amp;DATE(J216,1,1),$A$212:$A$303,"&lt;="&amp;DATE(J216,12,31)),"")</f>
        <v/>
      </c>
    </row>
    <row r="217" customFormat="false" ht="15" hidden="false" customHeight="false" outlineLevel="0" collapsed="false">
      <c r="A217" s="27" t="n">
        <v>39904</v>
      </c>
      <c r="B217" s="28" t="str">
        <f aca="true">IFERROR(IF(AVERAGEIFS(INDIRECT(Index!$M$10),INDIRECT(Index!$L$10),"&gt;="&amp;$A217,INDIRECT(Index!$L$10),"&lt;"&amp;EDATE($A217,3))=0,"",AVERAGEIFS(INDIRECT(Index!$M$10),INDIRECT(Index!$L$10),"&gt;="&amp;$A217,INDIRECT(Index!$L$10),"&lt;"&amp;EDATE($A217,3))),"")</f>
        <v/>
      </c>
      <c r="C217" s="29" t="str">
        <f aca="false">IFERROR(B217/B216-1,"")</f>
        <v/>
      </c>
      <c r="D217" s="29" t="str">
        <f aca="false">IFERROR(B217/B213-1,"")</f>
        <v/>
      </c>
      <c r="E217" s="31" t="str">
        <f aca="false">IFERROR(IF(AND(B217="",ISNUMBER($C$209),ISNUMBER($G$209)),$C$209*(1+$G$209)^(($A217-$E$209)/365.25),""),"")</f>
        <v/>
      </c>
      <c r="F217" s="31" t="str">
        <f aca="false">IFERROR(IF(AND(B217="",ISNUMBER($C$209),ISNUMBER($G$209)),$C$209*(1+$G$209*0.85^MAX(0,($A217-$E$209)/91.25))^(($A217-$E$209)/365.25),""),"")</f>
        <v/>
      </c>
      <c r="J217" s="32" t="n">
        <v>2013</v>
      </c>
      <c r="K217" s="31" t="str">
        <f aca="false">IFERROR(AVERAGEIFS($B$212:$B$303,$A$212:$A$303,"&gt;="&amp;DATE(J217,1,1),$A$212:$A$303,"&lt;="&amp;DATE(J217,12,31)),"")</f>
        <v/>
      </c>
      <c r="L217" s="29" t="str">
        <f aca="false">IFERROR(K217/K216-1,"")</f>
        <v/>
      </c>
      <c r="M217" s="31" t="str">
        <f aca="false">IFERROR(AVERAGEIFS($E$212:$E$303,$A$212:$A$303,"&gt;="&amp;DATE(J217,1,1),$A$212:$A$303,"&lt;="&amp;DATE(J217,12,31)),"")</f>
        <v/>
      </c>
    </row>
    <row r="218" customFormat="false" ht="15" hidden="false" customHeight="false" outlineLevel="0" collapsed="false">
      <c r="A218" s="15" t="n">
        <v>39995</v>
      </c>
      <c r="B218" s="20" t="str">
        <f aca="true">IFERROR(IF(AVERAGEIFS(INDIRECT(Index!$M$10),INDIRECT(Index!$L$10),"&gt;="&amp;$A218,INDIRECT(Index!$L$10),"&lt;"&amp;EDATE($A218,3))=0,"",AVERAGEIFS(INDIRECT(Index!$M$10),INDIRECT(Index!$L$10),"&gt;="&amp;$A218,INDIRECT(Index!$L$10),"&lt;"&amp;EDATE($A218,3))),"")</f>
        <v/>
      </c>
      <c r="C218" s="33" t="str">
        <f aca="false">IFERROR(B218/B217-1,"")</f>
        <v/>
      </c>
      <c r="D218" s="33" t="str">
        <f aca="false">IFERROR(B218/B214-1,"")</f>
        <v/>
      </c>
      <c r="E218" s="25" t="str">
        <f aca="false">IFERROR(IF(AND(B218="",ISNUMBER($C$209),ISNUMBER($G$209)),$C$209*(1+$G$209)^(($A218-$E$209)/365.25),""),"")</f>
        <v/>
      </c>
      <c r="F218" s="25" t="str">
        <f aca="false">IFERROR(IF(AND(B218="",ISNUMBER($C$209),ISNUMBER($G$209)),$C$209*(1+$G$209*0.85^MAX(0,($A218-$E$209)/91.25))^(($A218-$E$209)/365.25),""),"")</f>
        <v/>
      </c>
      <c r="J218" s="26" t="n">
        <v>2014</v>
      </c>
      <c r="K218" s="25" t="str">
        <f aca="false">IFERROR(AVERAGEIFS($B$212:$B$303,$A$212:$A$303,"&gt;="&amp;DATE(J218,1,1),$A$212:$A$303,"&lt;="&amp;DATE(J218,12,31)),"")</f>
        <v/>
      </c>
      <c r="L218" s="33" t="str">
        <f aca="false">IFERROR(K218/K217-1,"")</f>
        <v/>
      </c>
      <c r="M218" s="25" t="str">
        <f aca="false">IFERROR(AVERAGEIFS($E$212:$E$303,$A$212:$A$303,"&gt;="&amp;DATE(J218,1,1),$A$212:$A$303,"&lt;="&amp;DATE(J218,12,31)),"")</f>
        <v/>
      </c>
    </row>
    <row r="219" customFormat="false" ht="15" hidden="false" customHeight="false" outlineLevel="0" collapsed="false">
      <c r="A219" s="27" t="n">
        <v>40087</v>
      </c>
      <c r="B219" s="28" t="str">
        <f aca="true">IFERROR(IF(AVERAGEIFS(INDIRECT(Index!$M$10),INDIRECT(Index!$L$10),"&gt;="&amp;$A219,INDIRECT(Index!$L$10),"&lt;"&amp;EDATE($A219,3))=0,"",AVERAGEIFS(INDIRECT(Index!$M$10),INDIRECT(Index!$L$10),"&gt;="&amp;$A219,INDIRECT(Index!$L$10),"&lt;"&amp;EDATE($A219,3))),"")</f>
        <v/>
      </c>
      <c r="C219" s="29" t="str">
        <f aca="false">IFERROR(B219/B218-1,"")</f>
        <v/>
      </c>
      <c r="D219" s="29" t="str">
        <f aca="false">IFERROR(B219/B215-1,"")</f>
        <v/>
      </c>
      <c r="E219" s="31" t="str">
        <f aca="false">IFERROR(IF(AND(B219="",ISNUMBER($C$209),ISNUMBER($G$209)),$C$209*(1+$G$209)^(($A219-$E$209)/365.25),""),"")</f>
        <v/>
      </c>
      <c r="F219" s="31" t="str">
        <f aca="false">IFERROR(IF(AND(B219="",ISNUMBER($C$209),ISNUMBER($G$209)),$C$209*(1+$G$209*0.85^MAX(0,($A219-$E$209)/91.25))^(($A219-$E$209)/365.25),""),"")</f>
        <v/>
      </c>
      <c r="J219" s="32" t="n">
        <v>2015</v>
      </c>
      <c r="K219" s="31" t="str">
        <f aca="false">IFERROR(AVERAGEIFS($B$212:$B$303,$A$212:$A$303,"&gt;="&amp;DATE(J219,1,1),$A$212:$A$303,"&lt;="&amp;DATE(J219,12,31)),"")</f>
        <v/>
      </c>
      <c r="L219" s="29" t="str">
        <f aca="false">IFERROR(K219/K218-1,"")</f>
        <v/>
      </c>
      <c r="M219" s="31" t="str">
        <f aca="false">IFERROR(AVERAGEIFS($E$212:$E$303,$A$212:$A$303,"&gt;="&amp;DATE(J219,1,1),$A$212:$A$303,"&lt;="&amp;DATE(J219,12,31)),"")</f>
        <v/>
      </c>
    </row>
    <row r="220" customFormat="false" ht="15" hidden="false" customHeight="false" outlineLevel="0" collapsed="false">
      <c r="A220" s="15" t="n">
        <v>40179</v>
      </c>
      <c r="B220" s="20" t="str">
        <f aca="true">IFERROR(IF(AVERAGEIFS(INDIRECT(Index!$M$10),INDIRECT(Index!$L$10),"&gt;="&amp;$A220,INDIRECT(Index!$L$10),"&lt;"&amp;EDATE($A220,3))=0,"",AVERAGEIFS(INDIRECT(Index!$M$10),INDIRECT(Index!$L$10),"&gt;="&amp;$A220,INDIRECT(Index!$L$10),"&lt;"&amp;EDATE($A220,3))),"")</f>
        <v/>
      </c>
      <c r="C220" s="33" t="str">
        <f aca="false">IFERROR(B220/B219-1,"")</f>
        <v/>
      </c>
      <c r="D220" s="33" t="str">
        <f aca="false">IFERROR(B220/B216-1,"")</f>
        <v/>
      </c>
      <c r="E220" s="25" t="str">
        <f aca="false">IFERROR(IF(AND(B220="",ISNUMBER($C$209),ISNUMBER($G$209)),$C$209*(1+$G$209)^(($A220-$E$209)/365.25),""),"")</f>
        <v/>
      </c>
      <c r="F220" s="25" t="str">
        <f aca="false">IFERROR(IF(AND(B220="",ISNUMBER($C$209),ISNUMBER($G$209)),$C$209*(1+$G$209*0.85^MAX(0,($A220-$E$209)/91.25))^(($A220-$E$209)/365.25),""),"")</f>
        <v/>
      </c>
      <c r="J220" s="26" t="n">
        <v>2016</v>
      </c>
      <c r="K220" s="25" t="str">
        <f aca="false">IFERROR(AVERAGEIFS($B$212:$B$303,$A$212:$A$303,"&gt;="&amp;DATE(J220,1,1),$A$212:$A$303,"&lt;="&amp;DATE(J220,12,31)),"")</f>
        <v/>
      </c>
      <c r="L220" s="33" t="str">
        <f aca="false">IFERROR(K220/K219-1,"")</f>
        <v/>
      </c>
      <c r="M220" s="25" t="str">
        <f aca="false">IFERROR(AVERAGEIFS($E$212:$E$303,$A$212:$A$303,"&gt;="&amp;DATE(J220,1,1),$A$212:$A$303,"&lt;="&amp;DATE(J220,12,31)),"")</f>
        <v/>
      </c>
    </row>
    <row r="221" customFormat="false" ht="15" hidden="false" customHeight="false" outlineLevel="0" collapsed="false">
      <c r="A221" s="27" t="n">
        <v>40269</v>
      </c>
      <c r="B221" s="28" t="str">
        <f aca="true">IFERROR(IF(AVERAGEIFS(INDIRECT(Index!$M$10),INDIRECT(Index!$L$10),"&gt;="&amp;$A221,INDIRECT(Index!$L$10),"&lt;"&amp;EDATE($A221,3))=0,"",AVERAGEIFS(INDIRECT(Index!$M$10),INDIRECT(Index!$L$10),"&gt;="&amp;$A221,INDIRECT(Index!$L$10),"&lt;"&amp;EDATE($A221,3))),"")</f>
        <v/>
      </c>
      <c r="C221" s="29" t="str">
        <f aca="false">IFERROR(B221/B220-1,"")</f>
        <v/>
      </c>
      <c r="D221" s="29" t="str">
        <f aca="false">IFERROR(B221/B217-1,"")</f>
        <v/>
      </c>
      <c r="E221" s="31" t="str">
        <f aca="false">IFERROR(IF(AND(B221="",ISNUMBER($C$209),ISNUMBER($G$209)),$C$209*(1+$G$209)^(($A221-$E$209)/365.25),""),"")</f>
        <v/>
      </c>
      <c r="F221" s="31" t="str">
        <f aca="false">IFERROR(IF(AND(B221="",ISNUMBER($C$209),ISNUMBER($G$209)),$C$209*(1+$G$209*0.85^MAX(0,($A221-$E$209)/91.25))^(($A221-$E$209)/365.25),""),"")</f>
        <v/>
      </c>
      <c r="J221" s="32" t="n">
        <v>2017</v>
      </c>
      <c r="K221" s="31" t="str">
        <f aca="false">IFERROR(AVERAGEIFS($B$212:$B$303,$A$212:$A$303,"&gt;="&amp;DATE(J221,1,1),$A$212:$A$303,"&lt;="&amp;DATE(J221,12,31)),"")</f>
        <v/>
      </c>
      <c r="L221" s="29" t="str">
        <f aca="false">IFERROR(K221/K220-1,"")</f>
        <v/>
      </c>
      <c r="M221" s="31" t="str">
        <f aca="false">IFERROR(AVERAGEIFS($E$212:$E$303,$A$212:$A$303,"&gt;="&amp;DATE(J221,1,1),$A$212:$A$303,"&lt;="&amp;DATE(J221,12,31)),"")</f>
        <v/>
      </c>
    </row>
    <row r="222" customFormat="false" ht="15" hidden="false" customHeight="false" outlineLevel="0" collapsed="false">
      <c r="A222" s="15" t="n">
        <v>40360</v>
      </c>
      <c r="B222" s="20" t="str">
        <f aca="true">IFERROR(IF(AVERAGEIFS(INDIRECT(Index!$M$10),INDIRECT(Index!$L$10),"&gt;="&amp;$A222,INDIRECT(Index!$L$10),"&lt;"&amp;EDATE($A222,3))=0,"",AVERAGEIFS(INDIRECT(Index!$M$10),INDIRECT(Index!$L$10),"&gt;="&amp;$A222,INDIRECT(Index!$L$10),"&lt;"&amp;EDATE($A222,3))),"")</f>
        <v/>
      </c>
      <c r="C222" s="33" t="str">
        <f aca="false">IFERROR(B222/B221-1,"")</f>
        <v/>
      </c>
      <c r="D222" s="33" t="str">
        <f aca="false">IFERROR(B222/B218-1,"")</f>
        <v/>
      </c>
      <c r="E222" s="25" t="str">
        <f aca="false">IFERROR(IF(AND(B222="",ISNUMBER($C$209),ISNUMBER($G$209)),$C$209*(1+$G$209)^(($A222-$E$209)/365.25),""),"")</f>
        <v/>
      </c>
      <c r="F222" s="25" t="str">
        <f aca="false">IFERROR(IF(AND(B222="",ISNUMBER($C$209),ISNUMBER($G$209)),$C$209*(1+$G$209*0.85^MAX(0,($A222-$E$209)/91.25))^(($A222-$E$209)/365.25),""),"")</f>
        <v/>
      </c>
      <c r="J222" s="26" t="n">
        <v>2018</v>
      </c>
      <c r="K222" s="25" t="str">
        <f aca="false">IFERROR(AVERAGEIFS($B$212:$B$303,$A$212:$A$303,"&gt;="&amp;DATE(J222,1,1),$A$212:$A$303,"&lt;="&amp;DATE(J222,12,31)),"")</f>
        <v/>
      </c>
      <c r="L222" s="33" t="str">
        <f aca="false">IFERROR(K222/K221-1,"")</f>
        <v/>
      </c>
      <c r="M222" s="25" t="str">
        <f aca="false">IFERROR(AVERAGEIFS($E$212:$E$303,$A$212:$A$303,"&gt;="&amp;DATE(J222,1,1),$A$212:$A$303,"&lt;="&amp;DATE(J222,12,31)),"")</f>
        <v/>
      </c>
    </row>
    <row r="223" customFormat="false" ht="15" hidden="false" customHeight="false" outlineLevel="0" collapsed="false">
      <c r="A223" s="27" t="n">
        <v>40452</v>
      </c>
      <c r="B223" s="28" t="str">
        <f aca="true">IFERROR(IF(AVERAGEIFS(INDIRECT(Index!$M$10),INDIRECT(Index!$L$10),"&gt;="&amp;$A223,INDIRECT(Index!$L$10),"&lt;"&amp;EDATE($A223,3))=0,"",AVERAGEIFS(INDIRECT(Index!$M$10),INDIRECT(Index!$L$10),"&gt;="&amp;$A223,INDIRECT(Index!$L$10),"&lt;"&amp;EDATE($A223,3))),"")</f>
        <v/>
      </c>
      <c r="C223" s="29" t="str">
        <f aca="false">IFERROR(B223/B222-1,"")</f>
        <v/>
      </c>
      <c r="D223" s="29" t="str">
        <f aca="false">IFERROR(B223/B219-1,"")</f>
        <v/>
      </c>
      <c r="E223" s="31" t="str">
        <f aca="false">IFERROR(IF(AND(B223="",ISNUMBER($C$209),ISNUMBER($G$209)),$C$209*(1+$G$209)^(($A223-$E$209)/365.25),""),"")</f>
        <v/>
      </c>
      <c r="F223" s="31" t="str">
        <f aca="false">IFERROR(IF(AND(B223="",ISNUMBER($C$209),ISNUMBER($G$209)),$C$209*(1+$G$209*0.85^MAX(0,($A223-$E$209)/91.25))^(($A223-$E$209)/365.25),""),"")</f>
        <v/>
      </c>
      <c r="J223" s="32" t="n">
        <v>2019</v>
      </c>
      <c r="K223" s="31" t="str">
        <f aca="false">IFERROR(AVERAGEIFS($B$212:$B$303,$A$212:$A$303,"&gt;="&amp;DATE(J223,1,1),$A$212:$A$303,"&lt;="&amp;DATE(J223,12,31)),"")</f>
        <v/>
      </c>
      <c r="L223" s="29" t="str">
        <f aca="false">IFERROR(K223/K222-1,"")</f>
        <v/>
      </c>
      <c r="M223" s="31" t="str">
        <f aca="false">IFERROR(AVERAGEIFS($E$212:$E$303,$A$212:$A$303,"&gt;="&amp;DATE(J223,1,1),$A$212:$A$303,"&lt;="&amp;DATE(J223,12,31)),"")</f>
        <v/>
      </c>
    </row>
    <row r="224" customFormat="false" ht="15" hidden="false" customHeight="false" outlineLevel="0" collapsed="false">
      <c r="A224" s="15" t="n">
        <v>40544</v>
      </c>
      <c r="B224" s="20" t="str">
        <f aca="true">IFERROR(IF(AVERAGEIFS(INDIRECT(Index!$M$10),INDIRECT(Index!$L$10),"&gt;="&amp;$A224,INDIRECT(Index!$L$10),"&lt;"&amp;EDATE($A224,3))=0,"",AVERAGEIFS(INDIRECT(Index!$M$10),INDIRECT(Index!$L$10),"&gt;="&amp;$A224,INDIRECT(Index!$L$10),"&lt;"&amp;EDATE($A224,3))),"")</f>
        <v/>
      </c>
      <c r="C224" s="33" t="str">
        <f aca="false">IFERROR(B224/B223-1,"")</f>
        <v/>
      </c>
      <c r="D224" s="33" t="str">
        <f aca="false">IFERROR(B224/B220-1,"")</f>
        <v/>
      </c>
      <c r="E224" s="25" t="str">
        <f aca="false">IFERROR(IF(AND(B224="",ISNUMBER($C$209),ISNUMBER($G$209)),$C$209*(1+$G$209)^(($A224-$E$209)/365.25),""),"")</f>
        <v/>
      </c>
      <c r="F224" s="25" t="str">
        <f aca="false">IFERROR(IF(AND(B224="",ISNUMBER($C$209),ISNUMBER($G$209)),$C$209*(1+$G$209*0.85^MAX(0,($A224-$E$209)/91.25))^(($A224-$E$209)/365.25),""),"")</f>
        <v/>
      </c>
      <c r="J224" s="26" t="n">
        <v>2020</v>
      </c>
      <c r="K224" s="25" t="str">
        <f aca="false">IFERROR(AVERAGEIFS($B$212:$B$303,$A$212:$A$303,"&gt;="&amp;DATE(J224,1,1),$A$212:$A$303,"&lt;="&amp;DATE(J224,12,31)),"")</f>
        <v/>
      </c>
      <c r="L224" s="33" t="str">
        <f aca="false">IFERROR(K224/K223-1,"")</f>
        <v/>
      </c>
      <c r="M224" s="25" t="str">
        <f aca="false">IFERROR(AVERAGEIFS($E$212:$E$303,$A$212:$A$303,"&gt;="&amp;DATE(J224,1,1),$A$212:$A$303,"&lt;="&amp;DATE(J224,12,31)),"")</f>
        <v/>
      </c>
    </row>
    <row r="225" customFormat="false" ht="15" hidden="false" customHeight="false" outlineLevel="0" collapsed="false">
      <c r="A225" s="27" t="n">
        <v>40634</v>
      </c>
      <c r="B225" s="28" t="str">
        <f aca="true">IFERROR(IF(AVERAGEIFS(INDIRECT(Index!$M$10),INDIRECT(Index!$L$10),"&gt;="&amp;$A225,INDIRECT(Index!$L$10),"&lt;"&amp;EDATE($A225,3))=0,"",AVERAGEIFS(INDIRECT(Index!$M$10),INDIRECT(Index!$L$10),"&gt;="&amp;$A225,INDIRECT(Index!$L$10),"&lt;"&amp;EDATE($A225,3))),"")</f>
        <v/>
      </c>
      <c r="C225" s="29" t="str">
        <f aca="false">IFERROR(B225/B224-1,"")</f>
        <v/>
      </c>
      <c r="D225" s="29" t="str">
        <f aca="false">IFERROR(B225/B221-1,"")</f>
        <v/>
      </c>
      <c r="E225" s="31" t="str">
        <f aca="false">IFERROR(IF(AND(B225="",ISNUMBER($C$209),ISNUMBER($G$209)),$C$209*(1+$G$209)^(($A225-$E$209)/365.25),""),"")</f>
        <v/>
      </c>
      <c r="F225" s="31" t="str">
        <f aca="false">IFERROR(IF(AND(B225="",ISNUMBER($C$209),ISNUMBER($G$209)),$C$209*(1+$G$209*0.85^MAX(0,($A225-$E$209)/91.25))^(($A225-$E$209)/365.25),""),"")</f>
        <v/>
      </c>
      <c r="J225" s="32" t="n">
        <v>2021</v>
      </c>
      <c r="K225" s="31" t="str">
        <f aca="false">IFERROR(AVERAGEIFS($B$212:$B$303,$A$212:$A$303,"&gt;="&amp;DATE(J225,1,1),$A$212:$A$303,"&lt;="&amp;DATE(J225,12,31)),"")</f>
        <v/>
      </c>
      <c r="L225" s="29" t="str">
        <f aca="false">IFERROR(K225/K224-1,"")</f>
        <v/>
      </c>
      <c r="M225" s="31" t="str">
        <f aca="false">IFERROR(AVERAGEIFS($E$212:$E$303,$A$212:$A$303,"&gt;="&amp;DATE(J225,1,1),$A$212:$A$303,"&lt;="&amp;DATE(J225,12,31)),"")</f>
        <v/>
      </c>
    </row>
    <row r="226" customFormat="false" ht="15" hidden="false" customHeight="false" outlineLevel="0" collapsed="false">
      <c r="A226" s="15" t="n">
        <v>40725</v>
      </c>
      <c r="B226" s="20" t="str">
        <f aca="true">IFERROR(IF(AVERAGEIFS(INDIRECT(Index!$M$10),INDIRECT(Index!$L$10),"&gt;="&amp;$A226,INDIRECT(Index!$L$10),"&lt;"&amp;EDATE($A226,3))=0,"",AVERAGEIFS(INDIRECT(Index!$M$10),INDIRECT(Index!$L$10),"&gt;="&amp;$A226,INDIRECT(Index!$L$10),"&lt;"&amp;EDATE($A226,3))),"")</f>
        <v/>
      </c>
      <c r="C226" s="33" t="str">
        <f aca="false">IFERROR(B226/B225-1,"")</f>
        <v/>
      </c>
      <c r="D226" s="33" t="str">
        <f aca="false">IFERROR(B226/B222-1,"")</f>
        <v/>
      </c>
      <c r="E226" s="25" t="str">
        <f aca="false">IFERROR(IF(AND(B226="",ISNUMBER($C$209),ISNUMBER($G$209)),$C$209*(1+$G$209)^(($A226-$E$209)/365.25),""),"")</f>
        <v/>
      </c>
      <c r="F226" s="25" t="str">
        <f aca="false">IFERROR(IF(AND(B226="",ISNUMBER($C$209),ISNUMBER($G$209)),$C$209*(1+$G$209*0.85^MAX(0,($A226-$E$209)/91.25))^(($A226-$E$209)/365.25),""),"")</f>
        <v/>
      </c>
      <c r="J226" s="26" t="n">
        <v>2022</v>
      </c>
      <c r="K226" s="25" t="str">
        <f aca="false">IFERROR(AVERAGEIFS($B$212:$B$303,$A$212:$A$303,"&gt;="&amp;DATE(J226,1,1),$A$212:$A$303,"&lt;="&amp;DATE(J226,12,31)),"")</f>
        <v/>
      </c>
      <c r="L226" s="33" t="str">
        <f aca="false">IFERROR(K226/K225-1,"")</f>
        <v/>
      </c>
      <c r="M226" s="25" t="str">
        <f aca="false">IFERROR(AVERAGEIFS($E$212:$E$303,$A$212:$A$303,"&gt;="&amp;DATE(J226,1,1),$A$212:$A$303,"&lt;="&amp;DATE(J226,12,31)),"")</f>
        <v/>
      </c>
    </row>
    <row r="227" customFormat="false" ht="15" hidden="false" customHeight="false" outlineLevel="0" collapsed="false">
      <c r="A227" s="27" t="n">
        <v>40817</v>
      </c>
      <c r="B227" s="28" t="str">
        <f aca="true">IFERROR(IF(AVERAGEIFS(INDIRECT(Index!$M$10),INDIRECT(Index!$L$10),"&gt;="&amp;$A227,INDIRECT(Index!$L$10),"&lt;"&amp;EDATE($A227,3))=0,"",AVERAGEIFS(INDIRECT(Index!$M$10),INDIRECT(Index!$L$10),"&gt;="&amp;$A227,INDIRECT(Index!$L$10),"&lt;"&amp;EDATE($A227,3))),"")</f>
        <v/>
      </c>
      <c r="C227" s="29" t="str">
        <f aca="false">IFERROR(B227/B226-1,"")</f>
        <v/>
      </c>
      <c r="D227" s="29" t="str">
        <f aca="false">IFERROR(B227/B223-1,"")</f>
        <v/>
      </c>
      <c r="E227" s="31" t="str">
        <f aca="false">IFERROR(IF(AND(B227="",ISNUMBER($C$209),ISNUMBER($G$209)),$C$209*(1+$G$209)^(($A227-$E$209)/365.25),""),"")</f>
        <v/>
      </c>
      <c r="F227" s="31" t="str">
        <f aca="false">IFERROR(IF(AND(B227="",ISNUMBER($C$209),ISNUMBER($G$209)),$C$209*(1+$G$209*0.85^MAX(0,($A227-$E$209)/91.25))^(($A227-$E$209)/365.25),""),"")</f>
        <v/>
      </c>
      <c r="J227" s="32" t="n">
        <v>2023</v>
      </c>
      <c r="K227" s="31" t="str">
        <f aca="false">IFERROR(AVERAGEIFS($B$212:$B$303,$A$212:$A$303,"&gt;="&amp;DATE(J227,1,1),$A$212:$A$303,"&lt;="&amp;DATE(J227,12,31)),"")</f>
        <v/>
      </c>
      <c r="L227" s="29" t="str">
        <f aca="false">IFERROR(K227/K226-1,"")</f>
        <v/>
      </c>
      <c r="M227" s="31" t="str">
        <f aca="false">IFERROR(AVERAGEIFS($E$212:$E$303,$A$212:$A$303,"&gt;="&amp;DATE(J227,1,1),$A$212:$A$303,"&lt;="&amp;DATE(J227,12,31)),"")</f>
        <v/>
      </c>
    </row>
    <row r="228" customFormat="false" ht="15" hidden="false" customHeight="false" outlineLevel="0" collapsed="false">
      <c r="A228" s="15" t="n">
        <v>40909</v>
      </c>
      <c r="B228" s="20" t="str">
        <f aca="true">IFERROR(IF(AVERAGEIFS(INDIRECT(Index!$M$10),INDIRECT(Index!$L$10),"&gt;="&amp;$A228,INDIRECT(Index!$L$10),"&lt;"&amp;EDATE($A228,3))=0,"",AVERAGEIFS(INDIRECT(Index!$M$10),INDIRECT(Index!$L$10),"&gt;="&amp;$A228,INDIRECT(Index!$L$10),"&lt;"&amp;EDATE($A228,3))),"")</f>
        <v/>
      </c>
      <c r="C228" s="33" t="str">
        <f aca="false">IFERROR(B228/B227-1,"")</f>
        <v/>
      </c>
      <c r="D228" s="33" t="str">
        <f aca="false">IFERROR(B228/B224-1,"")</f>
        <v/>
      </c>
      <c r="E228" s="25" t="str">
        <f aca="false">IFERROR(IF(AND(B228="",ISNUMBER($C$209),ISNUMBER($G$209)),$C$209*(1+$G$209)^(($A228-$E$209)/365.25),""),"")</f>
        <v/>
      </c>
      <c r="F228" s="25" t="str">
        <f aca="false">IFERROR(IF(AND(B228="",ISNUMBER($C$209),ISNUMBER($G$209)),$C$209*(1+$G$209*0.85^MAX(0,($A228-$E$209)/91.25))^(($A228-$E$209)/365.25),""),"")</f>
        <v/>
      </c>
      <c r="J228" s="26" t="n">
        <v>2024</v>
      </c>
      <c r="K228" s="25" t="str">
        <f aca="false">IFERROR(AVERAGEIFS($B$212:$B$303,$A$212:$A$303,"&gt;="&amp;DATE(J228,1,1),$A$212:$A$303,"&lt;="&amp;DATE(J228,12,31)),"")</f>
        <v/>
      </c>
      <c r="L228" s="33" t="str">
        <f aca="false">IFERROR(K228/K227-1,"")</f>
        <v/>
      </c>
      <c r="M228" s="25" t="str">
        <f aca="false">IFERROR(AVERAGEIFS($E$212:$E$303,$A$212:$A$303,"&gt;="&amp;DATE(J228,1,1),$A$212:$A$303,"&lt;="&amp;DATE(J228,12,31)),"")</f>
        <v/>
      </c>
    </row>
    <row r="229" customFormat="false" ht="15" hidden="false" customHeight="false" outlineLevel="0" collapsed="false">
      <c r="A229" s="27" t="n">
        <v>41000</v>
      </c>
      <c r="B229" s="28" t="str">
        <f aca="true">IFERROR(IF(AVERAGEIFS(INDIRECT(Index!$M$10),INDIRECT(Index!$L$10),"&gt;="&amp;$A229,INDIRECT(Index!$L$10),"&lt;"&amp;EDATE($A229,3))=0,"",AVERAGEIFS(INDIRECT(Index!$M$10),INDIRECT(Index!$L$10),"&gt;="&amp;$A229,INDIRECT(Index!$L$10),"&lt;"&amp;EDATE($A229,3))),"")</f>
        <v/>
      </c>
      <c r="C229" s="29" t="str">
        <f aca="false">IFERROR(B229/B228-1,"")</f>
        <v/>
      </c>
      <c r="D229" s="29" t="str">
        <f aca="false">IFERROR(B229/B225-1,"")</f>
        <v/>
      </c>
      <c r="E229" s="31" t="str">
        <f aca="false">IFERROR(IF(AND(B229="",ISNUMBER($C$209),ISNUMBER($G$209)),$C$209*(1+$G$209)^(($A229-$E$209)/365.25),""),"")</f>
        <v/>
      </c>
      <c r="F229" s="31" t="str">
        <f aca="false">IFERROR(IF(AND(B229="",ISNUMBER($C$209),ISNUMBER($G$209)),$C$209*(1+$G$209*0.85^MAX(0,($A229-$E$209)/91.25))^(($A229-$E$209)/365.25),""),"")</f>
        <v/>
      </c>
      <c r="J229" s="32" t="n">
        <v>2025</v>
      </c>
      <c r="K229" s="31" t="str">
        <f aca="false">IFERROR(AVERAGEIFS($B$212:$B$303,$A$212:$A$303,"&gt;="&amp;DATE(J229,1,1),$A$212:$A$303,"&lt;="&amp;DATE(J229,12,31)),"")</f>
        <v/>
      </c>
      <c r="L229" s="29" t="str">
        <f aca="false">IFERROR(K229/K228-1,"")</f>
        <v/>
      </c>
      <c r="M229" s="31" t="str">
        <f aca="false">IFERROR(AVERAGEIFS($E$212:$E$303,$A$212:$A$303,"&gt;="&amp;DATE(J229,1,1),$A$212:$A$303,"&lt;="&amp;DATE(J229,12,31)),"")</f>
        <v/>
      </c>
    </row>
    <row r="230" customFormat="false" ht="15" hidden="false" customHeight="false" outlineLevel="0" collapsed="false">
      <c r="A230" s="15" t="n">
        <v>41091</v>
      </c>
      <c r="B230" s="20" t="str">
        <f aca="true">IFERROR(IF(AVERAGEIFS(INDIRECT(Index!$M$10),INDIRECT(Index!$L$10),"&gt;="&amp;$A230,INDIRECT(Index!$L$10),"&lt;"&amp;EDATE($A230,3))=0,"",AVERAGEIFS(INDIRECT(Index!$M$10),INDIRECT(Index!$L$10),"&gt;="&amp;$A230,INDIRECT(Index!$L$10),"&lt;"&amp;EDATE($A230,3))),"")</f>
        <v/>
      </c>
      <c r="C230" s="33" t="str">
        <f aca="false">IFERROR(B230/B229-1,"")</f>
        <v/>
      </c>
      <c r="D230" s="33" t="str">
        <f aca="false">IFERROR(B230/B226-1,"")</f>
        <v/>
      </c>
      <c r="E230" s="25" t="str">
        <f aca="false">IFERROR(IF(AND(B230="",ISNUMBER($C$209),ISNUMBER($G$209)),$C$209*(1+$G$209)^(($A230-$E$209)/365.25),""),"")</f>
        <v/>
      </c>
      <c r="F230" s="25" t="str">
        <f aca="false">IFERROR(IF(AND(B230="",ISNUMBER($C$209),ISNUMBER($G$209)),$C$209*(1+$G$209*0.85^MAX(0,($A230-$E$209)/91.25))^(($A230-$E$209)/365.25),""),"")</f>
        <v/>
      </c>
      <c r="J230" s="26" t="n">
        <v>2026</v>
      </c>
      <c r="K230" s="25" t="str">
        <f aca="false">IFERROR(AVERAGEIFS($B$212:$B$303,$A$212:$A$303,"&gt;="&amp;DATE(J230,1,1),$A$212:$A$303,"&lt;="&amp;DATE(J230,12,31)),"")</f>
        <v/>
      </c>
      <c r="L230" s="33" t="str">
        <f aca="false">IFERROR(K230/K229-1,"")</f>
        <v/>
      </c>
      <c r="M230" s="25" t="str">
        <f aca="false">IFERROR(AVERAGEIFS($E$212:$E$303,$A$212:$A$303,"&gt;="&amp;DATE(J230,1,1),$A$212:$A$303,"&lt;="&amp;DATE(J230,12,31)),"")</f>
        <v/>
      </c>
    </row>
    <row r="231" customFormat="false" ht="15" hidden="false" customHeight="false" outlineLevel="0" collapsed="false">
      <c r="A231" s="27" t="n">
        <v>41183</v>
      </c>
      <c r="B231" s="28" t="str">
        <f aca="true">IFERROR(IF(AVERAGEIFS(INDIRECT(Index!$M$10),INDIRECT(Index!$L$10),"&gt;="&amp;$A231,INDIRECT(Index!$L$10),"&lt;"&amp;EDATE($A231,3))=0,"",AVERAGEIFS(INDIRECT(Index!$M$10),INDIRECT(Index!$L$10),"&gt;="&amp;$A231,INDIRECT(Index!$L$10),"&lt;"&amp;EDATE($A231,3))),"")</f>
        <v/>
      </c>
      <c r="C231" s="29" t="str">
        <f aca="false">IFERROR(B231/B230-1,"")</f>
        <v/>
      </c>
      <c r="D231" s="29" t="str">
        <f aca="false">IFERROR(B231/B227-1,"")</f>
        <v/>
      </c>
      <c r="E231" s="31" t="str">
        <f aca="false">IFERROR(IF(AND(B231="",ISNUMBER($C$209),ISNUMBER($G$209)),$C$209*(1+$G$209)^(($A231-$E$209)/365.25),""),"")</f>
        <v/>
      </c>
      <c r="F231" s="31" t="str">
        <f aca="false">IFERROR(IF(AND(B231="",ISNUMBER($C$209),ISNUMBER($G$209)),$C$209*(1+$G$209*0.85^MAX(0,($A231-$E$209)/91.25))^(($A231-$E$209)/365.25),""),"")</f>
        <v/>
      </c>
      <c r="J231" s="32" t="n">
        <v>2027</v>
      </c>
      <c r="K231" s="31" t="str">
        <f aca="false">IFERROR(AVERAGEIFS($B$212:$B$303,$A$212:$A$303,"&gt;="&amp;DATE(J231,1,1),$A$212:$A$303,"&lt;="&amp;DATE(J231,12,31)),"")</f>
        <v/>
      </c>
      <c r="L231" s="29" t="str">
        <f aca="false">IFERROR(K231/K230-1,"")</f>
        <v/>
      </c>
      <c r="M231" s="31" t="str">
        <f aca="false">IFERROR(AVERAGEIFS($E$212:$E$303,$A$212:$A$303,"&gt;="&amp;DATE(J231,1,1),$A$212:$A$303,"&lt;="&amp;DATE(J231,12,31)),"")</f>
        <v/>
      </c>
    </row>
    <row r="232" customFormat="false" ht="15" hidden="false" customHeight="false" outlineLevel="0" collapsed="false">
      <c r="A232" s="15" t="n">
        <v>41275</v>
      </c>
      <c r="B232" s="20" t="str">
        <f aca="true">IFERROR(IF(AVERAGEIFS(INDIRECT(Index!$M$10),INDIRECT(Index!$L$10),"&gt;="&amp;$A232,INDIRECT(Index!$L$10),"&lt;"&amp;EDATE($A232,3))=0,"",AVERAGEIFS(INDIRECT(Index!$M$10),INDIRECT(Index!$L$10),"&gt;="&amp;$A232,INDIRECT(Index!$L$10),"&lt;"&amp;EDATE($A232,3))),"")</f>
        <v/>
      </c>
      <c r="C232" s="33" t="str">
        <f aca="false">IFERROR(B232/B231-1,"")</f>
        <v/>
      </c>
      <c r="D232" s="33" t="str">
        <f aca="false">IFERROR(B232/B228-1,"")</f>
        <v/>
      </c>
      <c r="E232" s="25" t="str">
        <f aca="false">IFERROR(IF(AND(B232="",ISNUMBER($C$209),ISNUMBER($G$209)),$C$209*(1+$G$209)^(($A232-$E$209)/365.25),""),"")</f>
        <v/>
      </c>
      <c r="F232" s="25" t="str">
        <f aca="false">IFERROR(IF(AND(B232="",ISNUMBER($C$209),ISNUMBER($G$209)),$C$209*(1+$G$209*0.85^MAX(0,($A232-$E$209)/91.25))^(($A232-$E$209)/365.25),""),"")</f>
        <v/>
      </c>
      <c r="J232" s="26" t="n">
        <v>2028</v>
      </c>
      <c r="K232" s="25" t="str">
        <f aca="false">IFERROR(AVERAGEIFS($B$212:$B$303,$A$212:$A$303,"&gt;="&amp;DATE(J232,1,1),$A$212:$A$303,"&lt;="&amp;DATE(J232,12,31)),"")</f>
        <v/>
      </c>
      <c r="L232" s="33" t="str">
        <f aca="false">IFERROR(K232/K231-1,"")</f>
        <v/>
      </c>
      <c r="M232" s="25" t="str">
        <f aca="false">IFERROR(AVERAGEIFS($E$212:$E$303,$A$212:$A$303,"&gt;="&amp;DATE(J232,1,1),$A$212:$A$303,"&lt;="&amp;DATE(J232,12,31)),"")</f>
        <v/>
      </c>
    </row>
    <row r="233" customFormat="false" ht="15" hidden="false" customHeight="false" outlineLevel="0" collapsed="false">
      <c r="A233" s="27" t="n">
        <v>41365</v>
      </c>
      <c r="B233" s="28" t="str">
        <f aca="true">IFERROR(IF(AVERAGEIFS(INDIRECT(Index!$M$10),INDIRECT(Index!$L$10),"&gt;="&amp;$A233,INDIRECT(Index!$L$10),"&lt;"&amp;EDATE($A233,3))=0,"",AVERAGEIFS(INDIRECT(Index!$M$10),INDIRECT(Index!$L$10),"&gt;="&amp;$A233,INDIRECT(Index!$L$10),"&lt;"&amp;EDATE($A233,3))),"")</f>
        <v/>
      </c>
      <c r="C233" s="29" t="str">
        <f aca="false">IFERROR(B233/B232-1,"")</f>
        <v/>
      </c>
      <c r="D233" s="29" t="str">
        <f aca="false">IFERROR(B233/B229-1,"")</f>
        <v/>
      </c>
      <c r="E233" s="31" t="str">
        <f aca="false">IFERROR(IF(AND(B233="",ISNUMBER($C$209),ISNUMBER($G$209)),$C$209*(1+$G$209)^(($A233-$E$209)/365.25),""),"")</f>
        <v/>
      </c>
      <c r="F233" s="31" t="str">
        <f aca="false">IFERROR(IF(AND(B233="",ISNUMBER($C$209),ISNUMBER($G$209)),$C$209*(1+$G$209*0.85^MAX(0,($A233-$E$209)/91.25))^(($A233-$E$209)/365.25),""),"")</f>
        <v/>
      </c>
      <c r="J233" s="32" t="n">
        <v>2029</v>
      </c>
      <c r="K233" s="31" t="str">
        <f aca="false">IFERROR(AVERAGEIFS($B$212:$B$303,$A$212:$A$303,"&gt;="&amp;DATE(J233,1,1),$A$212:$A$303,"&lt;="&amp;DATE(J233,12,31)),"")</f>
        <v/>
      </c>
      <c r="L233" s="29" t="str">
        <f aca="false">IFERROR(K233/K232-1,"")</f>
        <v/>
      </c>
      <c r="M233" s="31" t="str">
        <f aca="false">IFERROR(AVERAGEIFS($E$212:$E$303,$A$212:$A$303,"&gt;="&amp;DATE(J233,1,1),$A$212:$A$303,"&lt;="&amp;DATE(J233,12,31)),"")</f>
        <v/>
      </c>
    </row>
    <row r="234" customFormat="false" ht="15" hidden="false" customHeight="false" outlineLevel="0" collapsed="false">
      <c r="A234" s="15" t="n">
        <v>41456</v>
      </c>
      <c r="B234" s="20" t="str">
        <f aca="true">IFERROR(IF(AVERAGEIFS(INDIRECT(Index!$M$10),INDIRECT(Index!$L$10),"&gt;="&amp;$A234,INDIRECT(Index!$L$10),"&lt;"&amp;EDATE($A234,3))=0,"",AVERAGEIFS(INDIRECT(Index!$M$10),INDIRECT(Index!$L$10),"&gt;="&amp;$A234,INDIRECT(Index!$L$10),"&lt;"&amp;EDATE($A234,3))),"")</f>
        <v/>
      </c>
      <c r="C234" s="33" t="str">
        <f aca="false">IFERROR(B234/B233-1,"")</f>
        <v/>
      </c>
      <c r="D234" s="33" t="str">
        <f aca="false">IFERROR(B234/B230-1,"")</f>
        <v/>
      </c>
      <c r="E234" s="25" t="str">
        <f aca="false">IFERROR(IF(AND(B234="",ISNUMBER($C$209),ISNUMBER($G$209)),$C$209*(1+$G$209)^(($A234-$E$209)/365.25),""),"")</f>
        <v/>
      </c>
      <c r="F234" s="25" t="str">
        <f aca="false">IFERROR(IF(AND(B234="",ISNUMBER($C$209),ISNUMBER($G$209)),$C$209*(1+$G$209*0.85^MAX(0,($A234-$E$209)/91.25))^(($A234-$E$209)/365.25),""),"")</f>
        <v/>
      </c>
      <c r="J234" s="26" t="n">
        <v>2030</v>
      </c>
      <c r="K234" s="25" t="str">
        <f aca="false">IFERROR(AVERAGEIFS($B$212:$B$303,$A$212:$A$303,"&gt;="&amp;DATE(J234,1,1),$A$212:$A$303,"&lt;="&amp;DATE(J234,12,31)),"")</f>
        <v/>
      </c>
      <c r="L234" s="33" t="str">
        <f aca="false">IFERROR(K234/K233-1,"")</f>
        <v/>
      </c>
      <c r="M234" s="25" t="str">
        <f aca="false">IFERROR(AVERAGEIFS($E$212:$E$303,$A$212:$A$303,"&gt;="&amp;DATE(J234,1,1),$A$212:$A$303,"&lt;="&amp;DATE(J234,12,31)),"")</f>
        <v/>
      </c>
    </row>
    <row r="235" customFormat="false" ht="15" hidden="false" customHeight="false" outlineLevel="0" collapsed="false">
      <c r="A235" s="27" t="n">
        <v>41548</v>
      </c>
      <c r="B235" s="28" t="str">
        <f aca="true">IFERROR(IF(AVERAGEIFS(INDIRECT(Index!$M$10),INDIRECT(Index!$L$10),"&gt;="&amp;$A235,INDIRECT(Index!$L$10),"&lt;"&amp;EDATE($A235,3))=0,"",AVERAGEIFS(INDIRECT(Index!$M$10),INDIRECT(Index!$L$10),"&gt;="&amp;$A235,INDIRECT(Index!$L$10),"&lt;"&amp;EDATE($A235,3))),"")</f>
        <v/>
      </c>
      <c r="C235" s="29" t="str">
        <f aca="false">IFERROR(B235/B234-1,"")</f>
        <v/>
      </c>
      <c r="D235" s="29" t="str">
        <f aca="false">IFERROR(B235/B231-1,"")</f>
        <v/>
      </c>
      <c r="E235" s="31" t="str">
        <f aca="false">IFERROR(IF(AND(B235="",ISNUMBER($C$209),ISNUMBER($G$209)),$C$209*(1+$G$209)^(($A235-$E$209)/365.25),""),"")</f>
        <v/>
      </c>
      <c r="F235" s="31" t="str">
        <f aca="false">IFERROR(IF(AND(B235="",ISNUMBER($C$209),ISNUMBER($G$209)),$C$209*(1+$G$209*0.85^MAX(0,($A235-$E$209)/91.25))^(($A235-$E$209)/365.25),""),"")</f>
        <v/>
      </c>
    </row>
    <row r="236" customFormat="false" ht="15" hidden="false" customHeight="false" outlineLevel="0" collapsed="false">
      <c r="A236" s="15" t="n">
        <v>41640</v>
      </c>
      <c r="B236" s="20" t="str">
        <f aca="true">IFERROR(IF(AVERAGEIFS(INDIRECT(Index!$M$10),INDIRECT(Index!$L$10),"&gt;="&amp;$A236,INDIRECT(Index!$L$10),"&lt;"&amp;EDATE($A236,3))=0,"",AVERAGEIFS(INDIRECT(Index!$M$10),INDIRECT(Index!$L$10),"&gt;="&amp;$A236,INDIRECT(Index!$L$10),"&lt;"&amp;EDATE($A236,3))),"")</f>
        <v/>
      </c>
      <c r="C236" s="33" t="str">
        <f aca="false">IFERROR(B236/B235-1,"")</f>
        <v/>
      </c>
      <c r="D236" s="33" t="str">
        <f aca="false">IFERROR(B236/B232-1,"")</f>
        <v/>
      </c>
      <c r="E236" s="25" t="str">
        <f aca="false">IFERROR(IF(AND(B236="",ISNUMBER($C$209),ISNUMBER($G$209)),$C$209*(1+$G$209)^(($A236-$E$209)/365.25),""),"")</f>
        <v/>
      </c>
      <c r="F236" s="25" t="str">
        <f aca="false">IFERROR(IF(AND(B236="",ISNUMBER($C$209),ISNUMBER($G$209)),$C$209*(1+$G$209*0.85^MAX(0,($A236-$E$209)/91.25))^(($A236-$E$209)/365.25),""),"")</f>
        <v/>
      </c>
    </row>
    <row r="237" customFormat="false" ht="15" hidden="false" customHeight="false" outlineLevel="0" collapsed="false">
      <c r="A237" s="27" t="n">
        <v>41730</v>
      </c>
      <c r="B237" s="28" t="str">
        <f aca="true">IFERROR(IF(AVERAGEIFS(INDIRECT(Index!$M$10),INDIRECT(Index!$L$10),"&gt;="&amp;$A237,INDIRECT(Index!$L$10),"&lt;"&amp;EDATE($A237,3))=0,"",AVERAGEIFS(INDIRECT(Index!$M$10),INDIRECT(Index!$L$10),"&gt;="&amp;$A237,INDIRECT(Index!$L$10),"&lt;"&amp;EDATE($A237,3))),"")</f>
        <v/>
      </c>
      <c r="C237" s="29" t="str">
        <f aca="false">IFERROR(B237/B236-1,"")</f>
        <v/>
      </c>
      <c r="D237" s="29" t="str">
        <f aca="false">IFERROR(B237/B233-1,"")</f>
        <v/>
      </c>
      <c r="E237" s="31" t="str">
        <f aca="false">IFERROR(IF(AND(B237="",ISNUMBER($C$209),ISNUMBER($G$209)),$C$209*(1+$G$209)^(($A237-$E$209)/365.25),""),"")</f>
        <v/>
      </c>
      <c r="F237" s="31" t="str">
        <f aca="false">IFERROR(IF(AND(B237="",ISNUMBER($C$209),ISNUMBER($G$209)),$C$209*(1+$G$209*0.85^MAX(0,($A237-$E$209)/91.25))^(($A237-$E$209)/365.25),""),"")</f>
        <v/>
      </c>
    </row>
    <row r="238" customFormat="false" ht="15" hidden="false" customHeight="false" outlineLevel="0" collapsed="false">
      <c r="A238" s="15" t="n">
        <v>41821</v>
      </c>
      <c r="B238" s="20" t="str">
        <f aca="true">IFERROR(IF(AVERAGEIFS(INDIRECT(Index!$M$10),INDIRECT(Index!$L$10),"&gt;="&amp;$A238,INDIRECT(Index!$L$10),"&lt;"&amp;EDATE($A238,3))=0,"",AVERAGEIFS(INDIRECT(Index!$M$10),INDIRECT(Index!$L$10),"&gt;="&amp;$A238,INDIRECT(Index!$L$10),"&lt;"&amp;EDATE($A238,3))),"")</f>
        <v/>
      </c>
      <c r="C238" s="33" t="str">
        <f aca="false">IFERROR(B238/B237-1,"")</f>
        <v/>
      </c>
      <c r="D238" s="33" t="str">
        <f aca="false">IFERROR(B238/B234-1,"")</f>
        <v/>
      </c>
      <c r="E238" s="25" t="str">
        <f aca="false">IFERROR(IF(AND(B238="",ISNUMBER($C$209),ISNUMBER($G$209)),$C$209*(1+$G$209)^(($A238-$E$209)/365.25),""),"")</f>
        <v/>
      </c>
      <c r="F238" s="25" t="str">
        <f aca="false">IFERROR(IF(AND(B238="",ISNUMBER($C$209),ISNUMBER($G$209)),$C$209*(1+$G$209*0.85^MAX(0,($A238-$E$209)/91.25))^(($A238-$E$209)/365.25),""),"")</f>
        <v/>
      </c>
    </row>
    <row r="239" customFormat="false" ht="15" hidden="false" customHeight="false" outlineLevel="0" collapsed="false">
      <c r="A239" s="27" t="n">
        <v>41913</v>
      </c>
      <c r="B239" s="28" t="str">
        <f aca="true">IFERROR(IF(AVERAGEIFS(INDIRECT(Index!$M$10),INDIRECT(Index!$L$10),"&gt;="&amp;$A239,INDIRECT(Index!$L$10),"&lt;"&amp;EDATE($A239,3))=0,"",AVERAGEIFS(INDIRECT(Index!$M$10),INDIRECT(Index!$L$10),"&gt;="&amp;$A239,INDIRECT(Index!$L$10),"&lt;"&amp;EDATE($A239,3))),"")</f>
        <v/>
      </c>
      <c r="C239" s="29" t="str">
        <f aca="false">IFERROR(B239/B238-1,"")</f>
        <v/>
      </c>
      <c r="D239" s="29" t="str">
        <f aca="false">IFERROR(B239/B235-1,"")</f>
        <v/>
      </c>
      <c r="E239" s="31" t="str">
        <f aca="false">IFERROR(IF(AND(B239="",ISNUMBER($C$209),ISNUMBER($G$209)),$C$209*(1+$G$209)^(($A239-$E$209)/365.25),""),"")</f>
        <v/>
      </c>
      <c r="F239" s="31" t="str">
        <f aca="false">IFERROR(IF(AND(B239="",ISNUMBER($C$209),ISNUMBER($G$209)),$C$209*(1+$G$209*0.85^MAX(0,($A239-$E$209)/91.25))^(($A239-$E$209)/365.25),""),"")</f>
        <v/>
      </c>
    </row>
    <row r="240" customFormat="false" ht="15" hidden="false" customHeight="false" outlineLevel="0" collapsed="false">
      <c r="A240" s="15" t="n">
        <v>42005</v>
      </c>
      <c r="B240" s="20" t="str">
        <f aca="true">IFERROR(IF(AVERAGEIFS(INDIRECT(Index!$M$10),INDIRECT(Index!$L$10),"&gt;="&amp;$A240,INDIRECT(Index!$L$10),"&lt;"&amp;EDATE($A240,3))=0,"",AVERAGEIFS(INDIRECT(Index!$M$10),INDIRECT(Index!$L$10),"&gt;="&amp;$A240,INDIRECT(Index!$L$10),"&lt;"&amp;EDATE($A240,3))),"")</f>
        <v/>
      </c>
      <c r="C240" s="33" t="str">
        <f aca="false">IFERROR(B240/B239-1,"")</f>
        <v/>
      </c>
      <c r="D240" s="33" t="str">
        <f aca="false">IFERROR(B240/B236-1,"")</f>
        <v/>
      </c>
      <c r="E240" s="25" t="str">
        <f aca="false">IFERROR(IF(AND(B240="",ISNUMBER($C$209),ISNUMBER($G$209)),$C$209*(1+$G$209)^(($A240-$E$209)/365.25),""),"")</f>
        <v/>
      </c>
      <c r="F240" s="25" t="str">
        <f aca="false">IFERROR(IF(AND(B240="",ISNUMBER($C$209),ISNUMBER($G$209)),$C$209*(1+$G$209*0.85^MAX(0,($A240-$E$209)/91.25))^(($A240-$E$209)/365.25),""),"")</f>
        <v/>
      </c>
    </row>
    <row r="241" customFormat="false" ht="15" hidden="false" customHeight="false" outlineLevel="0" collapsed="false">
      <c r="A241" s="27" t="n">
        <v>42095</v>
      </c>
      <c r="B241" s="28" t="str">
        <f aca="true">IFERROR(IF(AVERAGEIFS(INDIRECT(Index!$M$10),INDIRECT(Index!$L$10),"&gt;="&amp;$A241,INDIRECT(Index!$L$10),"&lt;"&amp;EDATE($A241,3))=0,"",AVERAGEIFS(INDIRECT(Index!$M$10),INDIRECT(Index!$L$10),"&gt;="&amp;$A241,INDIRECT(Index!$L$10),"&lt;"&amp;EDATE($A241,3))),"")</f>
        <v/>
      </c>
      <c r="C241" s="29" t="str">
        <f aca="false">IFERROR(B241/B240-1,"")</f>
        <v/>
      </c>
      <c r="D241" s="29" t="str">
        <f aca="false">IFERROR(B241/B237-1,"")</f>
        <v/>
      </c>
      <c r="E241" s="31" t="str">
        <f aca="false">IFERROR(IF(AND(B241="",ISNUMBER($C$209),ISNUMBER($G$209)),$C$209*(1+$G$209)^(($A241-$E$209)/365.25),""),"")</f>
        <v/>
      </c>
      <c r="F241" s="31" t="str">
        <f aca="false">IFERROR(IF(AND(B241="",ISNUMBER($C$209),ISNUMBER($G$209)),$C$209*(1+$G$209*0.85^MAX(0,($A241-$E$209)/91.25))^(($A241-$E$209)/365.25),""),"")</f>
        <v/>
      </c>
    </row>
    <row r="242" customFormat="false" ht="15" hidden="false" customHeight="false" outlineLevel="0" collapsed="false">
      <c r="A242" s="15" t="n">
        <v>42186</v>
      </c>
      <c r="B242" s="20" t="str">
        <f aca="true">IFERROR(IF(AVERAGEIFS(INDIRECT(Index!$M$10),INDIRECT(Index!$L$10),"&gt;="&amp;$A242,INDIRECT(Index!$L$10),"&lt;"&amp;EDATE($A242,3))=0,"",AVERAGEIFS(INDIRECT(Index!$M$10),INDIRECT(Index!$L$10),"&gt;="&amp;$A242,INDIRECT(Index!$L$10),"&lt;"&amp;EDATE($A242,3))),"")</f>
        <v/>
      </c>
      <c r="C242" s="33" t="str">
        <f aca="false">IFERROR(B242/B241-1,"")</f>
        <v/>
      </c>
      <c r="D242" s="33" t="str">
        <f aca="false">IFERROR(B242/B238-1,"")</f>
        <v/>
      </c>
      <c r="E242" s="25" t="str">
        <f aca="false">IFERROR(IF(AND(B242="",ISNUMBER($C$209),ISNUMBER($G$209)),$C$209*(1+$G$209)^(($A242-$E$209)/365.25),""),"")</f>
        <v/>
      </c>
      <c r="F242" s="25" t="str">
        <f aca="false">IFERROR(IF(AND(B242="",ISNUMBER($C$209),ISNUMBER($G$209)),$C$209*(1+$G$209*0.85^MAX(0,($A242-$E$209)/91.25))^(($A242-$E$209)/365.25),""),"")</f>
        <v/>
      </c>
    </row>
    <row r="243" customFormat="false" ht="15" hidden="false" customHeight="false" outlineLevel="0" collapsed="false">
      <c r="A243" s="27" t="n">
        <v>42278</v>
      </c>
      <c r="B243" s="28" t="str">
        <f aca="true">IFERROR(IF(AVERAGEIFS(INDIRECT(Index!$M$10),INDIRECT(Index!$L$10),"&gt;="&amp;$A243,INDIRECT(Index!$L$10),"&lt;"&amp;EDATE($A243,3))=0,"",AVERAGEIFS(INDIRECT(Index!$M$10),INDIRECT(Index!$L$10),"&gt;="&amp;$A243,INDIRECT(Index!$L$10),"&lt;"&amp;EDATE($A243,3))),"")</f>
        <v/>
      </c>
      <c r="C243" s="29" t="str">
        <f aca="false">IFERROR(B243/B242-1,"")</f>
        <v/>
      </c>
      <c r="D243" s="29" t="str">
        <f aca="false">IFERROR(B243/B239-1,"")</f>
        <v/>
      </c>
      <c r="E243" s="31" t="str">
        <f aca="false">IFERROR(IF(AND(B243="",ISNUMBER($C$209),ISNUMBER($G$209)),$C$209*(1+$G$209)^(($A243-$E$209)/365.25),""),"")</f>
        <v/>
      </c>
      <c r="F243" s="31" t="str">
        <f aca="false">IFERROR(IF(AND(B243="",ISNUMBER($C$209),ISNUMBER($G$209)),$C$209*(1+$G$209*0.85^MAX(0,($A243-$E$209)/91.25))^(($A243-$E$209)/365.25),""),"")</f>
        <v/>
      </c>
    </row>
    <row r="244" customFormat="false" ht="15" hidden="false" customHeight="false" outlineLevel="0" collapsed="false">
      <c r="A244" s="15" t="n">
        <v>42370</v>
      </c>
      <c r="B244" s="20" t="str">
        <f aca="true">IFERROR(IF(AVERAGEIFS(INDIRECT(Index!$M$10),INDIRECT(Index!$L$10),"&gt;="&amp;$A244,INDIRECT(Index!$L$10),"&lt;"&amp;EDATE($A244,3))=0,"",AVERAGEIFS(INDIRECT(Index!$M$10),INDIRECT(Index!$L$10),"&gt;="&amp;$A244,INDIRECT(Index!$L$10),"&lt;"&amp;EDATE($A244,3))),"")</f>
        <v/>
      </c>
      <c r="C244" s="33" t="str">
        <f aca="false">IFERROR(B244/B243-1,"")</f>
        <v/>
      </c>
      <c r="D244" s="33" t="str">
        <f aca="false">IFERROR(B244/B240-1,"")</f>
        <v/>
      </c>
      <c r="E244" s="25" t="str">
        <f aca="false">IFERROR(IF(AND(B244="",ISNUMBER($C$209),ISNUMBER($G$209)),$C$209*(1+$G$209)^(($A244-$E$209)/365.25),""),"")</f>
        <v/>
      </c>
      <c r="F244" s="25" t="str">
        <f aca="false">IFERROR(IF(AND(B244="",ISNUMBER($C$209),ISNUMBER($G$209)),$C$209*(1+$G$209*0.85^MAX(0,($A244-$E$209)/91.25))^(($A244-$E$209)/365.25),""),"")</f>
        <v/>
      </c>
    </row>
    <row r="245" customFormat="false" ht="15" hidden="false" customHeight="false" outlineLevel="0" collapsed="false">
      <c r="A245" s="27" t="n">
        <v>42461</v>
      </c>
      <c r="B245" s="28" t="str">
        <f aca="true">IFERROR(IF(AVERAGEIFS(INDIRECT(Index!$M$10),INDIRECT(Index!$L$10),"&gt;="&amp;$A245,INDIRECT(Index!$L$10),"&lt;"&amp;EDATE($A245,3))=0,"",AVERAGEIFS(INDIRECT(Index!$M$10),INDIRECT(Index!$L$10),"&gt;="&amp;$A245,INDIRECT(Index!$L$10),"&lt;"&amp;EDATE($A245,3))),"")</f>
        <v/>
      </c>
      <c r="C245" s="29" t="str">
        <f aca="false">IFERROR(B245/B244-1,"")</f>
        <v/>
      </c>
      <c r="D245" s="29" t="str">
        <f aca="false">IFERROR(B245/B241-1,"")</f>
        <v/>
      </c>
      <c r="E245" s="31" t="str">
        <f aca="false">IFERROR(IF(AND(B245="",ISNUMBER($C$209),ISNUMBER($G$209)),$C$209*(1+$G$209)^(($A245-$E$209)/365.25),""),"")</f>
        <v/>
      </c>
      <c r="F245" s="31" t="str">
        <f aca="false">IFERROR(IF(AND(B245="",ISNUMBER($C$209),ISNUMBER($G$209)),$C$209*(1+$G$209*0.85^MAX(0,($A245-$E$209)/91.25))^(($A245-$E$209)/365.25),""),"")</f>
        <v/>
      </c>
    </row>
    <row r="246" customFormat="false" ht="15" hidden="false" customHeight="false" outlineLevel="0" collapsed="false">
      <c r="A246" s="15" t="n">
        <v>42552</v>
      </c>
      <c r="B246" s="20" t="str">
        <f aca="true">IFERROR(IF(AVERAGEIFS(INDIRECT(Index!$M$10),INDIRECT(Index!$L$10),"&gt;="&amp;$A246,INDIRECT(Index!$L$10),"&lt;"&amp;EDATE($A246,3))=0,"",AVERAGEIFS(INDIRECT(Index!$M$10),INDIRECT(Index!$L$10),"&gt;="&amp;$A246,INDIRECT(Index!$L$10),"&lt;"&amp;EDATE($A246,3))),"")</f>
        <v/>
      </c>
      <c r="C246" s="33" t="str">
        <f aca="false">IFERROR(B246/B245-1,"")</f>
        <v/>
      </c>
      <c r="D246" s="33" t="str">
        <f aca="false">IFERROR(B246/B242-1,"")</f>
        <v/>
      </c>
      <c r="E246" s="25" t="str">
        <f aca="false">IFERROR(IF(AND(B246="",ISNUMBER($C$209),ISNUMBER($G$209)),$C$209*(1+$G$209)^(($A246-$E$209)/365.25),""),"")</f>
        <v/>
      </c>
      <c r="F246" s="25" t="str">
        <f aca="false">IFERROR(IF(AND(B246="",ISNUMBER($C$209),ISNUMBER($G$209)),$C$209*(1+$G$209*0.85^MAX(0,($A246-$E$209)/91.25))^(($A246-$E$209)/365.25),""),"")</f>
        <v/>
      </c>
    </row>
    <row r="247" customFormat="false" ht="15" hidden="false" customHeight="false" outlineLevel="0" collapsed="false">
      <c r="A247" s="27" t="n">
        <v>42644</v>
      </c>
      <c r="B247" s="28" t="str">
        <f aca="true">IFERROR(IF(AVERAGEIFS(INDIRECT(Index!$M$10),INDIRECT(Index!$L$10),"&gt;="&amp;$A247,INDIRECT(Index!$L$10),"&lt;"&amp;EDATE($A247,3))=0,"",AVERAGEIFS(INDIRECT(Index!$M$10),INDIRECT(Index!$L$10),"&gt;="&amp;$A247,INDIRECT(Index!$L$10),"&lt;"&amp;EDATE($A247,3))),"")</f>
        <v/>
      </c>
      <c r="C247" s="29" t="str">
        <f aca="false">IFERROR(B247/B246-1,"")</f>
        <v/>
      </c>
      <c r="D247" s="29" t="str">
        <f aca="false">IFERROR(B247/B243-1,"")</f>
        <v/>
      </c>
      <c r="E247" s="31" t="str">
        <f aca="false">IFERROR(IF(AND(B247="",ISNUMBER($C$209),ISNUMBER($G$209)),$C$209*(1+$G$209)^(($A247-$E$209)/365.25),""),"")</f>
        <v/>
      </c>
      <c r="F247" s="31" t="str">
        <f aca="false">IFERROR(IF(AND(B247="",ISNUMBER($C$209),ISNUMBER($G$209)),$C$209*(1+$G$209*0.85^MAX(0,($A247-$E$209)/91.25))^(($A247-$E$209)/365.25),""),"")</f>
        <v/>
      </c>
    </row>
    <row r="248" customFormat="false" ht="15" hidden="false" customHeight="false" outlineLevel="0" collapsed="false">
      <c r="A248" s="15" t="n">
        <v>42736</v>
      </c>
      <c r="B248" s="20" t="str">
        <f aca="true">IFERROR(IF(AVERAGEIFS(INDIRECT(Index!$M$10),INDIRECT(Index!$L$10),"&gt;="&amp;$A248,INDIRECT(Index!$L$10),"&lt;"&amp;EDATE($A248,3))=0,"",AVERAGEIFS(INDIRECT(Index!$M$10),INDIRECT(Index!$L$10),"&gt;="&amp;$A248,INDIRECT(Index!$L$10),"&lt;"&amp;EDATE($A248,3))),"")</f>
        <v/>
      </c>
      <c r="C248" s="33" t="str">
        <f aca="false">IFERROR(B248/B247-1,"")</f>
        <v/>
      </c>
      <c r="D248" s="33" t="str">
        <f aca="false">IFERROR(B248/B244-1,"")</f>
        <v/>
      </c>
      <c r="E248" s="25" t="str">
        <f aca="false">IFERROR(IF(AND(B248="",ISNUMBER($C$209),ISNUMBER($G$209)),$C$209*(1+$G$209)^(($A248-$E$209)/365.25),""),"")</f>
        <v/>
      </c>
      <c r="F248" s="25" t="str">
        <f aca="false">IFERROR(IF(AND(B248="",ISNUMBER($C$209),ISNUMBER($G$209)),$C$209*(1+$G$209*0.85^MAX(0,($A248-$E$209)/91.25))^(($A248-$E$209)/365.25),""),"")</f>
        <v/>
      </c>
    </row>
    <row r="249" customFormat="false" ht="15" hidden="false" customHeight="false" outlineLevel="0" collapsed="false">
      <c r="A249" s="27" t="n">
        <v>42826</v>
      </c>
      <c r="B249" s="28" t="str">
        <f aca="true">IFERROR(IF(AVERAGEIFS(INDIRECT(Index!$M$10),INDIRECT(Index!$L$10),"&gt;="&amp;$A249,INDIRECT(Index!$L$10),"&lt;"&amp;EDATE($A249,3))=0,"",AVERAGEIFS(INDIRECT(Index!$M$10),INDIRECT(Index!$L$10),"&gt;="&amp;$A249,INDIRECT(Index!$L$10),"&lt;"&amp;EDATE($A249,3))),"")</f>
        <v/>
      </c>
      <c r="C249" s="29" t="str">
        <f aca="false">IFERROR(B249/B248-1,"")</f>
        <v/>
      </c>
      <c r="D249" s="29" t="str">
        <f aca="false">IFERROR(B249/B245-1,"")</f>
        <v/>
      </c>
      <c r="E249" s="31" t="str">
        <f aca="false">IFERROR(IF(AND(B249="",ISNUMBER($C$209),ISNUMBER($G$209)),$C$209*(1+$G$209)^(($A249-$E$209)/365.25),""),"")</f>
        <v/>
      </c>
      <c r="F249" s="31" t="str">
        <f aca="false">IFERROR(IF(AND(B249="",ISNUMBER($C$209),ISNUMBER($G$209)),$C$209*(1+$G$209*0.85^MAX(0,($A249-$E$209)/91.25))^(($A249-$E$209)/365.25),""),"")</f>
        <v/>
      </c>
    </row>
    <row r="250" customFormat="false" ht="15" hidden="false" customHeight="false" outlineLevel="0" collapsed="false">
      <c r="A250" s="15" t="n">
        <v>42917</v>
      </c>
      <c r="B250" s="20" t="str">
        <f aca="true">IFERROR(IF(AVERAGEIFS(INDIRECT(Index!$M$10),INDIRECT(Index!$L$10),"&gt;="&amp;$A250,INDIRECT(Index!$L$10),"&lt;"&amp;EDATE($A250,3))=0,"",AVERAGEIFS(INDIRECT(Index!$M$10),INDIRECT(Index!$L$10),"&gt;="&amp;$A250,INDIRECT(Index!$L$10),"&lt;"&amp;EDATE($A250,3))),"")</f>
        <v/>
      </c>
      <c r="C250" s="33" t="str">
        <f aca="false">IFERROR(B250/B249-1,"")</f>
        <v/>
      </c>
      <c r="D250" s="33" t="str">
        <f aca="false">IFERROR(B250/B246-1,"")</f>
        <v/>
      </c>
      <c r="E250" s="25" t="str">
        <f aca="false">IFERROR(IF(AND(B250="",ISNUMBER($C$209),ISNUMBER($G$209)),$C$209*(1+$G$209)^(($A250-$E$209)/365.25),""),"")</f>
        <v/>
      </c>
      <c r="F250" s="25" t="str">
        <f aca="false">IFERROR(IF(AND(B250="",ISNUMBER($C$209),ISNUMBER($G$209)),$C$209*(1+$G$209*0.85^MAX(0,($A250-$E$209)/91.25))^(($A250-$E$209)/365.25),""),"")</f>
        <v/>
      </c>
    </row>
    <row r="251" customFormat="false" ht="15" hidden="false" customHeight="false" outlineLevel="0" collapsed="false">
      <c r="A251" s="27" t="n">
        <v>43009</v>
      </c>
      <c r="B251" s="28" t="str">
        <f aca="true">IFERROR(IF(AVERAGEIFS(INDIRECT(Index!$M$10),INDIRECT(Index!$L$10),"&gt;="&amp;$A251,INDIRECT(Index!$L$10),"&lt;"&amp;EDATE($A251,3))=0,"",AVERAGEIFS(INDIRECT(Index!$M$10),INDIRECT(Index!$L$10),"&gt;="&amp;$A251,INDIRECT(Index!$L$10),"&lt;"&amp;EDATE($A251,3))),"")</f>
        <v/>
      </c>
      <c r="C251" s="29" t="str">
        <f aca="false">IFERROR(B251/B250-1,"")</f>
        <v/>
      </c>
      <c r="D251" s="29" t="str">
        <f aca="false">IFERROR(B251/B247-1,"")</f>
        <v/>
      </c>
      <c r="E251" s="31" t="str">
        <f aca="false">IFERROR(IF(AND(B251="",ISNUMBER($C$209),ISNUMBER($G$209)),$C$209*(1+$G$209)^(($A251-$E$209)/365.25),""),"")</f>
        <v/>
      </c>
      <c r="F251" s="31" t="str">
        <f aca="false">IFERROR(IF(AND(B251="",ISNUMBER($C$209),ISNUMBER($G$209)),$C$209*(1+$G$209*0.85^MAX(0,($A251-$E$209)/91.25))^(($A251-$E$209)/365.25),""),"")</f>
        <v/>
      </c>
    </row>
    <row r="252" customFormat="false" ht="15" hidden="false" customHeight="false" outlineLevel="0" collapsed="false">
      <c r="A252" s="15" t="n">
        <v>43101</v>
      </c>
      <c r="B252" s="20" t="str">
        <f aca="true">IFERROR(IF(AVERAGEIFS(INDIRECT(Index!$M$10),INDIRECT(Index!$L$10),"&gt;="&amp;$A252,INDIRECT(Index!$L$10),"&lt;"&amp;EDATE($A252,3))=0,"",AVERAGEIFS(INDIRECT(Index!$M$10),INDIRECT(Index!$L$10),"&gt;="&amp;$A252,INDIRECT(Index!$L$10),"&lt;"&amp;EDATE($A252,3))),"")</f>
        <v/>
      </c>
      <c r="C252" s="33" t="str">
        <f aca="false">IFERROR(B252/B251-1,"")</f>
        <v/>
      </c>
      <c r="D252" s="33" t="str">
        <f aca="false">IFERROR(B252/B248-1,"")</f>
        <v/>
      </c>
      <c r="E252" s="25" t="str">
        <f aca="false">IFERROR(IF(AND(B252="",ISNUMBER($C$209),ISNUMBER($G$209)),$C$209*(1+$G$209)^(($A252-$E$209)/365.25),""),"")</f>
        <v/>
      </c>
      <c r="F252" s="25" t="str">
        <f aca="false">IFERROR(IF(AND(B252="",ISNUMBER($C$209),ISNUMBER($G$209)),$C$209*(1+$G$209*0.85^MAX(0,($A252-$E$209)/91.25))^(($A252-$E$209)/365.25),""),"")</f>
        <v/>
      </c>
    </row>
    <row r="253" customFormat="false" ht="15" hidden="false" customHeight="false" outlineLevel="0" collapsed="false">
      <c r="A253" s="27" t="n">
        <v>43191</v>
      </c>
      <c r="B253" s="28" t="str">
        <f aca="true">IFERROR(IF(AVERAGEIFS(INDIRECT(Index!$M$10),INDIRECT(Index!$L$10),"&gt;="&amp;$A253,INDIRECT(Index!$L$10),"&lt;"&amp;EDATE($A253,3))=0,"",AVERAGEIFS(INDIRECT(Index!$M$10),INDIRECT(Index!$L$10),"&gt;="&amp;$A253,INDIRECT(Index!$L$10),"&lt;"&amp;EDATE($A253,3))),"")</f>
        <v/>
      </c>
      <c r="C253" s="29" t="str">
        <f aca="false">IFERROR(B253/B252-1,"")</f>
        <v/>
      </c>
      <c r="D253" s="29" t="str">
        <f aca="false">IFERROR(B253/B249-1,"")</f>
        <v/>
      </c>
      <c r="E253" s="31" t="str">
        <f aca="false">IFERROR(IF(AND(B253="",ISNUMBER($C$209),ISNUMBER($G$209)),$C$209*(1+$G$209)^(($A253-$E$209)/365.25),""),"")</f>
        <v/>
      </c>
      <c r="F253" s="31" t="str">
        <f aca="false">IFERROR(IF(AND(B253="",ISNUMBER($C$209),ISNUMBER($G$209)),$C$209*(1+$G$209*0.85^MAX(0,($A253-$E$209)/91.25))^(($A253-$E$209)/365.25),""),"")</f>
        <v/>
      </c>
    </row>
    <row r="254" customFormat="false" ht="15" hidden="false" customHeight="false" outlineLevel="0" collapsed="false">
      <c r="A254" s="15" t="n">
        <v>43282</v>
      </c>
      <c r="B254" s="20" t="str">
        <f aca="true">IFERROR(IF(AVERAGEIFS(INDIRECT(Index!$M$10),INDIRECT(Index!$L$10),"&gt;="&amp;$A254,INDIRECT(Index!$L$10),"&lt;"&amp;EDATE($A254,3))=0,"",AVERAGEIFS(INDIRECT(Index!$M$10),INDIRECT(Index!$L$10),"&gt;="&amp;$A254,INDIRECT(Index!$L$10),"&lt;"&amp;EDATE($A254,3))),"")</f>
        <v/>
      </c>
      <c r="C254" s="33" t="str">
        <f aca="false">IFERROR(B254/B253-1,"")</f>
        <v/>
      </c>
      <c r="D254" s="33" t="str">
        <f aca="false">IFERROR(B254/B250-1,"")</f>
        <v/>
      </c>
      <c r="E254" s="25" t="str">
        <f aca="false">IFERROR(IF(AND(B254="",ISNUMBER($C$209),ISNUMBER($G$209)),$C$209*(1+$G$209)^(($A254-$E$209)/365.25),""),"")</f>
        <v/>
      </c>
      <c r="F254" s="25" t="str">
        <f aca="false">IFERROR(IF(AND(B254="",ISNUMBER($C$209),ISNUMBER($G$209)),$C$209*(1+$G$209*0.85^MAX(0,($A254-$E$209)/91.25))^(($A254-$E$209)/365.25),""),"")</f>
        <v/>
      </c>
    </row>
    <row r="255" customFormat="false" ht="15" hidden="false" customHeight="false" outlineLevel="0" collapsed="false">
      <c r="A255" s="27" t="n">
        <v>43374</v>
      </c>
      <c r="B255" s="28" t="str">
        <f aca="true">IFERROR(IF(AVERAGEIFS(INDIRECT(Index!$M$10),INDIRECT(Index!$L$10),"&gt;="&amp;$A255,INDIRECT(Index!$L$10),"&lt;"&amp;EDATE($A255,3))=0,"",AVERAGEIFS(INDIRECT(Index!$M$10),INDIRECT(Index!$L$10),"&gt;="&amp;$A255,INDIRECT(Index!$L$10),"&lt;"&amp;EDATE($A255,3))),"")</f>
        <v/>
      </c>
      <c r="C255" s="29" t="str">
        <f aca="false">IFERROR(B255/B254-1,"")</f>
        <v/>
      </c>
      <c r="D255" s="29" t="str">
        <f aca="false">IFERROR(B255/B251-1,"")</f>
        <v/>
      </c>
      <c r="E255" s="31" t="str">
        <f aca="false">IFERROR(IF(AND(B255="",ISNUMBER($C$209),ISNUMBER($G$209)),$C$209*(1+$G$209)^(($A255-$E$209)/365.25),""),"")</f>
        <v/>
      </c>
      <c r="F255" s="31" t="str">
        <f aca="false">IFERROR(IF(AND(B255="",ISNUMBER($C$209),ISNUMBER($G$209)),$C$209*(1+$G$209*0.85^MAX(0,($A255-$E$209)/91.25))^(($A255-$E$209)/365.25),""),"")</f>
        <v/>
      </c>
    </row>
    <row r="256" customFormat="false" ht="15" hidden="false" customHeight="false" outlineLevel="0" collapsed="false">
      <c r="A256" s="15" t="n">
        <v>43466</v>
      </c>
      <c r="B256" s="20" t="str">
        <f aca="true">IFERROR(IF(AVERAGEIFS(INDIRECT(Index!$M$10),INDIRECT(Index!$L$10),"&gt;="&amp;$A256,INDIRECT(Index!$L$10),"&lt;"&amp;EDATE($A256,3))=0,"",AVERAGEIFS(INDIRECT(Index!$M$10),INDIRECT(Index!$L$10),"&gt;="&amp;$A256,INDIRECT(Index!$L$10),"&lt;"&amp;EDATE($A256,3))),"")</f>
        <v/>
      </c>
      <c r="C256" s="33" t="str">
        <f aca="false">IFERROR(B256/B255-1,"")</f>
        <v/>
      </c>
      <c r="D256" s="33" t="str">
        <f aca="false">IFERROR(B256/B252-1,"")</f>
        <v/>
      </c>
      <c r="E256" s="25" t="str">
        <f aca="false">IFERROR(IF(AND(B256="",ISNUMBER($C$209),ISNUMBER($G$209)),$C$209*(1+$G$209)^(($A256-$E$209)/365.25),""),"")</f>
        <v/>
      </c>
      <c r="F256" s="25" t="str">
        <f aca="false">IFERROR(IF(AND(B256="",ISNUMBER($C$209),ISNUMBER($G$209)),$C$209*(1+$G$209*0.85^MAX(0,($A256-$E$209)/91.25))^(($A256-$E$209)/365.25),""),"")</f>
        <v/>
      </c>
    </row>
    <row r="257" customFormat="false" ht="15" hidden="false" customHeight="false" outlineLevel="0" collapsed="false">
      <c r="A257" s="27" t="n">
        <v>43556</v>
      </c>
      <c r="B257" s="28" t="str">
        <f aca="true">IFERROR(IF(AVERAGEIFS(INDIRECT(Index!$M$10),INDIRECT(Index!$L$10),"&gt;="&amp;$A257,INDIRECT(Index!$L$10),"&lt;"&amp;EDATE($A257,3))=0,"",AVERAGEIFS(INDIRECT(Index!$M$10),INDIRECT(Index!$L$10),"&gt;="&amp;$A257,INDIRECT(Index!$L$10),"&lt;"&amp;EDATE($A257,3))),"")</f>
        <v/>
      </c>
      <c r="C257" s="29" t="str">
        <f aca="false">IFERROR(B257/B256-1,"")</f>
        <v/>
      </c>
      <c r="D257" s="29" t="str">
        <f aca="false">IFERROR(B257/B253-1,"")</f>
        <v/>
      </c>
      <c r="E257" s="31" t="str">
        <f aca="false">IFERROR(IF(AND(B257="",ISNUMBER($C$209),ISNUMBER($G$209)),$C$209*(1+$G$209)^(($A257-$E$209)/365.25),""),"")</f>
        <v/>
      </c>
      <c r="F257" s="31" t="str">
        <f aca="false">IFERROR(IF(AND(B257="",ISNUMBER($C$209),ISNUMBER($G$209)),$C$209*(1+$G$209*0.85^MAX(0,($A257-$E$209)/91.25))^(($A257-$E$209)/365.25),""),"")</f>
        <v/>
      </c>
    </row>
    <row r="258" customFormat="false" ht="15" hidden="false" customHeight="false" outlineLevel="0" collapsed="false">
      <c r="A258" s="15" t="n">
        <v>43647</v>
      </c>
      <c r="B258" s="20" t="str">
        <f aca="true">IFERROR(IF(AVERAGEIFS(INDIRECT(Index!$M$10),INDIRECT(Index!$L$10),"&gt;="&amp;$A258,INDIRECT(Index!$L$10),"&lt;"&amp;EDATE($A258,3))=0,"",AVERAGEIFS(INDIRECT(Index!$M$10),INDIRECT(Index!$L$10),"&gt;="&amp;$A258,INDIRECT(Index!$L$10),"&lt;"&amp;EDATE($A258,3))),"")</f>
        <v/>
      </c>
      <c r="C258" s="33" t="str">
        <f aca="false">IFERROR(B258/B257-1,"")</f>
        <v/>
      </c>
      <c r="D258" s="33" t="str">
        <f aca="false">IFERROR(B258/B254-1,"")</f>
        <v/>
      </c>
      <c r="E258" s="25" t="str">
        <f aca="false">IFERROR(IF(AND(B258="",ISNUMBER($C$209),ISNUMBER($G$209)),$C$209*(1+$G$209)^(($A258-$E$209)/365.25),""),"")</f>
        <v/>
      </c>
      <c r="F258" s="25" t="str">
        <f aca="false">IFERROR(IF(AND(B258="",ISNUMBER($C$209),ISNUMBER($G$209)),$C$209*(1+$G$209*0.85^MAX(0,($A258-$E$209)/91.25))^(($A258-$E$209)/365.25),""),"")</f>
        <v/>
      </c>
    </row>
    <row r="259" customFormat="false" ht="15" hidden="false" customHeight="false" outlineLevel="0" collapsed="false">
      <c r="A259" s="27" t="n">
        <v>43739</v>
      </c>
      <c r="B259" s="28" t="str">
        <f aca="true">IFERROR(IF(AVERAGEIFS(INDIRECT(Index!$M$10),INDIRECT(Index!$L$10),"&gt;="&amp;$A259,INDIRECT(Index!$L$10),"&lt;"&amp;EDATE($A259,3))=0,"",AVERAGEIFS(INDIRECT(Index!$M$10),INDIRECT(Index!$L$10),"&gt;="&amp;$A259,INDIRECT(Index!$L$10),"&lt;"&amp;EDATE($A259,3))),"")</f>
        <v/>
      </c>
      <c r="C259" s="29" t="str">
        <f aca="false">IFERROR(B259/B258-1,"")</f>
        <v/>
      </c>
      <c r="D259" s="29" t="str">
        <f aca="false">IFERROR(B259/B255-1,"")</f>
        <v/>
      </c>
      <c r="E259" s="31" t="str">
        <f aca="false">IFERROR(IF(AND(B259="",ISNUMBER($C$209),ISNUMBER($G$209)),$C$209*(1+$G$209)^(($A259-$E$209)/365.25),""),"")</f>
        <v/>
      </c>
      <c r="F259" s="31" t="str">
        <f aca="false">IFERROR(IF(AND(B259="",ISNUMBER($C$209),ISNUMBER($G$209)),$C$209*(1+$G$209*0.85^MAX(0,($A259-$E$209)/91.25))^(($A259-$E$209)/365.25),""),"")</f>
        <v/>
      </c>
    </row>
    <row r="260" customFormat="false" ht="15" hidden="false" customHeight="false" outlineLevel="0" collapsed="false">
      <c r="A260" s="15" t="n">
        <v>43831</v>
      </c>
      <c r="B260" s="20" t="str">
        <f aca="true">IFERROR(IF(AVERAGEIFS(INDIRECT(Index!$M$10),INDIRECT(Index!$L$10),"&gt;="&amp;$A260,INDIRECT(Index!$L$10),"&lt;"&amp;EDATE($A260,3))=0,"",AVERAGEIFS(INDIRECT(Index!$M$10),INDIRECT(Index!$L$10),"&gt;="&amp;$A260,INDIRECT(Index!$L$10),"&lt;"&amp;EDATE($A260,3))),"")</f>
        <v/>
      </c>
      <c r="C260" s="33" t="str">
        <f aca="false">IFERROR(B260/B259-1,"")</f>
        <v/>
      </c>
      <c r="D260" s="33" t="str">
        <f aca="false">IFERROR(B260/B256-1,"")</f>
        <v/>
      </c>
      <c r="E260" s="25" t="str">
        <f aca="false">IFERROR(IF(AND(B260="",ISNUMBER($C$209),ISNUMBER($G$209)),$C$209*(1+$G$209)^(($A260-$E$209)/365.25),""),"")</f>
        <v/>
      </c>
      <c r="F260" s="25" t="str">
        <f aca="false">IFERROR(IF(AND(B260="",ISNUMBER($C$209),ISNUMBER($G$209)),$C$209*(1+$G$209*0.85^MAX(0,($A260-$E$209)/91.25))^(($A260-$E$209)/365.25),""),"")</f>
        <v/>
      </c>
    </row>
    <row r="261" customFormat="false" ht="15" hidden="false" customHeight="false" outlineLevel="0" collapsed="false">
      <c r="A261" s="27" t="n">
        <v>43922</v>
      </c>
      <c r="B261" s="28" t="str">
        <f aca="true">IFERROR(IF(AVERAGEIFS(INDIRECT(Index!$M$10),INDIRECT(Index!$L$10),"&gt;="&amp;$A261,INDIRECT(Index!$L$10),"&lt;"&amp;EDATE($A261,3))=0,"",AVERAGEIFS(INDIRECT(Index!$M$10),INDIRECT(Index!$L$10),"&gt;="&amp;$A261,INDIRECT(Index!$L$10),"&lt;"&amp;EDATE($A261,3))),"")</f>
        <v/>
      </c>
      <c r="C261" s="29" t="str">
        <f aca="false">IFERROR(B261/B260-1,"")</f>
        <v/>
      </c>
      <c r="D261" s="29" t="str">
        <f aca="false">IFERROR(B261/B257-1,"")</f>
        <v/>
      </c>
      <c r="E261" s="31" t="str">
        <f aca="false">IFERROR(IF(AND(B261="",ISNUMBER($C$209),ISNUMBER($G$209)),$C$209*(1+$G$209)^(($A261-$E$209)/365.25),""),"")</f>
        <v/>
      </c>
      <c r="F261" s="31" t="str">
        <f aca="false">IFERROR(IF(AND(B261="",ISNUMBER($C$209),ISNUMBER($G$209)),$C$209*(1+$G$209*0.85^MAX(0,($A261-$E$209)/91.25))^(($A261-$E$209)/365.25),""),"")</f>
        <v/>
      </c>
    </row>
    <row r="262" customFormat="false" ht="15" hidden="false" customHeight="false" outlineLevel="0" collapsed="false">
      <c r="A262" s="15" t="n">
        <v>44013</v>
      </c>
      <c r="B262" s="20" t="str">
        <f aca="true">IFERROR(IF(AVERAGEIFS(INDIRECT(Index!$M$10),INDIRECT(Index!$L$10),"&gt;="&amp;$A262,INDIRECT(Index!$L$10),"&lt;"&amp;EDATE($A262,3))=0,"",AVERAGEIFS(INDIRECT(Index!$M$10),INDIRECT(Index!$L$10),"&gt;="&amp;$A262,INDIRECT(Index!$L$10),"&lt;"&amp;EDATE($A262,3))),"")</f>
        <v/>
      </c>
      <c r="C262" s="33" t="str">
        <f aca="false">IFERROR(B262/B261-1,"")</f>
        <v/>
      </c>
      <c r="D262" s="33" t="str">
        <f aca="false">IFERROR(B262/B258-1,"")</f>
        <v/>
      </c>
      <c r="E262" s="25" t="str">
        <f aca="false">IFERROR(IF(AND(B262="",ISNUMBER($C$209),ISNUMBER($G$209)),$C$209*(1+$G$209)^(($A262-$E$209)/365.25),""),"")</f>
        <v/>
      </c>
      <c r="F262" s="25" t="str">
        <f aca="false">IFERROR(IF(AND(B262="",ISNUMBER($C$209),ISNUMBER($G$209)),$C$209*(1+$G$209*0.85^MAX(0,($A262-$E$209)/91.25))^(($A262-$E$209)/365.25),""),"")</f>
        <v/>
      </c>
    </row>
    <row r="263" customFormat="false" ht="15" hidden="false" customHeight="false" outlineLevel="0" collapsed="false">
      <c r="A263" s="27" t="n">
        <v>44105</v>
      </c>
      <c r="B263" s="28" t="str">
        <f aca="true">IFERROR(IF(AVERAGEIFS(INDIRECT(Index!$M$10),INDIRECT(Index!$L$10),"&gt;="&amp;$A263,INDIRECT(Index!$L$10),"&lt;"&amp;EDATE($A263,3))=0,"",AVERAGEIFS(INDIRECT(Index!$M$10),INDIRECT(Index!$L$10),"&gt;="&amp;$A263,INDIRECT(Index!$L$10),"&lt;"&amp;EDATE($A263,3))),"")</f>
        <v/>
      </c>
      <c r="C263" s="29" t="str">
        <f aca="false">IFERROR(B263/B262-1,"")</f>
        <v/>
      </c>
      <c r="D263" s="29" t="str">
        <f aca="false">IFERROR(B263/B259-1,"")</f>
        <v/>
      </c>
      <c r="E263" s="31" t="str">
        <f aca="false">IFERROR(IF(AND(B263="",ISNUMBER($C$209),ISNUMBER($G$209)),$C$209*(1+$G$209)^(($A263-$E$209)/365.25),""),"")</f>
        <v/>
      </c>
      <c r="F263" s="31" t="str">
        <f aca="false">IFERROR(IF(AND(B263="",ISNUMBER($C$209),ISNUMBER($G$209)),$C$209*(1+$G$209*0.85^MAX(0,($A263-$E$209)/91.25))^(($A263-$E$209)/365.25),""),"")</f>
        <v/>
      </c>
    </row>
    <row r="264" customFormat="false" ht="15" hidden="false" customHeight="false" outlineLevel="0" collapsed="false">
      <c r="A264" s="15" t="n">
        <v>44197</v>
      </c>
      <c r="B264" s="20" t="str">
        <f aca="true">IFERROR(IF(AVERAGEIFS(INDIRECT(Index!$M$10),INDIRECT(Index!$L$10),"&gt;="&amp;$A264,INDIRECT(Index!$L$10),"&lt;"&amp;EDATE($A264,3))=0,"",AVERAGEIFS(INDIRECT(Index!$M$10),INDIRECT(Index!$L$10),"&gt;="&amp;$A264,INDIRECT(Index!$L$10),"&lt;"&amp;EDATE($A264,3))),"")</f>
        <v/>
      </c>
      <c r="C264" s="33" t="str">
        <f aca="false">IFERROR(B264/B263-1,"")</f>
        <v/>
      </c>
      <c r="D264" s="33" t="str">
        <f aca="false">IFERROR(B264/B260-1,"")</f>
        <v/>
      </c>
      <c r="E264" s="25" t="str">
        <f aca="false">IFERROR(IF(AND(B264="",ISNUMBER($C$209),ISNUMBER($G$209)),$C$209*(1+$G$209)^(($A264-$E$209)/365.25),""),"")</f>
        <v/>
      </c>
      <c r="F264" s="25" t="str">
        <f aca="false">IFERROR(IF(AND(B264="",ISNUMBER($C$209),ISNUMBER($G$209)),$C$209*(1+$G$209*0.85^MAX(0,($A264-$E$209)/91.25))^(($A264-$E$209)/365.25),""),"")</f>
        <v/>
      </c>
    </row>
    <row r="265" customFormat="false" ht="15" hidden="false" customHeight="false" outlineLevel="0" collapsed="false">
      <c r="A265" s="27" t="n">
        <v>44287</v>
      </c>
      <c r="B265" s="28" t="str">
        <f aca="true">IFERROR(IF(AVERAGEIFS(INDIRECT(Index!$M$10),INDIRECT(Index!$L$10),"&gt;="&amp;$A265,INDIRECT(Index!$L$10),"&lt;"&amp;EDATE($A265,3))=0,"",AVERAGEIFS(INDIRECT(Index!$M$10),INDIRECT(Index!$L$10),"&gt;="&amp;$A265,INDIRECT(Index!$L$10),"&lt;"&amp;EDATE($A265,3))),"")</f>
        <v/>
      </c>
      <c r="C265" s="29" t="str">
        <f aca="false">IFERROR(B265/B264-1,"")</f>
        <v/>
      </c>
      <c r="D265" s="29" t="str">
        <f aca="false">IFERROR(B265/B261-1,"")</f>
        <v/>
      </c>
      <c r="E265" s="31" t="str">
        <f aca="false">IFERROR(IF(AND(B265="",ISNUMBER($C$209),ISNUMBER($G$209)),$C$209*(1+$G$209)^(($A265-$E$209)/365.25),""),"")</f>
        <v/>
      </c>
      <c r="F265" s="31" t="str">
        <f aca="false">IFERROR(IF(AND(B265="",ISNUMBER($C$209),ISNUMBER($G$209)),$C$209*(1+$G$209*0.85^MAX(0,($A265-$E$209)/91.25))^(($A265-$E$209)/365.25),""),"")</f>
        <v/>
      </c>
    </row>
    <row r="266" customFormat="false" ht="15" hidden="false" customHeight="false" outlineLevel="0" collapsed="false">
      <c r="A266" s="15" t="n">
        <v>44378</v>
      </c>
      <c r="B266" s="20" t="str">
        <f aca="true">IFERROR(IF(AVERAGEIFS(INDIRECT(Index!$M$10),INDIRECT(Index!$L$10),"&gt;="&amp;$A266,INDIRECT(Index!$L$10),"&lt;"&amp;EDATE($A266,3))=0,"",AVERAGEIFS(INDIRECT(Index!$M$10),INDIRECT(Index!$L$10),"&gt;="&amp;$A266,INDIRECT(Index!$L$10),"&lt;"&amp;EDATE($A266,3))),"")</f>
        <v/>
      </c>
      <c r="C266" s="33" t="str">
        <f aca="false">IFERROR(B266/B265-1,"")</f>
        <v/>
      </c>
      <c r="D266" s="33" t="str">
        <f aca="false">IFERROR(B266/B262-1,"")</f>
        <v/>
      </c>
      <c r="E266" s="25" t="str">
        <f aca="false">IFERROR(IF(AND(B266="",ISNUMBER($C$209),ISNUMBER($G$209)),$C$209*(1+$G$209)^(($A266-$E$209)/365.25),""),"")</f>
        <v/>
      </c>
      <c r="F266" s="25" t="str">
        <f aca="false">IFERROR(IF(AND(B266="",ISNUMBER($C$209),ISNUMBER($G$209)),$C$209*(1+$G$209*0.85^MAX(0,($A266-$E$209)/91.25))^(($A266-$E$209)/365.25),""),"")</f>
        <v/>
      </c>
    </row>
    <row r="267" customFormat="false" ht="15" hidden="false" customHeight="false" outlineLevel="0" collapsed="false">
      <c r="A267" s="27" t="n">
        <v>44470</v>
      </c>
      <c r="B267" s="28" t="str">
        <f aca="true">IFERROR(IF(AVERAGEIFS(INDIRECT(Index!$M$10),INDIRECT(Index!$L$10),"&gt;="&amp;$A267,INDIRECT(Index!$L$10),"&lt;"&amp;EDATE($A267,3))=0,"",AVERAGEIFS(INDIRECT(Index!$M$10),INDIRECT(Index!$L$10),"&gt;="&amp;$A267,INDIRECT(Index!$L$10),"&lt;"&amp;EDATE($A267,3))),"")</f>
        <v/>
      </c>
      <c r="C267" s="29" t="str">
        <f aca="false">IFERROR(B267/B266-1,"")</f>
        <v/>
      </c>
      <c r="D267" s="29" t="str">
        <f aca="false">IFERROR(B267/B263-1,"")</f>
        <v/>
      </c>
      <c r="E267" s="31" t="str">
        <f aca="false">IFERROR(IF(AND(B267="",ISNUMBER($C$209),ISNUMBER($G$209)),$C$209*(1+$G$209)^(($A267-$E$209)/365.25),""),"")</f>
        <v/>
      </c>
      <c r="F267" s="31" t="str">
        <f aca="false">IFERROR(IF(AND(B267="",ISNUMBER($C$209),ISNUMBER($G$209)),$C$209*(1+$G$209*0.85^MAX(0,($A267-$E$209)/91.25))^(($A267-$E$209)/365.25),""),"")</f>
        <v/>
      </c>
    </row>
    <row r="268" customFormat="false" ht="15" hidden="false" customHeight="false" outlineLevel="0" collapsed="false">
      <c r="A268" s="15" t="n">
        <v>44562</v>
      </c>
      <c r="B268" s="20" t="str">
        <f aca="true">IFERROR(IF(AVERAGEIFS(INDIRECT(Index!$M$10),INDIRECT(Index!$L$10),"&gt;="&amp;$A268,INDIRECT(Index!$L$10),"&lt;"&amp;EDATE($A268,3))=0,"",AVERAGEIFS(INDIRECT(Index!$M$10),INDIRECT(Index!$L$10),"&gt;="&amp;$A268,INDIRECT(Index!$L$10),"&lt;"&amp;EDATE($A268,3))),"")</f>
        <v/>
      </c>
      <c r="C268" s="33" t="str">
        <f aca="false">IFERROR(B268/B267-1,"")</f>
        <v/>
      </c>
      <c r="D268" s="33" t="str">
        <f aca="false">IFERROR(B268/B264-1,"")</f>
        <v/>
      </c>
      <c r="E268" s="25" t="str">
        <f aca="false">IFERROR(IF(AND(B268="",ISNUMBER($C$209),ISNUMBER($G$209)),$C$209*(1+$G$209)^(($A268-$E$209)/365.25),""),"")</f>
        <v/>
      </c>
      <c r="F268" s="25" t="str">
        <f aca="false">IFERROR(IF(AND(B268="",ISNUMBER($C$209),ISNUMBER($G$209)),$C$209*(1+$G$209*0.85^MAX(0,($A268-$E$209)/91.25))^(($A268-$E$209)/365.25),""),"")</f>
        <v/>
      </c>
    </row>
    <row r="269" customFormat="false" ht="15" hidden="false" customHeight="false" outlineLevel="0" collapsed="false">
      <c r="A269" s="27" t="n">
        <v>44652</v>
      </c>
      <c r="B269" s="28" t="str">
        <f aca="true">IFERROR(IF(AVERAGEIFS(INDIRECT(Index!$M$10),INDIRECT(Index!$L$10),"&gt;="&amp;$A269,INDIRECT(Index!$L$10),"&lt;"&amp;EDATE($A269,3))=0,"",AVERAGEIFS(INDIRECT(Index!$M$10),INDIRECT(Index!$L$10),"&gt;="&amp;$A269,INDIRECT(Index!$L$10),"&lt;"&amp;EDATE($A269,3))),"")</f>
        <v/>
      </c>
      <c r="C269" s="29" t="str">
        <f aca="false">IFERROR(B269/B268-1,"")</f>
        <v/>
      </c>
      <c r="D269" s="29" t="str">
        <f aca="false">IFERROR(B269/B265-1,"")</f>
        <v/>
      </c>
      <c r="E269" s="31" t="str">
        <f aca="false">IFERROR(IF(AND(B269="",ISNUMBER($C$209),ISNUMBER($G$209)),$C$209*(1+$G$209)^(($A269-$E$209)/365.25),""),"")</f>
        <v/>
      </c>
      <c r="F269" s="31" t="str">
        <f aca="false">IFERROR(IF(AND(B269="",ISNUMBER($C$209),ISNUMBER($G$209)),$C$209*(1+$G$209*0.85^MAX(0,($A269-$E$209)/91.25))^(($A269-$E$209)/365.25),""),"")</f>
        <v/>
      </c>
    </row>
    <row r="270" customFormat="false" ht="15" hidden="false" customHeight="false" outlineLevel="0" collapsed="false">
      <c r="A270" s="15" t="n">
        <v>44743</v>
      </c>
      <c r="B270" s="20" t="str">
        <f aca="true">IFERROR(IF(AVERAGEIFS(INDIRECT(Index!$M$10),INDIRECT(Index!$L$10),"&gt;="&amp;$A270,INDIRECT(Index!$L$10),"&lt;"&amp;EDATE($A270,3))=0,"",AVERAGEIFS(INDIRECT(Index!$M$10),INDIRECT(Index!$L$10),"&gt;="&amp;$A270,INDIRECT(Index!$L$10),"&lt;"&amp;EDATE($A270,3))),"")</f>
        <v/>
      </c>
      <c r="C270" s="33" t="str">
        <f aca="false">IFERROR(B270/B269-1,"")</f>
        <v/>
      </c>
      <c r="D270" s="33" t="str">
        <f aca="false">IFERROR(B270/B266-1,"")</f>
        <v/>
      </c>
      <c r="E270" s="25" t="str">
        <f aca="false">IFERROR(IF(AND(B270="",ISNUMBER($C$209),ISNUMBER($G$209)),$C$209*(1+$G$209)^(($A270-$E$209)/365.25),""),"")</f>
        <v/>
      </c>
      <c r="F270" s="25" t="str">
        <f aca="false">IFERROR(IF(AND(B270="",ISNUMBER($C$209),ISNUMBER($G$209)),$C$209*(1+$G$209*0.85^MAX(0,($A270-$E$209)/91.25))^(($A270-$E$209)/365.25),""),"")</f>
        <v/>
      </c>
    </row>
    <row r="271" customFormat="false" ht="15" hidden="false" customHeight="false" outlineLevel="0" collapsed="false">
      <c r="A271" s="27" t="n">
        <v>44835</v>
      </c>
      <c r="B271" s="28" t="str">
        <f aca="true">IFERROR(IF(AVERAGEIFS(INDIRECT(Index!$M$10),INDIRECT(Index!$L$10),"&gt;="&amp;$A271,INDIRECT(Index!$L$10),"&lt;"&amp;EDATE($A271,3))=0,"",AVERAGEIFS(INDIRECT(Index!$M$10),INDIRECT(Index!$L$10),"&gt;="&amp;$A271,INDIRECT(Index!$L$10),"&lt;"&amp;EDATE($A271,3))),"")</f>
        <v/>
      </c>
      <c r="C271" s="29" t="str">
        <f aca="false">IFERROR(B271/B270-1,"")</f>
        <v/>
      </c>
      <c r="D271" s="29" t="str">
        <f aca="false">IFERROR(B271/B267-1,"")</f>
        <v/>
      </c>
      <c r="E271" s="31" t="str">
        <f aca="false">IFERROR(IF(AND(B271="",ISNUMBER($C$209),ISNUMBER($G$209)),$C$209*(1+$G$209)^(($A271-$E$209)/365.25),""),"")</f>
        <v/>
      </c>
      <c r="F271" s="31" t="str">
        <f aca="false">IFERROR(IF(AND(B271="",ISNUMBER($C$209),ISNUMBER($G$209)),$C$209*(1+$G$209*0.85^MAX(0,($A271-$E$209)/91.25))^(($A271-$E$209)/365.25),""),"")</f>
        <v/>
      </c>
    </row>
    <row r="272" customFormat="false" ht="15" hidden="false" customHeight="false" outlineLevel="0" collapsed="false">
      <c r="A272" s="15" t="n">
        <v>44927</v>
      </c>
      <c r="B272" s="20" t="str">
        <f aca="true">IFERROR(IF(AVERAGEIFS(INDIRECT(Index!$M$10),INDIRECT(Index!$L$10),"&gt;="&amp;$A272,INDIRECT(Index!$L$10),"&lt;"&amp;EDATE($A272,3))=0,"",AVERAGEIFS(INDIRECT(Index!$M$10),INDIRECT(Index!$L$10),"&gt;="&amp;$A272,INDIRECT(Index!$L$10),"&lt;"&amp;EDATE($A272,3))),"")</f>
        <v/>
      </c>
      <c r="C272" s="33" t="str">
        <f aca="false">IFERROR(B272/B271-1,"")</f>
        <v/>
      </c>
      <c r="D272" s="33" t="str">
        <f aca="false">IFERROR(B272/B268-1,"")</f>
        <v/>
      </c>
      <c r="E272" s="25" t="str">
        <f aca="false">IFERROR(IF(AND(B272="",ISNUMBER($C$209),ISNUMBER($G$209)),$C$209*(1+$G$209)^(($A272-$E$209)/365.25),""),"")</f>
        <v/>
      </c>
      <c r="F272" s="25" t="str">
        <f aca="false">IFERROR(IF(AND(B272="",ISNUMBER($C$209),ISNUMBER($G$209)),$C$209*(1+$G$209*0.85^MAX(0,($A272-$E$209)/91.25))^(($A272-$E$209)/365.25),""),"")</f>
        <v/>
      </c>
    </row>
    <row r="273" customFormat="false" ht="15" hidden="false" customHeight="false" outlineLevel="0" collapsed="false">
      <c r="A273" s="27" t="n">
        <v>45017</v>
      </c>
      <c r="B273" s="28" t="str">
        <f aca="true">IFERROR(IF(AVERAGEIFS(INDIRECT(Index!$M$10),INDIRECT(Index!$L$10),"&gt;="&amp;$A273,INDIRECT(Index!$L$10),"&lt;"&amp;EDATE($A273,3))=0,"",AVERAGEIFS(INDIRECT(Index!$M$10),INDIRECT(Index!$L$10),"&gt;="&amp;$A273,INDIRECT(Index!$L$10),"&lt;"&amp;EDATE($A273,3))),"")</f>
        <v/>
      </c>
      <c r="C273" s="29" t="str">
        <f aca="false">IFERROR(B273/B272-1,"")</f>
        <v/>
      </c>
      <c r="D273" s="29" t="str">
        <f aca="false">IFERROR(B273/B269-1,"")</f>
        <v/>
      </c>
      <c r="E273" s="31" t="str">
        <f aca="false">IFERROR(IF(AND(B273="",ISNUMBER($C$209),ISNUMBER($G$209)),$C$209*(1+$G$209)^(($A273-$E$209)/365.25),""),"")</f>
        <v/>
      </c>
      <c r="F273" s="31" t="str">
        <f aca="false">IFERROR(IF(AND(B273="",ISNUMBER($C$209),ISNUMBER($G$209)),$C$209*(1+$G$209*0.85^MAX(0,($A273-$E$209)/91.25))^(($A273-$E$209)/365.25),""),"")</f>
        <v/>
      </c>
    </row>
    <row r="274" customFormat="false" ht="15" hidden="false" customHeight="false" outlineLevel="0" collapsed="false">
      <c r="A274" s="15" t="n">
        <v>45108</v>
      </c>
      <c r="B274" s="20" t="str">
        <f aca="true">IFERROR(IF(AVERAGEIFS(INDIRECT(Index!$M$10),INDIRECT(Index!$L$10),"&gt;="&amp;$A274,INDIRECT(Index!$L$10),"&lt;"&amp;EDATE($A274,3))=0,"",AVERAGEIFS(INDIRECT(Index!$M$10),INDIRECT(Index!$L$10),"&gt;="&amp;$A274,INDIRECT(Index!$L$10),"&lt;"&amp;EDATE($A274,3))),"")</f>
        <v/>
      </c>
      <c r="C274" s="33" t="str">
        <f aca="false">IFERROR(B274/B273-1,"")</f>
        <v/>
      </c>
      <c r="D274" s="33" t="str">
        <f aca="false">IFERROR(B274/B270-1,"")</f>
        <v/>
      </c>
      <c r="E274" s="25" t="str">
        <f aca="false">IFERROR(IF(AND(B274="",ISNUMBER($C$209),ISNUMBER($G$209)),$C$209*(1+$G$209)^(($A274-$E$209)/365.25),""),"")</f>
        <v/>
      </c>
      <c r="F274" s="25" t="str">
        <f aca="false">IFERROR(IF(AND(B274="",ISNUMBER($C$209),ISNUMBER($G$209)),$C$209*(1+$G$209*0.85^MAX(0,($A274-$E$209)/91.25))^(($A274-$E$209)/365.25),""),"")</f>
        <v/>
      </c>
    </row>
    <row r="275" customFormat="false" ht="15" hidden="false" customHeight="false" outlineLevel="0" collapsed="false">
      <c r="A275" s="27" t="n">
        <v>45200</v>
      </c>
      <c r="B275" s="28" t="str">
        <f aca="true">IFERROR(IF(AVERAGEIFS(INDIRECT(Index!$M$10),INDIRECT(Index!$L$10),"&gt;="&amp;$A275,INDIRECT(Index!$L$10),"&lt;"&amp;EDATE($A275,3))=0,"",AVERAGEIFS(INDIRECT(Index!$M$10),INDIRECT(Index!$L$10),"&gt;="&amp;$A275,INDIRECT(Index!$L$10),"&lt;"&amp;EDATE($A275,3))),"")</f>
        <v/>
      </c>
      <c r="C275" s="29" t="str">
        <f aca="false">IFERROR(B275/B274-1,"")</f>
        <v/>
      </c>
      <c r="D275" s="29" t="str">
        <f aca="false">IFERROR(B275/B271-1,"")</f>
        <v/>
      </c>
      <c r="E275" s="31" t="str">
        <f aca="false">IFERROR(IF(AND(B275="",ISNUMBER($C$209),ISNUMBER($G$209)),$C$209*(1+$G$209)^(($A275-$E$209)/365.25),""),"")</f>
        <v/>
      </c>
      <c r="F275" s="31" t="str">
        <f aca="false">IFERROR(IF(AND(B275="",ISNUMBER($C$209),ISNUMBER($G$209)),$C$209*(1+$G$209*0.85^MAX(0,($A275-$E$209)/91.25))^(($A275-$E$209)/365.25),""),"")</f>
        <v/>
      </c>
    </row>
    <row r="276" customFormat="false" ht="15" hidden="false" customHeight="false" outlineLevel="0" collapsed="false">
      <c r="A276" s="15" t="n">
        <v>45292</v>
      </c>
      <c r="B276" s="20" t="str">
        <f aca="true">IFERROR(IF(AVERAGEIFS(INDIRECT(Index!$M$10),INDIRECT(Index!$L$10),"&gt;="&amp;$A276,INDIRECT(Index!$L$10),"&lt;"&amp;EDATE($A276,3))=0,"",AVERAGEIFS(INDIRECT(Index!$M$10),INDIRECT(Index!$L$10),"&gt;="&amp;$A276,INDIRECT(Index!$L$10),"&lt;"&amp;EDATE($A276,3))),"")</f>
        <v/>
      </c>
      <c r="C276" s="33" t="str">
        <f aca="false">IFERROR(B276/B275-1,"")</f>
        <v/>
      </c>
      <c r="D276" s="33" t="str">
        <f aca="false">IFERROR(B276/B272-1,"")</f>
        <v/>
      </c>
      <c r="E276" s="25" t="str">
        <f aca="false">IFERROR(IF(AND(B276="",ISNUMBER($C$209),ISNUMBER($G$209)),$C$209*(1+$G$209)^(($A276-$E$209)/365.25),""),"")</f>
        <v/>
      </c>
      <c r="F276" s="25" t="str">
        <f aca="false">IFERROR(IF(AND(B276="",ISNUMBER($C$209),ISNUMBER($G$209)),$C$209*(1+$G$209*0.85^MAX(0,($A276-$E$209)/91.25))^(($A276-$E$209)/365.25),""),"")</f>
        <v/>
      </c>
    </row>
    <row r="277" customFormat="false" ht="15" hidden="false" customHeight="false" outlineLevel="0" collapsed="false">
      <c r="A277" s="27" t="n">
        <v>45383</v>
      </c>
      <c r="B277" s="28" t="str">
        <f aca="true">IFERROR(IF(AVERAGEIFS(INDIRECT(Index!$M$10),INDIRECT(Index!$L$10),"&gt;="&amp;$A277,INDIRECT(Index!$L$10),"&lt;"&amp;EDATE($A277,3))=0,"",AVERAGEIFS(INDIRECT(Index!$M$10),INDIRECT(Index!$L$10),"&gt;="&amp;$A277,INDIRECT(Index!$L$10),"&lt;"&amp;EDATE($A277,3))),"")</f>
        <v/>
      </c>
      <c r="C277" s="29" t="str">
        <f aca="false">IFERROR(B277/B276-1,"")</f>
        <v/>
      </c>
      <c r="D277" s="29" t="str">
        <f aca="false">IFERROR(B277/B273-1,"")</f>
        <v/>
      </c>
      <c r="E277" s="31" t="str">
        <f aca="false">IFERROR(IF(AND(B277="",ISNUMBER($C$209),ISNUMBER($G$209)),$C$209*(1+$G$209)^(($A277-$E$209)/365.25),""),"")</f>
        <v/>
      </c>
      <c r="F277" s="31" t="str">
        <f aca="false">IFERROR(IF(AND(B277="",ISNUMBER($C$209),ISNUMBER($G$209)),$C$209*(1+$G$209*0.85^MAX(0,($A277-$E$209)/91.25))^(($A277-$E$209)/365.25),""),"")</f>
        <v/>
      </c>
    </row>
    <row r="278" customFormat="false" ht="15" hidden="false" customHeight="false" outlineLevel="0" collapsed="false">
      <c r="A278" s="15" t="n">
        <v>45474</v>
      </c>
      <c r="B278" s="20" t="str">
        <f aca="true">IFERROR(IF(AVERAGEIFS(INDIRECT(Index!$M$10),INDIRECT(Index!$L$10),"&gt;="&amp;$A278,INDIRECT(Index!$L$10),"&lt;"&amp;EDATE($A278,3))=0,"",AVERAGEIFS(INDIRECT(Index!$M$10),INDIRECT(Index!$L$10),"&gt;="&amp;$A278,INDIRECT(Index!$L$10),"&lt;"&amp;EDATE($A278,3))),"")</f>
        <v/>
      </c>
      <c r="C278" s="33" t="str">
        <f aca="false">IFERROR(B278/B277-1,"")</f>
        <v/>
      </c>
      <c r="D278" s="33" t="str">
        <f aca="false">IFERROR(B278/B274-1,"")</f>
        <v/>
      </c>
      <c r="E278" s="25" t="str">
        <f aca="false">IFERROR(IF(AND(B278="",ISNUMBER($C$209),ISNUMBER($G$209)),$C$209*(1+$G$209)^(($A278-$E$209)/365.25),""),"")</f>
        <v/>
      </c>
      <c r="F278" s="25" t="str">
        <f aca="false">IFERROR(IF(AND(B278="",ISNUMBER($C$209),ISNUMBER($G$209)),$C$209*(1+$G$209*0.85^MAX(0,($A278-$E$209)/91.25))^(($A278-$E$209)/365.25),""),"")</f>
        <v/>
      </c>
    </row>
    <row r="279" customFormat="false" ht="15" hidden="false" customHeight="false" outlineLevel="0" collapsed="false">
      <c r="A279" s="27" t="n">
        <v>45566</v>
      </c>
      <c r="B279" s="28" t="str">
        <f aca="true">IFERROR(IF(AVERAGEIFS(INDIRECT(Index!$M$10),INDIRECT(Index!$L$10),"&gt;="&amp;$A279,INDIRECT(Index!$L$10),"&lt;"&amp;EDATE($A279,3))=0,"",AVERAGEIFS(INDIRECT(Index!$M$10),INDIRECT(Index!$L$10),"&gt;="&amp;$A279,INDIRECT(Index!$L$10),"&lt;"&amp;EDATE($A279,3))),"")</f>
        <v/>
      </c>
      <c r="C279" s="29" t="str">
        <f aca="false">IFERROR(B279/B278-1,"")</f>
        <v/>
      </c>
      <c r="D279" s="29" t="str">
        <f aca="false">IFERROR(B279/B275-1,"")</f>
        <v/>
      </c>
      <c r="E279" s="31" t="str">
        <f aca="false">IFERROR(IF(AND(B279="",ISNUMBER($C$209),ISNUMBER($G$209)),$C$209*(1+$G$209)^(($A279-$E$209)/365.25),""),"")</f>
        <v/>
      </c>
      <c r="F279" s="31" t="str">
        <f aca="false">IFERROR(IF(AND(B279="",ISNUMBER($C$209),ISNUMBER($G$209)),$C$209*(1+$G$209*0.85^MAX(0,($A279-$E$209)/91.25))^(($A279-$E$209)/365.25),""),"")</f>
        <v/>
      </c>
    </row>
    <row r="280" customFormat="false" ht="15" hidden="false" customHeight="false" outlineLevel="0" collapsed="false">
      <c r="A280" s="15" t="n">
        <v>45658</v>
      </c>
      <c r="B280" s="20" t="str">
        <f aca="true">IFERROR(IF(AVERAGEIFS(INDIRECT(Index!$M$10),INDIRECT(Index!$L$10),"&gt;="&amp;$A280,INDIRECT(Index!$L$10),"&lt;"&amp;EDATE($A280,3))=0,"",AVERAGEIFS(INDIRECT(Index!$M$10),INDIRECT(Index!$L$10),"&gt;="&amp;$A280,INDIRECT(Index!$L$10),"&lt;"&amp;EDATE($A280,3))),"")</f>
        <v/>
      </c>
      <c r="C280" s="33" t="str">
        <f aca="false">IFERROR(B280/B279-1,"")</f>
        <v/>
      </c>
      <c r="D280" s="33" t="str">
        <f aca="false">IFERROR(B280/B276-1,"")</f>
        <v/>
      </c>
      <c r="E280" s="25" t="str">
        <f aca="false">IFERROR(IF(AND(B280="",ISNUMBER($C$209),ISNUMBER($G$209)),$C$209*(1+$G$209)^(($A280-$E$209)/365.25),""),"")</f>
        <v/>
      </c>
      <c r="F280" s="25" t="str">
        <f aca="false">IFERROR(IF(AND(B280="",ISNUMBER($C$209),ISNUMBER($G$209)),$C$209*(1+$G$209*0.85^MAX(0,($A280-$E$209)/91.25))^(($A280-$E$209)/365.25),""),"")</f>
        <v/>
      </c>
    </row>
    <row r="281" customFormat="false" ht="15" hidden="false" customHeight="false" outlineLevel="0" collapsed="false">
      <c r="A281" s="27" t="n">
        <v>45748</v>
      </c>
      <c r="B281" s="28" t="str">
        <f aca="true">IFERROR(IF(AVERAGEIFS(INDIRECT(Index!$M$10),INDIRECT(Index!$L$10),"&gt;="&amp;$A281,INDIRECT(Index!$L$10),"&lt;"&amp;EDATE($A281,3))=0,"",AVERAGEIFS(INDIRECT(Index!$M$10),INDIRECT(Index!$L$10),"&gt;="&amp;$A281,INDIRECT(Index!$L$10),"&lt;"&amp;EDATE($A281,3))),"")</f>
        <v/>
      </c>
      <c r="C281" s="29" t="str">
        <f aca="false">IFERROR(B281/B280-1,"")</f>
        <v/>
      </c>
      <c r="D281" s="29" t="str">
        <f aca="false">IFERROR(B281/B277-1,"")</f>
        <v/>
      </c>
      <c r="E281" s="31" t="str">
        <f aca="false">IFERROR(IF(AND(B281="",ISNUMBER($C$209),ISNUMBER($G$209)),$C$209*(1+$G$209)^(($A281-$E$209)/365.25),""),"")</f>
        <v/>
      </c>
      <c r="F281" s="31" t="str">
        <f aca="false">IFERROR(IF(AND(B281="",ISNUMBER($C$209),ISNUMBER($G$209)),$C$209*(1+$G$209*0.85^MAX(0,($A281-$E$209)/91.25))^(($A281-$E$209)/365.25),""),"")</f>
        <v/>
      </c>
    </row>
    <row r="282" customFormat="false" ht="15" hidden="false" customHeight="false" outlineLevel="0" collapsed="false">
      <c r="A282" s="15" t="n">
        <v>45839</v>
      </c>
      <c r="B282" s="20" t="str">
        <f aca="true">IFERROR(IF(AVERAGEIFS(INDIRECT(Index!$M$10),INDIRECT(Index!$L$10),"&gt;="&amp;$A282,INDIRECT(Index!$L$10),"&lt;"&amp;EDATE($A282,3))=0,"",AVERAGEIFS(INDIRECT(Index!$M$10),INDIRECT(Index!$L$10),"&gt;="&amp;$A282,INDIRECT(Index!$L$10),"&lt;"&amp;EDATE($A282,3))),"")</f>
        <v/>
      </c>
      <c r="C282" s="33" t="str">
        <f aca="false">IFERROR(B282/B281-1,"")</f>
        <v/>
      </c>
      <c r="D282" s="33" t="str">
        <f aca="false">IFERROR(B282/B278-1,"")</f>
        <v/>
      </c>
      <c r="E282" s="25" t="str">
        <f aca="false">IFERROR(IF(AND(B282="",ISNUMBER($C$209),ISNUMBER($G$209)),$C$209*(1+$G$209)^(($A282-$E$209)/365.25),""),"")</f>
        <v/>
      </c>
      <c r="F282" s="25" t="str">
        <f aca="false">IFERROR(IF(AND(B282="",ISNUMBER($C$209),ISNUMBER($G$209)),$C$209*(1+$G$209*0.85^MAX(0,($A282-$E$209)/91.25))^(($A282-$E$209)/365.25),""),"")</f>
        <v/>
      </c>
    </row>
    <row r="283" customFormat="false" ht="15" hidden="false" customHeight="false" outlineLevel="0" collapsed="false">
      <c r="A283" s="27" t="n">
        <v>45931</v>
      </c>
      <c r="B283" s="28" t="str">
        <f aca="true">IFERROR(IF(AVERAGEIFS(INDIRECT(Index!$M$10),INDIRECT(Index!$L$10),"&gt;="&amp;$A283,INDIRECT(Index!$L$10),"&lt;"&amp;EDATE($A283,3))=0,"",AVERAGEIFS(INDIRECT(Index!$M$10),INDIRECT(Index!$L$10),"&gt;="&amp;$A283,INDIRECT(Index!$L$10),"&lt;"&amp;EDATE($A283,3))),"")</f>
        <v/>
      </c>
      <c r="C283" s="29" t="str">
        <f aca="false">IFERROR(B283/B282-1,"")</f>
        <v/>
      </c>
      <c r="D283" s="29" t="str">
        <f aca="false">IFERROR(B283/B279-1,"")</f>
        <v/>
      </c>
      <c r="E283" s="31" t="str">
        <f aca="false">IFERROR(IF(AND(B283="",ISNUMBER($C$209),ISNUMBER($G$209)),$C$209*(1+$G$209)^(($A283-$E$209)/365.25),""),"")</f>
        <v/>
      </c>
      <c r="F283" s="31" t="str">
        <f aca="false">IFERROR(IF(AND(B283="",ISNUMBER($C$209),ISNUMBER($G$209)),$C$209*(1+$G$209*0.85^MAX(0,($A283-$E$209)/91.25))^(($A283-$E$209)/365.25),""),"")</f>
        <v/>
      </c>
    </row>
    <row r="284" customFormat="false" ht="15" hidden="false" customHeight="false" outlineLevel="0" collapsed="false">
      <c r="A284" s="15" t="n">
        <v>46023</v>
      </c>
      <c r="B284" s="20" t="str">
        <f aca="true">IFERROR(IF(AVERAGEIFS(INDIRECT(Index!$M$10),INDIRECT(Index!$L$10),"&gt;="&amp;$A284,INDIRECT(Index!$L$10),"&lt;"&amp;EDATE($A284,3))=0,"",AVERAGEIFS(INDIRECT(Index!$M$10),INDIRECT(Index!$L$10),"&gt;="&amp;$A284,INDIRECT(Index!$L$10),"&lt;"&amp;EDATE($A284,3))),"")</f>
        <v/>
      </c>
      <c r="C284" s="33" t="str">
        <f aca="false">IFERROR(B284/B283-1,"")</f>
        <v/>
      </c>
      <c r="D284" s="33" t="str">
        <f aca="false">IFERROR(B284/B280-1,"")</f>
        <v/>
      </c>
      <c r="E284" s="25" t="str">
        <f aca="false">IFERROR(IF(AND(B284="",ISNUMBER($C$209),ISNUMBER($G$209)),$C$209*(1+$G$209)^(($A284-$E$209)/365.25),""),"")</f>
        <v/>
      </c>
      <c r="F284" s="25" t="str">
        <f aca="false">IFERROR(IF(AND(B284="",ISNUMBER($C$209),ISNUMBER($G$209)),$C$209*(1+$G$209*0.85^MAX(0,($A284-$E$209)/91.25))^(($A284-$E$209)/365.25),""),"")</f>
        <v/>
      </c>
    </row>
    <row r="285" customFormat="false" ht="15" hidden="false" customHeight="false" outlineLevel="0" collapsed="false">
      <c r="A285" s="27" t="n">
        <v>46113</v>
      </c>
      <c r="B285" s="28" t="str">
        <f aca="true">IFERROR(IF(AVERAGEIFS(INDIRECT(Index!$M$10),INDIRECT(Index!$L$10),"&gt;="&amp;$A285,INDIRECT(Index!$L$10),"&lt;"&amp;EDATE($A285,3))=0,"",AVERAGEIFS(INDIRECT(Index!$M$10),INDIRECT(Index!$L$10),"&gt;="&amp;$A285,INDIRECT(Index!$L$10),"&lt;"&amp;EDATE($A285,3))),"")</f>
        <v/>
      </c>
      <c r="C285" s="29" t="str">
        <f aca="false">IFERROR(B285/B284-1,"")</f>
        <v/>
      </c>
      <c r="D285" s="29" t="str">
        <f aca="false">IFERROR(B285/B281-1,"")</f>
        <v/>
      </c>
      <c r="E285" s="31" t="str">
        <f aca="false">IFERROR(IF(AND(B285="",ISNUMBER($C$209),ISNUMBER($G$209)),$C$209*(1+$G$209)^(($A285-$E$209)/365.25),""),"")</f>
        <v/>
      </c>
      <c r="F285" s="31" t="str">
        <f aca="false">IFERROR(IF(AND(B285="",ISNUMBER($C$209),ISNUMBER($G$209)),$C$209*(1+$G$209*0.85^MAX(0,($A285-$E$209)/91.25))^(($A285-$E$209)/365.25),""),"")</f>
        <v/>
      </c>
    </row>
    <row r="286" customFormat="false" ht="15" hidden="false" customHeight="false" outlineLevel="0" collapsed="false">
      <c r="A286" s="15" t="n">
        <v>46204</v>
      </c>
      <c r="B286" s="20" t="str">
        <f aca="true">IFERROR(IF(AVERAGEIFS(INDIRECT(Index!$M$10),INDIRECT(Index!$L$10),"&gt;="&amp;$A286,INDIRECT(Index!$L$10),"&lt;"&amp;EDATE($A286,3))=0,"",AVERAGEIFS(INDIRECT(Index!$M$10),INDIRECT(Index!$L$10),"&gt;="&amp;$A286,INDIRECT(Index!$L$10),"&lt;"&amp;EDATE($A286,3))),"")</f>
        <v/>
      </c>
      <c r="C286" s="33" t="str">
        <f aca="false">IFERROR(B286/B285-1,"")</f>
        <v/>
      </c>
      <c r="D286" s="33" t="str">
        <f aca="false">IFERROR(B286/B282-1,"")</f>
        <v/>
      </c>
      <c r="E286" s="25" t="str">
        <f aca="false">IFERROR(IF(AND(B286="",ISNUMBER($C$209),ISNUMBER($G$209)),$C$209*(1+$G$209)^(($A286-$E$209)/365.25),""),"")</f>
        <v/>
      </c>
      <c r="F286" s="25" t="str">
        <f aca="false">IFERROR(IF(AND(B286="",ISNUMBER($C$209),ISNUMBER($G$209)),$C$209*(1+$G$209*0.85^MAX(0,($A286-$E$209)/91.25))^(($A286-$E$209)/365.25),""),"")</f>
        <v/>
      </c>
    </row>
    <row r="287" customFormat="false" ht="15" hidden="false" customHeight="false" outlineLevel="0" collapsed="false">
      <c r="A287" s="27" t="n">
        <v>46296</v>
      </c>
      <c r="B287" s="28" t="str">
        <f aca="true">IFERROR(IF(AVERAGEIFS(INDIRECT(Index!$M$10),INDIRECT(Index!$L$10),"&gt;="&amp;$A287,INDIRECT(Index!$L$10),"&lt;"&amp;EDATE($A287,3))=0,"",AVERAGEIFS(INDIRECT(Index!$M$10),INDIRECT(Index!$L$10),"&gt;="&amp;$A287,INDIRECT(Index!$L$10),"&lt;"&amp;EDATE($A287,3))),"")</f>
        <v/>
      </c>
      <c r="C287" s="29" t="str">
        <f aca="false">IFERROR(B287/B286-1,"")</f>
        <v/>
      </c>
      <c r="D287" s="29" t="str">
        <f aca="false">IFERROR(B287/B283-1,"")</f>
        <v/>
      </c>
      <c r="E287" s="31" t="str">
        <f aca="false">IFERROR(IF(AND(B287="",ISNUMBER($C$209),ISNUMBER($G$209)),$C$209*(1+$G$209)^(($A287-$E$209)/365.25),""),"")</f>
        <v/>
      </c>
      <c r="F287" s="31" t="str">
        <f aca="false">IFERROR(IF(AND(B287="",ISNUMBER($C$209),ISNUMBER($G$209)),$C$209*(1+$G$209*0.85^MAX(0,($A287-$E$209)/91.25))^(($A287-$E$209)/365.25),""),"")</f>
        <v/>
      </c>
    </row>
    <row r="288" customFormat="false" ht="15" hidden="false" customHeight="false" outlineLevel="0" collapsed="false">
      <c r="A288" s="15" t="n">
        <v>46388</v>
      </c>
      <c r="B288" s="20" t="str">
        <f aca="true">IFERROR(IF(AVERAGEIFS(INDIRECT(Index!$M$10),INDIRECT(Index!$L$10),"&gt;="&amp;$A288,INDIRECT(Index!$L$10),"&lt;"&amp;EDATE($A288,3))=0,"",AVERAGEIFS(INDIRECT(Index!$M$10),INDIRECT(Index!$L$10),"&gt;="&amp;$A288,INDIRECT(Index!$L$10),"&lt;"&amp;EDATE($A288,3))),"")</f>
        <v/>
      </c>
      <c r="C288" s="33" t="str">
        <f aca="false">IFERROR(B288/B287-1,"")</f>
        <v/>
      </c>
      <c r="D288" s="33" t="str">
        <f aca="false">IFERROR(B288/B284-1,"")</f>
        <v/>
      </c>
      <c r="E288" s="25" t="str">
        <f aca="false">IFERROR(IF(AND(B288="",ISNUMBER($C$209),ISNUMBER($G$209)),$C$209*(1+$G$209)^(($A288-$E$209)/365.25),""),"")</f>
        <v/>
      </c>
      <c r="F288" s="25" t="str">
        <f aca="false">IFERROR(IF(AND(B288="",ISNUMBER($C$209),ISNUMBER($G$209)),$C$209*(1+$G$209*0.85^MAX(0,($A288-$E$209)/91.25))^(($A288-$E$209)/365.25),""),"")</f>
        <v/>
      </c>
    </row>
    <row r="289" customFormat="false" ht="15" hidden="false" customHeight="false" outlineLevel="0" collapsed="false">
      <c r="A289" s="27" t="n">
        <v>46478</v>
      </c>
      <c r="B289" s="28" t="str">
        <f aca="true">IFERROR(IF(AVERAGEIFS(INDIRECT(Index!$M$10),INDIRECT(Index!$L$10),"&gt;="&amp;$A289,INDIRECT(Index!$L$10),"&lt;"&amp;EDATE($A289,3))=0,"",AVERAGEIFS(INDIRECT(Index!$M$10),INDIRECT(Index!$L$10),"&gt;="&amp;$A289,INDIRECT(Index!$L$10),"&lt;"&amp;EDATE($A289,3))),"")</f>
        <v/>
      </c>
      <c r="C289" s="29" t="str">
        <f aca="false">IFERROR(B289/B288-1,"")</f>
        <v/>
      </c>
      <c r="D289" s="29" t="str">
        <f aca="false">IFERROR(B289/B285-1,"")</f>
        <v/>
      </c>
      <c r="E289" s="31" t="str">
        <f aca="false">IFERROR(IF(AND(B289="",ISNUMBER($C$209),ISNUMBER($G$209)),$C$209*(1+$G$209)^(($A289-$E$209)/365.25),""),"")</f>
        <v/>
      </c>
      <c r="F289" s="31" t="str">
        <f aca="false">IFERROR(IF(AND(B289="",ISNUMBER($C$209),ISNUMBER($G$209)),$C$209*(1+$G$209*0.85^MAX(0,($A289-$E$209)/91.25))^(($A289-$E$209)/365.25),""),"")</f>
        <v/>
      </c>
    </row>
    <row r="290" customFormat="false" ht="15" hidden="false" customHeight="false" outlineLevel="0" collapsed="false">
      <c r="A290" s="15" t="n">
        <v>46569</v>
      </c>
      <c r="B290" s="20" t="str">
        <f aca="true">IFERROR(IF(AVERAGEIFS(INDIRECT(Index!$M$10),INDIRECT(Index!$L$10),"&gt;="&amp;$A290,INDIRECT(Index!$L$10),"&lt;"&amp;EDATE($A290,3))=0,"",AVERAGEIFS(INDIRECT(Index!$M$10),INDIRECT(Index!$L$10),"&gt;="&amp;$A290,INDIRECT(Index!$L$10),"&lt;"&amp;EDATE($A290,3))),"")</f>
        <v/>
      </c>
      <c r="C290" s="33" t="str">
        <f aca="false">IFERROR(B290/B289-1,"")</f>
        <v/>
      </c>
      <c r="D290" s="33" t="str">
        <f aca="false">IFERROR(B290/B286-1,"")</f>
        <v/>
      </c>
      <c r="E290" s="25" t="str">
        <f aca="false">IFERROR(IF(AND(B290="",ISNUMBER($C$209),ISNUMBER($G$209)),$C$209*(1+$G$209)^(($A290-$E$209)/365.25),""),"")</f>
        <v/>
      </c>
      <c r="F290" s="25" t="str">
        <f aca="false">IFERROR(IF(AND(B290="",ISNUMBER($C$209),ISNUMBER($G$209)),$C$209*(1+$G$209*0.85^MAX(0,($A290-$E$209)/91.25))^(($A290-$E$209)/365.25),""),"")</f>
        <v/>
      </c>
    </row>
    <row r="291" customFormat="false" ht="15" hidden="false" customHeight="false" outlineLevel="0" collapsed="false">
      <c r="A291" s="27" t="n">
        <v>46661</v>
      </c>
      <c r="B291" s="28" t="str">
        <f aca="true">IFERROR(IF(AVERAGEIFS(INDIRECT(Index!$M$10),INDIRECT(Index!$L$10),"&gt;="&amp;$A291,INDIRECT(Index!$L$10),"&lt;"&amp;EDATE($A291,3))=0,"",AVERAGEIFS(INDIRECT(Index!$M$10),INDIRECT(Index!$L$10),"&gt;="&amp;$A291,INDIRECT(Index!$L$10),"&lt;"&amp;EDATE($A291,3))),"")</f>
        <v/>
      </c>
      <c r="C291" s="29" t="str">
        <f aca="false">IFERROR(B291/B290-1,"")</f>
        <v/>
      </c>
      <c r="D291" s="29" t="str">
        <f aca="false">IFERROR(B291/B287-1,"")</f>
        <v/>
      </c>
      <c r="E291" s="31" t="str">
        <f aca="false">IFERROR(IF(AND(B291="",ISNUMBER($C$209),ISNUMBER($G$209)),$C$209*(1+$G$209)^(($A291-$E$209)/365.25),""),"")</f>
        <v/>
      </c>
      <c r="F291" s="31" t="str">
        <f aca="false">IFERROR(IF(AND(B291="",ISNUMBER($C$209),ISNUMBER($G$209)),$C$209*(1+$G$209*0.85^MAX(0,($A291-$E$209)/91.25))^(($A291-$E$209)/365.25),""),"")</f>
        <v/>
      </c>
    </row>
    <row r="292" customFormat="false" ht="15" hidden="false" customHeight="false" outlineLevel="0" collapsed="false">
      <c r="A292" s="15" t="n">
        <v>46753</v>
      </c>
      <c r="B292" s="20" t="str">
        <f aca="true">IFERROR(IF(AVERAGEIFS(INDIRECT(Index!$M$10),INDIRECT(Index!$L$10),"&gt;="&amp;$A292,INDIRECT(Index!$L$10),"&lt;"&amp;EDATE($A292,3))=0,"",AVERAGEIFS(INDIRECT(Index!$M$10),INDIRECT(Index!$L$10),"&gt;="&amp;$A292,INDIRECT(Index!$L$10),"&lt;"&amp;EDATE($A292,3))),"")</f>
        <v/>
      </c>
      <c r="C292" s="33" t="str">
        <f aca="false">IFERROR(B292/B291-1,"")</f>
        <v/>
      </c>
      <c r="D292" s="33" t="str">
        <f aca="false">IFERROR(B292/B288-1,"")</f>
        <v/>
      </c>
      <c r="E292" s="25" t="str">
        <f aca="false">IFERROR(IF(AND(B292="",ISNUMBER($C$209),ISNUMBER($G$209)),$C$209*(1+$G$209)^(($A292-$E$209)/365.25),""),"")</f>
        <v/>
      </c>
      <c r="F292" s="25" t="str">
        <f aca="false">IFERROR(IF(AND(B292="",ISNUMBER($C$209),ISNUMBER($G$209)),$C$209*(1+$G$209*0.85^MAX(0,($A292-$E$209)/91.25))^(($A292-$E$209)/365.25),""),"")</f>
        <v/>
      </c>
    </row>
    <row r="293" customFormat="false" ht="15" hidden="false" customHeight="false" outlineLevel="0" collapsed="false">
      <c r="A293" s="27" t="n">
        <v>46844</v>
      </c>
      <c r="B293" s="28" t="str">
        <f aca="true">IFERROR(IF(AVERAGEIFS(INDIRECT(Index!$M$10),INDIRECT(Index!$L$10),"&gt;="&amp;$A293,INDIRECT(Index!$L$10),"&lt;"&amp;EDATE($A293,3))=0,"",AVERAGEIFS(INDIRECT(Index!$M$10),INDIRECT(Index!$L$10),"&gt;="&amp;$A293,INDIRECT(Index!$L$10),"&lt;"&amp;EDATE($A293,3))),"")</f>
        <v/>
      </c>
      <c r="C293" s="29" t="str">
        <f aca="false">IFERROR(B293/B292-1,"")</f>
        <v/>
      </c>
      <c r="D293" s="29" t="str">
        <f aca="false">IFERROR(B293/B289-1,"")</f>
        <v/>
      </c>
      <c r="E293" s="31" t="str">
        <f aca="false">IFERROR(IF(AND(B293="",ISNUMBER($C$209),ISNUMBER($G$209)),$C$209*(1+$G$209)^(($A293-$E$209)/365.25),""),"")</f>
        <v/>
      </c>
      <c r="F293" s="31" t="str">
        <f aca="false">IFERROR(IF(AND(B293="",ISNUMBER($C$209),ISNUMBER($G$209)),$C$209*(1+$G$209*0.85^MAX(0,($A293-$E$209)/91.25))^(($A293-$E$209)/365.25),""),"")</f>
        <v/>
      </c>
    </row>
    <row r="294" customFormat="false" ht="15" hidden="false" customHeight="false" outlineLevel="0" collapsed="false">
      <c r="A294" s="15" t="n">
        <v>46935</v>
      </c>
      <c r="B294" s="20" t="str">
        <f aca="true">IFERROR(IF(AVERAGEIFS(INDIRECT(Index!$M$10),INDIRECT(Index!$L$10),"&gt;="&amp;$A294,INDIRECT(Index!$L$10),"&lt;"&amp;EDATE($A294,3))=0,"",AVERAGEIFS(INDIRECT(Index!$M$10),INDIRECT(Index!$L$10),"&gt;="&amp;$A294,INDIRECT(Index!$L$10),"&lt;"&amp;EDATE($A294,3))),"")</f>
        <v/>
      </c>
      <c r="C294" s="33" t="str">
        <f aca="false">IFERROR(B294/B293-1,"")</f>
        <v/>
      </c>
      <c r="D294" s="33" t="str">
        <f aca="false">IFERROR(B294/B290-1,"")</f>
        <v/>
      </c>
      <c r="E294" s="25" t="str">
        <f aca="false">IFERROR(IF(AND(B294="",ISNUMBER($C$209),ISNUMBER($G$209)),$C$209*(1+$G$209)^(($A294-$E$209)/365.25),""),"")</f>
        <v/>
      </c>
      <c r="F294" s="25" t="str">
        <f aca="false">IFERROR(IF(AND(B294="",ISNUMBER($C$209),ISNUMBER($G$209)),$C$209*(1+$G$209*0.85^MAX(0,($A294-$E$209)/91.25))^(($A294-$E$209)/365.25),""),"")</f>
        <v/>
      </c>
    </row>
    <row r="295" customFormat="false" ht="15" hidden="false" customHeight="false" outlineLevel="0" collapsed="false">
      <c r="A295" s="27" t="n">
        <v>47027</v>
      </c>
      <c r="B295" s="28" t="str">
        <f aca="true">IFERROR(IF(AVERAGEIFS(INDIRECT(Index!$M$10),INDIRECT(Index!$L$10),"&gt;="&amp;$A295,INDIRECT(Index!$L$10),"&lt;"&amp;EDATE($A295,3))=0,"",AVERAGEIFS(INDIRECT(Index!$M$10),INDIRECT(Index!$L$10),"&gt;="&amp;$A295,INDIRECT(Index!$L$10),"&lt;"&amp;EDATE($A295,3))),"")</f>
        <v/>
      </c>
      <c r="C295" s="29" t="str">
        <f aca="false">IFERROR(B295/B294-1,"")</f>
        <v/>
      </c>
      <c r="D295" s="29" t="str">
        <f aca="false">IFERROR(B295/B291-1,"")</f>
        <v/>
      </c>
      <c r="E295" s="31" t="str">
        <f aca="false">IFERROR(IF(AND(B295="",ISNUMBER($C$209),ISNUMBER($G$209)),$C$209*(1+$G$209)^(($A295-$E$209)/365.25),""),"")</f>
        <v/>
      </c>
      <c r="F295" s="31" t="str">
        <f aca="false">IFERROR(IF(AND(B295="",ISNUMBER($C$209),ISNUMBER($G$209)),$C$209*(1+$G$209*0.85^MAX(0,($A295-$E$209)/91.25))^(($A295-$E$209)/365.25),""),"")</f>
        <v/>
      </c>
    </row>
    <row r="296" customFormat="false" ht="15" hidden="false" customHeight="false" outlineLevel="0" collapsed="false">
      <c r="A296" s="15" t="n">
        <v>47119</v>
      </c>
      <c r="B296" s="20" t="str">
        <f aca="true">IFERROR(IF(AVERAGEIFS(INDIRECT(Index!$M$10),INDIRECT(Index!$L$10),"&gt;="&amp;$A296,INDIRECT(Index!$L$10),"&lt;"&amp;EDATE($A296,3))=0,"",AVERAGEIFS(INDIRECT(Index!$M$10),INDIRECT(Index!$L$10),"&gt;="&amp;$A296,INDIRECT(Index!$L$10),"&lt;"&amp;EDATE($A296,3))),"")</f>
        <v/>
      </c>
      <c r="C296" s="33" t="str">
        <f aca="false">IFERROR(B296/B295-1,"")</f>
        <v/>
      </c>
      <c r="D296" s="33" t="str">
        <f aca="false">IFERROR(B296/B292-1,"")</f>
        <v/>
      </c>
      <c r="E296" s="25" t="str">
        <f aca="false">IFERROR(IF(AND(B296="",ISNUMBER($C$209),ISNUMBER($G$209)),$C$209*(1+$G$209)^(($A296-$E$209)/365.25),""),"")</f>
        <v/>
      </c>
      <c r="F296" s="25" t="str">
        <f aca="false">IFERROR(IF(AND(B296="",ISNUMBER($C$209),ISNUMBER($G$209)),$C$209*(1+$G$209*0.85^MAX(0,($A296-$E$209)/91.25))^(($A296-$E$209)/365.25),""),"")</f>
        <v/>
      </c>
    </row>
    <row r="297" customFormat="false" ht="15" hidden="false" customHeight="false" outlineLevel="0" collapsed="false">
      <c r="A297" s="27" t="n">
        <v>47209</v>
      </c>
      <c r="B297" s="28" t="str">
        <f aca="true">IFERROR(IF(AVERAGEIFS(INDIRECT(Index!$M$10),INDIRECT(Index!$L$10),"&gt;="&amp;$A297,INDIRECT(Index!$L$10),"&lt;"&amp;EDATE($A297,3))=0,"",AVERAGEIFS(INDIRECT(Index!$M$10),INDIRECT(Index!$L$10),"&gt;="&amp;$A297,INDIRECT(Index!$L$10),"&lt;"&amp;EDATE($A297,3))),"")</f>
        <v/>
      </c>
      <c r="C297" s="29" t="str">
        <f aca="false">IFERROR(B297/B296-1,"")</f>
        <v/>
      </c>
      <c r="D297" s="29" t="str">
        <f aca="false">IFERROR(B297/B293-1,"")</f>
        <v/>
      </c>
      <c r="E297" s="31" t="str">
        <f aca="false">IFERROR(IF(AND(B297="",ISNUMBER($C$209),ISNUMBER($G$209)),$C$209*(1+$G$209)^(($A297-$E$209)/365.25),""),"")</f>
        <v/>
      </c>
      <c r="F297" s="31" t="str">
        <f aca="false">IFERROR(IF(AND(B297="",ISNUMBER($C$209),ISNUMBER($G$209)),$C$209*(1+$G$209*0.85^MAX(0,($A297-$E$209)/91.25))^(($A297-$E$209)/365.25),""),"")</f>
        <v/>
      </c>
    </row>
    <row r="298" customFormat="false" ht="15" hidden="false" customHeight="false" outlineLevel="0" collapsed="false">
      <c r="A298" s="15" t="n">
        <v>47300</v>
      </c>
      <c r="B298" s="20" t="str">
        <f aca="true">IFERROR(IF(AVERAGEIFS(INDIRECT(Index!$M$10),INDIRECT(Index!$L$10),"&gt;="&amp;$A298,INDIRECT(Index!$L$10),"&lt;"&amp;EDATE($A298,3))=0,"",AVERAGEIFS(INDIRECT(Index!$M$10),INDIRECT(Index!$L$10),"&gt;="&amp;$A298,INDIRECT(Index!$L$10),"&lt;"&amp;EDATE($A298,3))),"")</f>
        <v/>
      </c>
      <c r="C298" s="33" t="str">
        <f aca="false">IFERROR(B298/B297-1,"")</f>
        <v/>
      </c>
      <c r="D298" s="33" t="str">
        <f aca="false">IFERROR(B298/B294-1,"")</f>
        <v/>
      </c>
      <c r="E298" s="25" t="str">
        <f aca="false">IFERROR(IF(AND(B298="",ISNUMBER($C$209),ISNUMBER($G$209)),$C$209*(1+$G$209)^(($A298-$E$209)/365.25),""),"")</f>
        <v/>
      </c>
      <c r="F298" s="25" t="str">
        <f aca="false">IFERROR(IF(AND(B298="",ISNUMBER($C$209),ISNUMBER($G$209)),$C$209*(1+$G$209*0.85^MAX(0,($A298-$E$209)/91.25))^(($A298-$E$209)/365.25),""),"")</f>
        <v/>
      </c>
    </row>
    <row r="299" customFormat="false" ht="15" hidden="false" customHeight="false" outlineLevel="0" collapsed="false">
      <c r="A299" s="27" t="n">
        <v>47392</v>
      </c>
      <c r="B299" s="28" t="str">
        <f aca="true">IFERROR(IF(AVERAGEIFS(INDIRECT(Index!$M$10),INDIRECT(Index!$L$10),"&gt;="&amp;$A299,INDIRECT(Index!$L$10),"&lt;"&amp;EDATE($A299,3))=0,"",AVERAGEIFS(INDIRECT(Index!$M$10),INDIRECT(Index!$L$10),"&gt;="&amp;$A299,INDIRECT(Index!$L$10),"&lt;"&amp;EDATE($A299,3))),"")</f>
        <v/>
      </c>
      <c r="C299" s="29" t="str">
        <f aca="false">IFERROR(B299/B298-1,"")</f>
        <v/>
      </c>
      <c r="D299" s="29" t="str">
        <f aca="false">IFERROR(B299/B295-1,"")</f>
        <v/>
      </c>
      <c r="E299" s="31" t="str">
        <f aca="false">IFERROR(IF(AND(B299="",ISNUMBER($C$209),ISNUMBER($G$209)),$C$209*(1+$G$209)^(($A299-$E$209)/365.25),""),"")</f>
        <v/>
      </c>
      <c r="F299" s="31" t="str">
        <f aca="false">IFERROR(IF(AND(B299="",ISNUMBER($C$209),ISNUMBER($G$209)),$C$209*(1+$G$209*0.85^MAX(0,($A299-$E$209)/91.25))^(($A299-$E$209)/365.25),""),"")</f>
        <v/>
      </c>
    </row>
    <row r="300" customFormat="false" ht="15" hidden="false" customHeight="false" outlineLevel="0" collapsed="false">
      <c r="A300" s="15" t="n">
        <v>47484</v>
      </c>
      <c r="B300" s="20" t="str">
        <f aca="true">IFERROR(IF(AVERAGEIFS(INDIRECT(Index!$M$10),INDIRECT(Index!$L$10),"&gt;="&amp;$A300,INDIRECT(Index!$L$10),"&lt;"&amp;EDATE($A300,3))=0,"",AVERAGEIFS(INDIRECT(Index!$M$10),INDIRECT(Index!$L$10),"&gt;="&amp;$A300,INDIRECT(Index!$L$10),"&lt;"&amp;EDATE($A300,3))),"")</f>
        <v/>
      </c>
      <c r="C300" s="33" t="str">
        <f aca="false">IFERROR(B300/B299-1,"")</f>
        <v/>
      </c>
      <c r="D300" s="33" t="str">
        <f aca="false">IFERROR(B300/B296-1,"")</f>
        <v/>
      </c>
      <c r="E300" s="25" t="str">
        <f aca="false">IFERROR(IF(AND(B300="",ISNUMBER($C$209),ISNUMBER($G$209)),$C$209*(1+$G$209)^(($A300-$E$209)/365.25),""),"")</f>
        <v/>
      </c>
      <c r="F300" s="25" t="str">
        <f aca="false">IFERROR(IF(AND(B300="",ISNUMBER($C$209),ISNUMBER($G$209)),$C$209*(1+$G$209*0.85^MAX(0,($A300-$E$209)/91.25))^(($A300-$E$209)/365.25),""),"")</f>
        <v/>
      </c>
    </row>
    <row r="301" customFormat="false" ht="15" hidden="false" customHeight="false" outlineLevel="0" collapsed="false">
      <c r="A301" s="27" t="n">
        <v>47574</v>
      </c>
      <c r="B301" s="28" t="str">
        <f aca="true">IFERROR(IF(AVERAGEIFS(INDIRECT(Index!$M$10),INDIRECT(Index!$L$10),"&gt;="&amp;$A301,INDIRECT(Index!$L$10),"&lt;"&amp;EDATE($A301,3))=0,"",AVERAGEIFS(INDIRECT(Index!$M$10),INDIRECT(Index!$L$10),"&gt;="&amp;$A301,INDIRECT(Index!$L$10),"&lt;"&amp;EDATE($A301,3))),"")</f>
        <v/>
      </c>
      <c r="C301" s="29" t="str">
        <f aca="false">IFERROR(B301/B300-1,"")</f>
        <v/>
      </c>
      <c r="D301" s="29" t="str">
        <f aca="false">IFERROR(B301/B297-1,"")</f>
        <v/>
      </c>
      <c r="E301" s="31" t="str">
        <f aca="false">IFERROR(IF(AND(B301="",ISNUMBER($C$209),ISNUMBER($G$209)),$C$209*(1+$G$209)^(($A301-$E$209)/365.25),""),"")</f>
        <v/>
      </c>
      <c r="F301" s="31" t="str">
        <f aca="false">IFERROR(IF(AND(B301="",ISNUMBER($C$209),ISNUMBER($G$209)),$C$209*(1+$G$209*0.85^MAX(0,($A301-$E$209)/91.25))^(($A301-$E$209)/365.25),""),"")</f>
        <v/>
      </c>
    </row>
    <row r="302" customFormat="false" ht="15" hidden="false" customHeight="false" outlineLevel="0" collapsed="false">
      <c r="A302" s="15" t="n">
        <v>47665</v>
      </c>
      <c r="B302" s="20" t="str">
        <f aca="true">IFERROR(IF(AVERAGEIFS(INDIRECT(Index!$M$10),INDIRECT(Index!$L$10),"&gt;="&amp;$A302,INDIRECT(Index!$L$10),"&lt;"&amp;EDATE($A302,3))=0,"",AVERAGEIFS(INDIRECT(Index!$M$10),INDIRECT(Index!$L$10),"&gt;="&amp;$A302,INDIRECT(Index!$L$10),"&lt;"&amp;EDATE($A302,3))),"")</f>
        <v/>
      </c>
      <c r="C302" s="33" t="str">
        <f aca="false">IFERROR(B302/B301-1,"")</f>
        <v/>
      </c>
      <c r="D302" s="33" t="str">
        <f aca="false">IFERROR(B302/B298-1,"")</f>
        <v/>
      </c>
      <c r="E302" s="25" t="str">
        <f aca="false">IFERROR(IF(AND(B302="",ISNUMBER($C$209),ISNUMBER($G$209)),$C$209*(1+$G$209)^(($A302-$E$209)/365.25),""),"")</f>
        <v/>
      </c>
      <c r="F302" s="25" t="str">
        <f aca="false">IFERROR(IF(AND(B302="",ISNUMBER($C$209),ISNUMBER($G$209)),$C$209*(1+$G$209*0.85^MAX(0,($A302-$E$209)/91.25))^(($A302-$E$209)/365.25),""),"")</f>
        <v/>
      </c>
    </row>
    <row r="303" customFormat="false" ht="15" hidden="false" customHeight="false" outlineLevel="0" collapsed="false">
      <c r="A303" s="27" t="n">
        <v>47757</v>
      </c>
      <c r="B303" s="28" t="str">
        <f aca="true">IFERROR(IF(AVERAGEIFS(INDIRECT(Index!$M$10),INDIRECT(Index!$L$10),"&gt;="&amp;$A303,INDIRECT(Index!$L$10),"&lt;"&amp;EDATE($A303,3))=0,"",AVERAGEIFS(INDIRECT(Index!$M$10),INDIRECT(Index!$L$10),"&gt;="&amp;$A303,INDIRECT(Index!$L$10),"&lt;"&amp;EDATE($A303,3))),"")</f>
        <v/>
      </c>
      <c r="C303" s="29" t="str">
        <f aca="false">IFERROR(B303/B302-1,"")</f>
        <v/>
      </c>
      <c r="D303" s="29" t="str">
        <f aca="false">IFERROR(B303/B299-1,"")</f>
        <v/>
      </c>
      <c r="E303" s="31" t="str">
        <f aca="false">IFERROR(IF(AND(B303="",ISNUMBER($C$209),ISNUMBER($G$209)),$C$209*(1+$G$209)^(($A303-$E$209)/365.25),""),"")</f>
        <v/>
      </c>
      <c r="F303" s="31" t="str">
        <f aca="false">IFERROR(IF(AND(B303="",ISNUMBER($C$209),ISNUMBER($G$209)),$C$209*(1+$G$209*0.85^MAX(0,($A303-$E$209)/91.25))^(($A303-$E$209)/365.25),""),"")</f>
        <v/>
      </c>
    </row>
  </sheetData>
  <mergeCells count="16">
    <mergeCell ref="A2:N2"/>
    <mergeCell ref="A4:M4"/>
    <mergeCell ref="D5:H5"/>
    <mergeCell ref="B6:M6"/>
    <mergeCell ref="A8:F8"/>
    <mergeCell ref="J8:M8"/>
    <mergeCell ref="A105:M105"/>
    <mergeCell ref="D106:H106"/>
    <mergeCell ref="B107:M107"/>
    <mergeCell ref="A109:F109"/>
    <mergeCell ref="J109:M109"/>
    <mergeCell ref="A206:M206"/>
    <mergeCell ref="D207:H207"/>
    <mergeCell ref="B208:M208"/>
    <mergeCell ref="A210:F210"/>
    <mergeCell ref="J210:M2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4" min="3" style="0" width="9"/>
    <col collapsed="false" customWidth="true" hidden="false" outlineLevel="0" max="8" min="5" style="0" width="12"/>
    <col collapsed="false" customWidth="true" hidden="false" outlineLevel="0" max="9" min="9" style="0" width="2"/>
    <col collapsed="false" customWidth="true" hidden="false" outlineLevel="0" max="10" min="10" style="0" width="7"/>
    <col collapsed="false" customWidth="true" hidden="false" outlineLevel="0" max="11" min="11" style="0" width="14"/>
    <col collapsed="false" customWidth="true" hidden="false" outlineLevel="0" max="12" min="12" style="0" width="9"/>
    <col collapsed="false" customWidth="true" hidden="false" outlineLevel="0" max="13" min="13" style="0" width="14"/>
    <col collapsed="false" customWidth="true" hidden="false" outlineLevel="0" max="14" min="14" style="0" width="2"/>
  </cols>
  <sheetData>
    <row r="1" customFormat="false" ht="22.05" hidden="false" customHeight="false" outlineLevel="0" collapsed="false">
      <c r="A1" s="1" t="s">
        <v>123</v>
      </c>
    </row>
    <row r="2" customFormat="false" ht="15" hidden="false" customHeight="false" outlineLevel="0" collapsed="false">
      <c r="A2" s="6" t="s">
        <v>105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4" customFormat="false" ht="21.75" hidden="false" customHeight="true" outlineLevel="0" collapsed="false">
      <c r="A4" s="17" t="str">
        <f aca="false">Index!$A$11&amp;"   ("&amp;Index!$I$11&amp;")"</f>
        <v>Primary Fiscal Balance   (Mn ARS)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</row>
    <row r="5" customFormat="false" ht="15" hidden="false" customHeight="false" outlineLevel="0" collapsed="false">
      <c r="A5" s="4" t="s">
        <v>106</v>
      </c>
      <c r="B5" s="18" t="str">
        <f aca="false">Index!$J$11</f>
        <v>sum</v>
      </c>
      <c r="C5" s="4" t="s">
        <v>107</v>
      </c>
      <c r="D5" s="19" t="str">
        <f aca="false">Index!$D$11&amp;" ["&amp;Index!$F$11&amp;Index!$G$11&amp;":"&amp;Index!$F$11&amp;Index!$H$11&amp;"]"</f>
        <v>Data_Monthly [F2:F400]</v>
      </c>
      <c r="E5" s="19"/>
      <c r="F5" s="19"/>
      <c r="G5" s="19"/>
      <c r="H5" s="19"/>
    </row>
    <row r="6" customFormat="false" ht="15" hidden="false" customHeight="false" outlineLevel="0" collapsed="false">
      <c r="A6" s="4" t="s">
        <v>108</v>
      </c>
      <c r="B6" s="6" t="str">
        <f aca="false">IF(Index!$K$11="","",Index!$K$11)</f>
        <v>Monthly flow → quarterly sum.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</row>
    <row r="7" customFormat="false" ht="15" hidden="false" customHeight="false" outlineLevel="0" collapsed="false">
      <c r="A7" s="4" t="s">
        <v>109</v>
      </c>
      <c r="B7" s="4" t="s">
        <v>110</v>
      </c>
      <c r="C7" s="20" t="str">
        <f aca="false">IFERROR(LOOKUP(2,1/($B$10:$B$101&lt;&gt;""),$B$10:$B$101),"")</f>
        <v/>
      </c>
      <c r="D7" s="4" t="s">
        <v>111</v>
      </c>
      <c r="E7" s="21" t="str">
        <f aca="false">IFERROR(LOOKUP(2,1/($B$10:$B$101&lt;&gt;""),$A$10:$A$101),"")</f>
        <v/>
      </c>
      <c r="F7" s="4" t="s">
        <v>112</v>
      </c>
      <c r="G7" s="22" t="str">
        <f aca="false">IFERROR(C7/INDEX($B$10:$B$101,MATCH(EDATE(E7,-12),$A$10:$A$101,0))-1,"")</f>
        <v/>
      </c>
    </row>
    <row r="8" customFormat="false" ht="18" hidden="false" customHeight="true" outlineLevel="0" collapsed="false">
      <c r="A8" s="23" t="s">
        <v>113</v>
      </c>
      <c r="B8" s="23"/>
      <c r="C8" s="23"/>
      <c r="D8" s="23"/>
      <c r="E8" s="23"/>
      <c r="F8" s="23"/>
      <c r="J8" s="23" t="s">
        <v>114</v>
      </c>
      <c r="K8" s="23"/>
      <c r="L8" s="23"/>
      <c r="M8" s="23"/>
    </row>
    <row r="9" customFormat="false" ht="15" hidden="false" customHeight="false" outlineLevel="0" collapsed="false">
      <c r="A9" s="7" t="s">
        <v>95</v>
      </c>
      <c r="B9" s="7" t="s">
        <v>115</v>
      </c>
      <c r="C9" s="7" t="s">
        <v>116</v>
      </c>
      <c r="D9" s="7" t="s">
        <v>117</v>
      </c>
      <c r="E9" s="7" t="s">
        <v>118</v>
      </c>
      <c r="F9" s="7" t="s">
        <v>119</v>
      </c>
      <c r="J9" s="7" t="s">
        <v>120</v>
      </c>
      <c r="K9" s="7" t="s">
        <v>115</v>
      </c>
      <c r="L9" s="7" t="s">
        <v>117</v>
      </c>
      <c r="M9" s="7" t="s">
        <v>121</v>
      </c>
    </row>
    <row r="10" customFormat="false" ht="15" hidden="false" customHeight="false" outlineLevel="0" collapsed="false">
      <c r="A10" s="15" t="n">
        <v>39448</v>
      </c>
      <c r="B10" s="20" t="str">
        <f aca="true">IFERROR(IF(SUMIFS(INDIRECT(Index!$M$11),INDIRECT(Index!$L$11),"&gt;="&amp;$A10,INDIRECT(Index!$L$11),"&lt;"&amp;EDATE($A10,3))=0,"",SUMIFS(INDIRECT(Index!$M$11),INDIRECT(Index!$L$11),"&gt;="&amp;$A10,INDIRECT(Index!$L$11),"&lt;"&amp;EDATE($A10,3))),"")</f>
        <v/>
      </c>
      <c r="C10" s="24"/>
      <c r="D10" s="24"/>
      <c r="E10" s="25" t="str">
        <f aca="false">IFERROR(IF(AND(B10="",ISNUMBER($C$7),ISNUMBER($G$7)),$C$7*(1+$G$7)^(($A10-$E$7)/365.25),""),"")</f>
        <v/>
      </c>
      <c r="F10" s="25" t="str">
        <f aca="false">IFERROR(IF(AND(B10="",ISNUMBER($C$7),ISNUMBER($G$7)),$C$7*(1+$G$7*0.85^MAX(0,($A10-$E$7)/91.25))^(($A10-$E$7)/365.25),""),"")</f>
        <v/>
      </c>
      <c r="J10" s="26" t="n">
        <v>2008</v>
      </c>
      <c r="K10" s="25" t="n">
        <f aca="false">IFERROR(SUMIFS($B$10:$B$101,$A$10:$A$101,"&gt;="&amp;DATE(J10,1,1),$A$10:$A$101,"&lt;="&amp;DATE(J10,12,31)),"")</f>
        <v>0</v>
      </c>
      <c r="L10" s="24"/>
      <c r="M10" s="25" t="n">
        <f aca="false">IFERROR(SUMIFS($E$10:$E$101,$A$10:$A$101,"&gt;="&amp;DATE(J10,1,1),$A$10:$A$101,"&lt;="&amp;DATE(J10,12,31)),"")</f>
        <v>0</v>
      </c>
    </row>
    <row r="11" customFormat="false" ht="15" hidden="false" customHeight="false" outlineLevel="0" collapsed="false">
      <c r="A11" s="27" t="n">
        <v>39539</v>
      </c>
      <c r="B11" s="28" t="str">
        <f aca="true">IFERROR(IF(SUMIFS(INDIRECT(Index!$M$11),INDIRECT(Index!$L$11),"&gt;="&amp;$A11,INDIRECT(Index!$L$11),"&lt;"&amp;EDATE($A11,3))=0,"",SUMIFS(INDIRECT(Index!$M$11),INDIRECT(Index!$L$11),"&gt;="&amp;$A11,INDIRECT(Index!$L$11),"&lt;"&amp;EDATE($A11,3))),"")</f>
        <v/>
      </c>
      <c r="C11" s="29" t="str">
        <f aca="false">IFERROR(B11/B10-1,"")</f>
        <v/>
      </c>
      <c r="D11" s="30"/>
      <c r="E11" s="31" t="str">
        <f aca="false">IFERROR(IF(AND(B11="",ISNUMBER($C$7),ISNUMBER($G$7)),$C$7*(1+$G$7)^(($A11-$E$7)/365.25),""),"")</f>
        <v/>
      </c>
      <c r="F11" s="31" t="str">
        <f aca="false">IFERROR(IF(AND(B11="",ISNUMBER($C$7),ISNUMBER($G$7)),$C$7*(1+$G$7*0.85^MAX(0,($A11-$E$7)/91.25))^(($A11-$E$7)/365.25),""),"")</f>
        <v/>
      </c>
      <c r="J11" s="32" t="n">
        <v>2009</v>
      </c>
      <c r="K11" s="31" t="n">
        <f aca="false">IFERROR(SUMIFS($B$10:$B$101,$A$10:$A$101,"&gt;="&amp;DATE(J11,1,1),$A$10:$A$101,"&lt;="&amp;DATE(J11,12,31)),"")</f>
        <v>0</v>
      </c>
      <c r="L11" s="29" t="str">
        <f aca="false">IFERROR(K11/K10-1,"")</f>
        <v/>
      </c>
      <c r="M11" s="31" t="n">
        <f aca="false">IFERROR(SUMIFS($E$10:$E$101,$A$10:$A$101,"&gt;="&amp;DATE(J11,1,1),$A$10:$A$101,"&lt;="&amp;DATE(J11,12,31)),"")</f>
        <v>0</v>
      </c>
    </row>
    <row r="12" customFormat="false" ht="15" hidden="false" customHeight="false" outlineLevel="0" collapsed="false">
      <c r="A12" s="15" t="n">
        <v>39630</v>
      </c>
      <c r="B12" s="20" t="str">
        <f aca="true">IFERROR(IF(SUMIFS(INDIRECT(Index!$M$11),INDIRECT(Index!$L$11),"&gt;="&amp;$A12,INDIRECT(Index!$L$11),"&lt;"&amp;EDATE($A12,3))=0,"",SUMIFS(INDIRECT(Index!$M$11),INDIRECT(Index!$L$11),"&gt;="&amp;$A12,INDIRECT(Index!$L$11),"&lt;"&amp;EDATE($A12,3))),"")</f>
        <v/>
      </c>
      <c r="C12" s="33" t="str">
        <f aca="false">IFERROR(B12/B11-1,"")</f>
        <v/>
      </c>
      <c r="D12" s="24"/>
      <c r="E12" s="25" t="str">
        <f aca="false">IFERROR(IF(AND(B12="",ISNUMBER($C$7),ISNUMBER($G$7)),$C$7*(1+$G$7)^(($A12-$E$7)/365.25),""),"")</f>
        <v/>
      </c>
      <c r="F12" s="25" t="str">
        <f aca="false">IFERROR(IF(AND(B12="",ISNUMBER($C$7),ISNUMBER($G$7)),$C$7*(1+$G$7*0.85^MAX(0,($A12-$E$7)/91.25))^(($A12-$E$7)/365.25),""),"")</f>
        <v/>
      </c>
      <c r="J12" s="26" t="n">
        <v>2010</v>
      </c>
      <c r="K12" s="25" t="n">
        <f aca="false">IFERROR(SUMIFS($B$10:$B$101,$A$10:$A$101,"&gt;="&amp;DATE(J12,1,1),$A$10:$A$101,"&lt;="&amp;DATE(J12,12,31)),"")</f>
        <v>0</v>
      </c>
      <c r="L12" s="33" t="str">
        <f aca="false">IFERROR(K12/K11-1,"")</f>
        <v/>
      </c>
      <c r="M12" s="25" t="n">
        <f aca="false">IFERROR(SUMIFS($E$10:$E$101,$A$10:$A$101,"&gt;="&amp;DATE(J12,1,1),$A$10:$A$101,"&lt;="&amp;DATE(J12,12,31)),"")</f>
        <v>0</v>
      </c>
    </row>
    <row r="13" customFormat="false" ht="15" hidden="false" customHeight="false" outlineLevel="0" collapsed="false">
      <c r="A13" s="27" t="n">
        <v>39722</v>
      </c>
      <c r="B13" s="28" t="str">
        <f aca="true">IFERROR(IF(SUMIFS(INDIRECT(Index!$M$11),INDIRECT(Index!$L$11),"&gt;="&amp;$A13,INDIRECT(Index!$L$11),"&lt;"&amp;EDATE($A13,3))=0,"",SUMIFS(INDIRECT(Index!$M$11),INDIRECT(Index!$L$11),"&gt;="&amp;$A13,INDIRECT(Index!$L$11),"&lt;"&amp;EDATE($A13,3))),"")</f>
        <v/>
      </c>
      <c r="C13" s="29" t="str">
        <f aca="false">IFERROR(B13/B12-1,"")</f>
        <v/>
      </c>
      <c r="D13" s="30"/>
      <c r="E13" s="31" t="str">
        <f aca="false">IFERROR(IF(AND(B13="",ISNUMBER($C$7),ISNUMBER($G$7)),$C$7*(1+$G$7)^(($A13-$E$7)/365.25),""),"")</f>
        <v/>
      </c>
      <c r="F13" s="31" t="str">
        <f aca="false">IFERROR(IF(AND(B13="",ISNUMBER($C$7),ISNUMBER($G$7)),$C$7*(1+$G$7*0.85^MAX(0,($A13-$E$7)/91.25))^(($A13-$E$7)/365.25),""),"")</f>
        <v/>
      </c>
      <c r="J13" s="32" t="n">
        <v>2011</v>
      </c>
      <c r="K13" s="31" t="n">
        <f aca="false">IFERROR(SUMIFS($B$10:$B$101,$A$10:$A$101,"&gt;="&amp;DATE(J13,1,1),$A$10:$A$101,"&lt;="&amp;DATE(J13,12,31)),"")</f>
        <v>0</v>
      </c>
      <c r="L13" s="29" t="str">
        <f aca="false">IFERROR(K13/K12-1,"")</f>
        <v/>
      </c>
      <c r="M13" s="31" t="n">
        <f aca="false">IFERROR(SUMIFS($E$10:$E$101,$A$10:$A$101,"&gt;="&amp;DATE(J13,1,1),$A$10:$A$101,"&lt;="&amp;DATE(J13,12,31)),"")</f>
        <v>0</v>
      </c>
    </row>
    <row r="14" customFormat="false" ht="15" hidden="false" customHeight="false" outlineLevel="0" collapsed="false">
      <c r="A14" s="15" t="n">
        <v>39814</v>
      </c>
      <c r="B14" s="20" t="str">
        <f aca="true">IFERROR(IF(SUMIFS(INDIRECT(Index!$M$11),INDIRECT(Index!$L$11),"&gt;="&amp;$A14,INDIRECT(Index!$L$11),"&lt;"&amp;EDATE($A14,3))=0,"",SUMIFS(INDIRECT(Index!$M$11),INDIRECT(Index!$L$11),"&gt;="&amp;$A14,INDIRECT(Index!$L$11),"&lt;"&amp;EDATE($A14,3))),"")</f>
        <v/>
      </c>
      <c r="C14" s="33" t="str">
        <f aca="false">IFERROR(B14/B13-1,"")</f>
        <v/>
      </c>
      <c r="D14" s="33" t="str">
        <f aca="false">IFERROR(B14/B10-1,"")</f>
        <v/>
      </c>
      <c r="E14" s="25" t="str">
        <f aca="false">IFERROR(IF(AND(B14="",ISNUMBER($C$7),ISNUMBER($G$7)),$C$7*(1+$G$7)^(($A14-$E$7)/365.25),""),"")</f>
        <v/>
      </c>
      <c r="F14" s="25" t="str">
        <f aca="false">IFERROR(IF(AND(B14="",ISNUMBER($C$7),ISNUMBER($G$7)),$C$7*(1+$G$7*0.85^MAX(0,($A14-$E$7)/91.25))^(($A14-$E$7)/365.25),""),"")</f>
        <v/>
      </c>
      <c r="J14" s="26" t="n">
        <v>2012</v>
      </c>
      <c r="K14" s="25" t="n">
        <f aca="false">IFERROR(SUMIFS($B$10:$B$101,$A$10:$A$101,"&gt;="&amp;DATE(J14,1,1),$A$10:$A$101,"&lt;="&amp;DATE(J14,12,31)),"")</f>
        <v>0</v>
      </c>
      <c r="L14" s="33" t="str">
        <f aca="false">IFERROR(K14/K13-1,"")</f>
        <v/>
      </c>
      <c r="M14" s="25" t="n">
        <f aca="false">IFERROR(SUMIFS($E$10:$E$101,$A$10:$A$101,"&gt;="&amp;DATE(J14,1,1),$A$10:$A$101,"&lt;="&amp;DATE(J14,12,31)),"")</f>
        <v>0</v>
      </c>
    </row>
    <row r="15" customFormat="false" ht="15" hidden="false" customHeight="false" outlineLevel="0" collapsed="false">
      <c r="A15" s="27" t="n">
        <v>39904</v>
      </c>
      <c r="B15" s="28" t="str">
        <f aca="true">IFERROR(IF(SUMIFS(INDIRECT(Index!$M$11),INDIRECT(Index!$L$11),"&gt;="&amp;$A15,INDIRECT(Index!$L$11),"&lt;"&amp;EDATE($A15,3))=0,"",SUMIFS(INDIRECT(Index!$M$11),INDIRECT(Index!$L$11),"&gt;="&amp;$A15,INDIRECT(Index!$L$11),"&lt;"&amp;EDATE($A15,3))),"")</f>
        <v/>
      </c>
      <c r="C15" s="29" t="str">
        <f aca="false">IFERROR(B15/B14-1,"")</f>
        <v/>
      </c>
      <c r="D15" s="29" t="str">
        <f aca="false">IFERROR(B15/B11-1,"")</f>
        <v/>
      </c>
      <c r="E15" s="31" t="str">
        <f aca="false">IFERROR(IF(AND(B15="",ISNUMBER($C$7),ISNUMBER($G$7)),$C$7*(1+$G$7)^(($A15-$E$7)/365.25),""),"")</f>
        <v/>
      </c>
      <c r="F15" s="31" t="str">
        <f aca="false">IFERROR(IF(AND(B15="",ISNUMBER($C$7),ISNUMBER($G$7)),$C$7*(1+$G$7*0.85^MAX(0,($A15-$E$7)/91.25))^(($A15-$E$7)/365.25),""),"")</f>
        <v/>
      </c>
      <c r="J15" s="32" t="n">
        <v>2013</v>
      </c>
      <c r="K15" s="31" t="n">
        <f aca="false">IFERROR(SUMIFS($B$10:$B$101,$A$10:$A$101,"&gt;="&amp;DATE(J15,1,1),$A$10:$A$101,"&lt;="&amp;DATE(J15,12,31)),"")</f>
        <v>0</v>
      </c>
      <c r="L15" s="29" t="str">
        <f aca="false">IFERROR(K15/K14-1,"")</f>
        <v/>
      </c>
      <c r="M15" s="31" t="n">
        <f aca="false">IFERROR(SUMIFS($E$10:$E$101,$A$10:$A$101,"&gt;="&amp;DATE(J15,1,1),$A$10:$A$101,"&lt;="&amp;DATE(J15,12,31)),"")</f>
        <v>0</v>
      </c>
    </row>
    <row r="16" customFormat="false" ht="15" hidden="false" customHeight="false" outlineLevel="0" collapsed="false">
      <c r="A16" s="15" t="n">
        <v>39995</v>
      </c>
      <c r="B16" s="20" t="str">
        <f aca="true">IFERROR(IF(SUMIFS(INDIRECT(Index!$M$11),INDIRECT(Index!$L$11),"&gt;="&amp;$A16,INDIRECT(Index!$L$11),"&lt;"&amp;EDATE($A16,3))=0,"",SUMIFS(INDIRECT(Index!$M$11),INDIRECT(Index!$L$11),"&gt;="&amp;$A16,INDIRECT(Index!$L$11),"&lt;"&amp;EDATE($A16,3))),"")</f>
        <v/>
      </c>
      <c r="C16" s="33" t="str">
        <f aca="false">IFERROR(B16/B15-1,"")</f>
        <v/>
      </c>
      <c r="D16" s="33" t="str">
        <f aca="false">IFERROR(B16/B12-1,"")</f>
        <v/>
      </c>
      <c r="E16" s="25" t="str">
        <f aca="false">IFERROR(IF(AND(B16="",ISNUMBER($C$7),ISNUMBER($G$7)),$C$7*(1+$G$7)^(($A16-$E$7)/365.25),""),"")</f>
        <v/>
      </c>
      <c r="F16" s="25" t="str">
        <f aca="false">IFERROR(IF(AND(B16="",ISNUMBER($C$7),ISNUMBER($G$7)),$C$7*(1+$G$7*0.85^MAX(0,($A16-$E$7)/91.25))^(($A16-$E$7)/365.25),""),"")</f>
        <v/>
      </c>
      <c r="J16" s="26" t="n">
        <v>2014</v>
      </c>
      <c r="K16" s="25" t="n">
        <f aca="false">IFERROR(SUMIFS($B$10:$B$101,$A$10:$A$101,"&gt;="&amp;DATE(J16,1,1),$A$10:$A$101,"&lt;="&amp;DATE(J16,12,31)),"")</f>
        <v>0</v>
      </c>
      <c r="L16" s="33" t="str">
        <f aca="false">IFERROR(K16/K15-1,"")</f>
        <v/>
      </c>
      <c r="M16" s="25" t="n">
        <f aca="false">IFERROR(SUMIFS($E$10:$E$101,$A$10:$A$101,"&gt;="&amp;DATE(J16,1,1),$A$10:$A$101,"&lt;="&amp;DATE(J16,12,31)),"")</f>
        <v>0</v>
      </c>
    </row>
    <row r="17" customFormat="false" ht="15" hidden="false" customHeight="false" outlineLevel="0" collapsed="false">
      <c r="A17" s="27" t="n">
        <v>40087</v>
      </c>
      <c r="B17" s="28" t="str">
        <f aca="true">IFERROR(IF(SUMIFS(INDIRECT(Index!$M$11),INDIRECT(Index!$L$11),"&gt;="&amp;$A17,INDIRECT(Index!$L$11),"&lt;"&amp;EDATE($A17,3))=0,"",SUMIFS(INDIRECT(Index!$M$11),INDIRECT(Index!$L$11),"&gt;="&amp;$A17,INDIRECT(Index!$L$11),"&lt;"&amp;EDATE($A17,3))),"")</f>
        <v/>
      </c>
      <c r="C17" s="29" t="str">
        <f aca="false">IFERROR(B17/B16-1,"")</f>
        <v/>
      </c>
      <c r="D17" s="29" t="str">
        <f aca="false">IFERROR(B17/B13-1,"")</f>
        <v/>
      </c>
      <c r="E17" s="31" t="str">
        <f aca="false">IFERROR(IF(AND(B17="",ISNUMBER($C$7),ISNUMBER($G$7)),$C$7*(1+$G$7)^(($A17-$E$7)/365.25),""),"")</f>
        <v/>
      </c>
      <c r="F17" s="31" t="str">
        <f aca="false">IFERROR(IF(AND(B17="",ISNUMBER($C$7),ISNUMBER($G$7)),$C$7*(1+$G$7*0.85^MAX(0,($A17-$E$7)/91.25))^(($A17-$E$7)/365.25),""),"")</f>
        <v/>
      </c>
      <c r="J17" s="32" t="n">
        <v>2015</v>
      </c>
      <c r="K17" s="31" t="n">
        <f aca="false">IFERROR(SUMIFS($B$10:$B$101,$A$10:$A$101,"&gt;="&amp;DATE(J17,1,1),$A$10:$A$101,"&lt;="&amp;DATE(J17,12,31)),"")</f>
        <v>0</v>
      </c>
      <c r="L17" s="29" t="str">
        <f aca="false">IFERROR(K17/K16-1,"")</f>
        <v/>
      </c>
      <c r="M17" s="31" t="n">
        <f aca="false">IFERROR(SUMIFS($E$10:$E$101,$A$10:$A$101,"&gt;="&amp;DATE(J17,1,1),$A$10:$A$101,"&lt;="&amp;DATE(J17,12,31)),"")</f>
        <v>0</v>
      </c>
    </row>
    <row r="18" customFormat="false" ht="15" hidden="false" customHeight="false" outlineLevel="0" collapsed="false">
      <c r="A18" s="15" t="n">
        <v>40179</v>
      </c>
      <c r="B18" s="20" t="str">
        <f aca="true">IFERROR(IF(SUMIFS(INDIRECT(Index!$M$11),INDIRECT(Index!$L$11),"&gt;="&amp;$A18,INDIRECT(Index!$L$11),"&lt;"&amp;EDATE($A18,3))=0,"",SUMIFS(INDIRECT(Index!$M$11),INDIRECT(Index!$L$11),"&gt;="&amp;$A18,INDIRECT(Index!$L$11),"&lt;"&amp;EDATE($A18,3))),"")</f>
        <v/>
      </c>
      <c r="C18" s="33" t="str">
        <f aca="false">IFERROR(B18/B17-1,"")</f>
        <v/>
      </c>
      <c r="D18" s="33" t="str">
        <f aca="false">IFERROR(B18/B14-1,"")</f>
        <v/>
      </c>
      <c r="E18" s="25" t="str">
        <f aca="false">IFERROR(IF(AND(B18="",ISNUMBER($C$7),ISNUMBER($G$7)),$C$7*(1+$G$7)^(($A18-$E$7)/365.25),""),"")</f>
        <v/>
      </c>
      <c r="F18" s="25" t="str">
        <f aca="false">IFERROR(IF(AND(B18="",ISNUMBER($C$7),ISNUMBER($G$7)),$C$7*(1+$G$7*0.85^MAX(0,($A18-$E$7)/91.25))^(($A18-$E$7)/365.25),""),"")</f>
        <v/>
      </c>
      <c r="J18" s="26" t="n">
        <v>2016</v>
      </c>
      <c r="K18" s="25" t="n">
        <f aca="false">IFERROR(SUMIFS($B$10:$B$101,$A$10:$A$101,"&gt;="&amp;DATE(J18,1,1),$A$10:$A$101,"&lt;="&amp;DATE(J18,12,31)),"")</f>
        <v>0</v>
      </c>
      <c r="L18" s="33" t="str">
        <f aca="false">IFERROR(K18/K17-1,"")</f>
        <v/>
      </c>
      <c r="M18" s="25" t="n">
        <f aca="false">IFERROR(SUMIFS($E$10:$E$101,$A$10:$A$101,"&gt;="&amp;DATE(J18,1,1),$A$10:$A$101,"&lt;="&amp;DATE(J18,12,31)),"")</f>
        <v>0</v>
      </c>
    </row>
    <row r="19" customFormat="false" ht="15" hidden="false" customHeight="false" outlineLevel="0" collapsed="false">
      <c r="A19" s="27" t="n">
        <v>40269</v>
      </c>
      <c r="B19" s="28" t="str">
        <f aca="true">IFERROR(IF(SUMIFS(INDIRECT(Index!$M$11),INDIRECT(Index!$L$11),"&gt;="&amp;$A19,INDIRECT(Index!$L$11),"&lt;"&amp;EDATE($A19,3))=0,"",SUMIFS(INDIRECT(Index!$M$11),INDIRECT(Index!$L$11),"&gt;="&amp;$A19,INDIRECT(Index!$L$11),"&lt;"&amp;EDATE($A19,3))),"")</f>
        <v/>
      </c>
      <c r="C19" s="29" t="str">
        <f aca="false">IFERROR(B19/B18-1,"")</f>
        <v/>
      </c>
      <c r="D19" s="29" t="str">
        <f aca="false">IFERROR(B19/B15-1,"")</f>
        <v/>
      </c>
      <c r="E19" s="31" t="str">
        <f aca="false">IFERROR(IF(AND(B19="",ISNUMBER($C$7),ISNUMBER($G$7)),$C$7*(1+$G$7)^(($A19-$E$7)/365.25),""),"")</f>
        <v/>
      </c>
      <c r="F19" s="31" t="str">
        <f aca="false">IFERROR(IF(AND(B19="",ISNUMBER($C$7),ISNUMBER($G$7)),$C$7*(1+$G$7*0.85^MAX(0,($A19-$E$7)/91.25))^(($A19-$E$7)/365.25),""),"")</f>
        <v/>
      </c>
      <c r="J19" s="32" t="n">
        <v>2017</v>
      </c>
      <c r="K19" s="31" t="n">
        <f aca="false">IFERROR(SUMIFS($B$10:$B$101,$A$10:$A$101,"&gt;="&amp;DATE(J19,1,1),$A$10:$A$101,"&lt;="&amp;DATE(J19,12,31)),"")</f>
        <v>0</v>
      </c>
      <c r="L19" s="29" t="str">
        <f aca="false">IFERROR(K19/K18-1,"")</f>
        <v/>
      </c>
      <c r="M19" s="31" t="n">
        <f aca="false">IFERROR(SUMIFS($E$10:$E$101,$A$10:$A$101,"&gt;="&amp;DATE(J19,1,1),$A$10:$A$101,"&lt;="&amp;DATE(J19,12,31)),"")</f>
        <v>0</v>
      </c>
    </row>
    <row r="20" customFormat="false" ht="15" hidden="false" customHeight="false" outlineLevel="0" collapsed="false">
      <c r="A20" s="15" t="n">
        <v>40360</v>
      </c>
      <c r="B20" s="20" t="str">
        <f aca="true">IFERROR(IF(SUMIFS(INDIRECT(Index!$M$11),INDIRECT(Index!$L$11),"&gt;="&amp;$A20,INDIRECT(Index!$L$11),"&lt;"&amp;EDATE($A20,3))=0,"",SUMIFS(INDIRECT(Index!$M$11),INDIRECT(Index!$L$11),"&gt;="&amp;$A20,INDIRECT(Index!$L$11),"&lt;"&amp;EDATE($A20,3))),"")</f>
        <v/>
      </c>
      <c r="C20" s="33" t="str">
        <f aca="false">IFERROR(B20/B19-1,"")</f>
        <v/>
      </c>
      <c r="D20" s="33" t="str">
        <f aca="false">IFERROR(B20/B16-1,"")</f>
        <v/>
      </c>
      <c r="E20" s="25" t="str">
        <f aca="false">IFERROR(IF(AND(B20="",ISNUMBER($C$7),ISNUMBER($G$7)),$C$7*(1+$G$7)^(($A20-$E$7)/365.25),""),"")</f>
        <v/>
      </c>
      <c r="F20" s="25" t="str">
        <f aca="false">IFERROR(IF(AND(B20="",ISNUMBER($C$7),ISNUMBER($G$7)),$C$7*(1+$G$7*0.85^MAX(0,($A20-$E$7)/91.25))^(($A20-$E$7)/365.25),""),"")</f>
        <v/>
      </c>
      <c r="J20" s="26" t="n">
        <v>2018</v>
      </c>
      <c r="K20" s="25" t="n">
        <f aca="false">IFERROR(SUMIFS($B$10:$B$101,$A$10:$A$101,"&gt;="&amp;DATE(J20,1,1),$A$10:$A$101,"&lt;="&amp;DATE(J20,12,31)),"")</f>
        <v>0</v>
      </c>
      <c r="L20" s="33" t="str">
        <f aca="false">IFERROR(K20/K19-1,"")</f>
        <v/>
      </c>
      <c r="M20" s="25" t="n">
        <f aca="false">IFERROR(SUMIFS($E$10:$E$101,$A$10:$A$101,"&gt;="&amp;DATE(J20,1,1),$A$10:$A$101,"&lt;="&amp;DATE(J20,12,31)),"")</f>
        <v>0</v>
      </c>
    </row>
    <row r="21" customFormat="false" ht="15" hidden="false" customHeight="false" outlineLevel="0" collapsed="false">
      <c r="A21" s="27" t="n">
        <v>40452</v>
      </c>
      <c r="B21" s="28" t="str">
        <f aca="true">IFERROR(IF(SUMIFS(INDIRECT(Index!$M$11),INDIRECT(Index!$L$11),"&gt;="&amp;$A21,INDIRECT(Index!$L$11),"&lt;"&amp;EDATE($A21,3))=0,"",SUMIFS(INDIRECT(Index!$M$11),INDIRECT(Index!$L$11),"&gt;="&amp;$A21,INDIRECT(Index!$L$11),"&lt;"&amp;EDATE($A21,3))),"")</f>
        <v/>
      </c>
      <c r="C21" s="29" t="str">
        <f aca="false">IFERROR(B21/B20-1,"")</f>
        <v/>
      </c>
      <c r="D21" s="29" t="str">
        <f aca="false">IFERROR(B21/B17-1,"")</f>
        <v/>
      </c>
      <c r="E21" s="31" t="str">
        <f aca="false">IFERROR(IF(AND(B21="",ISNUMBER($C$7),ISNUMBER($G$7)),$C$7*(1+$G$7)^(($A21-$E$7)/365.25),""),"")</f>
        <v/>
      </c>
      <c r="F21" s="31" t="str">
        <f aca="false">IFERROR(IF(AND(B21="",ISNUMBER($C$7),ISNUMBER($G$7)),$C$7*(1+$G$7*0.85^MAX(0,($A21-$E$7)/91.25))^(($A21-$E$7)/365.25),""),"")</f>
        <v/>
      </c>
      <c r="J21" s="32" t="n">
        <v>2019</v>
      </c>
      <c r="K21" s="31" t="n">
        <f aca="false">IFERROR(SUMIFS($B$10:$B$101,$A$10:$A$101,"&gt;="&amp;DATE(J21,1,1),$A$10:$A$101,"&lt;="&amp;DATE(J21,12,31)),"")</f>
        <v>0</v>
      </c>
      <c r="L21" s="29" t="str">
        <f aca="false">IFERROR(K21/K20-1,"")</f>
        <v/>
      </c>
      <c r="M21" s="31" t="n">
        <f aca="false">IFERROR(SUMIFS($E$10:$E$101,$A$10:$A$101,"&gt;="&amp;DATE(J21,1,1),$A$10:$A$101,"&lt;="&amp;DATE(J21,12,31)),"")</f>
        <v>0</v>
      </c>
    </row>
    <row r="22" customFormat="false" ht="15" hidden="false" customHeight="false" outlineLevel="0" collapsed="false">
      <c r="A22" s="15" t="n">
        <v>40544</v>
      </c>
      <c r="B22" s="20" t="str">
        <f aca="true">IFERROR(IF(SUMIFS(INDIRECT(Index!$M$11),INDIRECT(Index!$L$11),"&gt;="&amp;$A22,INDIRECT(Index!$L$11),"&lt;"&amp;EDATE($A22,3))=0,"",SUMIFS(INDIRECT(Index!$M$11),INDIRECT(Index!$L$11),"&gt;="&amp;$A22,INDIRECT(Index!$L$11),"&lt;"&amp;EDATE($A22,3))),"")</f>
        <v/>
      </c>
      <c r="C22" s="33" t="str">
        <f aca="false">IFERROR(B22/B21-1,"")</f>
        <v/>
      </c>
      <c r="D22" s="33" t="str">
        <f aca="false">IFERROR(B22/B18-1,"")</f>
        <v/>
      </c>
      <c r="E22" s="25" t="str">
        <f aca="false">IFERROR(IF(AND(B22="",ISNUMBER($C$7),ISNUMBER($G$7)),$C$7*(1+$G$7)^(($A22-$E$7)/365.25),""),"")</f>
        <v/>
      </c>
      <c r="F22" s="25" t="str">
        <f aca="false">IFERROR(IF(AND(B22="",ISNUMBER($C$7),ISNUMBER($G$7)),$C$7*(1+$G$7*0.85^MAX(0,($A22-$E$7)/91.25))^(($A22-$E$7)/365.25),""),"")</f>
        <v/>
      </c>
      <c r="J22" s="26" t="n">
        <v>2020</v>
      </c>
      <c r="K22" s="25" t="n">
        <f aca="false">IFERROR(SUMIFS($B$10:$B$101,$A$10:$A$101,"&gt;="&amp;DATE(J22,1,1),$A$10:$A$101,"&lt;="&amp;DATE(J22,12,31)),"")</f>
        <v>0</v>
      </c>
      <c r="L22" s="33" t="str">
        <f aca="false">IFERROR(K22/K21-1,"")</f>
        <v/>
      </c>
      <c r="M22" s="25" t="n">
        <f aca="false">IFERROR(SUMIFS($E$10:$E$101,$A$10:$A$101,"&gt;="&amp;DATE(J22,1,1),$A$10:$A$101,"&lt;="&amp;DATE(J22,12,31)),"")</f>
        <v>0</v>
      </c>
    </row>
    <row r="23" customFormat="false" ht="15" hidden="false" customHeight="false" outlineLevel="0" collapsed="false">
      <c r="A23" s="27" t="n">
        <v>40634</v>
      </c>
      <c r="B23" s="28" t="str">
        <f aca="true">IFERROR(IF(SUMIFS(INDIRECT(Index!$M$11),INDIRECT(Index!$L$11),"&gt;="&amp;$A23,INDIRECT(Index!$L$11),"&lt;"&amp;EDATE($A23,3))=0,"",SUMIFS(INDIRECT(Index!$M$11),INDIRECT(Index!$L$11),"&gt;="&amp;$A23,INDIRECT(Index!$L$11),"&lt;"&amp;EDATE($A23,3))),"")</f>
        <v/>
      </c>
      <c r="C23" s="29" t="str">
        <f aca="false">IFERROR(B23/B22-1,"")</f>
        <v/>
      </c>
      <c r="D23" s="29" t="str">
        <f aca="false">IFERROR(B23/B19-1,"")</f>
        <v/>
      </c>
      <c r="E23" s="31" t="str">
        <f aca="false">IFERROR(IF(AND(B23="",ISNUMBER($C$7),ISNUMBER($G$7)),$C$7*(1+$G$7)^(($A23-$E$7)/365.25),""),"")</f>
        <v/>
      </c>
      <c r="F23" s="31" t="str">
        <f aca="false">IFERROR(IF(AND(B23="",ISNUMBER($C$7),ISNUMBER($G$7)),$C$7*(1+$G$7*0.85^MAX(0,($A23-$E$7)/91.25))^(($A23-$E$7)/365.25),""),"")</f>
        <v/>
      </c>
      <c r="J23" s="32" t="n">
        <v>2021</v>
      </c>
      <c r="K23" s="31" t="n">
        <f aca="false">IFERROR(SUMIFS($B$10:$B$101,$A$10:$A$101,"&gt;="&amp;DATE(J23,1,1),$A$10:$A$101,"&lt;="&amp;DATE(J23,12,31)),"")</f>
        <v>0</v>
      </c>
      <c r="L23" s="29" t="str">
        <f aca="false">IFERROR(K23/K22-1,"")</f>
        <v/>
      </c>
      <c r="M23" s="31" t="n">
        <f aca="false">IFERROR(SUMIFS($E$10:$E$101,$A$10:$A$101,"&gt;="&amp;DATE(J23,1,1),$A$10:$A$101,"&lt;="&amp;DATE(J23,12,31)),"")</f>
        <v>0</v>
      </c>
    </row>
    <row r="24" customFormat="false" ht="15" hidden="false" customHeight="false" outlineLevel="0" collapsed="false">
      <c r="A24" s="15" t="n">
        <v>40725</v>
      </c>
      <c r="B24" s="20" t="str">
        <f aca="true">IFERROR(IF(SUMIFS(INDIRECT(Index!$M$11),INDIRECT(Index!$L$11),"&gt;="&amp;$A24,INDIRECT(Index!$L$11),"&lt;"&amp;EDATE($A24,3))=0,"",SUMIFS(INDIRECT(Index!$M$11),INDIRECT(Index!$L$11),"&gt;="&amp;$A24,INDIRECT(Index!$L$11),"&lt;"&amp;EDATE($A24,3))),"")</f>
        <v/>
      </c>
      <c r="C24" s="33" t="str">
        <f aca="false">IFERROR(B24/B23-1,"")</f>
        <v/>
      </c>
      <c r="D24" s="33" t="str">
        <f aca="false">IFERROR(B24/B20-1,"")</f>
        <v/>
      </c>
      <c r="E24" s="25" t="str">
        <f aca="false">IFERROR(IF(AND(B24="",ISNUMBER($C$7),ISNUMBER($G$7)),$C$7*(1+$G$7)^(($A24-$E$7)/365.25),""),"")</f>
        <v/>
      </c>
      <c r="F24" s="25" t="str">
        <f aca="false">IFERROR(IF(AND(B24="",ISNUMBER($C$7),ISNUMBER($G$7)),$C$7*(1+$G$7*0.85^MAX(0,($A24-$E$7)/91.25))^(($A24-$E$7)/365.25),""),"")</f>
        <v/>
      </c>
      <c r="J24" s="26" t="n">
        <v>2022</v>
      </c>
      <c r="K24" s="25" t="n">
        <f aca="false">IFERROR(SUMIFS($B$10:$B$101,$A$10:$A$101,"&gt;="&amp;DATE(J24,1,1),$A$10:$A$101,"&lt;="&amp;DATE(J24,12,31)),"")</f>
        <v>0</v>
      </c>
      <c r="L24" s="33" t="str">
        <f aca="false">IFERROR(K24/K23-1,"")</f>
        <v/>
      </c>
      <c r="M24" s="25" t="n">
        <f aca="false">IFERROR(SUMIFS($E$10:$E$101,$A$10:$A$101,"&gt;="&amp;DATE(J24,1,1),$A$10:$A$101,"&lt;="&amp;DATE(J24,12,31)),"")</f>
        <v>0</v>
      </c>
    </row>
    <row r="25" customFormat="false" ht="15" hidden="false" customHeight="false" outlineLevel="0" collapsed="false">
      <c r="A25" s="27" t="n">
        <v>40817</v>
      </c>
      <c r="B25" s="28" t="str">
        <f aca="true">IFERROR(IF(SUMIFS(INDIRECT(Index!$M$11),INDIRECT(Index!$L$11),"&gt;="&amp;$A25,INDIRECT(Index!$L$11),"&lt;"&amp;EDATE($A25,3))=0,"",SUMIFS(INDIRECT(Index!$M$11),INDIRECT(Index!$L$11),"&gt;="&amp;$A25,INDIRECT(Index!$L$11),"&lt;"&amp;EDATE($A25,3))),"")</f>
        <v/>
      </c>
      <c r="C25" s="29" t="str">
        <f aca="false">IFERROR(B25/B24-1,"")</f>
        <v/>
      </c>
      <c r="D25" s="29" t="str">
        <f aca="false">IFERROR(B25/B21-1,"")</f>
        <v/>
      </c>
      <c r="E25" s="31" t="str">
        <f aca="false">IFERROR(IF(AND(B25="",ISNUMBER($C$7),ISNUMBER($G$7)),$C$7*(1+$G$7)^(($A25-$E$7)/365.25),""),"")</f>
        <v/>
      </c>
      <c r="F25" s="31" t="str">
        <f aca="false">IFERROR(IF(AND(B25="",ISNUMBER($C$7),ISNUMBER($G$7)),$C$7*(1+$G$7*0.85^MAX(0,($A25-$E$7)/91.25))^(($A25-$E$7)/365.25),""),"")</f>
        <v/>
      </c>
      <c r="J25" s="32" t="n">
        <v>2023</v>
      </c>
      <c r="K25" s="31" t="n">
        <f aca="false">IFERROR(SUMIFS($B$10:$B$101,$A$10:$A$101,"&gt;="&amp;DATE(J25,1,1),$A$10:$A$101,"&lt;="&amp;DATE(J25,12,31)),"")</f>
        <v>0</v>
      </c>
      <c r="L25" s="29" t="str">
        <f aca="false">IFERROR(K25/K24-1,"")</f>
        <v/>
      </c>
      <c r="M25" s="31" t="n">
        <f aca="false">IFERROR(SUMIFS($E$10:$E$101,$A$10:$A$101,"&gt;="&amp;DATE(J25,1,1),$A$10:$A$101,"&lt;="&amp;DATE(J25,12,31)),"")</f>
        <v>0</v>
      </c>
    </row>
    <row r="26" customFormat="false" ht="15" hidden="false" customHeight="false" outlineLevel="0" collapsed="false">
      <c r="A26" s="15" t="n">
        <v>40909</v>
      </c>
      <c r="B26" s="20" t="str">
        <f aca="true">IFERROR(IF(SUMIFS(INDIRECT(Index!$M$11),INDIRECT(Index!$L$11),"&gt;="&amp;$A26,INDIRECT(Index!$L$11),"&lt;"&amp;EDATE($A26,3))=0,"",SUMIFS(INDIRECT(Index!$M$11),INDIRECT(Index!$L$11),"&gt;="&amp;$A26,INDIRECT(Index!$L$11),"&lt;"&amp;EDATE($A26,3))),"")</f>
        <v/>
      </c>
      <c r="C26" s="33" t="str">
        <f aca="false">IFERROR(B26/B25-1,"")</f>
        <v/>
      </c>
      <c r="D26" s="33" t="str">
        <f aca="false">IFERROR(B26/B22-1,"")</f>
        <v/>
      </c>
      <c r="E26" s="25" t="str">
        <f aca="false">IFERROR(IF(AND(B26="",ISNUMBER($C$7),ISNUMBER($G$7)),$C$7*(1+$G$7)^(($A26-$E$7)/365.25),""),"")</f>
        <v/>
      </c>
      <c r="F26" s="25" t="str">
        <f aca="false">IFERROR(IF(AND(B26="",ISNUMBER($C$7),ISNUMBER($G$7)),$C$7*(1+$G$7*0.85^MAX(0,($A26-$E$7)/91.25))^(($A26-$E$7)/365.25),""),"")</f>
        <v/>
      </c>
      <c r="J26" s="26" t="n">
        <v>2024</v>
      </c>
      <c r="K26" s="25" t="n">
        <f aca="false">IFERROR(SUMIFS($B$10:$B$101,$A$10:$A$101,"&gt;="&amp;DATE(J26,1,1),$A$10:$A$101,"&lt;="&amp;DATE(J26,12,31)),"")</f>
        <v>0</v>
      </c>
      <c r="L26" s="33" t="str">
        <f aca="false">IFERROR(K26/K25-1,"")</f>
        <v/>
      </c>
      <c r="M26" s="25" t="n">
        <f aca="false">IFERROR(SUMIFS($E$10:$E$101,$A$10:$A$101,"&gt;="&amp;DATE(J26,1,1),$A$10:$A$101,"&lt;="&amp;DATE(J26,12,31)),"")</f>
        <v>0</v>
      </c>
    </row>
    <row r="27" customFormat="false" ht="15" hidden="false" customHeight="false" outlineLevel="0" collapsed="false">
      <c r="A27" s="27" t="n">
        <v>41000</v>
      </c>
      <c r="B27" s="28" t="str">
        <f aca="true">IFERROR(IF(SUMIFS(INDIRECT(Index!$M$11),INDIRECT(Index!$L$11),"&gt;="&amp;$A27,INDIRECT(Index!$L$11),"&lt;"&amp;EDATE($A27,3))=0,"",SUMIFS(INDIRECT(Index!$M$11),INDIRECT(Index!$L$11),"&gt;="&amp;$A27,INDIRECT(Index!$L$11),"&lt;"&amp;EDATE($A27,3))),"")</f>
        <v/>
      </c>
      <c r="C27" s="29" t="str">
        <f aca="false">IFERROR(B27/B26-1,"")</f>
        <v/>
      </c>
      <c r="D27" s="29" t="str">
        <f aca="false">IFERROR(B27/B23-1,"")</f>
        <v/>
      </c>
      <c r="E27" s="31" t="str">
        <f aca="false">IFERROR(IF(AND(B27="",ISNUMBER($C$7),ISNUMBER($G$7)),$C$7*(1+$G$7)^(($A27-$E$7)/365.25),""),"")</f>
        <v/>
      </c>
      <c r="F27" s="31" t="str">
        <f aca="false">IFERROR(IF(AND(B27="",ISNUMBER($C$7),ISNUMBER($G$7)),$C$7*(1+$G$7*0.85^MAX(0,($A27-$E$7)/91.25))^(($A27-$E$7)/365.25),""),"")</f>
        <v/>
      </c>
      <c r="J27" s="32" t="n">
        <v>2025</v>
      </c>
      <c r="K27" s="31" t="n">
        <f aca="false">IFERROR(SUMIFS($B$10:$B$101,$A$10:$A$101,"&gt;="&amp;DATE(J27,1,1),$A$10:$A$101,"&lt;="&amp;DATE(J27,12,31)),"")</f>
        <v>0</v>
      </c>
      <c r="L27" s="29" t="str">
        <f aca="false">IFERROR(K27/K26-1,"")</f>
        <v/>
      </c>
      <c r="M27" s="31" t="n">
        <f aca="false">IFERROR(SUMIFS($E$10:$E$101,$A$10:$A$101,"&gt;="&amp;DATE(J27,1,1),$A$10:$A$101,"&lt;="&amp;DATE(J27,12,31)),"")</f>
        <v>0</v>
      </c>
    </row>
    <row r="28" customFormat="false" ht="15" hidden="false" customHeight="false" outlineLevel="0" collapsed="false">
      <c r="A28" s="15" t="n">
        <v>41091</v>
      </c>
      <c r="B28" s="20" t="str">
        <f aca="true">IFERROR(IF(SUMIFS(INDIRECT(Index!$M$11),INDIRECT(Index!$L$11),"&gt;="&amp;$A28,INDIRECT(Index!$L$11),"&lt;"&amp;EDATE($A28,3))=0,"",SUMIFS(INDIRECT(Index!$M$11),INDIRECT(Index!$L$11),"&gt;="&amp;$A28,INDIRECT(Index!$L$11),"&lt;"&amp;EDATE($A28,3))),"")</f>
        <v/>
      </c>
      <c r="C28" s="33" t="str">
        <f aca="false">IFERROR(B28/B27-1,"")</f>
        <v/>
      </c>
      <c r="D28" s="33" t="str">
        <f aca="false">IFERROR(B28/B24-1,"")</f>
        <v/>
      </c>
      <c r="E28" s="25" t="str">
        <f aca="false">IFERROR(IF(AND(B28="",ISNUMBER($C$7),ISNUMBER($G$7)),$C$7*(1+$G$7)^(($A28-$E$7)/365.25),""),"")</f>
        <v/>
      </c>
      <c r="F28" s="25" t="str">
        <f aca="false">IFERROR(IF(AND(B28="",ISNUMBER($C$7),ISNUMBER($G$7)),$C$7*(1+$G$7*0.85^MAX(0,($A28-$E$7)/91.25))^(($A28-$E$7)/365.25),""),"")</f>
        <v/>
      </c>
      <c r="J28" s="26" t="n">
        <v>2026</v>
      </c>
      <c r="K28" s="25" t="n">
        <f aca="false">IFERROR(SUMIFS($B$10:$B$101,$A$10:$A$101,"&gt;="&amp;DATE(J28,1,1),$A$10:$A$101,"&lt;="&amp;DATE(J28,12,31)),"")</f>
        <v>0</v>
      </c>
      <c r="L28" s="33" t="str">
        <f aca="false">IFERROR(K28/K27-1,"")</f>
        <v/>
      </c>
      <c r="M28" s="25" t="n">
        <f aca="false">IFERROR(SUMIFS($E$10:$E$101,$A$10:$A$101,"&gt;="&amp;DATE(J28,1,1),$A$10:$A$101,"&lt;="&amp;DATE(J28,12,31)),"")</f>
        <v>0</v>
      </c>
    </row>
    <row r="29" customFormat="false" ht="15" hidden="false" customHeight="false" outlineLevel="0" collapsed="false">
      <c r="A29" s="27" t="n">
        <v>41183</v>
      </c>
      <c r="B29" s="28" t="str">
        <f aca="true">IFERROR(IF(SUMIFS(INDIRECT(Index!$M$11),INDIRECT(Index!$L$11),"&gt;="&amp;$A29,INDIRECT(Index!$L$11),"&lt;"&amp;EDATE($A29,3))=0,"",SUMIFS(INDIRECT(Index!$M$11),INDIRECT(Index!$L$11),"&gt;="&amp;$A29,INDIRECT(Index!$L$11),"&lt;"&amp;EDATE($A29,3))),"")</f>
        <v/>
      </c>
      <c r="C29" s="29" t="str">
        <f aca="false">IFERROR(B29/B28-1,"")</f>
        <v/>
      </c>
      <c r="D29" s="29" t="str">
        <f aca="false">IFERROR(B29/B25-1,"")</f>
        <v/>
      </c>
      <c r="E29" s="31" t="str">
        <f aca="false">IFERROR(IF(AND(B29="",ISNUMBER($C$7),ISNUMBER($G$7)),$C$7*(1+$G$7)^(($A29-$E$7)/365.25),""),"")</f>
        <v/>
      </c>
      <c r="F29" s="31" t="str">
        <f aca="false">IFERROR(IF(AND(B29="",ISNUMBER($C$7),ISNUMBER($G$7)),$C$7*(1+$G$7*0.85^MAX(0,($A29-$E$7)/91.25))^(($A29-$E$7)/365.25),""),"")</f>
        <v/>
      </c>
      <c r="J29" s="32" t="n">
        <v>2027</v>
      </c>
      <c r="K29" s="31" t="n">
        <f aca="false">IFERROR(SUMIFS($B$10:$B$101,$A$10:$A$101,"&gt;="&amp;DATE(J29,1,1),$A$10:$A$101,"&lt;="&amp;DATE(J29,12,31)),"")</f>
        <v>0</v>
      </c>
      <c r="L29" s="29" t="str">
        <f aca="false">IFERROR(K29/K28-1,"")</f>
        <v/>
      </c>
      <c r="M29" s="31" t="n">
        <f aca="false">IFERROR(SUMIFS($E$10:$E$101,$A$10:$A$101,"&gt;="&amp;DATE(J29,1,1),$A$10:$A$101,"&lt;="&amp;DATE(J29,12,31)),"")</f>
        <v>0</v>
      </c>
    </row>
    <row r="30" customFormat="false" ht="15" hidden="false" customHeight="false" outlineLevel="0" collapsed="false">
      <c r="A30" s="15" t="n">
        <v>41275</v>
      </c>
      <c r="B30" s="20" t="str">
        <f aca="true">IFERROR(IF(SUMIFS(INDIRECT(Index!$M$11),INDIRECT(Index!$L$11),"&gt;="&amp;$A30,INDIRECT(Index!$L$11),"&lt;"&amp;EDATE($A30,3))=0,"",SUMIFS(INDIRECT(Index!$M$11),INDIRECT(Index!$L$11),"&gt;="&amp;$A30,INDIRECT(Index!$L$11),"&lt;"&amp;EDATE($A30,3))),"")</f>
        <v/>
      </c>
      <c r="C30" s="33" t="str">
        <f aca="false">IFERROR(B30/B29-1,"")</f>
        <v/>
      </c>
      <c r="D30" s="33" t="str">
        <f aca="false">IFERROR(B30/B26-1,"")</f>
        <v/>
      </c>
      <c r="E30" s="25" t="str">
        <f aca="false">IFERROR(IF(AND(B30="",ISNUMBER($C$7),ISNUMBER($G$7)),$C$7*(1+$G$7)^(($A30-$E$7)/365.25),""),"")</f>
        <v/>
      </c>
      <c r="F30" s="25" t="str">
        <f aca="false">IFERROR(IF(AND(B30="",ISNUMBER($C$7),ISNUMBER($G$7)),$C$7*(1+$G$7*0.85^MAX(0,($A30-$E$7)/91.25))^(($A30-$E$7)/365.25),""),"")</f>
        <v/>
      </c>
      <c r="J30" s="26" t="n">
        <v>2028</v>
      </c>
      <c r="K30" s="25" t="n">
        <f aca="false">IFERROR(SUMIFS($B$10:$B$101,$A$10:$A$101,"&gt;="&amp;DATE(J30,1,1),$A$10:$A$101,"&lt;="&amp;DATE(J30,12,31)),"")</f>
        <v>0</v>
      </c>
      <c r="L30" s="33" t="str">
        <f aca="false">IFERROR(K30/K29-1,"")</f>
        <v/>
      </c>
      <c r="M30" s="25" t="n">
        <f aca="false">IFERROR(SUMIFS($E$10:$E$101,$A$10:$A$101,"&gt;="&amp;DATE(J30,1,1),$A$10:$A$101,"&lt;="&amp;DATE(J30,12,31)),"")</f>
        <v>0</v>
      </c>
    </row>
    <row r="31" customFormat="false" ht="15" hidden="false" customHeight="false" outlineLevel="0" collapsed="false">
      <c r="A31" s="27" t="n">
        <v>41365</v>
      </c>
      <c r="B31" s="28" t="str">
        <f aca="true">IFERROR(IF(SUMIFS(INDIRECT(Index!$M$11),INDIRECT(Index!$L$11),"&gt;="&amp;$A31,INDIRECT(Index!$L$11),"&lt;"&amp;EDATE($A31,3))=0,"",SUMIFS(INDIRECT(Index!$M$11),INDIRECT(Index!$L$11),"&gt;="&amp;$A31,INDIRECT(Index!$L$11),"&lt;"&amp;EDATE($A31,3))),"")</f>
        <v/>
      </c>
      <c r="C31" s="29" t="str">
        <f aca="false">IFERROR(B31/B30-1,"")</f>
        <v/>
      </c>
      <c r="D31" s="29" t="str">
        <f aca="false">IFERROR(B31/B27-1,"")</f>
        <v/>
      </c>
      <c r="E31" s="31" t="str">
        <f aca="false">IFERROR(IF(AND(B31="",ISNUMBER($C$7),ISNUMBER($G$7)),$C$7*(1+$G$7)^(($A31-$E$7)/365.25),""),"")</f>
        <v/>
      </c>
      <c r="F31" s="31" t="str">
        <f aca="false">IFERROR(IF(AND(B31="",ISNUMBER($C$7),ISNUMBER($G$7)),$C$7*(1+$G$7*0.85^MAX(0,($A31-$E$7)/91.25))^(($A31-$E$7)/365.25),""),"")</f>
        <v/>
      </c>
      <c r="J31" s="32" t="n">
        <v>2029</v>
      </c>
      <c r="K31" s="31" t="n">
        <f aca="false">IFERROR(SUMIFS($B$10:$B$101,$A$10:$A$101,"&gt;="&amp;DATE(J31,1,1),$A$10:$A$101,"&lt;="&amp;DATE(J31,12,31)),"")</f>
        <v>0</v>
      </c>
      <c r="L31" s="29" t="str">
        <f aca="false">IFERROR(K31/K30-1,"")</f>
        <v/>
      </c>
      <c r="M31" s="31" t="n">
        <f aca="false">IFERROR(SUMIFS($E$10:$E$101,$A$10:$A$101,"&gt;="&amp;DATE(J31,1,1),$A$10:$A$101,"&lt;="&amp;DATE(J31,12,31)),"")</f>
        <v>0</v>
      </c>
    </row>
    <row r="32" customFormat="false" ht="15" hidden="false" customHeight="false" outlineLevel="0" collapsed="false">
      <c r="A32" s="15" t="n">
        <v>41456</v>
      </c>
      <c r="B32" s="20" t="str">
        <f aca="true">IFERROR(IF(SUMIFS(INDIRECT(Index!$M$11),INDIRECT(Index!$L$11),"&gt;="&amp;$A32,INDIRECT(Index!$L$11),"&lt;"&amp;EDATE($A32,3))=0,"",SUMIFS(INDIRECT(Index!$M$11),INDIRECT(Index!$L$11),"&gt;="&amp;$A32,INDIRECT(Index!$L$11),"&lt;"&amp;EDATE($A32,3))),"")</f>
        <v/>
      </c>
      <c r="C32" s="33" t="str">
        <f aca="false">IFERROR(B32/B31-1,"")</f>
        <v/>
      </c>
      <c r="D32" s="33" t="str">
        <f aca="false">IFERROR(B32/B28-1,"")</f>
        <v/>
      </c>
      <c r="E32" s="25" t="str">
        <f aca="false">IFERROR(IF(AND(B32="",ISNUMBER($C$7),ISNUMBER($G$7)),$C$7*(1+$G$7)^(($A32-$E$7)/365.25),""),"")</f>
        <v/>
      </c>
      <c r="F32" s="25" t="str">
        <f aca="false">IFERROR(IF(AND(B32="",ISNUMBER($C$7),ISNUMBER($G$7)),$C$7*(1+$G$7*0.85^MAX(0,($A32-$E$7)/91.25))^(($A32-$E$7)/365.25),""),"")</f>
        <v/>
      </c>
      <c r="J32" s="26" t="n">
        <v>2030</v>
      </c>
      <c r="K32" s="25" t="n">
        <f aca="false">IFERROR(SUMIFS($B$10:$B$101,$A$10:$A$101,"&gt;="&amp;DATE(J32,1,1),$A$10:$A$101,"&lt;="&amp;DATE(J32,12,31)),"")</f>
        <v>0</v>
      </c>
      <c r="L32" s="33" t="str">
        <f aca="false">IFERROR(K32/K31-1,"")</f>
        <v/>
      </c>
      <c r="M32" s="25" t="n">
        <f aca="false">IFERROR(SUMIFS($E$10:$E$101,$A$10:$A$101,"&gt;="&amp;DATE(J32,1,1),$A$10:$A$101,"&lt;="&amp;DATE(J32,12,31)),"")</f>
        <v>0</v>
      </c>
    </row>
    <row r="33" customFormat="false" ht="15" hidden="false" customHeight="false" outlineLevel="0" collapsed="false">
      <c r="A33" s="27" t="n">
        <v>41548</v>
      </c>
      <c r="B33" s="28" t="str">
        <f aca="true">IFERROR(IF(SUMIFS(INDIRECT(Index!$M$11),INDIRECT(Index!$L$11),"&gt;="&amp;$A33,INDIRECT(Index!$L$11),"&lt;"&amp;EDATE($A33,3))=0,"",SUMIFS(INDIRECT(Index!$M$11),INDIRECT(Index!$L$11),"&gt;="&amp;$A33,INDIRECT(Index!$L$11),"&lt;"&amp;EDATE($A33,3))),"")</f>
        <v/>
      </c>
      <c r="C33" s="29" t="str">
        <f aca="false">IFERROR(B33/B32-1,"")</f>
        <v/>
      </c>
      <c r="D33" s="29" t="str">
        <f aca="false">IFERROR(B33/B29-1,"")</f>
        <v/>
      </c>
      <c r="E33" s="31" t="str">
        <f aca="false">IFERROR(IF(AND(B33="",ISNUMBER($C$7),ISNUMBER($G$7)),$C$7*(1+$G$7)^(($A33-$E$7)/365.25),""),"")</f>
        <v/>
      </c>
      <c r="F33" s="31" t="str">
        <f aca="false">IFERROR(IF(AND(B33="",ISNUMBER($C$7),ISNUMBER($G$7)),$C$7*(1+$G$7*0.85^MAX(0,($A33-$E$7)/91.25))^(($A33-$E$7)/365.25),""),"")</f>
        <v/>
      </c>
    </row>
    <row r="34" customFormat="false" ht="15" hidden="false" customHeight="false" outlineLevel="0" collapsed="false">
      <c r="A34" s="15" t="n">
        <v>41640</v>
      </c>
      <c r="B34" s="20" t="str">
        <f aca="true">IFERROR(IF(SUMIFS(INDIRECT(Index!$M$11),INDIRECT(Index!$L$11),"&gt;="&amp;$A34,INDIRECT(Index!$L$11),"&lt;"&amp;EDATE($A34,3))=0,"",SUMIFS(INDIRECT(Index!$M$11),INDIRECT(Index!$L$11),"&gt;="&amp;$A34,INDIRECT(Index!$L$11),"&lt;"&amp;EDATE($A34,3))),"")</f>
        <v/>
      </c>
      <c r="C34" s="33" t="str">
        <f aca="false">IFERROR(B34/B33-1,"")</f>
        <v/>
      </c>
      <c r="D34" s="33" t="str">
        <f aca="false">IFERROR(B34/B30-1,"")</f>
        <v/>
      </c>
      <c r="E34" s="25" t="str">
        <f aca="false">IFERROR(IF(AND(B34="",ISNUMBER($C$7),ISNUMBER($G$7)),$C$7*(1+$G$7)^(($A34-$E$7)/365.25),""),"")</f>
        <v/>
      </c>
      <c r="F34" s="25" t="str">
        <f aca="false">IFERROR(IF(AND(B34="",ISNUMBER($C$7),ISNUMBER($G$7)),$C$7*(1+$G$7*0.85^MAX(0,($A34-$E$7)/91.25))^(($A34-$E$7)/365.25),""),"")</f>
        <v/>
      </c>
    </row>
    <row r="35" customFormat="false" ht="15" hidden="false" customHeight="false" outlineLevel="0" collapsed="false">
      <c r="A35" s="27" t="n">
        <v>41730</v>
      </c>
      <c r="B35" s="28" t="str">
        <f aca="true">IFERROR(IF(SUMIFS(INDIRECT(Index!$M$11),INDIRECT(Index!$L$11),"&gt;="&amp;$A35,INDIRECT(Index!$L$11),"&lt;"&amp;EDATE($A35,3))=0,"",SUMIFS(INDIRECT(Index!$M$11),INDIRECT(Index!$L$11),"&gt;="&amp;$A35,INDIRECT(Index!$L$11),"&lt;"&amp;EDATE($A35,3))),"")</f>
        <v/>
      </c>
      <c r="C35" s="29" t="str">
        <f aca="false">IFERROR(B35/B34-1,"")</f>
        <v/>
      </c>
      <c r="D35" s="29" t="str">
        <f aca="false">IFERROR(B35/B31-1,"")</f>
        <v/>
      </c>
      <c r="E35" s="31" t="str">
        <f aca="false">IFERROR(IF(AND(B35="",ISNUMBER($C$7),ISNUMBER($G$7)),$C$7*(1+$G$7)^(($A35-$E$7)/365.25),""),"")</f>
        <v/>
      </c>
      <c r="F35" s="31" t="str">
        <f aca="false">IFERROR(IF(AND(B35="",ISNUMBER($C$7),ISNUMBER($G$7)),$C$7*(1+$G$7*0.85^MAX(0,($A35-$E$7)/91.25))^(($A35-$E$7)/365.25),""),"")</f>
        <v/>
      </c>
    </row>
    <row r="36" customFormat="false" ht="15" hidden="false" customHeight="false" outlineLevel="0" collapsed="false">
      <c r="A36" s="15" t="n">
        <v>41821</v>
      </c>
      <c r="B36" s="20" t="str">
        <f aca="true">IFERROR(IF(SUMIFS(INDIRECT(Index!$M$11),INDIRECT(Index!$L$11),"&gt;="&amp;$A36,INDIRECT(Index!$L$11),"&lt;"&amp;EDATE($A36,3))=0,"",SUMIFS(INDIRECT(Index!$M$11),INDIRECT(Index!$L$11),"&gt;="&amp;$A36,INDIRECT(Index!$L$11),"&lt;"&amp;EDATE($A36,3))),"")</f>
        <v/>
      </c>
      <c r="C36" s="33" t="str">
        <f aca="false">IFERROR(B36/B35-1,"")</f>
        <v/>
      </c>
      <c r="D36" s="33" t="str">
        <f aca="false">IFERROR(B36/B32-1,"")</f>
        <v/>
      </c>
      <c r="E36" s="25" t="str">
        <f aca="false">IFERROR(IF(AND(B36="",ISNUMBER($C$7),ISNUMBER($G$7)),$C$7*(1+$G$7)^(($A36-$E$7)/365.25),""),"")</f>
        <v/>
      </c>
      <c r="F36" s="25" t="str">
        <f aca="false">IFERROR(IF(AND(B36="",ISNUMBER($C$7),ISNUMBER($G$7)),$C$7*(1+$G$7*0.85^MAX(0,($A36-$E$7)/91.25))^(($A36-$E$7)/365.25),""),"")</f>
        <v/>
      </c>
    </row>
    <row r="37" customFormat="false" ht="15" hidden="false" customHeight="false" outlineLevel="0" collapsed="false">
      <c r="A37" s="27" t="n">
        <v>41913</v>
      </c>
      <c r="B37" s="28" t="str">
        <f aca="true">IFERROR(IF(SUMIFS(INDIRECT(Index!$M$11),INDIRECT(Index!$L$11),"&gt;="&amp;$A37,INDIRECT(Index!$L$11),"&lt;"&amp;EDATE($A37,3))=0,"",SUMIFS(INDIRECT(Index!$M$11),INDIRECT(Index!$L$11),"&gt;="&amp;$A37,INDIRECT(Index!$L$11),"&lt;"&amp;EDATE($A37,3))),"")</f>
        <v/>
      </c>
      <c r="C37" s="29" t="str">
        <f aca="false">IFERROR(B37/B36-1,"")</f>
        <v/>
      </c>
      <c r="D37" s="29" t="str">
        <f aca="false">IFERROR(B37/B33-1,"")</f>
        <v/>
      </c>
      <c r="E37" s="31" t="str">
        <f aca="false">IFERROR(IF(AND(B37="",ISNUMBER($C$7),ISNUMBER($G$7)),$C$7*(1+$G$7)^(($A37-$E$7)/365.25),""),"")</f>
        <v/>
      </c>
      <c r="F37" s="31" t="str">
        <f aca="false">IFERROR(IF(AND(B37="",ISNUMBER($C$7),ISNUMBER($G$7)),$C$7*(1+$G$7*0.85^MAX(0,($A37-$E$7)/91.25))^(($A37-$E$7)/365.25),""),"")</f>
        <v/>
      </c>
    </row>
    <row r="38" customFormat="false" ht="15" hidden="false" customHeight="false" outlineLevel="0" collapsed="false">
      <c r="A38" s="15" t="n">
        <v>42005</v>
      </c>
      <c r="B38" s="20" t="str">
        <f aca="true">IFERROR(IF(SUMIFS(INDIRECT(Index!$M$11),INDIRECT(Index!$L$11),"&gt;="&amp;$A38,INDIRECT(Index!$L$11),"&lt;"&amp;EDATE($A38,3))=0,"",SUMIFS(INDIRECT(Index!$M$11),INDIRECT(Index!$L$11),"&gt;="&amp;$A38,INDIRECT(Index!$L$11),"&lt;"&amp;EDATE($A38,3))),"")</f>
        <v/>
      </c>
      <c r="C38" s="33" t="str">
        <f aca="false">IFERROR(B38/B37-1,"")</f>
        <v/>
      </c>
      <c r="D38" s="33" t="str">
        <f aca="false">IFERROR(B38/B34-1,"")</f>
        <v/>
      </c>
      <c r="E38" s="25" t="str">
        <f aca="false">IFERROR(IF(AND(B38="",ISNUMBER($C$7),ISNUMBER($G$7)),$C$7*(1+$G$7)^(($A38-$E$7)/365.25),""),"")</f>
        <v/>
      </c>
      <c r="F38" s="25" t="str">
        <f aca="false">IFERROR(IF(AND(B38="",ISNUMBER($C$7),ISNUMBER($G$7)),$C$7*(1+$G$7*0.85^MAX(0,($A38-$E$7)/91.25))^(($A38-$E$7)/365.25),""),"")</f>
        <v/>
      </c>
    </row>
    <row r="39" customFormat="false" ht="15" hidden="false" customHeight="false" outlineLevel="0" collapsed="false">
      <c r="A39" s="27" t="n">
        <v>42095</v>
      </c>
      <c r="B39" s="28" t="str">
        <f aca="true">IFERROR(IF(SUMIFS(INDIRECT(Index!$M$11),INDIRECT(Index!$L$11),"&gt;="&amp;$A39,INDIRECT(Index!$L$11),"&lt;"&amp;EDATE($A39,3))=0,"",SUMIFS(INDIRECT(Index!$M$11),INDIRECT(Index!$L$11),"&gt;="&amp;$A39,INDIRECT(Index!$L$11),"&lt;"&amp;EDATE($A39,3))),"")</f>
        <v/>
      </c>
      <c r="C39" s="29" t="str">
        <f aca="false">IFERROR(B39/B38-1,"")</f>
        <v/>
      </c>
      <c r="D39" s="29" t="str">
        <f aca="false">IFERROR(B39/B35-1,"")</f>
        <v/>
      </c>
      <c r="E39" s="31" t="str">
        <f aca="false">IFERROR(IF(AND(B39="",ISNUMBER($C$7),ISNUMBER($G$7)),$C$7*(1+$G$7)^(($A39-$E$7)/365.25),""),"")</f>
        <v/>
      </c>
      <c r="F39" s="31" t="str">
        <f aca="false">IFERROR(IF(AND(B39="",ISNUMBER($C$7),ISNUMBER($G$7)),$C$7*(1+$G$7*0.85^MAX(0,($A39-$E$7)/91.25))^(($A39-$E$7)/365.25),""),"")</f>
        <v/>
      </c>
    </row>
    <row r="40" customFormat="false" ht="15" hidden="false" customHeight="false" outlineLevel="0" collapsed="false">
      <c r="A40" s="15" t="n">
        <v>42186</v>
      </c>
      <c r="B40" s="20" t="str">
        <f aca="true">IFERROR(IF(SUMIFS(INDIRECT(Index!$M$11),INDIRECT(Index!$L$11),"&gt;="&amp;$A40,INDIRECT(Index!$L$11),"&lt;"&amp;EDATE($A40,3))=0,"",SUMIFS(INDIRECT(Index!$M$11),INDIRECT(Index!$L$11),"&gt;="&amp;$A40,INDIRECT(Index!$L$11),"&lt;"&amp;EDATE($A40,3))),"")</f>
        <v/>
      </c>
      <c r="C40" s="33" t="str">
        <f aca="false">IFERROR(B40/B39-1,"")</f>
        <v/>
      </c>
      <c r="D40" s="33" t="str">
        <f aca="false">IFERROR(B40/B36-1,"")</f>
        <v/>
      </c>
      <c r="E40" s="25" t="str">
        <f aca="false">IFERROR(IF(AND(B40="",ISNUMBER($C$7),ISNUMBER($G$7)),$C$7*(1+$G$7)^(($A40-$E$7)/365.25),""),"")</f>
        <v/>
      </c>
      <c r="F40" s="25" t="str">
        <f aca="false">IFERROR(IF(AND(B40="",ISNUMBER($C$7),ISNUMBER($G$7)),$C$7*(1+$G$7*0.85^MAX(0,($A40-$E$7)/91.25))^(($A40-$E$7)/365.25),""),"")</f>
        <v/>
      </c>
    </row>
    <row r="41" customFormat="false" ht="15" hidden="false" customHeight="false" outlineLevel="0" collapsed="false">
      <c r="A41" s="27" t="n">
        <v>42278</v>
      </c>
      <c r="B41" s="28" t="str">
        <f aca="true">IFERROR(IF(SUMIFS(INDIRECT(Index!$M$11),INDIRECT(Index!$L$11),"&gt;="&amp;$A41,INDIRECT(Index!$L$11),"&lt;"&amp;EDATE($A41,3))=0,"",SUMIFS(INDIRECT(Index!$M$11),INDIRECT(Index!$L$11),"&gt;="&amp;$A41,INDIRECT(Index!$L$11),"&lt;"&amp;EDATE($A41,3))),"")</f>
        <v/>
      </c>
      <c r="C41" s="29" t="str">
        <f aca="false">IFERROR(B41/B40-1,"")</f>
        <v/>
      </c>
      <c r="D41" s="29" t="str">
        <f aca="false">IFERROR(B41/B37-1,"")</f>
        <v/>
      </c>
      <c r="E41" s="31" t="str">
        <f aca="false">IFERROR(IF(AND(B41="",ISNUMBER($C$7),ISNUMBER($G$7)),$C$7*(1+$G$7)^(($A41-$E$7)/365.25),""),"")</f>
        <v/>
      </c>
      <c r="F41" s="31" t="str">
        <f aca="false">IFERROR(IF(AND(B41="",ISNUMBER($C$7),ISNUMBER($G$7)),$C$7*(1+$G$7*0.85^MAX(0,($A41-$E$7)/91.25))^(($A41-$E$7)/365.25),""),"")</f>
        <v/>
      </c>
    </row>
    <row r="42" customFormat="false" ht="15" hidden="false" customHeight="false" outlineLevel="0" collapsed="false">
      <c r="A42" s="15" t="n">
        <v>42370</v>
      </c>
      <c r="B42" s="20" t="str">
        <f aca="true">IFERROR(IF(SUMIFS(INDIRECT(Index!$M$11),INDIRECT(Index!$L$11),"&gt;="&amp;$A42,INDIRECT(Index!$L$11),"&lt;"&amp;EDATE($A42,3))=0,"",SUMIFS(INDIRECT(Index!$M$11),INDIRECT(Index!$L$11),"&gt;="&amp;$A42,INDIRECT(Index!$L$11),"&lt;"&amp;EDATE($A42,3))),"")</f>
        <v/>
      </c>
      <c r="C42" s="33" t="str">
        <f aca="false">IFERROR(B42/B41-1,"")</f>
        <v/>
      </c>
      <c r="D42" s="33" t="str">
        <f aca="false">IFERROR(B42/B38-1,"")</f>
        <v/>
      </c>
      <c r="E42" s="25" t="str">
        <f aca="false">IFERROR(IF(AND(B42="",ISNUMBER($C$7),ISNUMBER($G$7)),$C$7*(1+$G$7)^(($A42-$E$7)/365.25),""),"")</f>
        <v/>
      </c>
      <c r="F42" s="25" t="str">
        <f aca="false">IFERROR(IF(AND(B42="",ISNUMBER($C$7),ISNUMBER($G$7)),$C$7*(1+$G$7*0.85^MAX(0,($A42-$E$7)/91.25))^(($A42-$E$7)/365.25),""),"")</f>
        <v/>
      </c>
    </row>
    <row r="43" customFormat="false" ht="15" hidden="false" customHeight="false" outlineLevel="0" collapsed="false">
      <c r="A43" s="27" t="n">
        <v>42461</v>
      </c>
      <c r="B43" s="28" t="str">
        <f aca="true">IFERROR(IF(SUMIFS(INDIRECT(Index!$M$11),INDIRECT(Index!$L$11),"&gt;="&amp;$A43,INDIRECT(Index!$L$11),"&lt;"&amp;EDATE($A43,3))=0,"",SUMIFS(INDIRECT(Index!$M$11),INDIRECT(Index!$L$11),"&gt;="&amp;$A43,INDIRECT(Index!$L$11),"&lt;"&amp;EDATE($A43,3))),"")</f>
        <v/>
      </c>
      <c r="C43" s="29" t="str">
        <f aca="false">IFERROR(B43/B42-1,"")</f>
        <v/>
      </c>
      <c r="D43" s="29" t="str">
        <f aca="false">IFERROR(B43/B39-1,"")</f>
        <v/>
      </c>
      <c r="E43" s="31" t="str">
        <f aca="false">IFERROR(IF(AND(B43="",ISNUMBER($C$7),ISNUMBER($G$7)),$C$7*(1+$G$7)^(($A43-$E$7)/365.25),""),"")</f>
        <v/>
      </c>
      <c r="F43" s="31" t="str">
        <f aca="false">IFERROR(IF(AND(B43="",ISNUMBER($C$7),ISNUMBER($G$7)),$C$7*(1+$G$7*0.85^MAX(0,($A43-$E$7)/91.25))^(($A43-$E$7)/365.25),""),"")</f>
        <v/>
      </c>
    </row>
    <row r="44" customFormat="false" ht="15" hidden="false" customHeight="false" outlineLevel="0" collapsed="false">
      <c r="A44" s="15" t="n">
        <v>42552</v>
      </c>
      <c r="B44" s="20" t="str">
        <f aca="true">IFERROR(IF(SUMIFS(INDIRECT(Index!$M$11),INDIRECT(Index!$L$11),"&gt;="&amp;$A44,INDIRECT(Index!$L$11),"&lt;"&amp;EDATE($A44,3))=0,"",SUMIFS(INDIRECT(Index!$M$11),INDIRECT(Index!$L$11),"&gt;="&amp;$A44,INDIRECT(Index!$L$11),"&lt;"&amp;EDATE($A44,3))),"")</f>
        <v/>
      </c>
      <c r="C44" s="33" t="str">
        <f aca="false">IFERROR(B44/B43-1,"")</f>
        <v/>
      </c>
      <c r="D44" s="33" t="str">
        <f aca="false">IFERROR(B44/B40-1,"")</f>
        <v/>
      </c>
      <c r="E44" s="25" t="str">
        <f aca="false">IFERROR(IF(AND(B44="",ISNUMBER($C$7),ISNUMBER($G$7)),$C$7*(1+$G$7)^(($A44-$E$7)/365.25),""),"")</f>
        <v/>
      </c>
      <c r="F44" s="25" t="str">
        <f aca="false">IFERROR(IF(AND(B44="",ISNUMBER($C$7),ISNUMBER($G$7)),$C$7*(1+$G$7*0.85^MAX(0,($A44-$E$7)/91.25))^(($A44-$E$7)/365.25),""),"")</f>
        <v/>
      </c>
    </row>
    <row r="45" customFormat="false" ht="15" hidden="false" customHeight="false" outlineLevel="0" collapsed="false">
      <c r="A45" s="27" t="n">
        <v>42644</v>
      </c>
      <c r="B45" s="28" t="str">
        <f aca="true">IFERROR(IF(SUMIFS(INDIRECT(Index!$M$11),INDIRECT(Index!$L$11),"&gt;="&amp;$A45,INDIRECT(Index!$L$11),"&lt;"&amp;EDATE($A45,3))=0,"",SUMIFS(INDIRECT(Index!$M$11),INDIRECT(Index!$L$11),"&gt;="&amp;$A45,INDIRECT(Index!$L$11),"&lt;"&amp;EDATE($A45,3))),"")</f>
        <v/>
      </c>
      <c r="C45" s="29" t="str">
        <f aca="false">IFERROR(B45/B44-1,"")</f>
        <v/>
      </c>
      <c r="D45" s="29" t="str">
        <f aca="false">IFERROR(B45/B41-1,"")</f>
        <v/>
      </c>
      <c r="E45" s="31" t="str">
        <f aca="false">IFERROR(IF(AND(B45="",ISNUMBER($C$7),ISNUMBER($G$7)),$C$7*(1+$G$7)^(($A45-$E$7)/365.25),""),"")</f>
        <v/>
      </c>
      <c r="F45" s="31" t="str">
        <f aca="false">IFERROR(IF(AND(B45="",ISNUMBER($C$7),ISNUMBER($G$7)),$C$7*(1+$G$7*0.85^MAX(0,($A45-$E$7)/91.25))^(($A45-$E$7)/365.25),""),"")</f>
        <v/>
      </c>
    </row>
    <row r="46" customFormat="false" ht="15" hidden="false" customHeight="false" outlineLevel="0" collapsed="false">
      <c r="A46" s="15" t="n">
        <v>42736</v>
      </c>
      <c r="B46" s="20" t="str">
        <f aca="true">IFERROR(IF(SUMIFS(INDIRECT(Index!$M$11),INDIRECT(Index!$L$11),"&gt;="&amp;$A46,INDIRECT(Index!$L$11),"&lt;"&amp;EDATE($A46,3))=0,"",SUMIFS(INDIRECT(Index!$M$11),INDIRECT(Index!$L$11),"&gt;="&amp;$A46,INDIRECT(Index!$L$11),"&lt;"&amp;EDATE($A46,3))),"")</f>
        <v/>
      </c>
      <c r="C46" s="33" t="str">
        <f aca="false">IFERROR(B46/B45-1,"")</f>
        <v/>
      </c>
      <c r="D46" s="33" t="str">
        <f aca="false">IFERROR(B46/B42-1,"")</f>
        <v/>
      </c>
      <c r="E46" s="25" t="str">
        <f aca="false">IFERROR(IF(AND(B46="",ISNUMBER($C$7),ISNUMBER($G$7)),$C$7*(1+$G$7)^(($A46-$E$7)/365.25),""),"")</f>
        <v/>
      </c>
      <c r="F46" s="25" t="str">
        <f aca="false">IFERROR(IF(AND(B46="",ISNUMBER($C$7),ISNUMBER($G$7)),$C$7*(1+$G$7*0.85^MAX(0,($A46-$E$7)/91.25))^(($A46-$E$7)/365.25),""),"")</f>
        <v/>
      </c>
    </row>
    <row r="47" customFormat="false" ht="15" hidden="false" customHeight="false" outlineLevel="0" collapsed="false">
      <c r="A47" s="27" t="n">
        <v>42826</v>
      </c>
      <c r="B47" s="28" t="str">
        <f aca="true">IFERROR(IF(SUMIFS(INDIRECT(Index!$M$11),INDIRECT(Index!$L$11),"&gt;="&amp;$A47,INDIRECT(Index!$L$11),"&lt;"&amp;EDATE($A47,3))=0,"",SUMIFS(INDIRECT(Index!$M$11),INDIRECT(Index!$L$11),"&gt;="&amp;$A47,INDIRECT(Index!$L$11),"&lt;"&amp;EDATE($A47,3))),"")</f>
        <v/>
      </c>
      <c r="C47" s="29" t="str">
        <f aca="false">IFERROR(B47/B46-1,"")</f>
        <v/>
      </c>
      <c r="D47" s="29" t="str">
        <f aca="false">IFERROR(B47/B43-1,"")</f>
        <v/>
      </c>
      <c r="E47" s="31" t="str">
        <f aca="false">IFERROR(IF(AND(B47="",ISNUMBER($C$7),ISNUMBER($G$7)),$C$7*(1+$G$7)^(($A47-$E$7)/365.25),""),"")</f>
        <v/>
      </c>
      <c r="F47" s="31" t="str">
        <f aca="false">IFERROR(IF(AND(B47="",ISNUMBER($C$7),ISNUMBER($G$7)),$C$7*(1+$G$7*0.85^MAX(0,($A47-$E$7)/91.25))^(($A47-$E$7)/365.25),""),"")</f>
        <v/>
      </c>
    </row>
    <row r="48" customFormat="false" ht="15" hidden="false" customHeight="false" outlineLevel="0" collapsed="false">
      <c r="A48" s="15" t="n">
        <v>42917</v>
      </c>
      <c r="B48" s="20" t="str">
        <f aca="true">IFERROR(IF(SUMIFS(INDIRECT(Index!$M$11),INDIRECT(Index!$L$11),"&gt;="&amp;$A48,INDIRECT(Index!$L$11),"&lt;"&amp;EDATE($A48,3))=0,"",SUMIFS(INDIRECT(Index!$M$11),INDIRECT(Index!$L$11),"&gt;="&amp;$A48,INDIRECT(Index!$L$11),"&lt;"&amp;EDATE($A48,3))),"")</f>
        <v/>
      </c>
      <c r="C48" s="33" t="str">
        <f aca="false">IFERROR(B48/B47-1,"")</f>
        <v/>
      </c>
      <c r="D48" s="33" t="str">
        <f aca="false">IFERROR(B48/B44-1,"")</f>
        <v/>
      </c>
      <c r="E48" s="25" t="str">
        <f aca="false">IFERROR(IF(AND(B48="",ISNUMBER($C$7),ISNUMBER($G$7)),$C$7*(1+$G$7)^(($A48-$E$7)/365.25),""),"")</f>
        <v/>
      </c>
      <c r="F48" s="25" t="str">
        <f aca="false">IFERROR(IF(AND(B48="",ISNUMBER($C$7),ISNUMBER($G$7)),$C$7*(1+$G$7*0.85^MAX(0,($A48-$E$7)/91.25))^(($A48-$E$7)/365.25),""),"")</f>
        <v/>
      </c>
    </row>
    <row r="49" customFormat="false" ht="15" hidden="false" customHeight="false" outlineLevel="0" collapsed="false">
      <c r="A49" s="27" t="n">
        <v>43009</v>
      </c>
      <c r="B49" s="28" t="str">
        <f aca="true">IFERROR(IF(SUMIFS(INDIRECT(Index!$M$11),INDIRECT(Index!$L$11),"&gt;="&amp;$A49,INDIRECT(Index!$L$11),"&lt;"&amp;EDATE($A49,3))=0,"",SUMIFS(INDIRECT(Index!$M$11),INDIRECT(Index!$L$11),"&gt;="&amp;$A49,INDIRECT(Index!$L$11),"&lt;"&amp;EDATE($A49,3))),"")</f>
        <v/>
      </c>
      <c r="C49" s="29" t="str">
        <f aca="false">IFERROR(B49/B48-1,"")</f>
        <v/>
      </c>
      <c r="D49" s="29" t="str">
        <f aca="false">IFERROR(B49/B45-1,"")</f>
        <v/>
      </c>
      <c r="E49" s="31" t="str">
        <f aca="false">IFERROR(IF(AND(B49="",ISNUMBER($C$7),ISNUMBER($G$7)),$C$7*(1+$G$7)^(($A49-$E$7)/365.25),""),"")</f>
        <v/>
      </c>
      <c r="F49" s="31" t="str">
        <f aca="false">IFERROR(IF(AND(B49="",ISNUMBER($C$7),ISNUMBER($G$7)),$C$7*(1+$G$7*0.85^MAX(0,($A49-$E$7)/91.25))^(($A49-$E$7)/365.25),""),"")</f>
        <v/>
      </c>
    </row>
    <row r="50" customFormat="false" ht="15" hidden="false" customHeight="false" outlineLevel="0" collapsed="false">
      <c r="A50" s="15" t="n">
        <v>43101</v>
      </c>
      <c r="B50" s="20" t="str">
        <f aca="true">IFERROR(IF(SUMIFS(INDIRECT(Index!$M$11),INDIRECT(Index!$L$11),"&gt;="&amp;$A50,INDIRECT(Index!$L$11),"&lt;"&amp;EDATE($A50,3))=0,"",SUMIFS(INDIRECT(Index!$M$11),INDIRECT(Index!$L$11),"&gt;="&amp;$A50,INDIRECT(Index!$L$11),"&lt;"&amp;EDATE($A50,3))),"")</f>
        <v/>
      </c>
      <c r="C50" s="33" t="str">
        <f aca="false">IFERROR(B50/B49-1,"")</f>
        <v/>
      </c>
      <c r="D50" s="33" t="str">
        <f aca="false">IFERROR(B50/B46-1,"")</f>
        <v/>
      </c>
      <c r="E50" s="25" t="str">
        <f aca="false">IFERROR(IF(AND(B50="",ISNUMBER($C$7),ISNUMBER($G$7)),$C$7*(1+$G$7)^(($A50-$E$7)/365.25),""),"")</f>
        <v/>
      </c>
      <c r="F50" s="25" t="str">
        <f aca="false">IFERROR(IF(AND(B50="",ISNUMBER($C$7),ISNUMBER($G$7)),$C$7*(1+$G$7*0.85^MAX(0,($A50-$E$7)/91.25))^(($A50-$E$7)/365.25),""),"")</f>
        <v/>
      </c>
    </row>
    <row r="51" customFormat="false" ht="15" hidden="false" customHeight="false" outlineLevel="0" collapsed="false">
      <c r="A51" s="27" t="n">
        <v>43191</v>
      </c>
      <c r="B51" s="28" t="str">
        <f aca="true">IFERROR(IF(SUMIFS(INDIRECT(Index!$M$11),INDIRECT(Index!$L$11),"&gt;="&amp;$A51,INDIRECT(Index!$L$11),"&lt;"&amp;EDATE($A51,3))=0,"",SUMIFS(INDIRECT(Index!$M$11),INDIRECT(Index!$L$11),"&gt;="&amp;$A51,INDIRECT(Index!$L$11),"&lt;"&amp;EDATE($A51,3))),"")</f>
        <v/>
      </c>
      <c r="C51" s="29" t="str">
        <f aca="false">IFERROR(B51/B50-1,"")</f>
        <v/>
      </c>
      <c r="D51" s="29" t="str">
        <f aca="false">IFERROR(B51/B47-1,"")</f>
        <v/>
      </c>
      <c r="E51" s="31" t="str">
        <f aca="false">IFERROR(IF(AND(B51="",ISNUMBER($C$7),ISNUMBER($G$7)),$C$7*(1+$G$7)^(($A51-$E$7)/365.25),""),"")</f>
        <v/>
      </c>
      <c r="F51" s="31" t="str">
        <f aca="false">IFERROR(IF(AND(B51="",ISNUMBER($C$7),ISNUMBER($G$7)),$C$7*(1+$G$7*0.85^MAX(0,($A51-$E$7)/91.25))^(($A51-$E$7)/365.25),""),"")</f>
        <v/>
      </c>
    </row>
    <row r="52" customFormat="false" ht="15" hidden="false" customHeight="false" outlineLevel="0" collapsed="false">
      <c r="A52" s="15" t="n">
        <v>43282</v>
      </c>
      <c r="B52" s="20" t="str">
        <f aca="true">IFERROR(IF(SUMIFS(INDIRECT(Index!$M$11),INDIRECT(Index!$L$11),"&gt;="&amp;$A52,INDIRECT(Index!$L$11),"&lt;"&amp;EDATE($A52,3))=0,"",SUMIFS(INDIRECT(Index!$M$11),INDIRECT(Index!$L$11),"&gt;="&amp;$A52,INDIRECT(Index!$L$11),"&lt;"&amp;EDATE($A52,3))),"")</f>
        <v/>
      </c>
      <c r="C52" s="33" t="str">
        <f aca="false">IFERROR(B52/B51-1,"")</f>
        <v/>
      </c>
      <c r="D52" s="33" t="str">
        <f aca="false">IFERROR(B52/B48-1,"")</f>
        <v/>
      </c>
      <c r="E52" s="25" t="str">
        <f aca="false">IFERROR(IF(AND(B52="",ISNUMBER($C$7),ISNUMBER($G$7)),$C$7*(1+$G$7)^(($A52-$E$7)/365.25),""),"")</f>
        <v/>
      </c>
      <c r="F52" s="25" t="str">
        <f aca="false">IFERROR(IF(AND(B52="",ISNUMBER($C$7),ISNUMBER($G$7)),$C$7*(1+$G$7*0.85^MAX(0,($A52-$E$7)/91.25))^(($A52-$E$7)/365.25),""),"")</f>
        <v/>
      </c>
    </row>
    <row r="53" customFormat="false" ht="15" hidden="false" customHeight="false" outlineLevel="0" collapsed="false">
      <c r="A53" s="27" t="n">
        <v>43374</v>
      </c>
      <c r="B53" s="28" t="str">
        <f aca="true">IFERROR(IF(SUMIFS(INDIRECT(Index!$M$11),INDIRECT(Index!$L$11),"&gt;="&amp;$A53,INDIRECT(Index!$L$11),"&lt;"&amp;EDATE($A53,3))=0,"",SUMIFS(INDIRECT(Index!$M$11),INDIRECT(Index!$L$11),"&gt;="&amp;$A53,INDIRECT(Index!$L$11),"&lt;"&amp;EDATE($A53,3))),"")</f>
        <v/>
      </c>
      <c r="C53" s="29" t="str">
        <f aca="false">IFERROR(B53/B52-1,"")</f>
        <v/>
      </c>
      <c r="D53" s="29" t="str">
        <f aca="false">IFERROR(B53/B49-1,"")</f>
        <v/>
      </c>
      <c r="E53" s="31" t="str">
        <f aca="false">IFERROR(IF(AND(B53="",ISNUMBER($C$7),ISNUMBER($G$7)),$C$7*(1+$G$7)^(($A53-$E$7)/365.25),""),"")</f>
        <v/>
      </c>
      <c r="F53" s="31" t="str">
        <f aca="false">IFERROR(IF(AND(B53="",ISNUMBER($C$7),ISNUMBER($G$7)),$C$7*(1+$G$7*0.85^MAX(0,($A53-$E$7)/91.25))^(($A53-$E$7)/365.25),""),"")</f>
        <v/>
      </c>
    </row>
    <row r="54" customFormat="false" ht="15" hidden="false" customHeight="false" outlineLevel="0" collapsed="false">
      <c r="A54" s="15" t="n">
        <v>43466</v>
      </c>
      <c r="B54" s="20" t="str">
        <f aca="true">IFERROR(IF(SUMIFS(INDIRECT(Index!$M$11),INDIRECT(Index!$L$11),"&gt;="&amp;$A54,INDIRECT(Index!$L$11),"&lt;"&amp;EDATE($A54,3))=0,"",SUMIFS(INDIRECT(Index!$M$11),INDIRECT(Index!$L$11),"&gt;="&amp;$A54,INDIRECT(Index!$L$11),"&lt;"&amp;EDATE($A54,3))),"")</f>
        <v/>
      </c>
      <c r="C54" s="33" t="str">
        <f aca="false">IFERROR(B54/B53-1,"")</f>
        <v/>
      </c>
      <c r="D54" s="33" t="str">
        <f aca="false">IFERROR(B54/B50-1,"")</f>
        <v/>
      </c>
      <c r="E54" s="25" t="str">
        <f aca="false">IFERROR(IF(AND(B54="",ISNUMBER($C$7),ISNUMBER($G$7)),$C$7*(1+$G$7)^(($A54-$E$7)/365.25),""),"")</f>
        <v/>
      </c>
      <c r="F54" s="25" t="str">
        <f aca="false">IFERROR(IF(AND(B54="",ISNUMBER($C$7),ISNUMBER($G$7)),$C$7*(1+$G$7*0.85^MAX(0,($A54-$E$7)/91.25))^(($A54-$E$7)/365.25),""),"")</f>
        <v/>
      </c>
    </row>
    <row r="55" customFormat="false" ht="15" hidden="false" customHeight="false" outlineLevel="0" collapsed="false">
      <c r="A55" s="27" t="n">
        <v>43556</v>
      </c>
      <c r="B55" s="28" t="str">
        <f aca="true">IFERROR(IF(SUMIFS(INDIRECT(Index!$M$11),INDIRECT(Index!$L$11),"&gt;="&amp;$A55,INDIRECT(Index!$L$11),"&lt;"&amp;EDATE($A55,3))=0,"",SUMIFS(INDIRECT(Index!$M$11),INDIRECT(Index!$L$11),"&gt;="&amp;$A55,INDIRECT(Index!$L$11),"&lt;"&amp;EDATE($A55,3))),"")</f>
        <v/>
      </c>
      <c r="C55" s="29" t="str">
        <f aca="false">IFERROR(B55/B54-1,"")</f>
        <v/>
      </c>
      <c r="D55" s="29" t="str">
        <f aca="false">IFERROR(B55/B51-1,"")</f>
        <v/>
      </c>
      <c r="E55" s="31" t="str">
        <f aca="false">IFERROR(IF(AND(B55="",ISNUMBER($C$7),ISNUMBER($G$7)),$C$7*(1+$G$7)^(($A55-$E$7)/365.25),""),"")</f>
        <v/>
      </c>
      <c r="F55" s="31" t="str">
        <f aca="false">IFERROR(IF(AND(B55="",ISNUMBER($C$7),ISNUMBER($G$7)),$C$7*(1+$G$7*0.85^MAX(0,($A55-$E$7)/91.25))^(($A55-$E$7)/365.25),""),"")</f>
        <v/>
      </c>
    </row>
    <row r="56" customFormat="false" ht="15" hidden="false" customHeight="false" outlineLevel="0" collapsed="false">
      <c r="A56" s="15" t="n">
        <v>43647</v>
      </c>
      <c r="B56" s="20" t="str">
        <f aca="true">IFERROR(IF(SUMIFS(INDIRECT(Index!$M$11),INDIRECT(Index!$L$11),"&gt;="&amp;$A56,INDIRECT(Index!$L$11),"&lt;"&amp;EDATE($A56,3))=0,"",SUMIFS(INDIRECT(Index!$M$11),INDIRECT(Index!$L$11),"&gt;="&amp;$A56,INDIRECT(Index!$L$11),"&lt;"&amp;EDATE($A56,3))),"")</f>
        <v/>
      </c>
      <c r="C56" s="33" t="str">
        <f aca="false">IFERROR(B56/B55-1,"")</f>
        <v/>
      </c>
      <c r="D56" s="33" t="str">
        <f aca="false">IFERROR(B56/B52-1,"")</f>
        <v/>
      </c>
      <c r="E56" s="25" t="str">
        <f aca="false">IFERROR(IF(AND(B56="",ISNUMBER($C$7),ISNUMBER($G$7)),$C$7*(1+$G$7)^(($A56-$E$7)/365.25),""),"")</f>
        <v/>
      </c>
      <c r="F56" s="25" t="str">
        <f aca="false">IFERROR(IF(AND(B56="",ISNUMBER($C$7),ISNUMBER($G$7)),$C$7*(1+$G$7*0.85^MAX(0,($A56-$E$7)/91.25))^(($A56-$E$7)/365.25),""),"")</f>
        <v/>
      </c>
    </row>
    <row r="57" customFormat="false" ht="15" hidden="false" customHeight="false" outlineLevel="0" collapsed="false">
      <c r="A57" s="27" t="n">
        <v>43739</v>
      </c>
      <c r="B57" s="28" t="str">
        <f aca="true">IFERROR(IF(SUMIFS(INDIRECT(Index!$M$11),INDIRECT(Index!$L$11),"&gt;="&amp;$A57,INDIRECT(Index!$L$11),"&lt;"&amp;EDATE($A57,3))=0,"",SUMIFS(INDIRECT(Index!$M$11),INDIRECT(Index!$L$11),"&gt;="&amp;$A57,INDIRECT(Index!$L$11),"&lt;"&amp;EDATE($A57,3))),"")</f>
        <v/>
      </c>
      <c r="C57" s="29" t="str">
        <f aca="false">IFERROR(B57/B56-1,"")</f>
        <v/>
      </c>
      <c r="D57" s="29" t="str">
        <f aca="false">IFERROR(B57/B53-1,"")</f>
        <v/>
      </c>
      <c r="E57" s="31" t="str">
        <f aca="false">IFERROR(IF(AND(B57="",ISNUMBER($C$7),ISNUMBER($G$7)),$C$7*(1+$G$7)^(($A57-$E$7)/365.25),""),"")</f>
        <v/>
      </c>
      <c r="F57" s="31" t="str">
        <f aca="false">IFERROR(IF(AND(B57="",ISNUMBER($C$7),ISNUMBER($G$7)),$C$7*(1+$G$7*0.85^MAX(0,($A57-$E$7)/91.25))^(($A57-$E$7)/365.25),""),"")</f>
        <v/>
      </c>
    </row>
    <row r="58" customFormat="false" ht="15" hidden="false" customHeight="false" outlineLevel="0" collapsed="false">
      <c r="A58" s="15" t="n">
        <v>43831</v>
      </c>
      <c r="B58" s="20" t="str">
        <f aca="true">IFERROR(IF(SUMIFS(INDIRECT(Index!$M$11),INDIRECT(Index!$L$11),"&gt;="&amp;$A58,INDIRECT(Index!$L$11),"&lt;"&amp;EDATE($A58,3))=0,"",SUMIFS(INDIRECT(Index!$M$11),INDIRECT(Index!$L$11),"&gt;="&amp;$A58,INDIRECT(Index!$L$11),"&lt;"&amp;EDATE($A58,3))),"")</f>
        <v/>
      </c>
      <c r="C58" s="33" t="str">
        <f aca="false">IFERROR(B58/B57-1,"")</f>
        <v/>
      </c>
      <c r="D58" s="33" t="str">
        <f aca="false">IFERROR(B58/B54-1,"")</f>
        <v/>
      </c>
      <c r="E58" s="25" t="str">
        <f aca="false">IFERROR(IF(AND(B58="",ISNUMBER($C$7),ISNUMBER($G$7)),$C$7*(1+$G$7)^(($A58-$E$7)/365.25),""),"")</f>
        <v/>
      </c>
      <c r="F58" s="25" t="str">
        <f aca="false">IFERROR(IF(AND(B58="",ISNUMBER($C$7),ISNUMBER($G$7)),$C$7*(1+$G$7*0.85^MAX(0,($A58-$E$7)/91.25))^(($A58-$E$7)/365.25),""),"")</f>
        <v/>
      </c>
    </row>
    <row r="59" customFormat="false" ht="15" hidden="false" customHeight="false" outlineLevel="0" collapsed="false">
      <c r="A59" s="27" t="n">
        <v>43922</v>
      </c>
      <c r="B59" s="28" t="str">
        <f aca="true">IFERROR(IF(SUMIFS(INDIRECT(Index!$M$11),INDIRECT(Index!$L$11),"&gt;="&amp;$A59,INDIRECT(Index!$L$11),"&lt;"&amp;EDATE($A59,3))=0,"",SUMIFS(INDIRECT(Index!$M$11),INDIRECT(Index!$L$11),"&gt;="&amp;$A59,INDIRECT(Index!$L$11),"&lt;"&amp;EDATE($A59,3))),"")</f>
        <v/>
      </c>
      <c r="C59" s="29" t="str">
        <f aca="false">IFERROR(B59/B58-1,"")</f>
        <v/>
      </c>
      <c r="D59" s="29" t="str">
        <f aca="false">IFERROR(B59/B55-1,"")</f>
        <v/>
      </c>
      <c r="E59" s="31" t="str">
        <f aca="false">IFERROR(IF(AND(B59="",ISNUMBER($C$7),ISNUMBER($G$7)),$C$7*(1+$G$7)^(($A59-$E$7)/365.25),""),"")</f>
        <v/>
      </c>
      <c r="F59" s="31" t="str">
        <f aca="false">IFERROR(IF(AND(B59="",ISNUMBER($C$7),ISNUMBER($G$7)),$C$7*(1+$G$7*0.85^MAX(0,($A59-$E$7)/91.25))^(($A59-$E$7)/365.25),""),"")</f>
        <v/>
      </c>
    </row>
    <row r="60" customFormat="false" ht="15" hidden="false" customHeight="false" outlineLevel="0" collapsed="false">
      <c r="A60" s="15" t="n">
        <v>44013</v>
      </c>
      <c r="B60" s="20" t="str">
        <f aca="true">IFERROR(IF(SUMIFS(INDIRECT(Index!$M$11),INDIRECT(Index!$L$11),"&gt;="&amp;$A60,INDIRECT(Index!$L$11),"&lt;"&amp;EDATE($A60,3))=0,"",SUMIFS(INDIRECT(Index!$M$11),INDIRECT(Index!$L$11),"&gt;="&amp;$A60,INDIRECT(Index!$L$11),"&lt;"&amp;EDATE($A60,3))),"")</f>
        <v/>
      </c>
      <c r="C60" s="33" t="str">
        <f aca="false">IFERROR(B60/B59-1,"")</f>
        <v/>
      </c>
      <c r="D60" s="33" t="str">
        <f aca="false">IFERROR(B60/B56-1,"")</f>
        <v/>
      </c>
      <c r="E60" s="25" t="str">
        <f aca="false">IFERROR(IF(AND(B60="",ISNUMBER($C$7),ISNUMBER($G$7)),$C$7*(1+$G$7)^(($A60-$E$7)/365.25),""),"")</f>
        <v/>
      </c>
      <c r="F60" s="25" t="str">
        <f aca="false">IFERROR(IF(AND(B60="",ISNUMBER($C$7),ISNUMBER($G$7)),$C$7*(1+$G$7*0.85^MAX(0,($A60-$E$7)/91.25))^(($A60-$E$7)/365.25),""),"")</f>
        <v/>
      </c>
    </row>
    <row r="61" customFormat="false" ht="15" hidden="false" customHeight="false" outlineLevel="0" collapsed="false">
      <c r="A61" s="27" t="n">
        <v>44105</v>
      </c>
      <c r="B61" s="28" t="str">
        <f aca="true">IFERROR(IF(SUMIFS(INDIRECT(Index!$M$11),INDIRECT(Index!$L$11),"&gt;="&amp;$A61,INDIRECT(Index!$L$11),"&lt;"&amp;EDATE($A61,3))=0,"",SUMIFS(INDIRECT(Index!$M$11),INDIRECT(Index!$L$11),"&gt;="&amp;$A61,INDIRECT(Index!$L$11),"&lt;"&amp;EDATE($A61,3))),"")</f>
        <v/>
      </c>
      <c r="C61" s="29" t="str">
        <f aca="false">IFERROR(B61/B60-1,"")</f>
        <v/>
      </c>
      <c r="D61" s="29" t="str">
        <f aca="false">IFERROR(B61/B57-1,"")</f>
        <v/>
      </c>
      <c r="E61" s="31" t="str">
        <f aca="false">IFERROR(IF(AND(B61="",ISNUMBER($C$7),ISNUMBER($G$7)),$C$7*(1+$G$7)^(($A61-$E$7)/365.25),""),"")</f>
        <v/>
      </c>
      <c r="F61" s="31" t="str">
        <f aca="false">IFERROR(IF(AND(B61="",ISNUMBER($C$7),ISNUMBER($G$7)),$C$7*(1+$G$7*0.85^MAX(0,($A61-$E$7)/91.25))^(($A61-$E$7)/365.25),""),"")</f>
        <v/>
      </c>
    </row>
    <row r="62" customFormat="false" ht="15" hidden="false" customHeight="false" outlineLevel="0" collapsed="false">
      <c r="A62" s="15" t="n">
        <v>44197</v>
      </c>
      <c r="B62" s="20" t="str">
        <f aca="true">IFERROR(IF(SUMIFS(INDIRECT(Index!$M$11),INDIRECT(Index!$L$11),"&gt;="&amp;$A62,INDIRECT(Index!$L$11),"&lt;"&amp;EDATE($A62,3))=0,"",SUMIFS(INDIRECT(Index!$M$11),INDIRECT(Index!$L$11),"&gt;="&amp;$A62,INDIRECT(Index!$L$11),"&lt;"&amp;EDATE($A62,3))),"")</f>
        <v/>
      </c>
      <c r="C62" s="33" t="str">
        <f aca="false">IFERROR(B62/B61-1,"")</f>
        <v/>
      </c>
      <c r="D62" s="33" t="str">
        <f aca="false">IFERROR(B62/B58-1,"")</f>
        <v/>
      </c>
      <c r="E62" s="25" t="str">
        <f aca="false">IFERROR(IF(AND(B62="",ISNUMBER($C$7),ISNUMBER($G$7)),$C$7*(1+$G$7)^(($A62-$E$7)/365.25),""),"")</f>
        <v/>
      </c>
      <c r="F62" s="25" t="str">
        <f aca="false">IFERROR(IF(AND(B62="",ISNUMBER($C$7),ISNUMBER($G$7)),$C$7*(1+$G$7*0.85^MAX(0,($A62-$E$7)/91.25))^(($A62-$E$7)/365.25),""),"")</f>
        <v/>
      </c>
    </row>
    <row r="63" customFormat="false" ht="15" hidden="false" customHeight="false" outlineLevel="0" collapsed="false">
      <c r="A63" s="27" t="n">
        <v>44287</v>
      </c>
      <c r="B63" s="28" t="str">
        <f aca="true">IFERROR(IF(SUMIFS(INDIRECT(Index!$M$11),INDIRECT(Index!$L$11),"&gt;="&amp;$A63,INDIRECT(Index!$L$11),"&lt;"&amp;EDATE($A63,3))=0,"",SUMIFS(INDIRECT(Index!$M$11),INDIRECT(Index!$L$11),"&gt;="&amp;$A63,INDIRECT(Index!$L$11),"&lt;"&amp;EDATE($A63,3))),"")</f>
        <v/>
      </c>
      <c r="C63" s="29" t="str">
        <f aca="false">IFERROR(B63/B62-1,"")</f>
        <v/>
      </c>
      <c r="D63" s="29" t="str">
        <f aca="false">IFERROR(B63/B59-1,"")</f>
        <v/>
      </c>
      <c r="E63" s="31" t="str">
        <f aca="false">IFERROR(IF(AND(B63="",ISNUMBER($C$7),ISNUMBER($G$7)),$C$7*(1+$G$7)^(($A63-$E$7)/365.25),""),"")</f>
        <v/>
      </c>
      <c r="F63" s="31" t="str">
        <f aca="false">IFERROR(IF(AND(B63="",ISNUMBER($C$7),ISNUMBER($G$7)),$C$7*(1+$G$7*0.85^MAX(0,($A63-$E$7)/91.25))^(($A63-$E$7)/365.25),""),"")</f>
        <v/>
      </c>
    </row>
    <row r="64" customFormat="false" ht="15" hidden="false" customHeight="false" outlineLevel="0" collapsed="false">
      <c r="A64" s="15" t="n">
        <v>44378</v>
      </c>
      <c r="B64" s="20" t="str">
        <f aca="true">IFERROR(IF(SUMIFS(INDIRECT(Index!$M$11),INDIRECT(Index!$L$11),"&gt;="&amp;$A64,INDIRECT(Index!$L$11),"&lt;"&amp;EDATE($A64,3))=0,"",SUMIFS(INDIRECT(Index!$M$11),INDIRECT(Index!$L$11),"&gt;="&amp;$A64,INDIRECT(Index!$L$11),"&lt;"&amp;EDATE($A64,3))),"")</f>
        <v/>
      </c>
      <c r="C64" s="33" t="str">
        <f aca="false">IFERROR(B64/B63-1,"")</f>
        <v/>
      </c>
      <c r="D64" s="33" t="str">
        <f aca="false">IFERROR(B64/B60-1,"")</f>
        <v/>
      </c>
      <c r="E64" s="25" t="str">
        <f aca="false">IFERROR(IF(AND(B64="",ISNUMBER($C$7),ISNUMBER($G$7)),$C$7*(1+$G$7)^(($A64-$E$7)/365.25),""),"")</f>
        <v/>
      </c>
      <c r="F64" s="25" t="str">
        <f aca="false">IFERROR(IF(AND(B64="",ISNUMBER($C$7),ISNUMBER($G$7)),$C$7*(1+$G$7*0.85^MAX(0,($A64-$E$7)/91.25))^(($A64-$E$7)/365.25),""),"")</f>
        <v/>
      </c>
    </row>
    <row r="65" customFormat="false" ht="15" hidden="false" customHeight="false" outlineLevel="0" collapsed="false">
      <c r="A65" s="27" t="n">
        <v>44470</v>
      </c>
      <c r="B65" s="28" t="str">
        <f aca="true">IFERROR(IF(SUMIFS(INDIRECT(Index!$M$11),INDIRECT(Index!$L$11),"&gt;="&amp;$A65,INDIRECT(Index!$L$11),"&lt;"&amp;EDATE($A65,3))=0,"",SUMIFS(INDIRECT(Index!$M$11),INDIRECT(Index!$L$11),"&gt;="&amp;$A65,INDIRECT(Index!$L$11),"&lt;"&amp;EDATE($A65,3))),"")</f>
        <v/>
      </c>
      <c r="C65" s="29" t="str">
        <f aca="false">IFERROR(B65/B64-1,"")</f>
        <v/>
      </c>
      <c r="D65" s="29" t="str">
        <f aca="false">IFERROR(B65/B61-1,"")</f>
        <v/>
      </c>
      <c r="E65" s="31" t="str">
        <f aca="false">IFERROR(IF(AND(B65="",ISNUMBER($C$7),ISNUMBER($G$7)),$C$7*(1+$G$7)^(($A65-$E$7)/365.25),""),"")</f>
        <v/>
      </c>
      <c r="F65" s="31" t="str">
        <f aca="false">IFERROR(IF(AND(B65="",ISNUMBER($C$7),ISNUMBER($G$7)),$C$7*(1+$G$7*0.85^MAX(0,($A65-$E$7)/91.25))^(($A65-$E$7)/365.25),""),"")</f>
        <v/>
      </c>
    </row>
    <row r="66" customFormat="false" ht="15" hidden="false" customHeight="false" outlineLevel="0" collapsed="false">
      <c r="A66" s="15" t="n">
        <v>44562</v>
      </c>
      <c r="B66" s="20" t="str">
        <f aca="true">IFERROR(IF(SUMIFS(INDIRECT(Index!$M$11),INDIRECT(Index!$L$11),"&gt;="&amp;$A66,INDIRECT(Index!$L$11),"&lt;"&amp;EDATE($A66,3))=0,"",SUMIFS(INDIRECT(Index!$M$11),INDIRECT(Index!$L$11),"&gt;="&amp;$A66,INDIRECT(Index!$L$11),"&lt;"&amp;EDATE($A66,3))),"")</f>
        <v/>
      </c>
      <c r="C66" s="33" t="str">
        <f aca="false">IFERROR(B66/B65-1,"")</f>
        <v/>
      </c>
      <c r="D66" s="33" t="str">
        <f aca="false">IFERROR(B66/B62-1,"")</f>
        <v/>
      </c>
      <c r="E66" s="25" t="str">
        <f aca="false">IFERROR(IF(AND(B66="",ISNUMBER($C$7),ISNUMBER($G$7)),$C$7*(1+$G$7)^(($A66-$E$7)/365.25),""),"")</f>
        <v/>
      </c>
      <c r="F66" s="25" t="str">
        <f aca="false">IFERROR(IF(AND(B66="",ISNUMBER($C$7),ISNUMBER($G$7)),$C$7*(1+$G$7*0.85^MAX(0,($A66-$E$7)/91.25))^(($A66-$E$7)/365.25),""),"")</f>
        <v/>
      </c>
    </row>
    <row r="67" customFormat="false" ht="15" hidden="false" customHeight="false" outlineLevel="0" collapsed="false">
      <c r="A67" s="27" t="n">
        <v>44652</v>
      </c>
      <c r="B67" s="28" t="str">
        <f aca="true">IFERROR(IF(SUMIFS(INDIRECT(Index!$M$11),INDIRECT(Index!$L$11),"&gt;="&amp;$A67,INDIRECT(Index!$L$11),"&lt;"&amp;EDATE($A67,3))=0,"",SUMIFS(INDIRECT(Index!$M$11),INDIRECT(Index!$L$11),"&gt;="&amp;$A67,INDIRECT(Index!$L$11),"&lt;"&amp;EDATE($A67,3))),"")</f>
        <v/>
      </c>
      <c r="C67" s="29" t="str">
        <f aca="false">IFERROR(B67/B66-1,"")</f>
        <v/>
      </c>
      <c r="D67" s="29" t="str">
        <f aca="false">IFERROR(B67/B63-1,"")</f>
        <v/>
      </c>
      <c r="E67" s="31" t="str">
        <f aca="false">IFERROR(IF(AND(B67="",ISNUMBER($C$7),ISNUMBER($G$7)),$C$7*(1+$G$7)^(($A67-$E$7)/365.25),""),"")</f>
        <v/>
      </c>
      <c r="F67" s="31" t="str">
        <f aca="false">IFERROR(IF(AND(B67="",ISNUMBER($C$7),ISNUMBER($G$7)),$C$7*(1+$G$7*0.85^MAX(0,($A67-$E$7)/91.25))^(($A67-$E$7)/365.25),""),"")</f>
        <v/>
      </c>
    </row>
    <row r="68" customFormat="false" ht="15" hidden="false" customHeight="false" outlineLevel="0" collapsed="false">
      <c r="A68" s="15" t="n">
        <v>44743</v>
      </c>
      <c r="B68" s="20" t="str">
        <f aca="true">IFERROR(IF(SUMIFS(INDIRECT(Index!$M$11),INDIRECT(Index!$L$11),"&gt;="&amp;$A68,INDIRECT(Index!$L$11),"&lt;"&amp;EDATE($A68,3))=0,"",SUMIFS(INDIRECT(Index!$M$11),INDIRECT(Index!$L$11),"&gt;="&amp;$A68,INDIRECT(Index!$L$11),"&lt;"&amp;EDATE($A68,3))),"")</f>
        <v/>
      </c>
      <c r="C68" s="33" t="str">
        <f aca="false">IFERROR(B68/B67-1,"")</f>
        <v/>
      </c>
      <c r="D68" s="33" t="str">
        <f aca="false">IFERROR(B68/B64-1,"")</f>
        <v/>
      </c>
      <c r="E68" s="25" t="str">
        <f aca="false">IFERROR(IF(AND(B68="",ISNUMBER($C$7),ISNUMBER($G$7)),$C$7*(1+$G$7)^(($A68-$E$7)/365.25),""),"")</f>
        <v/>
      </c>
      <c r="F68" s="25" t="str">
        <f aca="false">IFERROR(IF(AND(B68="",ISNUMBER($C$7),ISNUMBER($G$7)),$C$7*(1+$G$7*0.85^MAX(0,($A68-$E$7)/91.25))^(($A68-$E$7)/365.25),""),"")</f>
        <v/>
      </c>
    </row>
    <row r="69" customFormat="false" ht="15" hidden="false" customHeight="false" outlineLevel="0" collapsed="false">
      <c r="A69" s="27" t="n">
        <v>44835</v>
      </c>
      <c r="B69" s="28" t="str">
        <f aca="true">IFERROR(IF(SUMIFS(INDIRECT(Index!$M$11),INDIRECT(Index!$L$11),"&gt;="&amp;$A69,INDIRECT(Index!$L$11),"&lt;"&amp;EDATE($A69,3))=0,"",SUMIFS(INDIRECT(Index!$M$11),INDIRECT(Index!$L$11),"&gt;="&amp;$A69,INDIRECT(Index!$L$11),"&lt;"&amp;EDATE($A69,3))),"")</f>
        <v/>
      </c>
      <c r="C69" s="29" t="str">
        <f aca="false">IFERROR(B69/B68-1,"")</f>
        <v/>
      </c>
      <c r="D69" s="29" t="str">
        <f aca="false">IFERROR(B69/B65-1,"")</f>
        <v/>
      </c>
      <c r="E69" s="31" t="str">
        <f aca="false">IFERROR(IF(AND(B69="",ISNUMBER($C$7),ISNUMBER($G$7)),$C$7*(1+$G$7)^(($A69-$E$7)/365.25),""),"")</f>
        <v/>
      </c>
      <c r="F69" s="31" t="str">
        <f aca="false">IFERROR(IF(AND(B69="",ISNUMBER($C$7),ISNUMBER($G$7)),$C$7*(1+$G$7*0.85^MAX(0,($A69-$E$7)/91.25))^(($A69-$E$7)/365.25),""),"")</f>
        <v/>
      </c>
    </row>
    <row r="70" customFormat="false" ht="15" hidden="false" customHeight="false" outlineLevel="0" collapsed="false">
      <c r="A70" s="15" t="n">
        <v>44927</v>
      </c>
      <c r="B70" s="20" t="str">
        <f aca="true">IFERROR(IF(SUMIFS(INDIRECT(Index!$M$11),INDIRECT(Index!$L$11),"&gt;="&amp;$A70,INDIRECT(Index!$L$11),"&lt;"&amp;EDATE($A70,3))=0,"",SUMIFS(INDIRECT(Index!$M$11),INDIRECT(Index!$L$11),"&gt;="&amp;$A70,INDIRECT(Index!$L$11),"&lt;"&amp;EDATE($A70,3))),"")</f>
        <v/>
      </c>
      <c r="C70" s="33" t="str">
        <f aca="false">IFERROR(B70/B69-1,"")</f>
        <v/>
      </c>
      <c r="D70" s="33" t="str">
        <f aca="false">IFERROR(B70/B66-1,"")</f>
        <v/>
      </c>
      <c r="E70" s="25" t="str">
        <f aca="false">IFERROR(IF(AND(B70="",ISNUMBER($C$7),ISNUMBER($G$7)),$C$7*(1+$G$7)^(($A70-$E$7)/365.25),""),"")</f>
        <v/>
      </c>
      <c r="F70" s="25" t="str">
        <f aca="false">IFERROR(IF(AND(B70="",ISNUMBER($C$7),ISNUMBER($G$7)),$C$7*(1+$G$7*0.85^MAX(0,($A70-$E$7)/91.25))^(($A70-$E$7)/365.25),""),"")</f>
        <v/>
      </c>
    </row>
    <row r="71" customFormat="false" ht="15" hidden="false" customHeight="false" outlineLevel="0" collapsed="false">
      <c r="A71" s="27" t="n">
        <v>45017</v>
      </c>
      <c r="B71" s="28" t="str">
        <f aca="true">IFERROR(IF(SUMIFS(INDIRECT(Index!$M$11),INDIRECT(Index!$L$11),"&gt;="&amp;$A71,INDIRECT(Index!$L$11),"&lt;"&amp;EDATE($A71,3))=0,"",SUMIFS(INDIRECT(Index!$M$11),INDIRECT(Index!$L$11),"&gt;="&amp;$A71,INDIRECT(Index!$L$11),"&lt;"&amp;EDATE($A71,3))),"")</f>
        <v/>
      </c>
      <c r="C71" s="29" t="str">
        <f aca="false">IFERROR(B71/B70-1,"")</f>
        <v/>
      </c>
      <c r="D71" s="29" t="str">
        <f aca="false">IFERROR(B71/B67-1,"")</f>
        <v/>
      </c>
      <c r="E71" s="31" t="str">
        <f aca="false">IFERROR(IF(AND(B71="",ISNUMBER($C$7),ISNUMBER($G$7)),$C$7*(1+$G$7)^(($A71-$E$7)/365.25),""),"")</f>
        <v/>
      </c>
      <c r="F71" s="31" t="str">
        <f aca="false">IFERROR(IF(AND(B71="",ISNUMBER($C$7),ISNUMBER($G$7)),$C$7*(1+$G$7*0.85^MAX(0,($A71-$E$7)/91.25))^(($A71-$E$7)/365.25),""),"")</f>
        <v/>
      </c>
    </row>
    <row r="72" customFormat="false" ht="15" hidden="false" customHeight="false" outlineLevel="0" collapsed="false">
      <c r="A72" s="15" t="n">
        <v>45108</v>
      </c>
      <c r="B72" s="20" t="str">
        <f aca="true">IFERROR(IF(SUMIFS(INDIRECT(Index!$M$11),INDIRECT(Index!$L$11),"&gt;="&amp;$A72,INDIRECT(Index!$L$11),"&lt;"&amp;EDATE($A72,3))=0,"",SUMIFS(INDIRECT(Index!$M$11),INDIRECT(Index!$L$11),"&gt;="&amp;$A72,INDIRECT(Index!$L$11),"&lt;"&amp;EDATE($A72,3))),"")</f>
        <v/>
      </c>
      <c r="C72" s="33" t="str">
        <f aca="false">IFERROR(B72/B71-1,"")</f>
        <v/>
      </c>
      <c r="D72" s="33" t="str">
        <f aca="false">IFERROR(B72/B68-1,"")</f>
        <v/>
      </c>
      <c r="E72" s="25" t="str">
        <f aca="false">IFERROR(IF(AND(B72="",ISNUMBER($C$7),ISNUMBER($G$7)),$C$7*(1+$G$7)^(($A72-$E$7)/365.25),""),"")</f>
        <v/>
      </c>
      <c r="F72" s="25" t="str">
        <f aca="false">IFERROR(IF(AND(B72="",ISNUMBER($C$7),ISNUMBER($G$7)),$C$7*(1+$G$7*0.85^MAX(0,($A72-$E$7)/91.25))^(($A72-$E$7)/365.25),""),"")</f>
        <v/>
      </c>
    </row>
    <row r="73" customFormat="false" ht="15" hidden="false" customHeight="false" outlineLevel="0" collapsed="false">
      <c r="A73" s="27" t="n">
        <v>45200</v>
      </c>
      <c r="B73" s="28" t="str">
        <f aca="true">IFERROR(IF(SUMIFS(INDIRECT(Index!$M$11),INDIRECT(Index!$L$11),"&gt;="&amp;$A73,INDIRECT(Index!$L$11),"&lt;"&amp;EDATE($A73,3))=0,"",SUMIFS(INDIRECT(Index!$M$11),INDIRECT(Index!$L$11),"&gt;="&amp;$A73,INDIRECT(Index!$L$11),"&lt;"&amp;EDATE($A73,3))),"")</f>
        <v/>
      </c>
      <c r="C73" s="29" t="str">
        <f aca="false">IFERROR(B73/B72-1,"")</f>
        <v/>
      </c>
      <c r="D73" s="29" t="str">
        <f aca="false">IFERROR(B73/B69-1,"")</f>
        <v/>
      </c>
      <c r="E73" s="31" t="str">
        <f aca="false">IFERROR(IF(AND(B73="",ISNUMBER($C$7),ISNUMBER($G$7)),$C$7*(1+$G$7)^(($A73-$E$7)/365.25),""),"")</f>
        <v/>
      </c>
      <c r="F73" s="31" t="str">
        <f aca="false">IFERROR(IF(AND(B73="",ISNUMBER($C$7),ISNUMBER($G$7)),$C$7*(1+$G$7*0.85^MAX(0,($A73-$E$7)/91.25))^(($A73-$E$7)/365.25),""),"")</f>
        <v/>
      </c>
    </row>
    <row r="74" customFormat="false" ht="15" hidden="false" customHeight="false" outlineLevel="0" collapsed="false">
      <c r="A74" s="15" t="n">
        <v>45292</v>
      </c>
      <c r="B74" s="20" t="str">
        <f aca="true">IFERROR(IF(SUMIFS(INDIRECT(Index!$M$11),INDIRECT(Index!$L$11),"&gt;="&amp;$A74,INDIRECT(Index!$L$11),"&lt;"&amp;EDATE($A74,3))=0,"",SUMIFS(INDIRECT(Index!$M$11),INDIRECT(Index!$L$11),"&gt;="&amp;$A74,INDIRECT(Index!$L$11),"&lt;"&amp;EDATE($A74,3))),"")</f>
        <v/>
      </c>
      <c r="C74" s="33" t="str">
        <f aca="false">IFERROR(B74/B73-1,"")</f>
        <v/>
      </c>
      <c r="D74" s="33" t="str">
        <f aca="false">IFERROR(B74/B70-1,"")</f>
        <v/>
      </c>
      <c r="E74" s="25" t="str">
        <f aca="false">IFERROR(IF(AND(B74="",ISNUMBER($C$7),ISNUMBER($G$7)),$C$7*(1+$G$7)^(($A74-$E$7)/365.25),""),"")</f>
        <v/>
      </c>
      <c r="F74" s="25" t="str">
        <f aca="false">IFERROR(IF(AND(B74="",ISNUMBER($C$7),ISNUMBER($G$7)),$C$7*(1+$G$7*0.85^MAX(0,($A74-$E$7)/91.25))^(($A74-$E$7)/365.25),""),"")</f>
        <v/>
      </c>
    </row>
    <row r="75" customFormat="false" ht="15" hidden="false" customHeight="false" outlineLevel="0" collapsed="false">
      <c r="A75" s="27" t="n">
        <v>45383</v>
      </c>
      <c r="B75" s="28" t="str">
        <f aca="true">IFERROR(IF(SUMIFS(INDIRECT(Index!$M$11),INDIRECT(Index!$L$11),"&gt;="&amp;$A75,INDIRECT(Index!$L$11),"&lt;"&amp;EDATE($A75,3))=0,"",SUMIFS(INDIRECT(Index!$M$11),INDIRECT(Index!$L$11),"&gt;="&amp;$A75,INDIRECT(Index!$L$11),"&lt;"&amp;EDATE($A75,3))),"")</f>
        <v/>
      </c>
      <c r="C75" s="29" t="str">
        <f aca="false">IFERROR(B75/B74-1,"")</f>
        <v/>
      </c>
      <c r="D75" s="29" t="str">
        <f aca="false">IFERROR(B75/B71-1,"")</f>
        <v/>
      </c>
      <c r="E75" s="31" t="str">
        <f aca="false">IFERROR(IF(AND(B75="",ISNUMBER($C$7),ISNUMBER($G$7)),$C$7*(1+$G$7)^(($A75-$E$7)/365.25),""),"")</f>
        <v/>
      </c>
      <c r="F75" s="31" t="str">
        <f aca="false">IFERROR(IF(AND(B75="",ISNUMBER($C$7),ISNUMBER($G$7)),$C$7*(1+$G$7*0.85^MAX(0,($A75-$E$7)/91.25))^(($A75-$E$7)/365.25),""),"")</f>
        <v/>
      </c>
    </row>
    <row r="76" customFormat="false" ht="15" hidden="false" customHeight="false" outlineLevel="0" collapsed="false">
      <c r="A76" s="15" t="n">
        <v>45474</v>
      </c>
      <c r="B76" s="20" t="str">
        <f aca="true">IFERROR(IF(SUMIFS(INDIRECT(Index!$M$11),INDIRECT(Index!$L$11),"&gt;="&amp;$A76,INDIRECT(Index!$L$11),"&lt;"&amp;EDATE($A76,3))=0,"",SUMIFS(INDIRECT(Index!$M$11),INDIRECT(Index!$L$11),"&gt;="&amp;$A76,INDIRECT(Index!$L$11),"&lt;"&amp;EDATE($A76,3))),"")</f>
        <v/>
      </c>
      <c r="C76" s="33" t="str">
        <f aca="false">IFERROR(B76/B75-1,"")</f>
        <v/>
      </c>
      <c r="D76" s="33" t="str">
        <f aca="false">IFERROR(B76/B72-1,"")</f>
        <v/>
      </c>
      <c r="E76" s="25" t="str">
        <f aca="false">IFERROR(IF(AND(B76="",ISNUMBER($C$7),ISNUMBER($G$7)),$C$7*(1+$G$7)^(($A76-$E$7)/365.25),""),"")</f>
        <v/>
      </c>
      <c r="F76" s="25" t="str">
        <f aca="false">IFERROR(IF(AND(B76="",ISNUMBER($C$7),ISNUMBER($G$7)),$C$7*(1+$G$7*0.85^MAX(0,($A76-$E$7)/91.25))^(($A76-$E$7)/365.25),""),"")</f>
        <v/>
      </c>
    </row>
    <row r="77" customFormat="false" ht="15" hidden="false" customHeight="false" outlineLevel="0" collapsed="false">
      <c r="A77" s="27" t="n">
        <v>45566</v>
      </c>
      <c r="B77" s="28" t="str">
        <f aca="true">IFERROR(IF(SUMIFS(INDIRECT(Index!$M$11),INDIRECT(Index!$L$11),"&gt;="&amp;$A77,INDIRECT(Index!$L$11),"&lt;"&amp;EDATE($A77,3))=0,"",SUMIFS(INDIRECT(Index!$M$11),INDIRECT(Index!$L$11),"&gt;="&amp;$A77,INDIRECT(Index!$L$11),"&lt;"&amp;EDATE($A77,3))),"")</f>
        <v/>
      </c>
      <c r="C77" s="29" t="str">
        <f aca="false">IFERROR(B77/B76-1,"")</f>
        <v/>
      </c>
      <c r="D77" s="29" t="str">
        <f aca="false">IFERROR(B77/B73-1,"")</f>
        <v/>
      </c>
      <c r="E77" s="31" t="str">
        <f aca="false">IFERROR(IF(AND(B77="",ISNUMBER($C$7),ISNUMBER($G$7)),$C$7*(1+$G$7)^(($A77-$E$7)/365.25),""),"")</f>
        <v/>
      </c>
      <c r="F77" s="31" t="str">
        <f aca="false">IFERROR(IF(AND(B77="",ISNUMBER($C$7),ISNUMBER($G$7)),$C$7*(1+$G$7*0.85^MAX(0,($A77-$E$7)/91.25))^(($A77-$E$7)/365.25),""),"")</f>
        <v/>
      </c>
    </row>
    <row r="78" customFormat="false" ht="15" hidden="false" customHeight="false" outlineLevel="0" collapsed="false">
      <c r="A78" s="15" t="n">
        <v>45658</v>
      </c>
      <c r="B78" s="20" t="str">
        <f aca="true">IFERROR(IF(SUMIFS(INDIRECT(Index!$M$11),INDIRECT(Index!$L$11),"&gt;="&amp;$A78,INDIRECT(Index!$L$11),"&lt;"&amp;EDATE($A78,3))=0,"",SUMIFS(INDIRECT(Index!$M$11),INDIRECT(Index!$L$11),"&gt;="&amp;$A78,INDIRECT(Index!$L$11),"&lt;"&amp;EDATE($A78,3))),"")</f>
        <v/>
      </c>
      <c r="C78" s="33" t="str">
        <f aca="false">IFERROR(B78/B77-1,"")</f>
        <v/>
      </c>
      <c r="D78" s="33" t="str">
        <f aca="false">IFERROR(B78/B74-1,"")</f>
        <v/>
      </c>
      <c r="E78" s="25" t="str">
        <f aca="false">IFERROR(IF(AND(B78="",ISNUMBER($C$7),ISNUMBER($G$7)),$C$7*(1+$G$7)^(($A78-$E$7)/365.25),""),"")</f>
        <v/>
      </c>
      <c r="F78" s="25" t="str">
        <f aca="false">IFERROR(IF(AND(B78="",ISNUMBER($C$7),ISNUMBER($G$7)),$C$7*(1+$G$7*0.85^MAX(0,($A78-$E$7)/91.25))^(($A78-$E$7)/365.25),""),"")</f>
        <v/>
      </c>
    </row>
    <row r="79" customFormat="false" ht="15" hidden="false" customHeight="false" outlineLevel="0" collapsed="false">
      <c r="A79" s="27" t="n">
        <v>45748</v>
      </c>
      <c r="B79" s="28" t="str">
        <f aca="true">IFERROR(IF(SUMIFS(INDIRECT(Index!$M$11),INDIRECT(Index!$L$11),"&gt;="&amp;$A79,INDIRECT(Index!$L$11),"&lt;"&amp;EDATE($A79,3))=0,"",SUMIFS(INDIRECT(Index!$M$11),INDIRECT(Index!$L$11),"&gt;="&amp;$A79,INDIRECT(Index!$L$11),"&lt;"&amp;EDATE($A79,3))),"")</f>
        <v/>
      </c>
      <c r="C79" s="29" t="str">
        <f aca="false">IFERROR(B79/B78-1,"")</f>
        <v/>
      </c>
      <c r="D79" s="29" t="str">
        <f aca="false">IFERROR(B79/B75-1,"")</f>
        <v/>
      </c>
      <c r="E79" s="31" t="str">
        <f aca="false">IFERROR(IF(AND(B79="",ISNUMBER($C$7),ISNUMBER($G$7)),$C$7*(1+$G$7)^(($A79-$E$7)/365.25),""),"")</f>
        <v/>
      </c>
      <c r="F79" s="31" t="str">
        <f aca="false">IFERROR(IF(AND(B79="",ISNUMBER($C$7),ISNUMBER($G$7)),$C$7*(1+$G$7*0.85^MAX(0,($A79-$E$7)/91.25))^(($A79-$E$7)/365.25),""),"")</f>
        <v/>
      </c>
    </row>
    <row r="80" customFormat="false" ht="15" hidden="false" customHeight="false" outlineLevel="0" collapsed="false">
      <c r="A80" s="15" t="n">
        <v>45839</v>
      </c>
      <c r="B80" s="20" t="str">
        <f aca="true">IFERROR(IF(SUMIFS(INDIRECT(Index!$M$11),INDIRECT(Index!$L$11),"&gt;="&amp;$A80,INDIRECT(Index!$L$11),"&lt;"&amp;EDATE($A80,3))=0,"",SUMIFS(INDIRECT(Index!$M$11),INDIRECT(Index!$L$11),"&gt;="&amp;$A80,INDIRECT(Index!$L$11),"&lt;"&amp;EDATE($A80,3))),"")</f>
        <v/>
      </c>
      <c r="C80" s="33" t="str">
        <f aca="false">IFERROR(B80/B79-1,"")</f>
        <v/>
      </c>
      <c r="D80" s="33" t="str">
        <f aca="false">IFERROR(B80/B76-1,"")</f>
        <v/>
      </c>
      <c r="E80" s="25" t="str">
        <f aca="false">IFERROR(IF(AND(B80="",ISNUMBER($C$7),ISNUMBER($G$7)),$C$7*(1+$G$7)^(($A80-$E$7)/365.25),""),"")</f>
        <v/>
      </c>
      <c r="F80" s="25" t="str">
        <f aca="false">IFERROR(IF(AND(B80="",ISNUMBER($C$7),ISNUMBER($G$7)),$C$7*(1+$G$7*0.85^MAX(0,($A80-$E$7)/91.25))^(($A80-$E$7)/365.25),""),"")</f>
        <v/>
      </c>
    </row>
    <row r="81" customFormat="false" ht="15" hidden="false" customHeight="false" outlineLevel="0" collapsed="false">
      <c r="A81" s="27" t="n">
        <v>45931</v>
      </c>
      <c r="B81" s="28" t="str">
        <f aca="true">IFERROR(IF(SUMIFS(INDIRECT(Index!$M$11),INDIRECT(Index!$L$11),"&gt;="&amp;$A81,INDIRECT(Index!$L$11),"&lt;"&amp;EDATE($A81,3))=0,"",SUMIFS(INDIRECT(Index!$M$11),INDIRECT(Index!$L$11),"&gt;="&amp;$A81,INDIRECT(Index!$L$11),"&lt;"&amp;EDATE($A81,3))),"")</f>
        <v/>
      </c>
      <c r="C81" s="29" t="str">
        <f aca="false">IFERROR(B81/B80-1,"")</f>
        <v/>
      </c>
      <c r="D81" s="29" t="str">
        <f aca="false">IFERROR(B81/B77-1,"")</f>
        <v/>
      </c>
      <c r="E81" s="31" t="str">
        <f aca="false">IFERROR(IF(AND(B81="",ISNUMBER($C$7),ISNUMBER($G$7)),$C$7*(1+$G$7)^(($A81-$E$7)/365.25),""),"")</f>
        <v/>
      </c>
      <c r="F81" s="31" t="str">
        <f aca="false">IFERROR(IF(AND(B81="",ISNUMBER($C$7),ISNUMBER($G$7)),$C$7*(1+$G$7*0.85^MAX(0,($A81-$E$7)/91.25))^(($A81-$E$7)/365.25),""),"")</f>
        <v/>
      </c>
    </row>
    <row r="82" customFormat="false" ht="15" hidden="false" customHeight="false" outlineLevel="0" collapsed="false">
      <c r="A82" s="15" t="n">
        <v>46023</v>
      </c>
      <c r="B82" s="20" t="str">
        <f aca="true">IFERROR(IF(SUMIFS(INDIRECT(Index!$M$11),INDIRECT(Index!$L$11),"&gt;="&amp;$A82,INDIRECT(Index!$L$11),"&lt;"&amp;EDATE($A82,3))=0,"",SUMIFS(INDIRECT(Index!$M$11),INDIRECT(Index!$L$11),"&gt;="&amp;$A82,INDIRECT(Index!$L$11),"&lt;"&amp;EDATE($A82,3))),"")</f>
        <v/>
      </c>
      <c r="C82" s="33" t="str">
        <f aca="false">IFERROR(B82/B81-1,"")</f>
        <v/>
      </c>
      <c r="D82" s="33" t="str">
        <f aca="false">IFERROR(B82/B78-1,"")</f>
        <v/>
      </c>
      <c r="E82" s="25" t="str">
        <f aca="false">IFERROR(IF(AND(B82="",ISNUMBER($C$7),ISNUMBER($G$7)),$C$7*(1+$G$7)^(($A82-$E$7)/365.25),""),"")</f>
        <v/>
      </c>
      <c r="F82" s="25" t="str">
        <f aca="false">IFERROR(IF(AND(B82="",ISNUMBER($C$7),ISNUMBER($G$7)),$C$7*(1+$G$7*0.85^MAX(0,($A82-$E$7)/91.25))^(($A82-$E$7)/365.25),""),"")</f>
        <v/>
      </c>
    </row>
    <row r="83" customFormat="false" ht="15" hidden="false" customHeight="false" outlineLevel="0" collapsed="false">
      <c r="A83" s="27" t="n">
        <v>46113</v>
      </c>
      <c r="B83" s="28" t="str">
        <f aca="true">IFERROR(IF(SUMIFS(INDIRECT(Index!$M$11),INDIRECT(Index!$L$11),"&gt;="&amp;$A83,INDIRECT(Index!$L$11),"&lt;"&amp;EDATE($A83,3))=0,"",SUMIFS(INDIRECT(Index!$M$11),INDIRECT(Index!$L$11),"&gt;="&amp;$A83,INDIRECT(Index!$L$11),"&lt;"&amp;EDATE($A83,3))),"")</f>
        <v/>
      </c>
      <c r="C83" s="29" t="str">
        <f aca="false">IFERROR(B83/B82-1,"")</f>
        <v/>
      </c>
      <c r="D83" s="29" t="str">
        <f aca="false">IFERROR(B83/B79-1,"")</f>
        <v/>
      </c>
      <c r="E83" s="31" t="str">
        <f aca="false">IFERROR(IF(AND(B83="",ISNUMBER($C$7),ISNUMBER($G$7)),$C$7*(1+$G$7)^(($A83-$E$7)/365.25),""),"")</f>
        <v/>
      </c>
      <c r="F83" s="31" t="str">
        <f aca="false">IFERROR(IF(AND(B83="",ISNUMBER($C$7),ISNUMBER($G$7)),$C$7*(1+$G$7*0.85^MAX(0,($A83-$E$7)/91.25))^(($A83-$E$7)/365.25),""),"")</f>
        <v/>
      </c>
    </row>
    <row r="84" customFormat="false" ht="15" hidden="false" customHeight="false" outlineLevel="0" collapsed="false">
      <c r="A84" s="15" t="n">
        <v>46204</v>
      </c>
      <c r="B84" s="20" t="str">
        <f aca="true">IFERROR(IF(SUMIFS(INDIRECT(Index!$M$11),INDIRECT(Index!$L$11),"&gt;="&amp;$A84,INDIRECT(Index!$L$11),"&lt;"&amp;EDATE($A84,3))=0,"",SUMIFS(INDIRECT(Index!$M$11),INDIRECT(Index!$L$11),"&gt;="&amp;$A84,INDIRECT(Index!$L$11),"&lt;"&amp;EDATE($A84,3))),"")</f>
        <v/>
      </c>
      <c r="C84" s="33" t="str">
        <f aca="false">IFERROR(B84/B83-1,"")</f>
        <v/>
      </c>
      <c r="D84" s="33" t="str">
        <f aca="false">IFERROR(B84/B80-1,"")</f>
        <v/>
      </c>
      <c r="E84" s="25" t="str">
        <f aca="false">IFERROR(IF(AND(B84="",ISNUMBER($C$7),ISNUMBER($G$7)),$C$7*(1+$G$7)^(($A84-$E$7)/365.25),""),"")</f>
        <v/>
      </c>
      <c r="F84" s="25" t="str">
        <f aca="false">IFERROR(IF(AND(B84="",ISNUMBER($C$7),ISNUMBER($G$7)),$C$7*(1+$G$7*0.85^MAX(0,($A84-$E$7)/91.25))^(($A84-$E$7)/365.25),""),"")</f>
        <v/>
      </c>
    </row>
    <row r="85" customFormat="false" ht="15" hidden="false" customHeight="false" outlineLevel="0" collapsed="false">
      <c r="A85" s="27" t="n">
        <v>46296</v>
      </c>
      <c r="B85" s="28" t="str">
        <f aca="true">IFERROR(IF(SUMIFS(INDIRECT(Index!$M$11),INDIRECT(Index!$L$11),"&gt;="&amp;$A85,INDIRECT(Index!$L$11),"&lt;"&amp;EDATE($A85,3))=0,"",SUMIFS(INDIRECT(Index!$M$11),INDIRECT(Index!$L$11),"&gt;="&amp;$A85,INDIRECT(Index!$L$11),"&lt;"&amp;EDATE($A85,3))),"")</f>
        <v/>
      </c>
      <c r="C85" s="29" t="str">
        <f aca="false">IFERROR(B85/B84-1,"")</f>
        <v/>
      </c>
      <c r="D85" s="29" t="str">
        <f aca="false">IFERROR(B85/B81-1,"")</f>
        <v/>
      </c>
      <c r="E85" s="31" t="str">
        <f aca="false">IFERROR(IF(AND(B85="",ISNUMBER($C$7),ISNUMBER($G$7)),$C$7*(1+$G$7)^(($A85-$E$7)/365.25),""),"")</f>
        <v/>
      </c>
      <c r="F85" s="31" t="str">
        <f aca="false">IFERROR(IF(AND(B85="",ISNUMBER($C$7),ISNUMBER($G$7)),$C$7*(1+$G$7*0.85^MAX(0,($A85-$E$7)/91.25))^(($A85-$E$7)/365.25),""),"")</f>
        <v/>
      </c>
    </row>
    <row r="86" customFormat="false" ht="15" hidden="false" customHeight="false" outlineLevel="0" collapsed="false">
      <c r="A86" s="15" t="n">
        <v>46388</v>
      </c>
      <c r="B86" s="20" t="str">
        <f aca="true">IFERROR(IF(SUMIFS(INDIRECT(Index!$M$11),INDIRECT(Index!$L$11),"&gt;="&amp;$A86,INDIRECT(Index!$L$11),"&lt;"&amp;EDATE($A86,3))=0,"",SUMIFS(INDIRECT(Index!$M$11),INDIRECT(Index!$L$11),"&gt;="&amp;$A86,INDIRECT(Index!$L$11),"&lt;"&amp;EDATE($A86,3))),"")</f>
        <v/>
      </c>
      <c r="C86" s="33" t="str">
        <f aca="false">IFERROR(B86/B85-1,"")</f>
        <v/>
      </c>
      <c r="D86" s="33" t="str">
        <f aca="false">IFERROR(B86/B82-1,"")</f>
        <v/>
      </c>
      <c r="E86" s="25" t="str">
        <f aca="false">IFERROR(IF(AND(B86="",ISNUMBER($C$7),ISNUMBER($G$7)),$C$7*(1+$G$7)^(($A86-$E$7)/365.25),""),"")</f>
        <v/>
      </c>
      <c r="F86" s="25" t="str">
        <f aca="false">IFERROR(IF(AND(B86="",ISNUMBER($C$7),ISNUMBER($G$7)),$C$7*(1+$G$7*0.85^MAX(0,($A86-$E$7)/91.25))^(($A86-$E$7)/365.25),""),"")</f>
        <v/>
      </c>
    </row>
    <row r="87" customFormat="false" ht="15" hidden="false" customHeight="false" outlineLevel="0" collapsed="false">
      <c r="A87" s="27" t="n">
        <v>46478</v>
      </c>
      <c r="B87" s="28" t="str">
        <f aca="true">IFERROR(IF(SUMIFS(INDIRECT(Index!$M$11),INDIRECT(Index!$L$11),"&gt;="&amp;$A87,INDIRECT(Index!$L$11),"&lt;"&amp;EDATE($A87,3))=0,"",SUMIFS(INDIRECT(Index!$M$11),INDIRECT(Index!$L$11),"&gt;="&amp;$A87,INDIRECT(Index!$L$11),"&lt;"&amp;EDATE($A87,3))),"")</f>
        <v/>
      </c>
      <c r="C87" s="29" t="str">
        <f aca="false">IFERROR(B87/B86-1,"")</f>
        <v/>
      </c>
      <c r="D87" s="29" t="str">
        <f aca="false">IFERROR(B87/B83-1,"")</f>
        <v/>
      </c>
      <c r="E87" s="31" t="str">
        <f aca="false">IFERROR(IF(AND(B87="",ISNUMBER($C$7),ISNUMBER($G$7)),$C$7*(1+$G$7)^(($A87-$E$7)/365.25),""),"")</f>
        <v/>
      </c>
      <c r="F87" s="31" t="str">
        <f aca="false">IFERROR(IF(AND(B87="",ISNUMBER($C$7),ISNUMBER($G$7)),$C$7*(1+$G$7*0.85^MAX(0,($A87-$E$7)/91.25))^(($A87-$E$7)/365.25),""),"")</f>
        <v/>
      </c>
    </row>
    <row r="88" customFormat="false" ht="15" hidden="false" customHeight="false" outlineLevel="0" collapsed="false">
      <c r="A88" s="15" t="n">
        <v>46569</v>
      </c>
      <c r="B88" s="20" t="str">
        <f aca="true">IFERROR(IF(SUMIFS(INDIRECT(Index!$M$11),INDIRECT(Index!$L$11),"&gt;="&amp;$A88,INDIRECT(Index!$L$11),"&lt;"&amp;EDATE($A88,3))=0,"",SUMIFS(INDIRECT(Index!$M$11),INDIRECT(Index!$L$11),"&gt;="&amp;$A88,INDIRECT(Index!$L$11),"&lt;"&amp;EDATE($A88,3))),"")</f>
        <v/>
      </c>
      <c r="C88" s="33" t="str">
        <f aca="false">IFERROR(B88/B87-1,"")</f>
        <v/>
      </c>
      <c r="D88" s="33" t="str">
        <f aca="false">IFERROR(B88/B84-1,"")</f>
        <v/>
      </c>
      <c r="E88" s="25" t="str">
        <f aca="false">IFERROR(IF(AND(B88="",ISNUMBER($C$7),ISNUMBER($G$7)),$C$7*(1+$G$7)^(($A88-$E$7)/365.25),""),"")</f>
        <v/>
      </c>
      <c r="F88" s="25" t="str">
        <f aca="false">IFERROR(IF(AND(B88="",ISNUMBER($C$7),ISNUMBER($G$7)),$C$7*(1+$G$7*0.85^MAX(0,($A88-$E$7)/91.25))^(($A88-$E$7)/365.25),""),"")</f>
        <v/>
      </c>
    </row>
    <row r="89" customFormat="false" ht="15" hidden="false" customHeight="false" outlineLevel="0" collapsed="false">
      <c r="A89" s="27" t="n">
        <v>46661</v>
      </c>
      <c r="B89" s="28" t="str">
        <f aca="true">IFERROR(IF(SUMIFS(INDIRECT(Index!$M$11),INDIRECT(Index!$L$11),"&gt;="&amp;$A89,INDIRECT(Index!$L$11),"&lt;"&amp;EDATE($A89,3))=0,"",SUMIFS(INDIRECT(Index!$M$11),INDIRECT(Index!$L$11),"&gt;="&amp;$A89,INDIRECT(Index!$L$11),"&lt;"&amp;EDATE($A89,3))),"")</f>
        <v/>
      </c>
      <c r="C89" s="29" t="str">
        <f aca="false">IFERROR(B89/B88-1,"")</f>
        <v/>
      </c>
      <c r="D89" s="29" t="str">
        <f aca="false">IFERROR(B89/B85-1,"")</f>
        <v/>
      </c>
      <c r="E89" s="31" t="str">
        <f aca="false">IFERROR(IF(AND(B89="",ISNUMBER($C$7),ISNUMBER($G$7)),$C$7*(1+$G$7)^(($A89-$E$7)/365.25),""),"")</f>
        <v/>
      </c>
      <c r="F89" s="31" t="str">
        <f aca="false">IFERROR(IF(AND(B89="",ISNUMBER($C$7),ISNUMBER($G$7)),$C$7*(1+$G$7*0.85^MAX(0,($A89-$E$7)/91.25))^(($A89-$E$7)/365.25),""),"")</f>
        <v/>
      </c>
    </row>
    <row r="90" customFormat="false" ht="15" hidden="false" customHeight="false" outlineLevel="0" collapsed="false">
      <c r="A90" s="15" t="n">
        <v>46753</v>
      </c>
      <c r="B90" s="20" t="str">
        <f aca="true">IFERROR(IF(SUMIFS(INDIRECT(Index!$M$11),INDIRECT(Index!$L$11),"&gt;="&amp;$A90,INDIRECT(Index!$L$11),"&lt;"&amp;EDATE($A90,3))=0,"",SUMIFS(INDIRECT(Index!$M$11),INDIRECT(Index!$L$11),"&gt;="&amp;$A90,INDIRECT(Index!$L$11),"&lt;"&amp;EDATE($A90,3))),"")</f>
        <v/>
      </c>
      <c r="C90" s="33" t="str">
        <f aca="false">IFERROR(B90/B89-1,"")</f>
        <v/>
      </c>
      <c r="D90" s="33" t="str">
        <f aca="false">IFERROR(B90/B86-1,"")</f>
        <v/>
      </c>
      <c r="E90" s="25" t="str">
        <f aca="false">IFERROR(IF(AND(B90="",ISNUMBER($C$7),ISNUMBER($G$7)),$C$7*(1+$G$7)^(($A90-$E$7)/365.25),""),"")</f>
        <v/>
      </c>
      <c r="F90" s="25" t="str">
        <f aca="false">IFERROR(IF(AND(B90="",ISNUMBER($C$7),ISNUMBER($G$7)),$C$7*(1+$G$7*0.85^MAX(0,($A90-$E$7)/91.25))^(($A90-$E$7)/365.25),""),"")</f>
        <v/>
      </c>
    </row>
    <row r="91" customFormat="false" ht="15" hidden="false" customHeight="false" outlineLevel="0" collapsed="false">
      <c r="A91" s="27" t="n">
        <v>46844</v>
      </c>
      <c r="B91" s="28" t="str">
        <f aca="true">IFERROR(IF(SUMIFS(INDIRECT(Index!$M$11),INDIRECT(Index!$L$11),"&gt;="&amp;$A91,INDIRECT(Index!$L$11),"&lt;"&amp;EDATE($A91,3))=0,"",SUMIFS(INDIRECT(Index!$M$11),INDIRECT(Index!$L$11),"&gt;="&amp;$A91,INDIRECT(Index!$L$11),"&lt;"&amp;EDATE($A91,3))),"")</f>
        <v/>
      </c>
      <c r="C91" s="29" t="str">
        <f aca="false">IFERROR(B91/B90-1,"")</f>
        <v/>
      </c>
      <c r="D91" s="29" t="str">
        <f aca="false">IFERROR(B91/B87-1,"")</f>
        <v/>
      </c>
      <c r="E91" s="31" t="str">
        <f aca="false">IFERROR(IF(AND(B91="",ISNUMBER($C$7),ISNUMBER($G$7)),$C$7*(1+$G$7)^(($A91-$E$7)/365.25),""),"")</f>
        <v/>
      </c>
      <c r="F91" s="31" t="str">
        <f aca="false">IFERROR(IF(AND(B91="",ISNUMBER($C$7),ISNUMBER($G$7)),$C$7*(1+$G$7*0.85^MAX(0,($A91-$E$7)/91.25))^(($A91-$E$7)/365.25),""),"")</f>
        <v/>
      </c>
    </row>
    <row r="92" customFormat="false" ht="15" hidden="false" customHeight="false" outlineLevel="0" collapsed="false">
      <c r="A92" s="15" t="n">
        <v>46935</v>
      </c>
      <c r="B92" s="20" t="str">
        <f aca="true">IFERROR(IF(SUMIFS(INDIRECT(Index!$M$11),INDIRECT(Index!$L$11),"&gt;="&amp;$A92,INDIRECT(Index!$L$11),"&lt;"&amp;EDATE($A92,3))=0,"",SUMIFS(INDIRECT(Index!$M$11),INDIRECT(Index!$L$11),"&gt;="&amp;$A92,INDIRECT(Index!$L$11),"&lt;"&amp;EDATE($A92,3))),"")</f>
        <v/>
      </c>
      <c r="C92" s="33" t="str">
        <f aca="false">IFERROR(B92/B91-1,"")</f>
        <v/>
      </c>
      <c r="D92" s="33" t="str">
        <f aca="false">IFERROR(B92/B88-1,"")</f>
        <v/>
      </c>
      <c r="E92" s="25" t="str">
        <f aca="false">IFERROR(IF(AND(B92="",ISNUMBER($C$7),ISNUMBER($G$7)),$C$7*(1+$G$7)^(($A92-$E$7)/365.25),""),"")</f>
        <v/>
      </c>
      <c r="F92" s="25" t="str">
        <f aca="false">IFERROR(IF(AND(B92="",ISNUMBER($C$7),ISNUMBER($G$7)),$C$7*(1+$G$7*0.85^MAX(0,($A92-$E$7)/91.25))^(($A92-$E$7)/365.25),""),"")</f>
        <v/>
      </c>
    </row>
    <row r="93" customFormat="false" ht="15" hidden="false" customHeight="false" outlineLevel="0" collapsed="false">
      <c r="A93" s="27" t="n">
        <v>47027</v>
      </c>
      <c r="B93" s="28" t="str">
        <f aca="true">IFERROR(IF(SUMIFS(INDIRECT(Index!$M$11),INDIRECT(Index!$L$11),"&gt;="&amp;$A93,INDIRECT(Index!$L$11),"&lt;"&amp;EDATE($A93,3))=0,"",SUMIFS(INDIRECT(Index!$M$11),INDIRECT(Index!$L$11),"&gt;="&amp;$A93,INDIRECT(Index!$L$11),"&lt;"&amp;EDATE($A93,3))),"")</f>
        <v/>
      </c>
      <c r="C93" s="29" t="str">
        <f aca="false">IFERROR(B93/B92-1,"")</f>
        <v/>
      </c>
      <c r="D93" s="29" t="str">
        <f aca="false">IFERROR(B93/B89-1,"")</f>
        <v/>
      </c>
      <c r="E93" s="31" t="str">
        <f aca="false">IFERROR(IF(AND(B93="",ISNUMBER($C$7),ISNUMBER($G$7)),$C$7*(1+$G$7)^(($A93-$E$7)/365.25),""),"")</f>
        <v/>
      </c>
      <c r="F93" s="31" t="str">
        <f aca="false">IFERROR(IF(AND(B93="",ISNUMBER($C$7),ISNUMBER($G$7)),$C$7*(1+$G$7*0.85^MAX(0,($A93-$E$7)/91.25))^(($A93-$E$7)/365.25),""),"")</f>
        <v/>
      </c>
    </row>
    <row r="94" customFormat="false" ht="15" hidden="false" customHeight="false" outlineLevel="0" collapsed="false">
      <c r="A94" s="15" t="n">
        <v>47119</v>
      </c>
      <c r="B94" s="20" t="str">
        <f aca="true">IFERROR(IF(SUMIFS(INDIRECT(Index!$M$11),INDIRECT(Index!$L$11),"&gt;="&amp;$A94,INDIRECT(Index!$L$11),"&lt;"&amp;EDATE($A94,3))=0,"",SUMIFS(INDIRECT(Index!$M$11),INDIRECT(Index!$L$11),"&gt;="&amp;$A94,INDIRECT(Index!$L$11),"&lt;"&amp;EDATE($A94,3))),"")</f>
        <v/>
      </c>
      <c r="C94" s="33" t="str">
        <f aca="false">IFERROR(B94/B93-1,"")</f>
        <v/>
      </c>
      <c r="D94" s="33" t="str">
        <f aca="false">IFERROR(B94/B90-1,"")</f>
        <v/>
      </c>
      <c r="E94" s="25" t="str">
        <f aca="false">IFERROR(IF(AND(B94="",ISNUMBER($C$7),ISNUMBER($G$7)),$C$7*(1+$G$7)^(($A94-$E$7)/365.25),""),"")</f>
        <v/>
      </c>
      <c r="F94" s="25" t="str">
        <f aca="false">IFERROR(IF(AND(B94="",ISNUMBER($C$7),ISNUMBER($G$7)),$C$7*(1+$G$7*0.85^MAX(0,($A94-$E$7)/91.25))^(($A94-$E$7)/365.25),""),"")</f>
        <v/>
      </c>
    </row>
    <row r="95" customFormat="false" ht="15" hidden="false" customHeight="false" outlineLevel="0" collapsed="false">
      <c r="A95" s="27" t="n">
        <v>47209</v>
      </c>
      <c r="B95" s="28" t="str">
        <f aca="true">IFERROR(IF(SUMIFS(INDIRECT(Index!$M$11),INDIRECT(Index!$L$11),"&gt;="&amp;$A95,INDIRECT(Index!$L$11),"&lt;"&amp;EDATE($A95,3))=0,"",SUMIFS(INDIRECT(Index!$M$11),INDIRECT(Index!$L$11),"&gt;="&amp;$A95,INDIRECT(Index!$L$11),"&lt;"&amp;EDATE($A95,3))),"")</f>
        <v/>
      </c>
      <c r="C95" s="29" t="str">
        <f aca="false">IFERROR(B95/B94-1,"")</f>
        <v/>
      </c>
      <c r="D95" s="29" t="str">
        <f aca="false">IFERROR(B95/B91-1,"")</f>
        <v/>
      </c>
      <c r="E95" s="31" t="str">
        <f aca="false">IFERROR(IF(AND(B95="",ISNUMBER($C$7),ISNUMBER($G$7)),$C$7*(1+$G$7)^(($A95-$E$7)/365.25),""),"")</f>
        <v/>
      </c>
      <c r="F95" s="31" t="str">
        <f aca="false">IFERROR(IF(AND(B95="",ISNUMBER($C$7),ISNUMBER($G$7)),$C$7*(1+$G$7*0.85^MAX(0,($A95-$E$7)/91.25))^(($A95-$E$7)/365.25),""),"")</f>
        <v/>
      </c>
    </row>
    <row r="96" customFormat="false" ht="15" hidden="false" customHeight="false" outlineLevel="0" collapsed="false">
      <c r="A96" s="15" t="n">
        <v>47300</v>
      </c>
      <c r="B96" s="20" t="str">
        <f aca="true">IFERROR(IF(SUMIFS(INDIRECT(Index!$M$11),INDIRECT(Index!$L$11),"&gt;="&amp;$A96,INDIRECT(Index!$L$11),"&lt;"&amp;EDATE($A96,3))=0,"",SUMIFS(INDIRECT(Index!$M$11),INDIRECT(Index!$L$11),"&gt;="&amp;$A96,INDIRECT(Index!$L$11),"&lt;"&amp;EDATE($A96,3))),"")</f>
        <v/>
      </c>
      <c r="C96" s="33" t="str">
        <f aca="false">IFERROR(B96/B95-1,"")</f>
        <v/>
      </c>
      <c r="D96" s="33" t="str">
        <f aca="false">IFERROR(B96/B92-1,"")</f>
        <v/>
      </c>
      <c r="E96" s="25" t="str">
        <f aca="false">IFERROR(IF(AND(B96="",ISNUMBER($C$7),ISNUMBER($G$7)),$C$7*(1+$G$7)^(($A96-$E$7)/365.25),""),"")</f>
        <v/>
      </c>
      <c r="F96" s="25" t="str">
        <f aca="false">IFERROR(IF(AND(B96="",ISNUMBER($C$7),ISNUMBER($G$7)),$C$7*(1+$G$7*0.85^MAX(0,($A96-$E$7)/91.25))^(($A96-$E$7)/365.25),""),"")</f>
        <v/>
      </c>
    </row>
    <row r="97" customFormat="false" ht="15" hidden="false" customHeight="false" outlineLevel="0" collapsed="false">
      <c r="A97" s="27" t="n">
        <v>47392</v>
      </c>
      <c r="B97" s="28" t="str">
        <f aca="true">IFERROR(IF(SUMIFS(INDIRECT(Index!$M$11),INDIRECT(Index!$L$11),"&gt;="&amp;$A97,INDIRECT(Index!$L$11),"&lt;"&amp;EDATE($A97,3))=0,"",SUMIFS(INDIRECT(Index!$M$11),INDIRECT(Index!$L$11),"&gt;="&amp;$A97,INDIRECT(Index!$L$11),"&lt;"&amp;EDATE($A97,3))),"")</f>
        <v/>
      </c>
      <c r="C97" s="29" t="str">
        <f aca="false">IFERROR(B97/B96-1,"")</f>
        <v/>
      </c>
      <c r="D97" s="29" t="str">
        <f aca="false">IFERROR(B97/B93-1,"")</f>
        <v/>
      </c>
      <c r="E97" s="31" t="str">
        <f aca="false">IFERROR(IF(AND(B97="",ISNUMBER($C$7),ISNUMBER($G$7)),$C$7*(1+$G$7)^(($A97-$E$7)/365.25),""),"")</f>
        <v/>
      </c>
      <c r="F97" s="31" t="str">
        <f aca="false">IFERROR(IF(AND(B97="",ISNUMBER($C$7),ISNUMBER($G$7)),$C$7*(1+$G$7*0.85^MAX(0,($A97-$E$7)/91.25))^(($A97-$E$7)/365.25),""),"")</f>
        <v/>
      </c>
    </row>
    <row r="98" customFormat="false" ht="15" hidden="false" customHeight="false" outlineLevel="0" collapsed="false">
      <c r="A98" s="15" t="n">
        <v>47484</v>
      </c>
      <c r="B98" s="20" t="str">
        <f aca="true">IFERROR(IF(SUMIFS(INDIRECT(Index!$M$11),INDIRECT(Index!$L$11),"&gt;="&amp;$A98,INDIRECT(Index!$L$11),"&lt;"&amp;EDATE($A98,3))=0,"",SUMIFS(INDIRECT(Index!$M$11),INDIRECT(Index!$L$11),"&gt;="&amp;$A98,INDIRECT(Index!$L$11),"&lt;"&amp;EDATE($A98,3))),"")</f>
        <v/>
      </c>
      <c r="C98" s="33" t="str">
        <f aca="false">IFERROR(B98/B97-1,"")</f>
        <v/>
      </c>
      <c r="D98" s="33" t="str">
        <f aca="false">IFERROR(B98/B94-1,"")</f>
        <v/>
      </c>
      <c r="E98" s="25" t="str">
        <f aca="false">IFERROR(IF(AND(B98="",ISNUMBER($C$7),ISNUMBER($G$7)),$C$7*(1+$G$7)^(($A98-$E$7)/365.25),""),"")</f>
        <v/>
      </c>
      <c r="F98" s="25" t="str">
        <f aca="false">IFERROR(IF(AND(B98="",ISNUMBER($C$7),ISNUMBER($G$7)),$C$7*(1+$G$7*0.85^MAX(0,($A98-$E$7)/91.25))^(($A98-$E$7)/365.25),""),"")</f>
        <v/>
      </c>
    </row>
    <row r="99" customFormat="false" ht="15" hidden="false" customHeight="false" outlineLevel="0" collapsed="false">
      <c r="A99" s="27" t="n">
        <v>47574</v>
      </c>
      <c r="B99" s="28" t="str">
        <f aca="true">IFERROR(IF(SUMIFS(INDIRECT(Index!$M$11),INDIRECT(Index!$L$11),"&gt;="&amp;$A99,INDIRECT(Index!$L$11),"&lt;"&amp;EDATE($A99,3))=0,"",SUMIFS(INDIRECT(Index!$M$11),INDIRECT(Index!$L$11),"&gt;="&amp;$A99,INDIRECT(Index!$L$11),"&lt;"&amp;EDATE($A99,3))),"")</f>
        <v/>
      </c>
      <c r="C99" s="29" t="str">
        <f aca="false">IFERROR(B99/B98-1,"")</f>
        <v/>
      </c>
      <c r="D99" s="29" t="str">
        <f aca="false">IFERROR(B99/B95-1,"")</f>
        <v/>
      </c>
      <c r="E99" s="31" t="str">
        <f aca="false">IFERROR(IF(AND(B99="",ISNUMBER($C$7),ISNUMBER($G$7)),$C$7*(1+$G$7)^(($A99-$E$7)/365.25),""),"")</f>
        <v/>
      </c>
      <c r="F99" s="31" t="str">
        <f aca="false">IFERROR(IF(AND(B99="",ISNUMBER($C$7),ISNUMBER($G$7)),$C$7*(1+$G$7*0.85^MAX(0,($A99-$E$7)/91.25))^(($A99-$E$7)/365.25),""),"")</f>
        <v/>
      </c>
    </row>
    <row r="100" customFormat="false" ht="15" hidden="false" customHeight="false" outlineLevel="0" collapsed="false">
      <c r="A100" s="15" t="n">
        <v>47665</v>
      </c>
      <c r="B100" s="20" t="str">
        <f aca="true">IFERROR(IF(SUMIFS(INDIRECT(Index!$M$11),INDIRECT(Index!$L$11),"&gt;="&amp;$A100,INDIRECT(Index!$L$11),"&lt;"&amp;EDATE($A100,3))=0,"",SUMIFS(INDIRECT(Index!$M$11),INDIRECT(Index!$L$11),"&gt;="&amp;$A100,INDIRECT(Index!$L$11),"&lt;"&amp;EDATE($A100,3))),"")</f>
        <v/>
      </c>
      <c r="C100" s="33" t="str">
        <f aca="false">IFERROR(B100/B99-1,"")</f>
        <v/>
      </c>
      <c r="D100" s="33" t="str">
        <f aca="false">IFERROR(B100/B96-1,"")</f>
        <v/>
      </c>
      <c r="E100" s="25" t="str">
        <f aca="false">IFERROR(IF(AND(B100="",ISNUMBER($C$7),ISNUMBER($G$7)),$C$7*(1+$G$7)^(($A100-$E$7)/365.25),""),"")</f>
        <v/>
      </c>
      <c r="F100" s="25" t="str">
        <f aca="false">IFERROR(IF(AND(B100="",ISNUMBER($C$7),ISNUMBER($G$7)),$C$7*(1+$G$7*0.85^MAX(0,($A100-$E$7)/91.25))^(($A100-$E$7)/365.25),""),"")</f>
        <v/>
      </c>
    </row>
    <row r="101" customFormat="false" ht="15" hidden="false" customHeight="false" outlineLevel="0" collapsed="false">
      <c r="A101" s="27" t="n">
        <v>47757</v>
      </c>
      <c r="B101" s="28" t="str">
        <f aca="true">IFERROR(IF(SUMIFS(INDIRECT(Index!$M$11),INDIRECT(Index!$L$11),"&gt;="&amp;$A101,INDIRECT(Index!$L$11),"&lt;"&amp;EDATE($A101,3))=0,"",SUMIFS(INDIRECT(Index!$M$11),INDIRECT(Index!$L$11),"&gt;="&amp;$A101,INDIRECT(Index!$L$11),"&lt;"&amp;EDATE($A101,3))),"")</f>
        <v/>
      </c>
      <c r="C101" s="29" t="str">
        <f aca="false">IFERROR(B101/B100-1,"")</f>
        <v/>
      </c>
      <c r="D101" s="29" t="str">
        <f aca="false">IFERROR(B101/B97-1,"")</f>
        <v/>
      </c>
      <c r="E101" s="31" t="str">
        <f aca="false">IFERROR(IF(AND(B101="",ISNUMBER($C$7),ISNUMBER($G$7)),$C$7*(1+$G$7)^(($A101-$E$7)/365.25),""),"")</f>
        <v/>
      </c>
      <c r="F101" s="31" t="str">
        <f aca="false">IFERROR(IF(AND(B101="",ISNUMBER($C$7),ISNUMBER($G$7)),$C$7*(1+$G$7*0.85^MAX(0,($A101-$E$7)/91.25))^(($A101-$E$7)/365.25),""),"")</f>
        <v/>
      </c>
    </row>
    <row r="105" customFormat="false" ht="21.75" hidden="false" customHeight="true" outlineLevel="0" collapsed="false">
      <c r="A105" s="17" t="str">
        <f aca="false">Index!$A$12&amp;"   ("&amp;Index!$I$12&amp;")"</f>
        <v>Federal Tax Revenue   (Mn ARS)</v>
      </c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</row>
    <row r="106" customFormat="false" ht="15" hidden="false" customHeight="false" outlineLevel="0" collapsed="false">
      <c r="A106" s="4" t="s">
        <v>106</v>
      </c>
      <c r="B106" s="18" t="str">
        <f aca="false">Index!$J$12</f>
        <v>sum</v>
      </c>
      <c r="C106" s="4" t="s">
        <v>107</v>
      </c>
      <c r="D106" s="19" t="str">
        <f aca="false">Index!$D$12&amp;" ["&amp;Index!$F$12&amp;Index!$G$12&amp;":"&amp;Index!$F$12&amp;Index!$H$12&amp;"]"</f>
        <v>Data_Monthly [G2:G400]</v>
      </c>
      <c r="E106" s="19"/>
      <c r="F106" s="19"/>
      <c r="G106" s="19"/>
      <c r="H106" s="19"/>
    </row>
    <row r="107" customFormat="false" ht="15" hidden="false" customHeight="false" outlineLevel="0" collapsed="false">
      <c r="A107" s="4" t="s">
        <v>108</v>
      </c>
      <c r="B107" s="6" t="str">
        <f aca="false">IF(Index!$K$12="","",Index!$K$12)</f>
        <v/>
      </c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</row>
    <row r="108" customFormat="false" ht="15" hidden="false" customHeight="false" outlineLevel="0" collapsed="false">
      <c r="A108" s="4" t="s">
        <v>109</v>
      </c>
      <c r="B108" s="4" t="s">
        <v>110</v>
      </c>
      <c r="C108" s="20" t="str">
        <f aca="false">IFERROR(LOOKUP(2,1/($B$111:$B$202&lt;&gt;""),$B$111:$B$202),"")</f>
        <v/>
      </c>
      <c r="D108" s="4" t="s">
        <v>111</v>
      </c>
      <c r="E108" s="21" t="str">
        <f aca="false">IFERROR(LOOKUP(2,1/($B$111:$B$202&lt;&gt;""),$A$111:$A$202),"")</f>
        <v/>
      </c>
      <c r="F108" s="4" t="s">
        <v>112</v>
      </c>
      <c r="G108" s="22" t="str">
        <f aca="false">IFERROR(C108/INDEX($B$111:$B$202,MATCH(EDATE(E108,-12),$A$111:$A$202,0))-1,"")</f>
        <v/>
      </c>
    </row>
    <row r="109" customFormat="false" ht="18" hidden="false" customHeight="true" outlineLevel="0" collapsed="false">
      <c r="A109" s="23" t="s">
        <v>113</v>
      </c>
      <c r="B109" s="23"/>
      <c r="C109" s="23"/>
      <c r="D109" s="23"/>
      <c r="E109" s="23"/>
      <c r="F109" s="23"/>
      <c r="J109" s="23" t="s">
        <v>114</v>
      </c>
      <c r="K109" s="23"/>
      <c r="L109" s="23"/>
      <c r="M109" s="23"/>
    </row>
    <row r="110" customFormat="false" ht="15" hidden="false" customHeight="false" outlineLevel="0" collapsed="false">
      <c r="A110" s="7" t="s">
        <v>95</v>
      </c>
      <c r="B110" s="7" t="s">
        <v>115</v>
      </c>
      <c r="C110" s="7" t="s">
        <v>116</v>
      </c>
      <c r="D110" s="7" t="s">
        <v>117</v>
      </c>
      <c r="E110" s="7" t="s">
        <v>118</v>
      </c>
      <c r="F110" s="7" t="s">
        <v>119</v>
      </c>
      <c r="J110" s="7" t="s">
        <v>120</v>
      </c>
      <c r="K110" s="7" t="s">
        <v>115</v>
      </c>
      <c r="L110" s="7" t="s">
        <v>117</v>
      </c>
      <c r="M110" s="7" t="s">
        <v>121</v>
      </c>
    </row>
    <row r="111" customFormat="false" ht="15" hidden="false" customHeight="false" outlineLevel="0" collapsed="false">
      <c r="A111" s="15" t="n">
        <v>39448</v>
      </c>
      <c r="B111" s="20" t="str">
        <f aca="true">IFERROR(IF(SUMIFS(INDIRECT(Index!$M$12),INDIRECT(Index!$L$12),"&gt;="&amp;$A111,INDIRECT(Index!$L$12),"&lt;"&amp;EDATE($A111,3))=0,"",SUMIFS(INDIRECT(Index!$M$12),INDIRECT(Index!$L$12),"&gt;="&amp;$A111,INDIRECT(Index!$L$12),"&lt;"&amp;EDATE($A111,3))),"")</f>
        <v/>
      </c>
      <c r="C111" s="24"/>
      <c r="D111" s="24"/>
      <c r="E111" s="25" t="str">
        <f aca="false">IFERROR(IF(AND(B111="",ISNUMBER($C$108),ISNUMBER($G$108)),$C$108*(1+$G$108)^(($A111-$E$108)/365.25),""),"")</f>
        <v/>
      </c>
      <c r="F111" s="25" t="str">
        <f aca="false">IFERROR(IF(AND(B111="",ISNUMBER($C$108),ISNUMBER($G$108)),$C$108*(1+$G$108*0.85^MAX(0,($A111-$E$108)/91.25))^(($A111-$E$108)/365.25),""),"")</f>
        <v/>
      </c>
      <c r="J111" s="26" t="n">
        <v>2008</v>
      </c>
      <c r="K111" s="25" t="n">
        <f aca="false">IFERROR(SUMIFS($B$111:$B$202,$A$111:$A$202,"&gt;="&amp;DATE(J111,1,1),$A$111:$A$202,"&lt;="&amp;DATE(J111,12,31)),"")</f>
        <v>0</v>
      </c>
      <c r="L111" s="24"/>
      <c r="M111" s="25" t="n">
        <f aca="false">IFERROR(SUMIFS($E$111:$E$202,$A$111:$A$202,"&gt;="&amp;DATE(J111,1,1),$A$111:$A$202,"&lt;="&amp;DATE(J111,12,31)),"")</f>
        <v>0</v>
      </c>
    </row>
    <row r="112" customFormat="false" ht="15" hidden="false" customHeight="false" outlineLevel="0" collapsed="false">
      <c r="A112" s="27" t="n">
        <v>39539</v>
      </c>
      <c r="B112" s="28" t="str">
        <f aca="true">IFERROR(IF(SUMIFS(INDIRECT(Index!$M$12),INDIRECT(Index!$L$12),"&gt;="&amp;$A112,INDIRECT(Index!$L$12),"&lt;"&amp;EDATE($A112,3))=0,"",SUMIFS(INDIRECT(Index!$M$12),INDIRECT(Index!$L$12),"&gt;="&amp;$A112,INDIRECT(Index!$L$12),"&lt;"&amp;EDATE($A112,3))),"")</f>
        <v/>
      </c>
      <c r="C112" s="29" t="str">
        <f aca="false">IFERROR(B112/B111-1,"")</f>
        <v/>
      </c>
      <c r="D112" s="30"/>
      <c r="E112" s="31" t="str">
        <f aca="false">IFERROR(IF(AND(B112="",ISNUMBER($C$108),ISNUMBER($G$108)),$C$108*(1+$G$108)^(($A112-$E$108)/365.25),""),"")</f>
        <v/>
      </c>
      <c r="F112" s="31" t="str">
        <f aca="false">IFERROR(IF(AND(B112="",ISNUMBER($C$108),ISNUMBER($G$108)),$C$108*(1+$G$108*0.85^MAX(0,($A112-$E$108)/91.25))^(($A112-$E$108)/365.25),""),"")</f>
        <v/>
      </c>
      <c r="J112" s="32" t="n">
        <v>2009</v>
      </c>
      <c r="K112" s="31" t="n">
        <f aca="false">IFERROR(SUMIFS($B$111:$B$202,$A$111:$A$202,"&gt;="&amp;DATE(J112,1,1),$A$111:$A$202,"&lt;="&amp;DATE(J112,12,31)),"")</f>
        <v>0</v>
      </c>
      <c r="L112" s="29" t="str">
        <f aca="false">IFERROR(K112/K111-1,"")</f>
        <v/>
      </c>
      <c r="M112" s="31" t="n">
        <f aca="false">IFERROR(SUMIFS($E$111:$E$202,$A$111:$A$202,"&gt;="&amp;DATE(J112,1,1),$A$111:$A$202,"&lt;="&amp;DATE(J112,12,31)),"")</f>
        <v>0</v>
      </c>
    </row>
    <row r="113" customFormat="false" ht="15" hidden="false" customHeight="false" outlineLevel="0" collapsed="false">
      <c r="A113" s="15" t="n">
        <v>39630</v>
      </c>
      <c r="B113" s="20" t="str">
        <f aca="true">IFERROR(IF(SUMIFS(INDIRECT(Index!$M$12),INDIRECT(Index!$L$12),"&gt;="&amp;$A113,INDIRECT(Index!$L$12),"&lt;"&amp;EDATE($A113,3))=0,"",SUMIFS(INDIRECT(Index!$M$12),INDIRECT(Index!$L$12),"&gt;="&amp;$A113,INDIRECT(Index!$L$12),"&lt;"&amp;EDATE($A113,3))),"")</f>
        <v/>
      </c>
      <c r="C113" s="33" t="str">
        <f aca="false">IFERROR(B113/B112-1,"")</f>
        <v/>
      </c>
      <c r="D113" s="24"/>
      <c r="E113" s="25" t="str">
        <f aca="false">IFERROR(IF(AND(B113="",ISNUMBER($C$108),ISNUMBER($G$108)),$C$108*(1+$G$108)^(($A113-$E$108)/365.25),""),"")</f>
        <v/>
      </c>
      <c r="F113" s="25" t="str">
        <f aca="false">IFERROR(IF(AND(B113="",ISNUMBER($C$108),ISNUMBER($G$108)),$C$108*(1+$G$108*0.85^MAX(0,($A113-$E$108)/91.25))^(($A113-$E$108)/365.25),""),"")</f>
        <v/>
      </c>
      <c r="J113" s="26" t="n">
        <v>2010</v>
      </c>
      <c r="K113" s="25" t="n">
        <f aca="false">IFERROR(SUMIFS($B$111:$B$202,$A$111:$A$202,"&gt;="&amp;DATE(J113,1,1),$A$111:$A$202,"&lt;="&amp;DATE(J113,12,31)),"")</f>
        <v>0</v>
      </c>
      <c r="L113" s="33" t="str">
        <f aca="false">IFERROR(K113/K112-1,"")</f>
        <v/>
      </c>
      <c r="M113" s="25" t="n">
        <f aca="false">IFERROR(SUMIFS($E$111:$E$202,$A$111:$A$202,"&gt;="&amp;DATE(J113,1,1),$A$111:$A$202,"&lt;="&amp;DATE(J113,12,31)),"")</f>
        <v>0</v>
      </c>
    </row>
    <row r="114" customFormat="false" ht="15" hidden="false" customHeight="false" outlineLevel="0" collapsed="false">
      <c r="A114" s="27" t="n">
        <v>39722</v>
      </c>
      <c r="B114" s="28" t="str">
        <f aca="true">IFERROR(IF(SUMIFS(INDIRECT(Index!$M$12),INDIRECT(Index!$L$12),"&gt;="&amp;$A114,INDIRECT(Index!$L$12),"&lt;"&amp;EDATE($A114,3))=0,"",SUMIFS(INDIRECT(Index!$M$12),INDIRECT(Index!$L$12),"&gt;="&amp;$A114,INDIRECT(Index!$L$12),"&lt;"&amp;EDATE($A114,3))),"")</f>
        <v/>
      </c>
      <c r="C114" s="29" t="str">
        <f aca="false">IFERROR(B114/B113-1,"")</f>
        <v/>
      </c>
      <c r="D114" s="30"/>
      <c r="E114" s="31" t="str">
        <f aca="false">IFERROR(IF(AND(B114="",ISNUMBER($C$108),ISNUMBER($G$108)),$C$108*(1+$G$108)^(($A114-$E$108)/365.25),""),"")</f>
        <v/>
      </c>
      <c r="F114" s="31" t="str">
        <f aca="false">IFERROR(IF(AND(B114="",ISNUMBER($C$108),ISNUMBER($G$108)),$C$108*(1+$G$108*0.85^MAX(0,($A114-$E$108)/91.25))^(($A114-$E$108)/365.25),""),"")</f>
        <v/>
      </c>
      <c r="J114" s="32" t="n">
        <v>2011</v>
      </c>
      <c r="K114" s="31" t="n">
        <f aca="false">IFERROR(SUMIFS($B$111:$B$202,$A$111:$A$202,"&gt;="&amp;DATE(J114,1,1),$A$111:$A$202,"&lt;="&amp;DATE(J114,12,31)),"")</f>
        <v>0</v>
      </c>
      <c r="L114" s="29" t="str">
        <f aca="false">IFERROR(K114/K113-1,"")</f>
        <v/>
      </c>
      <c r="M114" s="31" t="n">
        <f aca="false">IFERROR(SUMIFS($E$111:$E$202,$A$111:$A$202,"&gt;="&amp;DATE(J114,1,1),$A$111:$A$202,"&lt;="&amp;DATE(J114,12,31)),"")</f>
        <v>0</v>
      </c>
    </row>
    <row r="115" customFormat="false" ht="15" hidden="false" customHeight="false" outlineLevel="0" collapsed="false">
      <c r="A115" s="15" t="n">
        <v>39814</v>
      </c>
      <c r="B115" s="20" t="str">
        <f aca="true">IFERROR(IF(SUMIFS(INDIRECT(Index!$M$12),INDIRECT(Index!$L$12),"&gt;="&amp;$A115,INDIRECT(Index!$L$12),"&lt;"&amp;EDATE($A115,3))=0,"",SUMIFS(INDIRECT(Index!$M$12),INDIRECT(Index!$L$12),"&gt;="&amp;$A115,INDIRECT(Index!$L$12),"&lt;"&amp;EDATE($A115,3))),"")</f>
        <v/>
      </c>
      <c r="C115" s="33" t="str">
        <f aca="false">IFERROR(B115/B114-1,"")</f>
        <v/>
      </c>
      <c r="D115" s="33" t="str">
        <f aca="false">IFERROR(B115/B111-1,"")</f>
        <v/>
      </c>
      <c r="E115" s="25" t="str">
        <f aca="false">IFERROR(IF(AND(B115="",ISNUMBER($C$108),ISNUMBER($G$108)),$C$108*(1+$G$108)^(($A115-$E$108)/365.25),""),"")</f>
        <v/>
      </c>
      <c r="F115" s="25" t="str">
        <f aca="false">IFERROR(IF(AND(B115="",ISNUMBER($C$108),ISNUMBER($G$108)),$C$108*(1+$G$108*0.85^MAX(0,($A115-$E$108)/91.25))^(($A115-$E$108)/365.25),""),"")</f>
        <v/>
      </c>
      <c r="J115" s="26" t="n">
        <v>2012</v>
      </c>
      <c r="K115" s="25" t="n">
        <f aca="false">IFERROR(SUMIFS($B$111:$B$202,$A$111:$A$202,"&gt;="&amp;DATE(J115,1,1),$A$111:$A$202,"&lt;="&amp;DATE(J115,12,31)),"")</f>
        <v>0</v>
      </c>
      <c r="L115" s="33" t="str">
        <f aca="false">IFERROR(K115/K114-1,"")</f>
        <v/>
      </c>
      <c r="M115" s="25" t="n">
        <f aca="false">IFERROR(SUMIFS($E$111:$E$202,$A$111:$A$202,"&gt;="&amp;DATE(J115,1,1),$A$111:$A$202,"&lt;="&amp;DATE(J115,12,31)),"")</f>
        <v>0</v>
      </c>
    </row>
    <row r="116" customFormat="false" ht="15" hidden="false" customHeight="false" outlineLevel="0" collapsed="false">
      <c r="A116" s="27" t="n">
        <v>39904</v>
      </c>
      <c r="B116" s="28" t="str">
        <f aca="true">IFERROR(IF(SUMIFS(INDIRECT(Index!$M$12),INDIRECT(Index!$L$12),"&gt;="&amp;$A116,INDIRECT(Index!$L$12),"&lt;"&amp;EDATE($A116,3))=0,"",SUMIFS(INDIRECT(Index!$M$12),INDIRECT(Index!$L$12),"&gt;="&amp;$A116,INDIRECT(Index!$L$12),"&lt;"&amp;EDATE($A116,3))),"")</f>
        <v/>
      </c>
      <c r="C116" s="29" t="str">
        <f aca="false">IFERROR(B116/B115-1,"")</f>
        <v/>
      </c>
      <c r="D116" s="29" t="str">
        <f aca="false">IFERROR(B116/B112-1,"")</f>
        <v/>
      </c>
      <c r="E116" s="31" t="str">
        <f aca="false">IFERROR(IF(AND(B116="",ISNUMBER($C$108),ISNUMBER($G$108)),$C$108*(1+$G$108)^(($A116-$E$108)/365.25),""),"")</f>
        <v/>
      </c>
      <c r="F116" s="31" t="str">
        <f aca="false">IFERROR(IF(AND(B116="",ISNUMBER($C$108),ISNUMBER($G$108)),$C$108*(1+$G$108*0.85^MAX(0,($A116-$E$108)/91.25))^(($A116-$E$108)/365.25),""),"")</f>
        <v/>
      </c>
      <c r="J116" s="32" t="n">
        <v>2013</v>
      </c>
      <c r="K116" s="31" t="n">
        <f aca="false">IFERROR(SUMIFS($B$111:$B$202,$A$111:$A$202,"&gt;="&amp;DATE(J116,1,1),$A$111:$A$202,"&lt;="&amp;DATE(J116,12,31)),"")</f>
        <v>0</v>
      </c>
      <c r="L116" s="29" t="str">
        <f aca="false">IFERROR(K116/K115-1,"")</f>
        <v/>
      </c>
      <c r="M116" s="31" t="n">
        <f aca="false">IFERROR(SUMIFS($E$111:$E$202,$A$111:$A$202,"&gt;="&amp;DATE(J116,1,1),$A$111:$A$202,"&lt;="&amp;DATE(J116,12,31)),"")</f>
        <v>0</v>
      </c>
    </row>
    <row r="117" customFormat="false" ht="15" hidden="false" customHeight="false" outlineLevel="0" collapsed="false">
      <c r="A117" s="15" t="n">
        <v>39995</v>
      </c>
      <c r="B117" s="20" t="str">
        <f aca="true">IFERROR(IF(SUMIFS(INDIRECT(Index!$M$12),INDIRECT(Index!$L$12),"&gt;="&amp;$A117,INDIRECT(Index!$L$12),"&lt;"&amp;EDATE($A117,3))=0,"",SUMIFS(INDIRECT(Index!$M$12),INDIRECT(Index!$L$12),"&gt;="&amp;$A117,INDIRECT(Index!$L$12),"&lt;"&amp;EDATE($A117,3))),"")</f>
        <v/>
      </c>
      <c r="C117" s="33" t="str">
        <f aca="false">IFERROR(B117/B116-1,"")</f>
        <v/>
      </c>
      <c r="D117" s="33" t="str">
        <f aca="false">IFERROR(B117/B113-1,"")</f>
        <v/>
      </c>
      <c r="E117" s="25" t="str">
        <f aca="false">IFERROR(IF(AND(B117="",ISNUMBER($C$108),ISNUMBER($G$108)),$C$108*(1+$G$108)^(($A117-$E$108)/365.25),""),"")</f>
        <v/>
      </c>
      <c r="F117" s="25" t="str">
        <f aca="false">IFERROR(IF(AND(B117="",ISNUMBER($C$108),ISNUMBER($G$108)),$C$108*(1+$G$108*0.85^MAX(0,($A117-$E$108)/91.25))^(($A117-$E$108)/365.25),""),"")</f>
        <v/>
      </c>
      <c r="J117" s="26" t="n">
        <v>2014</v>
      </c>
      <c r="K117" s="25" t="n">
        <f aca="false">IFERROR(SUMIFS($B$111:$B$202,$A$111:$A$202,"&gt;="&amp;DATE(J117,1,1),$A$111:$A$202,"&lt;="&amp;DATE(J117,12,31)),"")</f>
        <v>0</v>
      </c>
      <c r="L117" s="33" t="str">
        <f aca="false">IFERROR(K117/K116-1,"")</f>
        <v/>
      </c>
      <c r="M117" s="25" t="n">
        <f aca="false">IFERROR(SUMIFS($E$111:$E$202,$A$111:$A$202,"&gt;="&amp;DATE(J117,1,1),$A$111:$A$202,"&lt;="&amp;DATE(J117,12,31)),"")</f>
        <v>0</v>
      </c>
    </row>
    <row r="118" customFormat="false" ht="15" hidden="false" customHeight="false" outlineLevel="0" collapsed="false">
      <c r="A118" s="27" t="n">
        <v>40087</v>
      </c>
      <c r="B118" s="28" t="str">
        <f aca="true">IFERROR(IF(SUMIFS(INDIRECT(Index!$M$12),INDIRECT(Index!$L$12),"&gt;="&amp;$A118,INDIRECT(Index!$L$12),"&lt;"&amp;EDATE($A118,3))=0,"",SUMIFS(INDIRECT(Index!$M$12),INDIRECT(Index!$L$12),"&gt;="&amp;$A118,INDIRECT(Index!$L$12),"&lt;"&amp;EDATE($A118,3))),"")</f>
        <v/>
      </c>
      <c r="C118" s="29" t="str">
        <f aca="false">IFERROR(B118/B117-1,"")</f>
        <v/>
      </c>
      <c r="D118" s="29" t="str">
        <f aca="false">IFERROR(B118/B114-1,"")</f>
        <v/>
      </c>
      <c r="E118" s="31" t="str">
        <f aca="false">IFERROR(IF(AND(B118="",ISNUMBER($C$108),ISNUMBER($G$108)),$C$108*(1+$G$108)^(($A118-$E$108)/365.25),""),"")</f>
        <v/>
      </c>
      <c r="F118" s="31" t="str">
        <f aca="false">IFERROR(IF(AND(B118="",ISNUMBER($C$108),ISNUMBER($G$108)),$C$108*(1+$G$108*0.85^MAX(0,($A118-$E$108)/91.25))^(($A118-$E$108)/365.25),""),"")</f>
        <v/>
      </c>
      <c r="J118" s="32" t="n">
        <v>2015</v>
      </c>
      <c r="K118" s="31" t="n">
        <f aca="false">IFERROR(SUMIFS($B$111:$B$202,$A$111:$A$202,"&gt;="&amp;DATE(J118,1,1),$A$111:$A$202,"&lt;="&amp;DATE(J118,12,31)),"")</f>
        <v>0</v>
      </c>
      <c r="L118" s="29" t="str">
        <f aca="false">IFERROR(K118/K117-1,"")</f>
        <v/>
      </c>
      <c r="M118" s="31" t="n">
        <f aca="false">IFERROR(SUMIFS($E$111:$E$202,$A$111:$A$202,"&gt;="&amp;DATE(J118,1,1),$A$111:$A$202,"&lt;="&amp;DATE(J118,12,31)),"")</f>
        <v>0</v>
      </c>
    </row>
    <row r="119" customFormat="false" ht="15" hidden="false" customHeight="false" outlineLevel="0" collapsed="false">
      <c r="A119" s="15" t="n">
        <v>40179</v>
      </c>
      <c r="B119" s="20" t="str">
        <f aca="true">IFERROR(IF(SUMIFS(INDIRECT(Index!$M$12),INDIRECT(Index!$L$12),"&gt;="&amp;$A119,INDIRECT(Index!$L$12),"&lt;"&amp;EDATE($A119,3))=0,"",SUMIFS(INDIRECT(Index!$M$12),INDIRECT(Index!$L$12),"&gt;="&amp;$A119,INDIRECT(Index!$L$12),"&lt;"&amp;EDATE($A119,3))),"")</f>
        <v/>
      </c>
      <c r="C119" s="33" t="str">
        <f aca="false">IFERROR(B119/B118-1,"")</f>
        <v/>
      </c>
      <c r="D119" s="33" t="str">
        <f aca="false">IFERROR(B119/B115-1,"")</f>
        <v/>
      </c>
      <c r="E119" s="25" t="str">
        <f aca="false">IFERROR(IF(AND(B119="",ISNUMBER($C$108),ISNUMBER($G$108)),$C$108*(1+$G$108)^(($A119-$E$108)/365.25),""),"")</f>
        <v/>
      </c>
      <c r="F119" s="25" t="str">
        <f aca="false">IFERROR(IF(AND(B119="",ISNUMBER($C$108),ISNUMBER($G$108)),$C$108*(1+$G$108*0.85^MAX(0,($A119-$E$108)/91.25))^(($A119-$E$108)/365.25),""),"")</f>
        <v/>
      </c>
      <c r="J119" s="26" t="n">
        <v>2016</v>
      </c>
      <c r="K119" s="25" t="n">
        <f aca="false">IFERROR(SUMIFS($B$111:$B$202,$A$111:$A$202,"&gt;="&amp;DATE(J119,1,1),$A$111:$A$202,"&lt;="&amp;DATE(J119,12,31)),"")</f>
        <v>0</v>
      </c>
      <c r="L119" s="33" t="str">
        <f aca="false">IFERROR(K119/K118-1,"")</f>
        <v/>
      </c>
      <c r="M119" s="25" t="n">
        <f aca="false">IFERROR(SUMIFS($E$111:$E$202,$A$111:$A$202,"&gt;="&amp;DATE(J119,1,1),$A$111:$A$202,"&lt;="&amp;DATE(J119,12,31)),"")</f>
        <v>0</v>
      </c>
    </row>
    <row r="120" customFormat="false" ht="15" hidden="false" customHeight="false" outlineLevel="0" collapsed="false">
      <c r="A120" s="27" t="n">
        <v>40269</v>
      </c>
      <c r="B120" s="28" t="str">
        <f aca="true">IFERROR(IF(SUMIFS(INDIRECT(Index!$M$12),INDIRECT(Index!$L$12),"&gt;="&amp;$A120,INDIRECT(Index!$L$12),"&lt;"&amp;EDATE($A120,3))=0,"",SUMIFS(INDIRECT(Index!$M$12),INDIRECT(Index!$L$12),"&gt;="&amp;$A120,INDIRECT(Index!$L$12),"&lt;"&amp;EDATE($A120,3))),"")</f>
        <v/>
      </c>
      <c r="C120" s="29" t="str">
        <f aca="false">IFERROR(B120/B119-1,"")</f>
        <v/>
      </c>
      <c r="D120" s="29" t="str">
        <f aca="false">IFERROR(B120/B116-1,"")</f>
        <v/>
      </c>
      <c r="E120" s="31" t="str">
        <f aca="false">IFERROR(IF(AND(B120="",ISNUMBER($C$108),ISNUMBER($G$108)),$C$108*(1+$G$108)^(($A120-$E$108)/365.25),""),"")</f>
        <v/>
      </c>
      <c r="F120" s="31" t="str">
        <f aca="false">IFERROR(IF(AND(B120="",ISNUMBER($C$108),ISNUMBER($G$108)),$C$108*(1+$G$108*0.85^MAX(0,($A120-$E$108)/91.25))^(($A120-$E$108)/365.25),""),"")</f>
        <v/>
      </c>
      <c r="J120" s="32" t="n">
        <v>2017</v>
      </c>
      <c r="K120" s="31" t="n">
        <f aca="false">IFERROR(SUMIFS($B$111:$B$202,$A$111:$A$202,"&gt;="&amp;DATE(J120,1,1),$A$111:$A$202,"&lt;="&amp;DATE(J120,12,31)),"")</f>
        <v>0</v>
      </c>
      <c r="L120" s="29" t="str">
        <f aca="false">IFERROR(K120/K119-1,"")</f>
        <v/>
      </c>
      <c r="M120" s="31" t="n">
        <f aca="false">IFERROR(SUMIFS($E$111:$E$202,$A$111:$A$202,"&gt;="&amp;DATE(J120,1,1),$A$111:$A$202,"&lt;="&amp;DATE(J120,12,31)),"")</f>
        <v>0</v>
      </c>
    </row>
    <row r="121" customFormat="false" ht="15" hidden="false" customHeight="false" outlineLevel="0" collapsed="false">
      <c r="A121" s="15" t="n">
        <v>40360</v>
      </c>
      <c r="B121" s="20" t="str">
        <f aca="true">IFERROR(IF(SUMIFS(INDIRECT(Index!$M$12),INDIRECT(Index!$L$12),"&gt;="&amp;$A121,INDIRECT(Index!$L$12),"&lt;"&amp;EDATE($A121,3))=0,"",SUMIFS(INDIRECT(Index!$M$12),INDIRECT(Index!$L$12),"&gt;="&amp;$A121,INDIRECT(Index!$L$12),"&lt;"&amp;EDATE($A121,3))),"")</f>
        <v/>
      </c>
      <c r="C121" s="33" t="str">
        <f aca="false">IFERROR(B121/B120-1,"")</f>
        <v/>
      </c>
      <c r="D121" s="33" t="str">
        <f aca="false">IFERROR(B121/B117-1,"")</f>
        <v/>
      </c>
      <c r="E121" s="25" t="str">
        <f aca="false">IFERROR(IF(AND(B121="",ISNUMBER($C$108),ISNUMBER($G$108)),$C$108*(1+$G$108)^(($A121-$E$108)/365.25),""),"")</f>
        <v/>
      </c>
      <c r="F121" s="25" t="str">
        <f aca="false">IFERROR(IF(AND(B121="",ISNUMBER($C$108),ISNUMBER($G$108)),$C$108*(1+$G$108*0.85^MAX(0,($A121-$E$108)/91.25))^(($A121-$E$108)/365.25),""),"")</f>
        <v/>
      </c>
      <c r="J121" s="26" t="n">
        <v>2018</v>
      </c>
      <c r="K121" s="25" t="n">
        <f aca="false">IFERROR(SUMIFS($B$111:$B$202,$A$111:$A$202,"&gt;="&amp;DATE(J121,1,1),$A$111:$A$202,"&lt;="&amp;DATE(J121,12,31)),"")</f>
        <v>0</v>
      </c>
      <c r="L121" s="33" t="str">
        <f aca="false">IFERROR(K121/K120-1,"")</f>
        <v/>
      </c>
      <c r="M121" s="25" t="n">
        <f aca="false">IFERROR(SUMIFS($E$111:$E$202,$A$111:$A$202,"&gt;="&amp;DATE(J121,1,1),$A$111:$A$202,"&lt;="&amp;DATE(J121,12,31)),"")</f>
        <v>0</v>
      </c>
    </row>
    <row r="122" customFormat="false" ht="15" hidden="false" customHeight="false" outlineLevel="0" collapsed="false">
      <c r="A122" s="27" t="n">
        <v>40452</v>
      </c>
      <c r="B122" s="28" t="str">
        <f aca="true">IFERROR(IF(SUMIFS(INDIRECT(Index!$M$12),INDIRECT(Index!$L$12),"&gt;="&amp;$A122,INDIRECT(Index!$L$12),"&lt;"&amp;EDATE($A122,3))=0,"",SUMIFS(INDIRECT(Index!$M$12),INDIRECT(Index!$L$12),"&gt;="&amp;$A122,INDIRECT(Index!$L$12),"&lt;"&amp;EDATE($A122,3))),"")</f>
        <v/>
      </c>
      <c r="C122" s="29" t="str">
        <f aca="false">IFERROR(B122/B121-1,"")</f>
        <v/>
      </c>
      <c r="D122" s="29" t="str">
        <f aca="false">IFERROR(B122/B118-1,"")</f>
        <v/>
      </c>
      <c r="E122" s="31" t="str">
        <f aca="false">IFERROR(IF(AND(B122="",ISNUMBER($C$108),ISNUMBER($G$108)),$C$108*(1+$G$108)^(($A122-$E$108)/365.25),""),"")</f>
        <v/>
      </c>
      <c r="F122" s="31" t="str">
        <f aca="false">IFERROR(IF(AND(B122="",ISNUMBER($C$108),ISNUMBER($G$108)),$C$108*(1+$G$108*0.85^MAX(0,($A122-$E$108)/91.25))^(($A122-$E$108)/365.25),""),"")</f>
        <v/>
      </c>
      <c r="J122" s="32" t="n">
        <v>2019</v>
      </c>
      <c r="K122" s="31" t="n">
        <f aca="false">IFERROR(SUMIFS($B$111:$B$202,$A$111:$A$202,"&gt;="&amp;DATE(J122,1,1),$A$111:$A$202,"&lt;="&amp;DATE(J122,12,31)),"")</f>
        <v>0</v>
      </c>
      <c r="L122" s="29" t="str">
        <f aca="false">IFERROR(K122/K121-1,"")</f>
        <v/>
      </c>
      <c r="M122" s="31" t="n">
        <f aca="false">IFERROR(SUMIFS($E$111:$E$202,$A$111:$A$202,"&gt;="&amp;DATE(J122,1,1),$A$111:$A$202,"&lt;="&amp;DATE(J122,12,31)),"")</f>
        <v>0</v>
      </c>
    </row>
    <row r="123" customFormat="false" ht="15" hidden="false" customHeight="false" outlineLevel="0" collapsed="false">
      <c r="A123" s="15" t="n">
        <v>40544</v>
      </c>
      <c r="B123" s="20" t="str">
        <f aca="true">IFERROR(IF(SUMIFS(INDIRECT(Index!$M$12),INDIRECT(Index!$L$12),"&gt;="&amp;$A123,INDIRECT(Index!$L$12),"&lt;"&amp;EDATE($A123,3))=0,"",SUMIFS(INDIRECT(Index!$M$12),INDIRECT(Index!$L$12),"&gt;="&amp;$A123,INDIRECT(Index!$L$12),"&lt;"&amp;EDATE($A123,3))),"")</f>
        <v/>
      </c>
      <c r="C123" s="33" t="str">
        <f aca="false">IFERROR(B123/B122-1,"")</f>
        <v/>
      </c>
      <c r="D123" s="33" t="str">
        <f aca="false">IFERROR(B123/B119-1,"")</f>
        <v/>
      </c>
      <c r="E123" s="25" t="str">
        <f aca="false">IFERROR(IF(AND(B123="",ISNUMBER($C$108),ISNUMBER($G$108)),$C$108*(1+$G$108)^(($A123-$E$108)/365.25),""),"")</f>
        <v/>
      </c>
      <c r="F123" s="25" t="str">
        <f aca="false">IFERROR(IF(AND(B123="",ISNUMBER($C$108),ISNUMBER($G$108)),$C$108*(1+$G$108*0.85^MAX(0,($A123-$E$108)/91.25))^(($A123-$E$108)/365.25),""),"")</f>
        <v/>
      </c>
      <c r="J123" s="26" t="n">
        <v>2020</v>
      </c>
      <c r="K123" s="25" t="n">
        <f aca="false">IFERROR(SUMIFS($B$111:$B$202,$A$111:$A$202,"&gt;="&amp;DATE(J123,1,1),$A$111:$A$202,"&lt;="&amp;DATE(J123,12,31)),"")</f>
        <v>0</v>
      </c>
      <c r="L123" s="33" t="str">
        <f aca="false">IFERROR(K123/K122-1,"")</f>
        <v/>
      </c>
      <c r="M123" s="25" t="n">
        <f aca="false">IFERROR(SUMIFS($E$111:$E$202,$A$111:$A$202,"&gt;="&amp;DATE(J123,1,1),$A$111:$A$202,"&lt;="&amp;DATE(J123,12,31)),"")</f>
        <v>0</v>
      </c>
    </row>
    <row r="124" customFormat="false" ht="15" hidden="false" customHeight="false" outlineLevel="0" collapsed="false">
      <c r="A124" s="27" t="n">
        <v>40634</v>
      </c>
      <c r="B124" s="28" t="str">
        <f aca="true">IFERROR(IF(SUMIFS(INDIRECT(Index!$M$12),INDIRECT(Index!$L$12),"&gt;="&amp;$A124,INDIRECT(Index!$L$12),"&lt;"&amp;EDATE($A124,3))=0,"",SUMIFS(INDIRECT(Index!$M$12),INDIRECT(Index!$L$12),"&gt;="&amp;$A124,INDIRECT(Index!$L$12),"&lt;"&amp;EDATE($A124,3))),"")</f>
        <v/>
      </c>
      <c r="C124" s="29" t="str">
        <f aca="false">IFERROR(B124/B123-1,"")</f>
        <v/>
      </c>
      <c r="D124" s="29" t="str">
        <f aca="false">IFERROR(B124/B120-1,"")</f>
        <v/>
      </c>
      <c r="E124" s="31" t="str">
        <f aca="false">IFERROR(IF(AND(B124="",ISNUMBER($C$108),ISNUMBER($G$108)),$C$108*(1+$G$108)^(($A124-$E$108)/365.25),""),"")</f>
        <v/>
      </c>
      <c r="F124" s="31" t="str">
        <f aca="false">IFERROR(IF(AND(B124="",ISNUMBER($C$108),ISNUMBER($G$108)),$C$108*(1+$G$108*0.85^MAX(0,($A124-$E$108)/91.25))^(($A124-$E$108)/365.25),""),"")</f>
        <v/>
      </c>
      <c r="J124" s="32" t="n">
        <v>2021</v>
      </c>
      <c r="K124" s="31" t="n">
        <f aca="false">IFERROR(SUMIFS($B$111:$B$202,$A$111:$A$202,"&gt;="&amp;DATE(J124,1,1),$A$111:$A$202,"&lt;="&amp;DATE(J124,12,31)),"")</f>
        <v>0</v>
      </c>
      <c r="L124" s="29" t="str">
        <f aca="false">IFERROR(K124/K123-1,"")</f>
        <v/>
      </c>
      <c r="M124" s="31" t="n">
        <f aca="false">IFERROR(SUMIFS($E$111:$E$202,$A$111:$A$202,"&gt;="&amp;DATE(J124,1,1),$A$111:$A$202,"&lt;="&amp;DATE(J124,12,31)),"")</f>
        <v>0</v>
      </c>
    </row>
    <row r="125" customFormat="false" ht="15" hidden="false" customHeight="false" outlineLevel="0" collapsed="false">
      <c r="A125" s="15" t="n">
        <v>40725</v>
      </c>
      <c r="B125" s="20" t="str">
        <f aca="true">IFERROR(IF(SUMIFS(INDIRECT(Index!$M$12),INDIRECT(Index!$L$12),"&gt;="&amp;$A125,INDIRECT(Index!$L$12),"&lt;"&amp;EDATE($A125,3))=0,"",SUMIFS(INDIRECT(Index!$M$12),INDIRECT(Index!$L$12),"&gt;="&amp;$A125,INDIRECT(Index!$L$12),"&lt;"&amp;EDATE($A125,3))),"")</f>
        <v/>
      </c>
      <c r="C125" s="33" t="str">
        <f aca="false">IFERROR(B125/B124-1,"")</f>
        <v/>
      </c>
      <c r="D125" s="33" t="str">
        <f aca="false">IFERROR(B125/B121-1,"")</f>
        <v/>
      </c>
      <c r="E125" s="25" t="str">
        <f aca="false">IFERROR(IF(AND(B125="",ISNUMBER($C$108),ISNUMBER($G$108)),$C$108*(1+$G$108)^(($A125-$E$108)/365.25),""),"")</f>
        <v/>
      </c>
      <c r="F125" s="25" t="str">
        <f aca="false">IFERROR(IF(AND(B125="",ISNUMBER($C$108),ISNUMBER($G$108)),$C$108*(1+$G$108*0.85^MAX(0,($A125-$E$108)/91.25))^(($A125-$E$108)/365.25),""),"")</f>
        <v/>
      </c>
      <c r="J125" s="26" t="n">
        <v>2022</v>
      </c>
      <c r="K125" s="25" t="n">
        <f aca="false">IFERROR(SUMIFS($B$111:$B$202,$A$111:$A$202,"&gt;="&amp;DATE(J125,1,1),$A$111:$A$202,"&lt;="&amp;DATE(J125,12,31)),"")</f>
        <v>0</v>
      </c>
      <c r="L125" s="33" t="str">
        <f aca="false">IFERROR(K125/K124-1,"")</f>
        <v/>
      </c>
      <c r="M125" s="25" t="n">
        <f aca="false">IFERROR(SUMIFS($E$111:$E$202,$A$111:$A$202,"&gt;="&amp;DATE(J125,1,1),$A$111:$A$202,"&lt;="&amp;DATE(J125,12,31)),"")</f>
        <v>0</v>
      </c>
    </row>
    <row r="126" customFormat="false" ht="15" hidden="false" customHeight="false" outlineLevel="0" collapsed="false">
      <c r="A126" s="27" t="n">
        <v>40817</v>
      </c>
      <c r="B126" s="28" t="str">
        <f aca="true">IFERROR(IF(SUMIFS(INDIRECT(Index!$M$12),INDIRECT(Index!$L$12),"&gt;="&amp;$A126,INDIRECT(Index!$L$12),"&lt;"&amp;EDATE($A126,3))=0,"",SUMIFS(INDIRECT(Index!$M$12),INDIRECT(Index!$L$12),"&gt;="&amp;$A126,INDIRECT(Index!$L$12),"&lt;"&amp;EDATE($A126,3))),"")</f>
        <v/>
      </c>
      <c r="C126" s="29" t="str">
        <f aca="false">IFERROR(B126/B125-1,"")</f>
        <v/>
      </c>
      <c r="D126" s="29" t="str">
        <f aca="false">IFERROR(B126/B122-1,"")</f>
        <v/>
      </c>
      <c r="E126" s="31" t="str">
        <f aca="false">IFERROR(IF(AND(B126="",ISNUMBER($C$108),ISNUMBER($G$108)),$C$108*(1+$G$108)^(($A126-$E$108)/365.25),""),"")</f>
        <v/>
      </c>
      <c r="F126" s="31" t="str">
        <f aca="false">IFERROR(IF(AND(B126="",ISNUMBER($C$108),ISNUMBER($G$108)),$C$108*(1+$G$108*0.85^MAX(0,($A126-$E$108)/91.25))^(($A126-$E$108)/365.25),""),"")</f>
        <v/>
      </c>
      <c r="J126" s="32" t="n">
        <v>2023</v>
      </c>
      <c r="K126" s="31" t="n">
        <f aca="false">IFERROR(SUMIFS($B$111:$B$202,$A$111:$A$202,"&gt;="&amp;DATE(J126,1,1),$A$111:$A$202,"&lt;="&amp;DATE(J126,12,31)),"")</f>
        <v>0</v>
      </c>
      <c r="L126" s="29" t="str">
        <f aca="false">IFERROR(K126/K125-1,"")</f>
        <v/>
      </c>
      <c r="M126" s="31" t="n">
        <f aca="false">IFERROR(SUMIFS($E$111:$E$202,$A$111:$A$202,"&gt;="&amp;DATE(J126,1,1),$A$111:$A$202,"&lt;="&amp;DATE(J126,12,31)),"")</f>
        <v>0</v>
      </c>
    </row>
    <row r="127" customFormat="false" ht="15" hidden="false" customHeight="false" outlineLevel="0" collapsed="false">
      <c r="A127" s="15" t="n">
        <v>40909</v>
      </c>
      <c r="B127" s="20" t="str">
        <f aca="true">IFERROR(IF(SUMIFS(INDIRECT(Index!$M$12),INDIRECT(Index!$L$12),"&gt;="&amp;$A127,INDIRECT(Index!$L$12),"&lt;"&amp;EDATE($A127,3))=0,"",SUMIFS(INDIRECT(Index!$M$12),INDIRECT(Index!$L$12),"&gt;="&amp;$A127,INDIRECT(Index!$L$12),"&lt;"&amp;EDATE($A127,3))),"")</f>
        <v/>
      </c>
      <c r="C127" s="33" t="str">
        <f aca="false">IFERROR(B127/B126-1,"")</f>
        <v/>
      </c>
      <c r="D127" s="33" t="str">
        <f aca="false">IFERROR(B127/B123-1,"")</f>
        <v/>
      </c>
      <c r="E127" s="25" t="str">
        <f aca="false">IFERROR(IF(AND(B127="",ISNUMBER($C$108),ISNUMBER($G$108)),$C$108*(1+$G$108)^(($A127-$E$108)/365.25),""),"")</f>
        <v/>
      </c>
      <c r="F127" s="25" t="str">
        <f aca="false">IFERROR(IF(AND(B127="",ISNUMBER($C$108),ISNUMBER($G$108)),$C$108*(1+$G$108*0.85^MAX(0,($A127-$E$108)/91.25))^(($A127-$E$108)/365.25),""),"")</f>
        <v/>
      </c>
      <c r="J127" s="26" t="n">
        <v>2024</v>
      </c>
      <c r="K127" s="25" t="n">
        <f aca="false">IFERROR(SUMIFS($B$111:$B$202,$A$111:$A$202,"&gt;="&amp;DATE(J127,1,1),$A$111:$A$202,"&lt;="&amp;DATE(J127,12,31)),"")</f>
        <v>0</v>
      </c>
      <c r="L127" s="33" t="str">
        <f aca="false">IFERROR(K127/K126-1,"")</f>
        <v/>
      </c>
      <c r="M127" s="25" t="n">
        <f aca="false">IFERROR(SUMIFS($E$111:$E$202,$A$111:$A$202,"&gt;="&amp;DATE(J127,1,1),$A$111:$A$202,"&lt;="&amp;DATE(J127,12,31)),"")</f>
        <v>0</v>
      </c>
    </row>
    <row r="128" customFormat="false" ht="15" hidden="false" customHeight="false" outlineLevel="0" collapsed="false">
      <c r="A128" s="27" t="n">
        <v>41000</v>
      </c>
      <c r="B128" s="28" t="str">
        <f aca="true">IFERROR(IF(SUMIFS(INDIRECT(Index!$M$12),INDIRECT(Index!$L$12),"&gt;="&amp;$A128,INDIRECT(Index!$L$12),"&lt;"&amp;EDATE($A128,3))=0,"",SUMIFS(INDIRECT(Index!$M$12),INDIRECT(Index!$L$12),"&gt;="&amp;$A128,INDIRECT(Index!$L$12),"&lt;"&amp;EDATE($A128,3))),"")</f>
        <v/>
      </c>
      <c r="C128" s="29" t="str">
        <f aca="false">IFERROR(B128/B127-1,"")</f>
        <v/>
      </c>
      <c r="D128" s="29" t="str">
        <f aca="false">IFERROR(B128/B124-1,"")</f>
        <v/>
      </c>
      <c r="E128" s="31" t="str">
        <f aca="false">IFERROR(IF(AND(B128="",ISNUMBER($C$108),ISNUMBER($G$108)),$C$108*(1+$G$108)^(($A128-$E$108)/365.25),""),"")</f>
        <v/>
      </c>
      <c r="F128" s="31" t="str">
        <f aca="false">IFERROR(IF(AND(B128="",ISNUMBER($C$108),ISNUMBER($G$108)),$C$108*(1+$G$108*0.85^MAX(0,($A128-$E$108)/91.25))^(($A128-$E$108)/365.25),""),"")</f>
        <v/>
      </c>
      <c r="J128" s="32" t="n">
        <v>2025</v>
      </c>
      <c r="K128" s="31" t="n">
        <f aca="false">IFERROR(SUMIFS($B$111:$B$202,$A$111:$A$202,"&gt;="&amp;DATE(J128,1,1),$A$111:$A$202,"&lt;="&amp;DATE(J128,12,31)),"")</f>
        <v>0</v>
      </c>
      <c r="L128" s="29" t="str">
        <f aca="false">IFERROR(K128/K127-1,"")</f>
        <v/>
      </c>
      <c r="M128" s="31" t="n">
        <f aca="false">IFERROR(SUMIFS($E$111:$E$202,$A$111:$A$202,"&gt;="&amp;DATE(J128,1,1),$A$111:$A$202,"&lt;="&amp;DATE(J128,12,31)),"")</f>
        <v>0</v>
      </c>
    </row>
    <row r="129" customFormat="false" ht="15" hidden="false" customHeight="false" outlineLevel="0" collapsed="false">
      <c r="A129" s="15" t="n">
        <v>41091</v>
      </c>
      <c r="B129" s="20" t="str">
        <f aca="true">IFERROR(IF(SUMIFS(INDIRECT(Index!$M$12),INDIRECT(Index!$L$12),"&gt;="&amp;$A129,INDIRECT(Index!$L$12),"&lt;"&amp;EDATE($A129,3))=0,"",SUMIFS(INDIRECT(Index!$M$12),INDIRECT(Index!$L$12),"&gt;="&amp;$A129,INDIRECT(Index!$L$12),"&lt;"&amp;EDATE($A129,3))),"")</f>
        <v/>
      </c>
      <c r="C129" s="33" t="str">
        <f aca="false">IFERROR(B129/B128-1,"")</f>
        <v/>
      </c>
      <c r="D129" s="33" t="str">
        <f aca="false">IFERROR(B129/B125-1,"")</f>
        <v/>
      </c>
      <c r="E129" s="25" t="str">
        <f aca="false">IFERROR(IF(AND(B129="",ISNUMBER($C$108),ISNUMBER($G$108)),$C$108*(1+$G$108)^(($A129-$E$108)/365.25),""),"")</f>
        <v/>
      </c>
      <c r="F129" s="25" t="str">
        <f aca="false">IFERROR(IF(AND(B129="",ISNUMBER($C$108),ISNUMBER($G$108)),$C$108*(1+$G$108*0.85^MAX(0,($A129-$E$108)/91.25))^(($A129-$E$108)/365.25),""),"")</f>
        <v/>
      </c>
      <c r="J129" s="26" t="n">
        <v>2026</v>
      </c>
      <c r="K129" s="25" t="n">
        <f aca="false">IFERROR(SUMIFS($B$111:$B$202,$A$111:$A$202,"&gt;="&amp;DATE(J129,1,1),$A$111:$A$202,"&lt;="&amp;DATE(J129,12,31)),"")</f>
        <v>0</v>
      </c>
      <c r="L129" s="33" t="str">
        <f aca="false">IFERROR(K129/K128-1,"")</f>
        <v/>
      </c>
      <c r="M129" s="25" t="n">
        <f aca="false">IFERROR(SUMIFS($E$111:$E$202,$A$111:$A$202,"&gt;="&amp;DATE(J129,1,1),$A$111:$A$202,"&lt;="&amp;DATE(J129,12,31)),"")</f>
        <v>0</v>
      </c>
    </row>
    <row r="130" customFormat="false" ht="15" hidden="false" customHeight="false" outlineLevel="0" collapsed="false">
      <c r="A130" s="27" t="n">
        <v>41183</v>
      </c>
      <c r="B130" s="28" t="str">
        <f aca="true">IFERROR(IF(SUMIFS(INDIRECT(Index!$M$12),INDIRECT(Index!$L$12),"&gt;="&amp;$A130,INDIRECT(Index!$L$12),"&lt;"&amp;EDATE($A130,3))=0,"",SUMIFS(INDIRECT(Index!$M$12),INDIRECT(Index!$L$12),"&gt;="&amp;$A130,INDIRECT(Index!$L$12),"&lt;"&amp;EDATE($A130,3))),"")</f>
        <v/>
      </c>
      <c r="C130" s="29" t="str">
        <f aca="false">IFERROR(B130/B129-1,"")</f>
        <v/>
      </c>
      <c r="D130" s="29" t="str">
        <f aca="false">IFERROR(B130/B126-1,"")</f>
        <v/>
      </c>
      <c r="E130" s="31" t="str">
        <f aca="false">IFERROR(IF(AND(B130="",ISNUMBER($C$108),ISNUMBER($G$108)),$C$108*(1+$G$108)^(($A130-$E$108)/365.25),""),"")</f>
        <v/>
      </c>
      <c r="F130" s="31" t="str">
        <f aca="false">IFERROR(IF(AND(B130="",ISNUMBER($C$108),ISNUMBER($G$108)),$C$108*(1+$G$108*0.85^MAX(0,($A130-$E$108)/91.25))^(($A130-$E$108)/365.25),""),"")</f>
        <v/>
      </c>
      <c r="J130" s="32" t="n">
        <v>2027</v>
      </c>
      <c r="K130" s="31" t="n">
        <f aca="false">IFERROR(SUMIFS($B$111:$B$202,$A$111:$A$202,"&gt;="&amp;DATE(J130,1,1),$A$111:$A$202,"&lt;="&amp;DATE(J130,12,31)),"")</f>
        <v>0</v>
      </c>
      <c r="L130" s="29" t="str">
        <f aca="false">IFERROR(K130/K129-1,"")</f>
        <v/>
      </c>
      <c r="M130" s="31" t="n">
        <f aca="false">IFERROR(SUMIFS($E$111:$E$202,$A$111:$A$202,"&gt;="&amp;DATE(J130,1,1),$A$111:$A$202,"&lt;="&amp;DATE(J130,12,31)),"")</f>
        <v>0</v>
      </c>
    </row>
    <row r="131" customFormat="false" ht="15" hidden="false" customHeight="false" outlineLevel="0" collapsed="false">
      <c r="A131" s="15" t="n">
        <v>41275</v>
      </c>
      <c r="B131" s="20" t="str">
        <f aca="true">IFERROR(IF(SUMIFS(INDIRECT(Index!$M$12),INDIRECT(Index!$L$12),"&gt;="&amp;$A131,INDIRECT(Index!$L$12),"&lt;"&amp;EDATE($A131,3))=0,"",SUMIFS(INDIRECT(Index!$M$12),INDIRECT(Index!$L$12),"&gt;="&amp;$A131,INDIRECT(Index!$L$12),"&lt;"&amp;EDATE($A131,3))),"")</f>
        <v/>
      </c>
      <c r="C131" s="33" t="str">
        <f aca="false">IFERROR(B131/B130-1,"")</f>
        <v/>
      </c>
      <c r="D131" s="33" t="str">
        <f aca="false">IFERROR(B131/B127-1,"")</f>
        <v/>
      </c>
      <c r="E131" s="25" t="str">
        <f aca="false">IFERROR(IF(AND(B131="",ISNUMBER($C$108),ISNUMBER($G$108)),$C$108*(1+$G$108)^(($A131-$E$108)/365.25),""),"")</f>
        <v/>
      </c>
      <c r="F131" s="25" t="str">
        <f aca="false">IFERROR(IF(AND(B131="",ISNUMBER($C$108),ISNUMBER($G$108)),$C$108*(1+$G$108*0.85^MAX(0,($A131-$E$108)/91.25))^(($A131-$E$108)/365.25),""),"")</f>
        <v/>
      </c>
      <c r="J131" s="26" t="n">
        <v>2028</v>
      </c>
      <c r="K131" s="25" t="n">
        <f aca="false">IFERROR(SUMIFS($B$111:$B$202,$A$111:$A$202,"&gt;="&amp;DATE(J131,1,1),$A$111:$A$202,"&lt;="&amp;DATE(J131,12,31)),"")</f>
        <v>0</v>
      </c>
      <c r="L131" s="33" t="str">
        <f aca="false">IFERROR(K131/K130-1,"")</f>
        <v/>
      </c>
      <c r="M131" s="25" t="n">
        <f aca="false">IFERROR(SUMIFS($E$111:$E$202,$A$111:$A$202,"&gt;="&amp;DATE(J131,1,1),$A$111:$A$202,"&lt;="&amp;DATE(J131,12,31)),"")</f>
        <v>0</v>
      </c>
    </row>
    <row r="132" customFormat="false" ht="15" hidden="false" customHeight="false" outlineLevel="0" collapsed="false">
      <c r="A132" s="27" t="n">
        <v>41365</v>
      </c>
      <c r="B132" s="28" t="str">
        <f aca="true">IFERROR(IF(SUMIFS(INDIRECT(Index!$M$12),INDIRECT(Index!$L$12),"&gt;="&amp;$A132,INDIRECT(Index!$L$12),"&lt;"&amp;EDATE($A132,3))=0,"",SUMIFS(INDIRECT(Index!$M$12),INDIRECT(Index!$L$12),"&gt;="&amp;$A132,INDIRECT(Index!$L$12),"&lt;"&amp;EDATE($A132,3))),"")</f>
        <v/>
      </c>
      <c r="C132" s="29" t="str">
        <f aca="false">IFERROR(B132/B131-1,"")</f>
        <v/>
      </c>
      <c r="D132" s="29" t="str">
        <f aca="false">IFERROR(B132/B128-1,"")</f>
        <v/>
      </c>
      <c r="E132" s="31" t="str">
        <f aca="false">IFERROR(IF(AND(B132="",ISNUMBER($C$108),ISNUMBER($G$108)),$C$108*(1+$G$108)^(($A132-$E$108)/365.25),""),"")</f>
        <v/>
      </c>
      <c r="F132" s="31" t="str">
        <f aca="false">IFERROR(IF(AND(B132="",ISNUMBER($C$108),ISNUMBER($G$108)),$C$108*(1+$G$108*0.85^MAX(0,($A132-$E$108)/91.25))^(($A132-$E$108)/365.25),""),"")</f>
        <v/>
      </c>
      <c r="J132" s="32" t="n">
        <v>2029</v>
      </c>
      <c r="K132" s="31" t="n">
        <f aca="false">IFERROR(SUMIFS($B$111:$B$202,$A$111:$A$202,"&gt;="&amp;DATE(J132,1,1),$A$111:$A$202,"&lt;="&amp;DATE(J132,12,31)),"")</f>
        <v>0</v>
      </c>
      <c r="L132" s="29" t="str">
        <f aca="false">IFERROR(K132/K131-1,"")</f>
        <v/>
      </c>
      <c r="M132" s="31" t="n">
        <f aca="false">IFERROR(SUMIFS($E$111:$E$202,$A$111:$A$202,"&gt;="&amp;DATE(J132,1,1),$A$111:$A$202,"&lt;="&amp;DATE(J132,12,31)),"")</f>
        <v>0</v>
      </c>
    </row>
    <row r="133" customFormat="false" ht="15" hidden="false" customHeight="false" outlineLevel="0" collapsed="false">
      <c r="A133" s="15" t="n">
        <v>41456</v>
      </c>
      <c r="B133" s="20" t="str">
        <f aca="true">IFERROR(IF(SUMIFS(INDIRECT(Index!$M$12),INDIRECT(Index!$L$12),"&gt;="&amp;$A133,INDIRECT(Index!$L$12),"&lt;"&amp;EDATE($A133,3))=0,"",SUMIFS(INDIRECT(Index!$M$12),INDIRECT(Index!$L$12),"&gt;="&amp;$A133,INDIRECT(Index!$L$12),"&lt;"&amp;EDATE($A133,3))),"")</f>
        <v/>
      </c>
      <c r="C133" s="33" t="str">
        <f aca="false">IFERROR(B133/B132-1,"")</f>
        <v/>
      </c>
      <c r="D133" s="33" t="str">
        <f aca="false">IFERROR(B133/B129-1,"")</f>
        <v/>
      </c>
      <c r="E133" s="25" t="str">
        <f aca="false">IFERROR(IF(AND(B133="",ISNUMBER($C$108),ISNUMBER($G$108)),$C$108*(1+$G$108)^(($A133-$E$108)/365.25),""),"")</f>
        <v/>
      </c>
      <c r="F133" s="25" t="str">
        <f aca="false">IFERROR(IF(AND(B133="",ISNUMBER($C$108),ISNUMBER($G$108)),$C$108*(1+$G$108*0.85^MAX(0,($A133-$E$108)/91.25))^(($A133-$E$108)/365.25),""),"")</f>
        <v/>
      </c>
      <c r="J133" s="26" t="n">
        <v>2030</v>
      </c>
      <c r="K133" s="25" t="n">
        <f aca="false">IFERROR(SUMIFS($B$111:$B$202,$A$111:$A$202,"&gt;="&amp;DATE(J133,1,1),$A$111:$A$202,"&lt;="&amp;DATE(J133,12,31)),"")</f>
        <v>0</v>
      </c>
      <c r="L133" s="33" t="str">
        <f aca="false">IFERROR(K133/K132-1,"")</f>
        <v/>
      </c>
      <c r="M133" s="25" t="n">
        <f aca="false">IFERROR(SUMIFS($E$111:$E$202,$A$111:$A$202,"&gt;="&amp;DATE(J133,1,1),$A$111:$A$202,"&lt;="&amp;DATE(J133,12,31)),"")</f>
        <v>0</v>
      </c>
    </row>
    <row r="134" customFormat="false" ht="15" hidden="false" customHeight="false" outlineLevel="0" collapsed="false">
      <c r="A134" s="27" t="n">
        <v>41548</v>
      </c>
      <c r="B134" s="28" t="str">
        <f aca="true">IFERROR(IF(SUMIFS(INDIRECT(Index!$M$12),INDIRECT(Index!$L$12),"&gt;="&amp;$A134,INDIRECT(Index!$L$12),"&lt;"&amp;EDATE($A134,3))=0,"",SUMIFS(INDIRECT(Index!$M$12),INDIRECT(Index!$L$12),"&gt;="&amp;$A134,INDIRECT(Index!$L$12),"&lt;"&amp;EDATE($A134,3))),"")</f>
        <v/>
      </c>
      <c r="C134" s="29" t="str">
        <f aca="false">IFERROR(B134/B133-1,"")</f>
        <v/>
      </c>
      <c r="D134" s="29" t="str">
        <f aca="false">IFERROR(B134/B130-1,"")</f>
        <v/>
      </c>
      <c r="E134" s="31" t="str">
        <f aca="false">IFERROR(IF(AND(B134="",ISNUMBER($C$108),ISNUMBER($G$108)),$C$108*(1+$G$108)^(($A134-$E$108)/365.25),""),"")</f>
        <v/>
      </c>
      <c r="F134" s="31" t="str">
        <f aca="false">IFERROR(IF(AND(B134="",ISNUMBER($C$108),ISNUMBER($G$108)),$C$108*(1+$G$108*0.85^MAX(0,($A134-$E$108)/91.25))^(($A134-$E$108)/365.25),""),"")</f>
        <v/>
      </c>
    </row>
    <row r="135" customFormat="false" ht="15" hidden="false" customHeight="false" outlineLevel="0" collapsed="false">
      <c r="A135" s="15" t="n">
        <v>41640</v>
      </c>
      <c r="B135" s="20" t="str">
        <f aca="true">IFERROR(IF(SUMIFS(INDIRECT(Index!$M$12),INDIRECT(Index!$L$12),"&gt;="&amp;$A135,INDIRECT(Index!$L$12),"&lt;"&amp;EDATE($A135,3))=0,"",SUMIFS(INDIRECT(Index!$M$12),INDIRECT(Index!$L$12),"&gt;="&amp;$A135,INDIRECT(Index!$L$12),"&lt;"&amp;EDATE($A135,3))),"")</f>
        <v/>
      </c>
      <c r="C135" s="33" t="str">
        <f aca="false">IFERROR(B135/B134-1,"")</f>
        <v/>
      </c>
      <c r="D135" s="33" t="str">
        <f aca="false">IFERROR(B135/B131-1,"")</f>
        <v/>
      </c>
      <c r="E135" s="25" t="str">
        <f aca="false">IFERROR(IF(AND(B135="",ISNUMBER($C$108),ISNUMBER($G$108)),$C$108*(1+$G$108)^(($A135-$E$108)/365.25),""),"")</f>
        <v/>
      </c>
      <c r="F135" s="25" t="str">
        <f aca="false">IFERROR(IF(AND(B135="",ISNUMBER($C$108),ISNUMBER($G$108)),$C$108*(1+$G$108*0.85^MAX(0,($A135-$E$108)/91.25))^(($A135-$E$108)/365.25),""),"")</f>
        <v/>
      </c>
    </row>
    <row r="136" customFormat="false" ht="15" hidden="false" customHeight="false" outlineLevel="0" collapsed="false">
      <c r="A136" s="27" t="n">
        <v>41730</v>
      </c>
      <c r="B136" s="28" t="str">
        <f aca="true">IFERROR(IF(SUMIFS(INDIRECT(Index!$M$12),INDIRECT(Index!$L$12),"&gt;="&amp;$A136,INDIRECT(Index!$L$12),"&lt;"&amp;EDATE($A136,3))=0,"",SUMIFS(INDIRECT(Index!$M$12),INDIRECT(Index!$L$12),"&gt;="&amp;$A136,INDIRECT(Index!$L$12),"&lt;"&amp;EDATE($A136,3))),"")</f>
        <v/>
      </c>
      <c r="C136" s="29" t="str">
        <f aca="false">IFERROR(B136/B135-1,"")</f>
        <v/>
      </c>
      <c r="D136" s="29" t="str">
        <f aca="false">IFERROR(B136/B132-1,"")</f>
        <v/>
      </c>
      <c r="E136" s="31" t="str">
        <f aca="false">IFERROR(IF(AND(B136="",ISNUMBER($C$108),ISNUMBER($G$108)),$C$108*(1+$G$108)^(($A136-$E$108)/365.25),""),"")</f>
        <v/>
      </c>
      <c r="F136" s="31" t="str">
        <f aca="false">IFERROR(IF(AND(B136="",ISNUMBER($C$108),ISNUMBER($G$108)),$C$108*(1+$G$108*0.85^MAX(0,($A136-$E$108)/91.25))^(($A136-$E$108)/365.25),""),"")</f>
        <v/>
      </c>
    </row>
    <row r="137" customFormat="false" ht="15" hidden="false" customHeight="false" outlineLevel="0" collapsed="false">
      <c r="A137" s="15" t="n">
        <v>41821</v>
      </c>
      <c r="B137" s="20" t="str">
        <f aca="true">IFERROR(IF(SUMIFS(INDIRECT(Index!$M$12),INDIRECT(Index!$L$12),"&gt;="&amp;$A137,INDIRECT(Index!$L$12),"&lt;"&amp;EDATE($A137,3))=0,"",SUMIFS(INDIRECT(Index!$M$12),INDIRECT(Index!$L$12),"&gt;="&amp;$A137,INDIRECT(Index!$L$12),"&lt;"&amp;EDATE($A137,3))),"")</f>
        <v/>
      </c>
      <c r="C137" s="33" t="str">
        <f aca="false">IFERROR(B137/B136-1,"")</f>
        <v/>
      </c>
      <c r="D137" s="33" t="str">
        <f aca="false">IFERROR(B137/B133-1,"")</f>
        <v/>
      </c>
      <c r="E137" s="25" t="str">
        <f aca="false">IFERROR(IF(AND(B137="",ISNUMBER($C$108),ISNUMBER($G$108)),$C$108*(1+$G$108)^(($A137-$E$108)/365.25),""),"")</f>
        <v/>
      </c>
      <c r="F137" s="25" t="str">
        <f aca="false">IFERROR(IF(AND(B137="",ISNUMBER($C$108),ISNUMBER($G$108)),$C$108*(1+$G$108*0.85^MAX(0,($A137-$E$108)/91.25))^(($A137-$E$108)/365.25),""),"")</f>
        <v/>
      </c>
    </row>
    <row r="138" customFormat="false" ht="15" hidden="false" customHeight="false" outlineLevel="0" collapsed="false">
      <c r="A138" s="27" t="n">
        <v>41913</v>
      </c>
      <c r="B138" s="28" t="str">
        <f aca="true">IFERROR(IF(SUMIFS(INDIRECT(Index!$M$12),INDIRECT(Index!$L$12),"&gt;="&amp;$A138,INDIRECT(Index!$L$12),"&lt;"&amp;EDATE($A138,3))=0,"",SUMIFS(INDIRECT(Index!$M$12),INDIRECT(Index!$L$12),"&gt;="&amp;$A138,INDIRECT(Index!$L$12),"&lt;"&amp;EDATE($A138,3))),"")</f>
        <v/>
      </c>
      <c r="C138" s="29" t="str">
        <f aca="false">IFERROR(B138/B137-1,"")</f>
        <v/>
      </c>
      <c r="D138" s="29" t="str">
        <f aca="false">IFERROR(B138/B134-1,"")</f>
        <v/>
      </c>
      <c r="E138" s="31" t="str">
        <f aca="false">IFERROR(IF(AND(B138="",ISNUMBER($C$108),ISNUMBER($G$108)),$C$108*(1+$G$108)^(($A138-$E$108)/365.25),""),"")</f>
        <v/>
      </c>
      <c r="F138" s="31" t="str">
        <f aca="false">IFERROR(IF(AND(B138="",ISNUMBER($C$108),ISNUMBER($G$108)),$C$108*(1+$G$108*0.85^MAX(0,($A138-$E$108)/91.25))^(($A138-$E$108)/365.25),""),"")</f>
        <v/>
      </c>
    </row>
    <row r="139" customFormat="false" ht="15" hidden="false" customHeight="false" outlineLevel="0" collapsed="false">
      <c r="A139" s="15" t="n">
        <v>42005</v>
      </c>
      <c r="B139" s="20" t="str">
        <f aca="true">IFERROR(IF(SUMIFS(INDIRECT(Index!$M$12),INDIRECT(Index!$L$12),"&gt;="&amp;$A139,INDIRECT(Index!$L$12),"&lt;"&amp;EDATE($A139,3))=0,"",SUMIFS(INDIRECT(Index!$M$12),INDIRECT(Index!$L$12),"&gt;="&amp;$A139,INDIRECT(Index!$L$12),"&lt;"&amp;EDATE($A139,3))),"")</f>
        <v/>
      </c>
      <c r="C139" s="33" t="str">
        <f aca="false">IFERROR(B139/B138-1,"")</f>
        <v/>
      </c>
      <c r="D139" s="33" t="str">
        <f aca="false">IFERROR(B139/B135-1,"")</f>
        <v/>
      </c>
      <c r="E139" s="25" t="str">
        <f aca="false">IFERROR(IF(AND(B139="",ISNUMBER($C$108),ISNUMBER($G$108)),$C$108*(1+$G$108)^(($A139-$E$108)/365.25),""),"")</f>
        <v/>
      </c>
      <c r="F139" s="25" t="str">
        <f aca="false">IFERROR(IF(AND(B139="",ISNUMBER($C$108),ISNUMBER($G$108)),$C$108*(1+$G$108*0.85^MAX(0,($A139-$E$108)/91.25))^(($A139-$E$108)/365.25),""),"")</f>
        <v/>
      </c>
    </row>
    <row r="140" customFormat="false" ht="15" hidden="false" customHeight="false" outlineLevel="0" collapsed="false">
      <c r="A140" s="27" t="n">
        <v>42095</v>
      </c>
      <c r="B140" s="28" t="str">
        <f aca="true">IFERROR(IF(SUMIFS(INDIRECT(Index!$M$12),INDIRECT(Index!$L$12),"&gt;="&amp;$A140,INDIRECT(Index!$L$12),"&lt;"&amp;EDATE($A140,3))=0,"",SUMIFS(INDIRECT(Index!$M$12),INDIRECT(Index!$L$12),"&gt;="&amp;$A140,INDIRECT(Index!$L$12),"&lt;"&amp;EDATE($A140,3))),"")</f>
        <v/>
      </c>
      <c r="C140" s="29" t="str">
        <f aca="false">IFERROR(B140/B139-1,"")</f>
        <v/>
      </c>
      <c r="D140" s="29" t="str">
        <f aca="false">IFERROR(B140/B136-1,"")</f>
        <v/>
      </c>
      <c r="E140" s="31" t="str">
        <f aca="false">IFERROR(IF(AND(B140="",ISNUMBER($C$108),ISNUMBER($G$108)),$C$108*(1+$G$108)^(($A140-$E$108)/365.25),""),"")</f>
        <v/>
      </c>
      <c r="F140" s="31" t="str">
        <f aca="false">IFERROR(IF(AND(B140="",ISNUMBER($C$108),ISNUMBER($G$108)),$C$108*(1+$G$108*0.85^MAX(0,($A140-$E$108)/91.25))^(($A140-$E$108)/365.25),""),"")</f>
        <v/>
      </c>
    </row>
    <row r="141" customFormat="false" ht="15" hidden="false" customHeight="false" outlineLevel="0" collapsed="false">
      <c r="A141" s="15" t="n">
        <v>42186</v>
      </c>
      <c r="B141" s="20" t="str">
        <f aca="true">IFERROR(IF(SUMIFS(INDIRECT(Index!$M$12),INDIRECT(Index!$L$12),"&gt;="&amp;$A141,INDIRECT(Index!$L$12),"&lt;"&amp;EDATE($A141,3))=0,"",SUMIFS(INDIRECT(Index!$M$12),INDIRECT(Index!$L$12),"&gt;="&amp;$A141,INDIRECT(Index!$L$12),"&lt;"&amp;EDATE($A141,3))),"")</f>
        <v/>
      </c>
      <c r="C141" s="33" t="str">
        <f aca="false">IFERROR(B141/B140-1,"")</f>
        <v/>
      </c>
      <c r="D141" s="33" t="str">
        <f aca="false">IFERROR(B141/B137-1,"")</f>
        <v/>
      </c>
      <c r="E141" s="25" t="str">
        <f aca="false">IFERROR(IF(AND(B141="",ISNUMBER($C$108),ISNUMBER($G$108)),$C$108*(1+$G$108)^(($A141-$E$108)/365.25),""),"")</f>
        <v/>
      </c>
      <c r="F141" s="25" t="str">
        <f aca="false">IFERROR(IF(AND(B141="",ISNUMBER($C$108),ISNUMBER($G$108)),$C$108*(1+$G$108*0.85^MAX(0,($A141-$E$108)/91.25))^(($A141-$E$108)/365.25),""),"")</f>
        <v/>
      </c>
    </row>
    <row r="142" customFormat="false" ht="15" hidden="false" customHeight="false" outlineLevel="0" collapsed="false">
      <c r="A142" s="27" t="n">
        <v>42278</v>
      </c>
      <c r="B142" s="28" t="str">
        <f aca="true">IFERROR(IF(SUMIFS(INDIRECT(Index!$M$12),INDIRECT(Index!$L$12),"&gt;="&amp;$A142,INDIRECT(Index!$L$12),"&lt;"&amp;EDATE($A142,3))=0,"",SUMIFS(INDIRECT(Index!$M$12),INDIRECT(Index!$L$12),"&gt;="&amp;$A142,INDIRECT(Index!$L$12),"&lt;"&amp;EDATE($A142,3))),"")</f>
        <v/>
      </c>
      <c r="C142" s="29" t="str">
        <f aca="false">IFERROR(B142/B141-1,"")</f>
        <v/>
      </c>
      <c r="D142" s="29" t="str">
        <f aca="false">IFERROR(B142/B138-1,"")</f>
        <v/>
      </c>
      <c r="E142" s="31" t="str">
        <f aca="false">IFERROR(IF(AND(B142="",ISNUMBER($C$108),ISNUMBER($G$108)),$C$108*(1+$G$108)^(($A142-$E$108)/365.25),""),"")</f>
        <v/>
      </c>
      <c r="F142" s="31" t="str">
        <f aca="false">IFERROR(IF(AND(B142="",ISNUMBER($C$108),ISNUMBER($G$108)),$C$108*(1+$G$108*0.85^MAX(0,($A142-$E$108)/91.25))^(($A142-$E$108)/365.25),""),"")</f>
        <v/>
      </c>
    </row>
    <row r="143" customFormat="false" ht="15" hidden="false" customHeight="false" outlineLevel="0" collapsed="false">
      <c r="A143" s="15" t="n">
        <v>42370</v>
      </c>
      <c r="B143" s="20" t="str">
        <f aca="true">IFERROR(IF(SUMIFS(INDIRECT(Index!$M$12),INDIRECT(Index!$L$12),"&gt;="&amp;$A143,INDIRECT(Index!$L$12),"&lt;"&amp;EDATE($A143,3))=0,"",SUMIFS(INDIRECT(Index!$M$12),INDIRECT(Index!$L$12),"&gt;="&amp;$A143,INDIRECT(Index!$L$12),"&lt;"&amp;EDATE($A143,3))),"")</f>
        <v/>
      </c>
      <c r="C143" s="33" t="str">
        <f aca="false">IFERROR(B143/B142-1,"")</f>
        <v/>
      </c>
      <c r="D143" s="33" t="str">
        <f aca="false">IFERROR(B143/B139-1,"")</f>
        <v/>
      </c>
      <c r="E143" s="25" t="str">
        <f aca="false">IFERROR(IF(AND(B143="",ISNUMBER($C$108),ISNUMBER($G$108)),$C$108*(1+$G$108)^(($A143-$E$108)/365.25),""),"")</f>
        <v/>
      </c>
      <c r="F143" s="25" t="str">
        <f aca="false">IFERROR(IF(AND(B143="",ISNUMBER($C$108),ISNUMBER($G$108)),$C$108*(1+$G$108*0.85^MAX(0,($A143-$E$108)/91.25))^(($A143-$E$108)/365.25),""),"")</f>
        <v/>
      </c>
    </row>
    <row r="144" customFormat="false" ht="15" hidden="false" customHeight="false" outlineLevel="0" collapsed="false">
      <c r="A144" s="27" t="n">
        <v>42461</v>
      </c>
      <c r="B144" s="28" t="str">
        <f aca="true">IFERROR(IF(SUMIFS(INDIRECT(Index!$M$12),INDIRECT(Index!$L$12),"&gt;="&amp;$A144,INDIRECT(Index!$L$12),"&lt;"&amp;EDATE($A144,3))=0,"",SUMIFS(INDIRECT(Index!$M$12),INDIRECT(Index!$L$12),"&gt;="&amp;$A144,INDIRECT(Index!$L$12),"&lt;"&amp;EDATE($A144,3))),"")</f>
        <v/>
      </c>
      <c r="C144" s="29" t="str">
        <f aca="false">IFERROR(B144/B143-1,"")</f>
        <v/>
      </c>
      <c r="D144" s="29" t="str">
        <f aca="false">IFERROR(B144/B140-1,"")</f>
        <v/>
      </c>
      <c r="E144" s="31" t="str">
        <f aca="false">IFERROR(IF(AND(B144="",ISNUMBER($C$108),ISNUMBER($G$108)),$C$108*(1+$G$108)^(($A144-$E$108)/365.25),""),"")</f>
        <v/>
      </c>
      <c r="F144" s="31" t="str">
        <f aca="false">IFERROR(IF(AND(B144="",ISNUMBER($C$108),ISNUMBER($G$108)),$C$108*(1+$G$108*0.85^MAX(0,($A144-$E$108)/91.25))^(($A144-$E$108)/365.25),""),"")</f>
        <v/>
      </c>
    </row>
    <row r="145" customFormat="false" ht="15" hidden="false" customHeight="false" outlineLevel="0" collapsed="false">
      <c r="A145" s="15" t="n">
        <v>42552</v>
      </c>
      <c r="B145" s="20" t="str">
        <f aca="true">IFERROR(IF(SUMIFS(INDIRECT(Index!$M$12),INDIRECT(Index!$L$12),"&gt;="&amp;$A145,INDIRECT(Index!$L$12),"&lt;"&amp;EDATE($A145,3))=0,"",SUMIFS(INDIRECT(Index!$M$12),INDIRECT(Index!$L$12),"&gt;="&amp;$A145,INDIRECT(Index!$L$12),"&lt;"&amp;EDATE($A145,3))),"")</f>
        <v/>
      </c>
      <c r="C145" s="33" t="str">
        <f aca="false">IFERROR(B145/B144-1,"")</f>
        <v/>
      </c>
      <c r="D145" s="33" t="str">
        <f aca="false">IFERROR(B145/B141-1,"")</f>
        <v/>
      </c>
      <c r="E145" s="25" t="str">
        <f aca="false">IFERROR(IF(AND(B145="",ISNUMBER($C$108),ISNUMBER($G$108)),$C$108*(1+$G$108)^(($A145-$E$108)/365.25),""),"")</f>
        <v/>
      </c>
      <c r="F145" s="25" t="str">
        <f aca="false">IFERROR(IF(AND(B145="",ISNUMBER($C$108),ISNUMBER($G$108)),$C$108*(1+$G$108*0.85^MAX(0,($A145-$E$108)/91.25))^(($A145-$E$108)/365.25),""),"")</f>
        <v/>
      </c>
    </row>
    <row r="146" customFormat="false" ht="15" hidden="false" customHeight="false" outlineLevel="0" collapsed="false">
      <c r="A146" s="27" t="n">
        <v>42644</v>
      </c>
      <c r="B146" s="28" t="str">
        <f aca="true">IFERROR(IF(SUMIFS(INDIRECT(Index!$M$12),INDIRECT(Index!$L$12),"&gt;="&amp;$A146,INDIRECT(Index!$L$12),"&lt;"&amp;EDATE($A146,3))=0,"",SUMIFS(INDIRECT(Index!$M$12),INDIRECT(Index!$L$12),"&gt;="&amp;$A146,INDIRECT(Index!$L$12),"&lt;"&amp;EDATE($A146,3))),"")</f>
        <v/>
      </c>
      <c r="C146" s="29" t="str">
        <f aca="false">IFERROR(B146/B145-1,"")</f>
        <v/>
      </c>
      <c r="D146" s="29" t="str">
        <f aca="false">IFERROR(B146/B142-1,"")</f>
        <v/>
      </c>
      <c r="E146" s="31" t="str">
        <f aca="false">IFERROR(IF(AND(B146="",ISNUMBER($C$108),ISNUMBER($G$108)),$C$108*(1+$G$108)^(($A146-$E$108)/365.25),""),"")</f>
        <v/>
      </c>
      <c r="F146" s="31" t="str">
        <f aca="false">IFERROR(IF(AND(B146="",ISNUMBER($C$108),ISNUMBER($G$108)),$C$108*(1+$G$108*0.85^MAX(0,($A146-$E$108)/91.25))^(($A146-$E$108)/365.25),""),"")</f>
        <v/>
      </c>
    </row>
    <row r="147" customFormat="false" ht="15" hidden="false" customHeight="false" outlineLevel="0" collapsed="false">
      <c r="A147" s="15" t="n">
        <v>42736</v>
      </c>
      <c r="B147" s="20" t="str">
        <f aca="true">IFERROR(IF(SUMIFS(INDIRECT(Index!$M$12),INDIRECT(Index!$L$12),"&gt;="&amp;$A147,INDIRECT(Index!$L$12),"&lt;"&amp;EDATE($A147,3))=0,"",SUMIFS(INDIRECT(Index!$M$12),INDIRECT(Index!$L$12),"&gt;="&amp;$A147,INDIRECT(Index!$L$12),"&lt;"&amp;EDATE($A147,3))),"")</f>
        <v/>
      </c>
      <c r="C147" s="33" t="str">
        <f aca="false">IFERROR(B147/B146-1,"")</f>
        <v/>
      </c>
      <c r="D147" s="33" t="str">
        <f aca="false">IFERROR(B147/B143-1,"")</f>
        <v/>
      </c>
      <c r="E147" s="25" t="str">
        <f aca="false">IFERROR(IF(AND(B147="",ISNUMBER($C$108),ISNUMBER($G$108)),$C$108*(1+$G$108)^(($A147-$E$108)/365.25),""),"")</f>
        <v/>
      </c>
      <c r="F147" s="25" t="str">
        <f aca="false">IFERROR(IF(AND(B147="",ISNUMBER($C$108),ISNUMBER($G$108)),$C$108*(1+$G$108*0.85^MAX(0,($A147-$E$108)/91.25))^(($A147-$E$108)/365.25),""),"")</f>
        <v/>
      </c>
    </row>
    <row r="148" customFormat="false" ht="15" hidden="false" customHeight="false" outlineLevel="0" collapsed="false">
      <c r="A148" s="27" t="n">
        <v>42826</v>
      </c>
      <c r="B148" s="28" t="str">
        <f aca="true">IFERROR(IF(SUMIFS(INDIRECT(Index!$M$12),INDIRECT(Index!$L$12),"&gt;="&amp;$A148,INDIRECT(Index!$L$12),"&lt;"&amp;EDATE($A148,3))=0,"",SUMIFS(INDIRECT(Index!$M$12),INDIRECT(Index!$L$12),"&gt;="&amp;$A148,INDIRECT(Index!$L$12),"&lt;"&amp;EDATE($A148,3))),"")</f>
        <v/>
      </c>
      <c r="C148" s="29" t="str">
        <f aca="false">IFERROR(B148/B147-1,"")</f>
        <v/>
      </c>
      <c r="D148" s="29" t="str">
        <f aca="false">IFERROR(B148/B144-1,"")</f>
        <v/>
      </c>
      <c r="E148" s="31" t="str">
        <f aca="false">IFERROR(IF(AND(B148="",ISNUMBER($C$108),ISNUMBER($G$108)),$C$108*(1+$G$108)^(($A148-$E$108)/365.25),""),"")</f>
        <v/>
      </c>
      <c r="F148" s="31" t="str">
        <f aca="false">IFERROR(IF(AND(B148="",ISNUMBER($C$108),ISNUMBER($G$108)),$C$108*(1+$G$108*0.85^MAX(0,($A148-$E$108)/91.25))^(($A148-$E$108)/365.25),""),"")</f>
        <v/>
      </c>
    </row>
    <row r="149" customFormat="false" ht="15" hidden="false" customHeight="false" outlineLevel="0" collapsed="false">
      <c r="A149" s="15" t="n">
        <v>42917</v>
      </c>
      <c r="B149" s="20" t="str">
        <f aca="true">IFERROR(IF(SUMIFS(INDIRECT(Index!$M$12),INDIRECT(Index!$L$12),"&gt;="&amp;$A149,INDIRECT(Index!$L$12),"&lt;"&amp;EDATE($A149,3))=0,"",SUMIFS(INDIRECT(Index!$M$12),INDIRECT(Index!$L$12),"&gt;="&amp;$A149,INDIRECT(Index!$L$12),"&lt;"&amp;EDATE($A149,3))),"")</f>
        <v/>
      </c>
      <c r="C149" s="33" t="str">
        <f aca="false">IFERROR(B149/B148-1,"")</f>
        <v/>
      </c>
      <c r="D149" s="33" t="str">
        <f aca="false">IFERROR(B149/B145-1,"")</f>
        <v/>
      </c>
      <c r="E149" s="25" t="str">
        <f aca="false">IFERROR(IF(AND(B149="",ISNUMBER($C$108),ISNUMBER($G$108)),$C$108*(1+$G$108)^(($A149-$E$108)/365.25),""),"")</f>
        <v/>
      </c>
      <c r="F149" s="25" t="str">
        <f aca="false">IFERROR(IF(AND(B149="",ISNUMBER($C$108),ISNUMBER($G$108)),$C$108*(1+$G$108*0.85^MAX(0,($A149-$E$108)/91.25))^(($A149-$E$108)/365.25),""),"")</f>
        <v/>
      </c>
    </row>
    <row r="150" customFormat="false" ht="15" hidden="false" customHeight="false" outlineLevel="0" collapsed="false">
      <c r="A150" s="27" t="n">
        <v>43009</v>
      </c>
      <c r="B150" s="28" t="str">
        <f aca="true">IFERROR(IF(SUMIFS(INDIRECT(Index!$M$12),INDIRECT(Index!$L$12),"&gt;="&amp;$A150,INDIRECT(Index!$L$12),"&lt;"&amp;EDATE($A150,3))=0,"",SUMIFS(INDIRECT(Index!$M$12),INDIRECT(Index!$L$12),"&gt;="&amp;$A150,INDIRECT(Index!$L$12),"&lt;"&amp;EDATE($A150,3))),"")</f>
        <v/>
      </c>
      <c r="C150" s="29" t="str">
        <f aca="false">IFERROR(B150/B149-1,"")</f>
        <v/>
      </c>
      <c r="D150" s="29" t="str">
        <f aca="false">IFERROR(B150/B146-1,"")</f>
        <v/>
      </c>
      <c r="E150" s="31" t="str">
        <f aca="false">IFERROR(IF(AND(B150="",ISNUMBER($C$108),ISNUMBER($G$108)),$C$108*(1+$G$108)^(($A150-$E$108)/365.25),""),"")</f>
        <v/>
      </c>
      <c r="F150" s="31" t="str">
        <f aca="false">IFERROR(IF(AND(B150="",ISNUMBER($C$108),ISNUMBER($G$108)),$C$108*(1+$G$108*0.85^MAX(0,($A150-$E$108)/91.25))^(($A150-$E$108)/365.25),""),"")</f>
        <v/>
      </c>
    </row>
    <row r="151" customFormat="false" ht="15" hidden="false" customHeight="false" outlineLevel="0" collapsed="false">
      <c r="A151" s="15" t="n">
        <v>43101</v>
      </c>
      <c r="B151" s="20" t="str">
        <f aca="true">IFERROR(IF(SUMIFS(INDIRECT(Index!$M$12),INDIRECT(Index!$L$12),"&gt;="&amp;$A151,INDIRECT(Index!$L$12),"&lt;"&amp;EDATE($A151,3))=0,"",SUMIFS(INDIRECT(Index!$M$12),INDIRECT(Index!$L$12),"&gt;="&amp;$A151,INDIRECT(Index!$L$12),"&lt;"&amp;EDATE($A151,3))),"")</f>
        <v/>
      </c>
      <c r="C151" s="33" t="str">
        <f aca="false">IFERROR(B151/B150-1,"")</f>
        <v/>
      </c>
      <c r="D151" s="33" t="str">
        <f aca="false">IFERROR(B151/B147-1,"")</f>
        <v/>
      </c>
      <c r="E151" s="25" t="str">
        <f aca="false">IFERROR(IF(AND(B151="",ISNUMBER($C$108),ISNUMBER($G$108)),$C$108*(1+$G$108)^(($A151-$E$108)/365.25),""),"")</f>
        <v/>
      </c>
      <c r="F151" s="25" t="str">
        <f aca="false">IFERROR(IF(AND(B151="",ISNUMBER($C$108),ISNUMBER($G$108)),$C$108*(1+$G$108*0.85^MAX(0,($A151-$E$108)/91.25))^(($A151-$E$108)/365.25),""),"")</f>
        <v/>
      </c>
    </row>
    <row r="152" customFormat="false" ht="15" hidden="false" customHeight="false" outlineLevel="0" collapsed="false">
      <c r="A152" s="27" t="n">
        <v>43191</v>
      </c>
      <c r="B152" s="28" t="str">
        <f aca="true">IFERROR(IF(SUMIFS(INDIRECT(Index!$M$12),INDIRECT(Index!$L$12),"&gt;="&amp;$A152,INDIRECT(Index!$L$12),"&lt;"&amp;EDATE($A152,3))=0,"",SUMIFS(INDIRECT(Index!$M$12),INDIRECT(Index!$L$12),"&gt;="&amp;$A152,INDIRECT(Index!$L$12),"&lt;"&amp;EDATE($A152,3))),"")</f>
        <v/>
      </c>
      <c r="C152" s="29" t="str">
        <f aca="false">IFERROR(B152/B151-1,"")</f>
        <v/>
      </c>
      <c r="D152" s="29" t="str">
        <f aca="false">IFERROR(B152/B148-1,"")</f>
        <v/>
      </c>
      <c r="E152" s="31" t="str">
        <f aca="false">IFERROR(IF(AND(B152="",ISNUMBER($C$108),ISNUMBER($G$108)),$C$108*(1+$G$108)^(($A152-$E$108)/365.25),""),"")</f>
        <v/>
      </c>
      <c r="F152" s="31" t="str">
        <f aca="false">IFERROR(IF(AND(B152="",ISNUMBER($C$108),ISNUMBER($G$108)),$C$108*(1+$G$108*0.85^MAX(0,($A152-$E$108)/91.25))^(($A152-$E$108)/365.25),""),"")</f>
        <v/>
      </c>
    </row>
    <row r="153" customFormat="false" ht="15" hidden="false" customHeight="false" outlineLevel="0" collapsed="false">
      <c r="A153" s="15" t="n">
        <v>43282</v>
      </c>
      <c r="B153" s="20" t="str">
        <f aca="true">IFERROR(IF(SUMIFS(INDIRECT(Index!$M$12),INDIRECT(Index!$L$12),"&gt;="&amp;$A153,INDIRECT(Index!$L$12),"&lt;"&amp;EDATE($A153,3))=0,"",SUMIFS(INDIRECT(Index!$M$12),INDIRECT(Index!$L$12),"&gt;="&amp;$A153,INDIRECT(Index!$L$12),"&lt;"&amp;EDATE($A153,3))),"")</f>
        <v/>
      </c>
      <c r="C153" s="33" t="str">
        <f aca="false">IFERROR(B153/B152-1,"")</f>
        <v/>
      </c>
      <c r="D153" s="33" t="str">
        <f aca="false">IFERROR(B153/B149-1,"")</f>
        <v/>
      </c>
      <c r="E153" s="25" t="str">
        <f aca="false">IFERROR(IF(AND(B153="",ISNUMBER($C$108),ISNUMBER($G$108)),$C$108*(1+$G$108)^(($A153-$E$108)/365.25),""),"")</f>
        <v/>
      </c>
      <c r="F153" s="25" t="str">
        <f aca="false">IFERROR(IF(AND(B153="",ISNUMBER($C$108),ISNUMBER($G$108)),$C$108*(1+$G$108*0.85^MAX(0,($A153-$E$108)/91.25))^(($A153-$E$108)/365.25),""),"")</f>
        <v/>
      </c>
    </row>
    <row r="154" customFormat="false" ht="15" hidden="false" customHeight="false" outlineLevel="0" collapsed="false">
      <c r="A154" s="27" t="n">
        <v>43374</v>
      </c>
      <c r="B154" s="28" t="str">
        <f aca="true">IFERROR(IF(SUMIFS(INDIRECT(Index!$M$12),INDIRECT(Index!$L$12),"&gt;="&amp;$A154,INDIRECT(Index!$L$12),"&lt;"&amp;EDATE($A154,3))=0,"",SUMIFS(INDIRECT(Index!$M$12),INDIRECT(Index!$L$12),"&gt;="&amp;$A154,INDIRECT(Index!$L$12),"&lt;"&amp;EDATE($A154,3))),"")</f>
        <v/>
      </c>
      <c r="C154" s="29" t="str">
        <f aca="false">IFERROR(B154/B153-1,"")</f>
        <v/>
      </c>
      <c r="D154" s="29" t="str">
        <f aca="false">IFERROR(B154/B150-1,"")</f>
        <v/>
      </c>
      <c r="E154" s="31" t="str">
        <f aca="false">IFERROR(IF(AND(B154="",ISNUMBER($C$108),ISNUMBER($G$108)),$C$108*(1+$G$108)^(($A154-$E$108)/365.25),""),"")</f>
        <v/>
      </c>
      <c r="F154" s="31" t="str">
        <f aca="false">IFERROR(IF(AND(B154="",ISNUMBER($C$108),ISNUMBER($G$108)),$C$108*(1+$G$108*0.85^MAX(0,($A154-$E$108)/91.25))^(($A154-$E$108)/365.25),""),"")</f>
        <v/>
      </c>
    </row>
    <row r="155" customFormat="false" ht="15" hidden="false" customHeight="false" outlineLevel="0" collapsed="false">
      <c r="A155" s="15" t="n">
        <v>43466</v>
      </c>
      <c r="B155" s="20" t="str">
        <f aca="true">IFERROR(IF(SUMIFS(INDIRECT(Index!$M$12),INDIRECT(Index!$L$12),"&gt;="&amp;$A155,INDIRECT(Index!$L$12),"&lt;"&amp;EDATE($A155,3))=0,"",SUMIFS(INDIRECT(Index!$M$12),INDIRECT(Index!$L$12),"&gt;="&amp;$A155,INDIRECT(Index!$L$12),"&lt;"&amp;EDATE($A155,3))),"")</f>
        <v/>
      </c>
      <c r="C155" s="33" t="str">
        <f aca="false">IFERROR(B155/B154-1,"")</f>
        <v/>
      </c>
      <c r="D155" s="33" t="str">
        <f aca="false">IFERROR(B155/B151-1,"")</f>
        <v/>
      </c>
      <c r="E155" s="25" t="str">
        <f aca="false">IFERROR(IF(AND(B155="",ISNUMBER($C$108),ISNUMBER($G$108)),$C$108*(1+$G$108)^(($A155-$E$108)/365.25),""),"")</f>
        <v/>
      </c>
      <c r="F155" s="25" t="str">
        <f aca="false">IFERROR(IF(AND(B155="",ISNUMBER($C$108),ISNUMBER($G$108)),$C$108*(1+$G$108*0.85^MAX(0,($A155-$E$108)/91.25))^(($A155-$E$108)/365.25),""),"")</f>
        <v/>
      </c>
    </row>
    <row r="156" customFormat="false" ht="15" hidden="false" customHeight="false" outlineLevel="0" collapsed="false">
      <c r="A156" s="27" t="n">
        <v>43556</v>
      </c>
      <c r="B156" s="28" t="str">
        <f aca="true">IFERROR(IF(SUMIFS(INDIRECT(Index!$M$12),INDIRECT(Index!$L$12),"&gt;="&amp;$A156,INDIRECT(Index!$L$12),"&lt;"&amp;EDATE($A156,3))=0,"",SUMIFS(INDIRECT(Index!$M$12),INDIRECT(Index!$L$12),"&gt;="&amp;$A156,INDIRECT(Index!$L$12),"&lt;"&amp;EDATE($A156,3))),"")</f>
        <v/>
      </c>
      <c r="C156" s="29" t="str">
        <f aca="false">IFERROR(B156/B155-1,"")</f>
        <v/>
      </c>
      <c r="D156" s="29" t="str">
        <f aca="false">IFERROR(B156/B152-1,"")</f>
        <v/>
      </c>
      <c r="E156" s="31" t="str">
        <f aca="false">IFERROR(IF(AND(B156="",ISNUMBER($C$108),ISNUMBER($G$108)),$C$108*(1+$G$108)^(($A156-$E$108)/365.25),""),"")</f>
        <v/>
      </c>
      <c r="F156" s="31" t="str">
        <f aca="false">IFERROR(IF(AND(B156="",ISNUMBER($C$108),ISNUMBER($G$108)),$C$108*(1+$G$108*0.85^MAX(0,($A156-$E$108)/91.25))^(($A156-$E$108)/365.25),""),"")</f>
        <v/>
      </c>
    </row>
    <row r="157" customFormat="false" ht="15" hidden="false" customHeight="false" outlineLevel="0" collapsed="false">
      <c r="A157" s="15" t="n">
        <v>43647</v>
      </c>
      <c r="B157" s="20" t="str">
        <f aca="true">IFERROR(IF(SUMIFS(INDIRECT(Index!$M$12),INDIRECT(Index!$L$12),"&gt;="&amp;$A157,INDIRECT(Index!$L$12),"&lt;"&amp;EDATE($A157,3))=0,"",SUMIFS(INDIRECT(Index!$M$12),INDIRECT(Index!$L$12),"&gt;="&amp;$A157,INDIRECT(Index!$L$12),"&lt;"&amp;EDATE($A157,3))),"")</f>
        <v/>
      </c>
      <c r="C157" s="33" t="str">
        <f aca="false">IFERROR(B157/B156-1,"")</f>
        <v/>
      </c>
      <c r="D157" s="33" t="str">
        <f aca="false">IFERROR(B157/B153-1,"")</f>
        <v/>
      </c>
      <c r="E157" s="25" t="str">
        <f aca="false">IFERROR(IF(AND(B157="",ISNUMBER($C$108),ISNUMBER($G$108)),$C$108*(1+$G$108)^(($A157-$E$108)/365.25),""),"")</f>
        <v/>
      </c>
      <c r="F157" s="25" t="str">
        <f aca="false">IFERROR(IF(AND(B157="",ISNUMBER($C$108),ISNUMBER($G$108)),$C$108*(1+$G$108*0.85^MAX(0,($A157-$E$108)/91.25))^(($A157-$E$108)/365.25),""),"")</f>
        <v/>
      </c>
    </row>
    <row r="158" customFormat="false" ht="15" hidden="false" customHeight="false" outlineLevel="0" collapsed="false">
      <c r="A158" s="27" t="n">
        <v>43739</v>
      </c>
      <c r="B158" s="28" t="str">
        <f aca="true">IFERROR(IF(SUMIFS(INDIRECT(Index!$M$12),INDIRECT(Index!$L$12),"&gt;="&amp;$A158,INDIRECT(Index!$L$12),"&lt;"&amp;EDATE($A158,3))=0,"",SUMIFS(INDIRECT(Index!$M$12),INDIRECT(Index!$L$12),"&gt;="&amp;$A158,INDIRECT(Index!$L$12),"&lt;"&amp;EDATE($A158,3))),"")</f>
        <v/>
      </c>
      <c r="C158" s="29" t="str">
        <f aca="false">IFERROR(B158/B157-1,"")</f>
        <v/>
      </c>
      <c r="D158" s="29" t="str">
        <f aca="false">IFERROR(B158/B154-1,"")</f>
        <v/>
      </c>
      <c r="E158" s="31" t="str">
        <f aca="false">IFERROR(IF(AND(B158="",ISNUMBER($C$108),ISNUMBER($G$108)),$C$108*(1+$G$108)^(($A158-$E$108)/365.25),""),"")</f>
        <v/>
      </c>
      <c r="F158" s="31" t="str">
        <f aca="false">IFERROR(IF(AND(B158="",ISNUMBER($C$108),ISNUMBER($G$108)),$C$108*(1+$G$108*0.85^MAX(0,($A158-$E$108)/91.25))^(($A158-$E$108)/365.25),""),"")</f>
        <v/>
      </c>
    </row>
    <row r="159" customFormat="false" ht="15" hidden="false" customHeight="false" outlineLevel="0" collapsed="false">
      <c r="A159" s="15" t="n">
        <v>43831</v>
      </c>
      <c r="B159" s="20" t="str">
        <f aca="true">IFERROR(IF(SUMIFS(INDIRECT(Index!$M$12),INDIRECT(Index!$L$12),"&gt;="&amp;$A159,INDIRECT(Index!$L$12),"&lt;"&amp;EDATE($A159,3))=0,"",SUMIFS(INDIRECT(Index!$M$12),INDIRECT(Index!$L$12),"&gt;="&amp;$A159,INDIRECT(Index!$L$12),"&lt;"&amp;EDATE($A159,3))),"")</f>
        <v/>
      </c>
      <c r="C159" s="33" t="str">
        <f aca="false">IFERROR(B159/B158-1,"")</f>
        <v/>
      </c>
      <c r="D159" s="33" t="str">
        <f aca="false">IFERROR(B159/B155-1,"")</f>
        <v/>
      </c>
      <c r="E159" s="25" t="str">
        <f aca="false">IFERROR(IF(AND(B159="",ISNUMBER($C$108),ISNUMBER($G$108)),$C$108*(1+$G$108)^(($A159-$E$108)/365.25),""),"")</f>
        <v/>
      </c>
      <c r="F159" s="25" t="str">
        <f aca="false">IFERROR(IF(AND(B159="",ISNUMBER($C$108),ISNUMBER($G$108)),$C$108*(1+$G$108*0.85^MAX(0,($A159-$E$108)/91.25))^(($A159-$E$108)/365.25),""),"")</f>
        <v/>
      </c>
    </row>
    <row r="160" customFormat="false" ht="15" hidden="false" customHeight="false" outlineLevel="0" collapsed="false">
      <c r="A160" s="27" t="n">
        <v>43922</v>
      </c>
      <c r="B160" s="28" t="str">
        <f aca="true">IFERROR(IF(SUMIFS(INDIRECT(Index!$M$12),INDIRECT(Index!$L$12),"&gt;="&amp;$A160,INDIRECT(Index!$L$12),"&lt;"&amp;EDATE($A160,3))=0,"",SUMIFS(INDIRECT(Index!$M$12),INDIRECT(Index!$L$12),"&gt;="&amp;$A160,INDIRECT(Index!$L$12),"&lt;"&amp;EDATE($A160,3))),"")</f>
        <v/>
      </c>
      <c r="C160" s="29" t="str">
        <f aca="false">IFERROR(B160/B159-1,"")</f>
        <v/>
      </c>
      <c r="D160" s="29" t="str">
        <f aca="false">IFERROR(B160/B156-1,"")</f>
        <v/>
      </c>
      <c r="E160" s="31" t="str">
        <f aca="false">IFERROR(IF(AND(B160="",ISNUMBER($C$108),ISNUMBER($G$108)),$C$108*(1+$G$108)^(($A160-$E$108)/365.25),""),"")</f>
        <v/>
      </c>
      <c r="F160" s="31" t="str">
        <f aca="false">IFERROR(IF(AND(B160="",ISNUMBER($C$108),ISNUMBER($G$108)),$C$108*(1+$G$108*0.85^MAX(0,($A160-$E$108)/91.25))^(($A160-$E$108)/365.25),""),"")</f>
        <v/>
      </c>
    </row>
    <row r="161" customFormat="false" ht="15" hidden="false" customHeight="false" outlineLevel="0" collapsed="false">
      <c r="A161" s="15" t="n">
        <v>44013</v>
      </c>
      <c r="B161" s="20" t="str">
        <f aca="true">IFERROR(IF(SUMIFS(INDIRECT(Index!$M$12),INDIRECT(Index!$L$12),"&gt;="&amp;$A161,INDIRECT(Index!$L$12),"&lt;"&amp;EDATE($A161,3))=0,"",SUMIFS(INDIRECT(Index!$M$12),INDIRECT(Index!$L$12),"&gt;="&amp;$A161,INDIRECT(Index!$L$12),"&lt;"&amp;EDATE($A161,3))),"")</f>
        <v/>
      </c>
      <c r="C161" s="33" t="str">
        <f aca="false">IFERROR(B161/B160-1,"")</f>
        <v/>
      </c>
      <c r="D161" s="33" t="str">
        <f aca="false">IFERROR(B161/B157-1,"")</f>
        <v/>
      </c>
      <c r="E161" s="25" t="str">
        <f aca="false">IFERROR(IF(AND(B161="",ISNUMBER($C$108),ISNUMBER($G$108)),$C$108*(1+$G$108)^(($A161-$E$108)/365.25),""),"")</f>
        <v/>
      </c>
      <c r="F161" s="25" t="str">
        <f aca="false">IFERROR(IF(AND(B161="",ISNUMBER($C$108),ISNUMBER($G$108)),$C$108*(1+$G$108*0.85^MAX(0,($A161-$E$108)/91.25))^(($A161-$E$108)/365.25),""),"")</f>
        <v/>
      </c>
    </row>
    <row r="162" customFormat="false" ht="15" hidden="false" customHeight="false" outlineLevel="0" collapsed="false">
      <c r="A162" s="27" t="n">
        <v>44105</v>
      </c>
      <c r="B162" s="28" t="str">
        <f aca="true">IFERROR(IF(SUMIFS(INDIRECT(Index!$M$12),INDIRECT(Index!$L$12),"&gt;="&amp;$A162,INDIRECT(Index!$L$12),"&lt;"&amp;EDATE($A162,3))=0,"",SUMIFS(INDIRECT(Index!$M$12),INDIRECT(Index!$L$12),"&gt;="&amp;$A162,INDIRECT(Index!$L$12),"&lt;"&amp;EDATE($A162,3))),"")</f>
        <v/>
      </c>
      <c r="C162" s="29" t="str">
        <f aca="false">IFERROR(B162/B161-1,"")</f>
        <v/>
      </c>
      <c r="D162" s="29" t="str">
        <f aca="false">IFERROR(B162/B158-1,"")</f>
        <v/>
      </c>
      <c r="E162" s="31" t="str">
        <f aca="false">IFERROR(IF(AND(B162="",ISNUMBER($C$108),ISNUMBER($G$108)),$C$108*(1+$G$108)^(($A162-$E$108)/365.25),""),"")</f>
        <v/>
      </c>
      <c r="F162" s="31" t="str">
        <f aca="false">IFERROR(IF(AND(B162="",ISNUMBER($C$108),ISNUMBER($G$108)),$C$108*(1+$G$108*0.85^MAX(0,($A162-$E$108)/91.25))^(($A162-$E$108)/365.25),""),"")</f>
        <v/>
      </c>
    </row>
    <row r="163" customFormat="false" ht="15" hidden="false" customHeight="false" outlineLevel="0" collapsed="false">
      <c r="A163" s="15" t="n">
        <v>44197</v>
      </c>
      <c r="B163" s="20" t="str">
        <f aca="true">IFERROR(IF(SUMIFS(INDIRECT(Index!$M$12),INDIRECT(Index!$L$12),"&gt;="&amp;$A163,INDIRECT(Index!$L$12),"&lt;"&amp;EDATE($A163,3))=0,"",SUMIFS(INDIRECT(Index!$M$12),INDIRECT(Index!$L$12),"&gt;="&amp;$A163,INDIRECT(Index!$L$12),"&lt;"&amp;EDATE($A163,3))),"")</f>
        <v/>
      </c>
      <c r="C163" s="33" t="str">
        <f aca="false">IFERROR(B163/B162-1,"")</f>
        <v/>
      </c>
      <c r="D163" s="33" t="str">
        <f aca="false">IFERROR(B163/B159-1,"")</f>
        <v/>
      </c>
      <c r="E163" s="25" t="str">
        <f aca="false">IFERROR(IF(AND(B163="",ISNUMBER($C$108),ISNUMBER($G$108)),$C$108*(1+$G$108)^(($A163-$E$108)/365.25),""),"")</f>
        <v/>
      </c>
      <c r="F163" s="25" t="str">
        <f aca="false">IFERROR(IF(AND(B163="",ISNUMBER($C$108),ISNUMBER($G$108)),$C$108*(1+$G$108*0.85^MAX(0,($A163-$E$108)/91.25))^(($A163-$E$108)/365.25),""),"")</f>
        <v/>
      </c>
    </row>
    <row r="164" customFormat="false" ht="15" hidden="false" customHeight="false" outlineLevel="0" collapsed="false">
      <c r="A164" s="27" t="n">
        <v>44287</v>
      </c>
      <c r="B164" s="28" t="str">
        <f aca="true">IFERROR(IF(SUMIFS(INDIRECT(Index!$M$12),INDIRECT(Index!$L$12),"&gt;="&amp;$A164,INDIRECT(Index!$L$12),"&lt;"&amp;EDATE($A164,3))=0,"",SUMIFS(INDIRECT(Index!$M$12),INDIRECT(Index!$L$12),"&gt;="&amp;$A164,INDIRECT(Index!$L$12),"&lt;"&amp;EDATE($A164,3))),"")</f>
        <v/>
      </c>
      <c r="C164" s="29" t="str">
        <f aca="false">IFERROR(B164/B163-1,"")</f>
        <v/>
      </c>
      <c r="D164" s="29" t="str">
        <f aca="false">IFERROR(B164/B160-1,"")</f>
        <v/>
      </c>
      <c r="E164" s="31" t="str">
        <f aca="false">IFERROR(IF(AND(B164="",ISNUMBER($C$108),ISNUMBER($G$108)),$C$108*(1+$G$108)^(($A164-$E$108)/365.25),""),"")</f>
        <v/>
      </c>
      <c r="F164" s="31" t="str">
        <f aca="false">IFERROR(IF(AND(B164="",ISNUMBER($C$108),ISNUMBER($G$108)),$C$108*(1+$G$108*0.85^MAX(0,($A164-$E$108)/91.25))^(($A164-$E$108)/365.25),""),"")</f>
        <v/>
      </c>
    </row>
    <row r="165" customFormat="false" ht="15" hidden="false" customHeight="false" outlineLevel="0" collapsed="false">
      <c r="A165" s="15" t="n">
        <v>44378</v>
      </c>
      <c r="B165" s="20" t="str">
        <f aca="true">IFERROR(IF(SUMIFS(INDIRECT(Index!$M$12),INDIRECT(Index!$L$12),"&gt;="&amp;$A165,INDIRECT(Index!$L$12),"&lt;"&amp;EDATE($A165,3))=0,"",SUMIFS(INDIRECT(Index!$M$12),INDIRECT(Index!$L$12),"&gt;="&amp;$A165,INDIRECT(Index!$L$12),"&lt;"&amp;EDATE($A165,3))),"")</f>
        <v/>
      </c>
      <c r="C165" s="33" t="str">
        <f aca="false">IFERROR(B165/B164-1,"")</f>
        <v/>
      </c>
      <c r="D165" s="33" t="str">
        <f aca="false">IFERROR(B165/B161-1,"")</f>
        <v/>
      </c>
      <c r="E165" s="25" t="str">
        <f aca="false">IFERROR(IF(AND(B165="",ISNUMBER($C$108),ISNUMBER($G$108)),$C$108*(1+$G$108)^(($A165-$E$108)/365.25),""),"")</f>
        <v/>
      </c>
      <c r="F165" s="25" t="str">
        <f aca="false">IFERROR(IF(AND(B165="",ISNUMBER($C$108),ISNUMBER($G$108)),$C$108*(1+$G$108*0.85^MAX(0,($A165-$E$108)/91.25))^(($A165-$E$108)/365.25),""),"")</f>
        <v/>
      </c>
    </row>
    <row r="166" customFormat="false" ht="15" hidden="false" customHeight="false" outlineLevel="0" collapsed="false">
      <c r="A166" s="27" t="n">
        <v>44470</v>
      </c>
      <c r="B166" s="28" t="str">
        <f aca="true">IFERROR(IF(SUMIFS(INDIRECT(Index!$M$12),INDIRECT(Index!$L$12),"&gt;="&amp;$A166,INDIRECT(Index!$L$12),"&lt;"&amp;EDATE($A166,3))=0,"",SUMIFS(INDIRECT(Index!$M$12),INDIRECT(Index!$L$12),"&gt;="&amp;$A166,INDIRECT(Index!$L$12),"&lt;"&amp;EDATE($A166,3))),"")</f>
        <v/>
      </c>
      <c r="C166" s="29" t="str">
        <f aca="false">IFERROR(B166/B165-1,"")</f>
        <v/>
      </c>
      <c r="D166" s="29" t="str">
        <f aca="false">IFERROR(B166/B162-1,"")</f>
        <v/>
      </c>
      <c r="E166" s="31" t="str">
        <f aca="false">IFERROR(IF(AND(B166="",ISNUMBER($C$108),ISNUMBER($G$108)),$C$108*(1+$G$108)^(($A166-$E$108)/365.25),""),"")</f>
        <v/>
      </c>
      <c r="F166" s="31" t="str">
        <f aca="false">IFERROR(IF(AND(B166="",ISNUMBER($C$108),ISNUMBER($G$108)),$C$108*(1+$G$108*0.85^MAX(0,($A166-$E$108)/91.25))^(($A166-$E$108)/365.25),""),"")</f>
        <v/>
      </c>
    </row>
    <row r="167" customFormat="false" ht="15" hidden="false" customHeight="false" outlineLevel="0" collapsed="false">
      <c r="A167" s="15" t="n">
        <v>44562</v>
      </c>
      <c r="B167" s="20" t="str">
        <f aca="true">IFERROR(IF(SUMIFS(INDIRECT(Index!$M$12),INDIRECT(Index!$L$12),"&gt;="&amp;$A167,INDIRECT(Index!$L$12),"&lt;"&amp;EDATE($A167,3))=0,"",SUMIFS(INDIRECT(Index!$M$12),INDIRECT(Index!$L$12),"&gt;="&amp;$A167,INDIRECT(Index!$L$12),"&lt;"&amp;EDATE($A167,3))),"")</f>
        <v/>
      </c>
      <c r="C167" s="33" t="str">
        <f aca="false">IFERROR(B167/B166-1,"")</f>
        <v/>
      </c>
      <c r="D167" s="33" t="str">
        <f aca="false">IFERROR(B167/B163-1,"")</f>
        <v/>
      </c>
      <c r="E167" s="25" t="str">
        <f aca="false">IFERROR(IF(AND(B167="",ISNUMBER($C$108),ISNUMBER($G$108)),$C$108*(1+$G$108)^(($A167-$E$108)/365.25),""),"")</f>
        <v/>
      </c>
      <c r="F167" s="25" t="str">
        <f aca="false">IFERROR(IF(AND(B167="",ISNUMBER($C$108),ISNUMBER($G$108)),$C$108*(1+$G$108*0.85^MAX(0,($A167-$E$108)/91.25))^(($A167-$E$108)/365.25),""),"")</f>
        <v/>
      </c>
    </row>
    <row r="168" customFormat="false" ht="15" hidden="false" customHeight="false" outlineLevel="0" collapsed="false">
      <c r="A168" s="27" t="n">
        <v>44652</v>
      </c>
      <c r="B168" s="28" t="str">
        <f aca="true">IFERROR(IF(SUMIFS(INDIRECT(Index!$M$12),INDIRECT(Index!$L$12),"&gt;="&amp;$A168,INDIRECT(Index!$L$12),"&lt;"&amp;EDATE($A168,3))=0,"",SUMIFS(INDIRECT(Index!$M$12),INDIRECT(Index!$L$12),"&gt;="&amp;$A168,INDIRECT(Index!$L$12),"&lt;"&amp;EDATE($A168,3))),"")</f>
        <v/>
      </c>
      <c r="C168" s="29" t="str">
        <f aca="false">IFERROR(B168/B167-1,"")</f>
        <v/>
      </c>
      <c r="D168" s="29" t="str">
        <f aca="false">IFERROR(B168/B164-1,"")</f>
        <v/>
      </c>
      <c r="E168" s="31" t="str">
        <f aca="false">IFERROR(IF(AND(B168="",ISNUMBER($C$108),ISNUMBER($G$108)),$C$108*(1+$G$108)^(($A168-$E$108)/365.25),""),"")</f>
        <v/>
      </c>
      <c r="F168" s="31" t="str">
        <f aca="false">IFERROR(IF(AND(B168="",ISNUMBER($C$108),ISNUMBER($G$108)),$C$108*(1+$G$108*0.85^MAX(0,($A168-$E$108)/91.25))^(($A168-$E$108)/365.25),""),"")</f>
        <v/>
      </c>
    </row>
    <row r="169" customFormat="false" ht="15" hidden="false" customHeight="false" outlineLevel="0" collapsed="false">
      <c r="A169" s="15" t="n">
        <v>44743</v>
      </c>
      <c r="B169" s="20" t="str">
        <f aca="true">IFERROR(IF(SUMIFS(INDIRECT(Index!$M$12),INDIRECT(Index!$L$12),"&gt;="&amp;$A169,INDIRECT(Index!$L$12),"&lt;"&amp;EDATE($A169,3))=0,"",SUMIFS(INDIRECT(Index!$M$12),INDIRECT(Index!$L$12),"&gt;="&amp;$A169,INDIRECT(Index!$L$12),"&lt;"&amp;EDATE($A169,3))),"")</f>
        <v/>
      </c>
      <c r="C169" s="33" t="str">
        <f aca="false">IFERROR(B169/B168-1,"")</f>
        <v/>
      </c>
      <c r="D169" s="33" t="str">
        <f aca="false">IFERROR(B169/B165-1,"")</f>
        <v/>
      </c>
      <c r="E169" s="25" t="str">
        <f aca="false">IFERROR(IF(AND(B169="",ISNUMBER($C$108),ISNUMBER($G$108)),$C$108*(1+$G$108)^(($A169-$E$108)/365.25),""),"")</f>
        <v/>
      </c>
      <c r="F169" s="25" t="str">
        <f aca="false">IFERROR(IF(AND(B169="",ISNUMBER($C$108),ISNUMBER($G$108)),$C$108*(1+$G$108*0.85^MAX(0,($A169-$E$108)/91.25))^(($A169-$E$108)/365.25),""),"")</f>
        <v/>
      </c>
    </row>
    <row r="170" customFormat="false" ht="15" hidden="false" customHeight="false" outlineLevel="0" collapsed="false">
      <c r="A170" s="27" t="n">
        <v>44835</v>
      </c>
      <c r="B170" s="28" t="str">
        <f aca="true">IFERROR(IF(SUMIFS(INDIRECT(Index!$M$12),INDIRECT(Index!$L$12),"&gt;="&amp;$A170,INDIRECT(Index!$L$12),"&lt;"&amp;EDATE($A170,3))=0,"",SUMIFS(INDIRECT(Index!$M$12),INDIRECT(Index!$L$12),"&gt;="&amp;$A170,INDIRECT(Index!$L$12),"&lt;"&amp;EDATE($A170,3))),"")</f>
        <v/>
      </c>
      <c r="C170" s="29" t="str">
        <f aca="false">IFERROR(B170/B169-1,"")</f>
        <v/>
      </c>
      <c r="D170" s="29" t="str">
        <f aca="false">IFERROR(B170/B166-1,"")</f>
        <v/>
      </c>
      <c r="E170" s="31" t="str">
        <f aca="false">IFERROR(IF(AND(B170="",ISNUMBER($C$108),ISNUMBER($G$108)),$C$108*(1+$G$108)^(($A170-$E$108)/365.25),""),"")</f>
        <v/>
      </c>
      <c r="F170" s="31" t="str">
        <f aca="false">IFERROR(IF(AND(B170="",ISNUMBER($C$108),ISNUMBER($G$108)),$C$108*(1+$G$108*0.85^MAX(0,($A170-$E$108)/91.25))^(($A170-$E$108)/365.25),""),"")</f>
        <v/>
      </c>
    </row>
    <row r="171" customFormat="false" ht="15" hidden="false" customHeight="false" outlineLevel="0" collapsed="false">
      <c r="A171" s="15" t="n">
        <v>44927</v>
      </c>
      <c r="B171" s="20" t="str">
        <f aca="true">IFERROR(IF(SUMIFS(INDIRECT(Index!$M$12),INDIRECT(Index!$L$12),"&gt;="&amp;$A171,INDIRECT(Index!$L$12),"&lt;"&amp;EDATE($A171,3))=0,"",SUMIFS(INDIRECT(Index!$M$12),INDIRECT(Index!$L$12),"&gt;="&amp;$A171,INDIRECT(Index!$L$12),"&lt;"&amp;EDATE($A171,3))),"")</f>
        <v/>
      </c>
      <c r="C171" s="33" t="str">
        <f aca="false">IFERROR(B171/B170-1,"")</f>
        <v/>
      </c>
      <c r="D171" s="33" t="str">
        <f aca="false">IFERROR(B171/B167-1,"")</f>
        <v/>
      </c>
      <c r="E171" s="25" t="str">
        <f aca="false">IFERROR(IF(AND(B171="",ISNUMBER($C$108),ISNUMBER($G$108)),$C$108*(1+$G$108)^(($A171-$E$108)/365.25),""),"")</f>
        <v/>
      </c>
      <c r="F171" s="25" t="str">
        <f aca="false">IFERROR(IF(AND(B171="",ISNUMBER($C$108),ISNUMBER($G$108)),$C$108*(1+$G$108*0.85^MAX(0,($A171-$E$108)/91.25))^(($A171-$E$108)/365.25),""),"")</f>
        <v/>
      </c>
    </row>
    <row r="172" customFormat="false" ht="15" hidden="false" customHeight="false" outlineLevel="0" collapsed="false">
      <c r="A172" s="27" t="n">
        <v>45017</v>
      </c>
      <c r="B172" s="28" t="str">
        <f aca="true">IFERROR(IF(SUMIFS(INDIRECT(Index!$M$12),INDIRECT(Index!$L$12),"&gt;="&amp;$A172,INDIRECT(Index!$L$12),"&lt;"&amp;EDATE($A172,3))=0,"",SUMIFS(INDIRECT(Index!$M$12),INDIRECT(Index!$L$12),"&gt;="&amp;$A172,INDIRECT(Index!$L$12),"&lt;"&amp;EDATE($A172,3))),"")</f>
        <v/>
      </c>
      <c r="C172" s="29" t="str">
        <f aca="false">IFERROR(B172/B171-1,"")</f>
        <v/>
      </c>
      <c r="D172" s="29" t="str">
        <f aca="false">IFERROR(B172/B168-1,"")</f>
        <v/>
      </c>
      <c r="E172" s="31" t="str">
        <f aca="false">IFERROR(IF(AND(B172="",ISNUMBER($C$108),ISNUMBER($G$108)),$C$108*(1+$G$108)^(($A172-$E$108)/365.25),""),"")</f>
        <v/>
      </c>
      <c r="F172" s="31" t="str">
        <f aca="false">IFERROR(IF(AND(B172="",ISNUMBER($C$108),ISNUMBER($G$108)),$C$108*(1+$G$108*0.85^MAX(0,($A172-$E$108)/91.25))^(($A172-$E$108)/365.25),""),"")</f>
        <v/>
      </c>
    </row>
    <row r="173" customFormat="false" ht="15" hidden="false" customHeight="false" outlineLevel="0" collapsed="false">
      <c r="A173" s="15" t="n">
        <v>45108</v>
      </c>
      <c r="B173" s="20" t="str">
        <f aca="true">IFERROR(IF(SUMIFS(INDIRECT(Index!$M$12),INDIRECT(Index!$L$12),"&gt;="&amp;$A173,INDIRECT(Index!$L$12),"&lt;"&amp;EDATE($A173,3))=0,"",SUMIFS(INDIRECT(Index!$M$12),INDIRECT(Index!$L$12),"&gt;="&amp;$A173,INDIRECT(Index!$L$12),"&lt;"&amp;EDATE($A173,3))),"")</f>
        <v/>
      </c>
      <c r="C173" s="33" t="str">
        <f aca="false">IFERROR(B173/B172-1,"")</f>
        <v/>
      </c>
      <c r="D173" s="33" t="str">
        <f aca="false">IFERROR(B173/B169-1,"")</f>
        <v/>
      </c>
      <c r="E173" s="25" t="str">
        <f aca="false">IFERROR(IF(AND(B173="",ISNUMBER($C$108),ISNUMBER($G$108)),$C$108*(1+$G$108)^(($A173-$E$108)/365.25),""),"")</f>
        <v/>
      </c>
      <c r="F173" s="25" t="str">
        <f aca="false">IFERROR(IF(AND(B173="",ISNUMBER($C$108),ISNUMBER($G$108)),$C$108*(1+$G$108*0.85^MAX(0,($A173-$E$108)/91.25))^(($A173-$E$108)/365.25),""),"")</f>
        <v/>
      </c>
    </row>
    <row r="174" customFormat="false" ht="15" hidden="false" customHeight="false" outlineLevel="0" collapsed="false">
      <c r="A174" s="27" t="n">
        <v>45200</v>
      </c>
      <c r="B174" s="28" t="str">
        <f aca="true">IFERROR(IF(SUMIFS(INDIRECT(Index!$M$12),INDIRECT(Index!$L$12),"&gt;="&amp;$A174,INDIRECT(Index!$L$12),"&lt;"&amp;EDATE($A174,3))=0,"",SUMIFS(INDIRECT(Index!$M$12),INDIRECT(Index!$L$12),"&gt;="&amp;$A174,INDIRECT(Index!$L$12),"&lt;"&amp;EDATE($A174,3))),"")</f>
        <v/>
      </c>
      <c r="C174" s="29" t="str">
        <f aca="false">IFERROR(B174/B173-1,"")</f>
        <v/>
      </c>
      <c r="D174" s="29" t="str">
        <f aca="false">IFERROR(B174/B170-1,"")</f>
        <v/>
      </c>
      <c r="E174" s="31" t="str">
        <f aca="false">IFERROR(IF(AND(B174="",ISNUMBER($C$108),ISNUMBER($G$108)),$C$108*(1+$G$108)^(($A174-$E$108)/365.25),""),"")</f>
        <v/>
      </c>
      <c r="F174" s="31" t="str">
        <f aca="false">IFERROR(IF(AND(B174="",ISNUMBER($C$108),ISNUMBER($G$108)),$C$108*(1+$G$108*0.85^MAX(0,($A174-$E$108)/91.25))^(($A174-$E$108)/365.25),""),"")</f>
        <v/>
      </c>
    </row>
    <row r="175" customFormat="false" ht="15" hidden="false" customHeight="false" outlineLevel="0" collapsed="false">
      <c r="A175" s="15" t="n">
        <v>45292</v>
      </c>
      <c r="B175" s="20" t="str">
        <f aca="true">IFERROR(IF(SUMIFS(INDIRECT(Index!$M$12),INDIRECT(Index!$L$12),"&gt;="&amp;$A175,INDIRECT(Index!$L$12),"&lt;"&amp;EDATE($A175,3))=0,"",SUMIFS(INDIRECT(Index!$M$12),INDIRECT(Index!$L$12),"&gt;="&amp;$A175,INDIRECT(Index!$L$12),"&lt;"&amp;EDATE($A175,3))),"")</f>
        <v/>
      </c>
      <c r="C175" s="33" t="str">
        <f aca="false">IFERROR(B175/B174-1,"")</f>
        <v/>
      </c>
      <c r="D175" s="33" t="str">
        <f aca="false">IFERROR(B175/B171-1,"")</f>
        <v/>
      </c>
      <c r="E175" s="25" t="str">
        <f aca="false">IFERROR(IF(AND(B175="",ISNUMBER($C$108),ISNUMBER($G$108)),$C$108*(1+$G$108)^(($A175-$E$108)/365.25),""),"")</f>
        <v/>
      </c>
      <c r="F175" s="25" t="str">
        <f aca="false">IFERROR(IF(AND(B175="",ISNUMBER($C$108),ISNUMBER($G$108)),$C$108*(1+$G$108*0.85^MAX(0,($A175-$E$108)/91.25))^(($A175-$E$108)/365.25),""),"")</f>
        <v/>
      </c>
    </row>
    <row r="176" customFormat="false" ht="15" hidden="false" customHeight="false" outlineLevel="0" collapsed="false">
      <c r="A176" s="27" t="n">
        <v>45383</v>
      </c>
      <c r="B176" s="28" t="str">
        <f aca="true">IFERROR(IF(SUMIFS(INDIRECT(Index!$M$12),INDIRECT(Index!$L$12),"&gt;="&amp;$A176,INDIRECT(Index!$L$12),"&lt;"&amp;EDATE($A176,3))=0,"",SUMIFS(INDIRECT(Index!$M$12),INDIRECT(Index!$L$12),"&gt;="&amp;$A176,INDIRECT(Index!$L$12),"&lt;"&amp;EDATE($A176,3))),"")</f>
        <v/>
      </c>
      <c r="C176" s="29" t="str">
        <f aca="false">IFERROR(B176/B175-1,"")</f>
        <v/>
      </c>
      <c r="D176" s="29" t="str">
        <f aca="false">IFERROR(B176/B172-1,"")</f>
        <v/>
      </c>
      <c r="E176" s="31" t="str">
        <f aca="false">IFERROR(IF(AND(B176="",ISNUMBER($C$108),ISNUMBER($G$108)),$C$108*(1+$G$108)^(($A176-$E$108)/365.25),""),"")</f>
        <v/>
      </c>
      <c r="F176" s="31" t="str">
        <f aca="false">IFERROR(IF(AND(B176="",ISNUMBER($C$108),ISNUMBER($G$108)),$C$108*(1+$G$108*0.85^MAX(0,($A176-$E$108)/91.25))^(($A176-$E$108)/365.25),""),"")</f>
        <v/>
      </c>
    </row>
    <row r="177" customFormat="false" ht="15" hidden="false" customHeight="false" outlineLevel="0" collapsed="false">
      <c r="A177" s="15" t="n">
        <v>45474</v>
      </c>
      <c r="B177" s="20" t="str">
        <f aca="true">IFERROR(IF(SUMIFS(INDIRECT(Index!$M$12),INDIRECT(Index!$L$12),"&gt;="&amp;$A177,INDIRECT(Index!$L$12),"&lt;"&amp;EDATE($A177,3))=0,"",SUMIFS(INDIRECT(Index!$M$12),INDIRECT(Index!$L$12),"&gt;="&amp;$A177,INDIRECT(Index!$L$12),"&lt;"&amp;EDATE($A177,3))),"")</f>
        <v/>
      </c>
      <c r="C177" s="33" t="str">
        <f aca="false">IFERROR(B177/B176-1,"")</f>
        <v/>
      </c>
      <c r="D177" s="33" t="str">
        <f aca="false">IFERROR(B177/B173-1,"")</f>
        <v/>
      </c>
      <c r="E177" s="25" t="str">
        <f aca="false">IFERROR(IF(AND(B177="",ISNUMBER($C$108),ISNUMBER($G$108)),$C$108*(1+$G$108)^(($A177-$E$108)/365.25),""),"")</f>
        <v/>
      </c>
      <c r="F177" s="25" t="str">
        <f aca="false">IFERROR(IF(AND(B177="",ISNUMBER($C$108),ISNUMBER($G$108)),$C$108*(1+$G$108*0.85^MAX(0,($A177-$E$108)/91.25))^(($A177-$E$108)/365.25),""),"")</f>
        <v/>
      </c>
    </row>
    <row r="178" customFormat="false" ht="15" hidden="false" customHeight="false" outlineLevel="0" collapsed="false">
      <c r="A178" s="27" t="n">
        <v>45566</v>
      </c>
      <c r="B178" s="28" t="str">
        <f aca="true">IFERROR(IF(SUMIFS(INDIRECT(Index!$M$12),INDIRECT(Index!$L$12),"&gt;="&amp;$A178,INDIRECT(Index!$L$12),"&lt;"&amp;EDATE($A178,3))=0,"",SUMIFS(INDIRECT(Index!$M$12),INDIRECT(Index!$L$12),"&gt;="&amp;$A178,INDIRECT(Index!$L$12),"&lt;"&amp;EDATE($A178,3))),"")</f>
        <v/>
      </c>
      <c r="C178" s="29" t="str">
        <f aca="false">IFERROR(B178/B177-1,"")</f>
        <v/>
      </c>
      <c r="D178" s="29" t="str">
        <f aca="false">IFERROR(B178/B174-1,"")</f>
        <v/>
      </c>
      <c r="E178" s="31" t="str">
        <f aca="false">IFERROR(IF(AND(B178="",ISNUMBER($C$108),ISNUMBER($G$108)),$C$108*(1+$G$108)^(($A178-$E$108)/365.25),""),"")</f>
        <v/>
      </c>
      <c r="F178" s="31" t="str">
        <f aca="false">IFERROR(IF(AND(B178="",ISNUMBER($C$108),ISNUMBER($G$108)),$C$108*(1+$G$108*0.85^MAX(0,($A178-$E$108)/91.25))^(($A178-$E$108)/365.25),""),"")</f>
        <v/>
      </c>
    </row>
    <row r="179" customFormat="false" ht="15" hidden="false" customHeight="false" outlineLevel="0" collapsed="false">
      <c r="A179" s="15" t="n">
        <v>45658</v>
      </c>
      <c r="B179" s="20" t="str">
        <f aca="true">IFERROR(IF(SUMIFS(INDIRECT(Index!$M$12),INDIRECT(Index!$L$12),"&gt;="&amp;$A179,INDIRECT(Index!$L$12),"&lt;"&amp;EDATE($A179,3))=0,"",SUMIFS(INDIRECT(Index!$M$12),INDIRECT(Index!$L$12),"&gt;="&amp;$A179,INDIRECT(Index!$L$12),"&lt;"&amp;EDATE($A179,3))),"")</f>
        <v/>
      </c>
      <c r="C179" s="33" t="str">
        <f aca="false">IFERROR(B179/B178-1,"")</f>
        <v/>
      </c>
      <c r="D179" s="33" t="str">
        <f aca="false">IFERROR(B179/B175-1,"")</f>
        <v/>
      </c>
      <c r="E179" s="25" t="str">
        <f aca="false">IFERROR(IF(AND(B179="",ISNUMBER($C$108),ISNUMBER($G$108)),$C$108*(1+$G$108)^(($A179-$E$108)/365.25),""),"")</f>
        <v/>
      </c>
      <c r="F179" s="25" t="str">
        <f aca="false">IFERROR(IF(AND(B179="",ISNUMBER($C$108),ISNUMBER($G$108)),$C$108*(1+$G$108*0.85^MAX(0,($A179-$E$108)/91.25))^(($A179-$E$108)/365.25),""),"")</f>
        <v/>
      </c>
    </row>
    <row r="180" customFormat="false" ht="15" hidden="false" customHeight="false" outlineLevel="0" collapsed="false">
      <c r="A180" s="27" t="n">
        <v>45748</v>
      </c>
      <c r="B180" s="28" t="str">
        <f aca="true">IFERROR(IF(SUMIFS(INDIRECT(Index!$M$12),INDIRECT(Index!$L$12),"&gt;="&amp;$A180,INDIRECT(Index!$L$12),"&lt;"&amp;EDATE($A180,3))=0,"",SUMIFS(INDIRECT(Index!$M$12),INDIRECT(Index!$L$12),"&gt;="&amp;$A180,INDIRECT(Index!$L$12),"&lt;"&amp;EDATE($A180,3))),"")</f>
        <v/>
      </c>
      <c r="C180" s="29" t="str">
        <f aca="false">IFERROR(B180/B179-1,"")</f>
        <v/>
      </c>
      <c r="D180" s="29" t="str">
        <f aca="false">IFERROR(B180/B176-1,"")</f>
        <v/>
      </c>
      <c r="E180" s="31" t="str">
        <f aca="false">IFERROR(IF(AND(B180="",ISNUMBER($C$108),ISNUMBER($G$108)),$C$108*(1+$G$108)^(($A180-$E$108)/365.25),""),"")</f>
        <v/>
      </c>
      <c r="F180" s="31" t="str">
        <f aca="false">IFERROR(IF(AND(B180="",ISNUMBER($C$108),ISNUMBER($G$108)),$C$108*(1+$G$108*0.85^MAX(0,($A180-$E$108)/91.25))^(($A180-$E$108)/365.25),""),"")</f>
        <v/>
      </c>
    </row>
    <row r="181" customFormat="false" ht="15" hidden="false" customHeight="false" outlineLevel="0" collapsed="false">
      <c r="A181" s="15" t="n">
        <v>45839</v>
      </c>
      <c r="B181" s="20" t="str">
        <f aca="true">IFERROR(IF(SUMIFS(INDIRECT(Index!$M$12),INDIRECT(Index!$L$12),"&gt;="&amp;$A181,INDIRECT(Index!$L$12),"&lt;"&amp;EDATE($A181,3))=0,"",SUMIFS(INDIRECT(Index!$M$12),INDIRECT(Index!$L$12),"&gt;="&amp;$A181,INDIRECT(Index!$L$12),"&lt;"&amp;EDATE($A181,3))),"")</f>
        <v/>
      </c>
      <c r="C181" s="33" t="str">
        <f aca="false">IFERROR(B181/B180-1,"")</f>
        <v/>
      </c>
      <c r="D181" s="33" t="str">
        <f aca="false">IFERROR(B181/B177-1,"")</f>
        <v/>
      </c>
      <c r="E181" s="25" t="str">
        <f aca="false">IFERROR(IF(AND(B181="",ISNUMBER($C$108),ISNUMBER($G$108)),$C$108*(1+$G$108)^(($A181-$E$108)/365.25),""),"")</f>
        <v/>
      </c>
      <c r="F181" s="25" t="str">
        <f aca="false">IFERROR(IF(AND(B181="",ISNUMBER($C$108),ISNUMBER($G$108)),$C$108*(1+$G$108*0.85^MAX(0,($A181-$E$108)/91.25))^(($A181-$E$108)/365.25),""),"")</f>
        <v/>
      </c>
    </row>
    <row r="182" customFormat="false" ht="15" hidden="false" customHeight="false" outlineLevel="0" collapsed="false">
      <c r="A182" s="27" t="n">
        <v>45931</v>
      </c>
      <c r="B182" s="28" t="str">
        <f aca="true">IFERROR(IF(SUMIFS(INDIRECT(Index!$M$12),INDIRECT(Index!$L$12),"&gt;="&amp;$A182,INDIRECT(Index!$L$12),"&lt;"&amp;EDATE($A182,3))=0,"",SUMIFS(INDIRECT(Index!$M$12),INDIRECT(Index!$L$12),"&gt;="&amp;$A182,INDIRECT(Index!$L$12),"&lt;"&amp;EDATE($A182,3))),"")</f>
        <v/>
      </c>
      <c r="C182" s="29" t="str">
        <f aca="false">IFERROR(B182/B181-1,"")</f>
        <v/>
      </c>
      <c r="D182" s="29" t="str">
        <f aca="false">IFERROR(B182/B178-1,"")</f>
        <v/>
      </c>
      <c r="E182" s="31" t="str">
        <f aca="false">IFERROR(IF(AND(B182="",ISNUMBER($C$108),ISNUMBER($G$108)),$C$108*(1+$G$108)^(($A182-$E$108)/365.25),""),"")</f>
        <v/>
      </c>
      <c r="F182" s="31" t="str">
        <f aca="false">IFERROR(IF(AND(B182="",ISNUMBER($C$108),ISNUMBER($G$108)),$C$108*(1+$G$108*0.85^MAX(0,($A182-$E$108)/91.25))^(($A182-$E$108)/365.25),""),"")</f>
        <v/>
      </c>
    </row>
    <row r="183" customFormat="false" ht="15" hidden="false" customHeight="false" outlineLevel="0" collapsed="false">
      <c r="A183" s="15" t="n">
        <v>46023</v>
      </c>
      <c r="B183" s="20" t="str">
        <f aca="true">IFERROR(IF(SUMIFS(INDIRECT(Index!$M$12),INDIRECT(Index!$L$12),"&gt;="&amp;$A183,INDIRECT(Index!$L$12),"&lt;"&amp;EDATE($A183,3))=0,"",SUMIFS(INDIRECT(Index!$M$12),INDIRECT(Index!$L$12),"&gt;="&amp;$A183,INDIRECT(Index!$L$12),"&lt;"&amp;EDATE($A183,3))),"")</f>
        <v/>
      </c>
      <c r="C183" s="33" t="str">
        <f aca="false">IFERROR(B183/B182-1,"")</f>
        <v/>
      </c>
      <c r="D183" s="33" t="str">
        <f aca="false">IFERROR(B183/B179-1,"")</f>
        <v/>
      </c>
      <c r="E183" s="25" t="str">
        <f aca="false">IFERROR(IF(AND(B183="",ISNUMBER($C$108),ISNUMBER($G$108)),$C$108*(1+$G$108)^(($A183-$E$108)/365.25),""),"")</f>
        <v/>
      </c>
      <c r="F183" s="25" t="str">
        <f aca="false">IFERROR(IF(AND(B183="",ISNUMBER($C$108),ISNUMBER($G$108)),$C$108*(1+$G$108*0.85^MAX(0,($A183-$E$108)/91.25))^(($A183-$E$108)/365.25),""),"")</f>
        <v/>
      </c>
    </row>
    <row r="184" customFormat="false" ht="15" hidden="false" customHeight="false" outlineLevel="0" collapsed="false">
      <c r="A184" s="27" t="n">
        <v>46113</v>
      </c>
      <c r="B184" s="28" t="str">
        <f aca="true">IFERROR(IF(SUMIFS(INDIRECT(Index!$M$12),INDIRECT(Index!$L$12),"&gt;="&amp;$A184,INDIRECT(Index!$L$12),"&lt;"&amp;EDATE($A184,3))=0,"",SUMIFS(INDIRECT(Index!$M$12),INDIRECT(Index!$L$12),"&gt;="&amp;$A184,INDIRECT(Index!$L$12),"&lt;"&amp;EDATE($A184,3))),"")</f>
        <v/>
      </c>
      <c r="C184" s="29" t="str">
        <f aca="false">IFERROR(B184/B183-1,"")</f>
        <v/>
      </c>
      <c r="D184" s="29" t="str">
        <f aca="false">IFERROR(B184/B180-1,"")</f>
        <v/>
      </c>
      <c r="E184" s="31" t="str">
        <f aca="false">IFERROR(IF(AND(B184="",ISNUMBER($C$108),ISNUMBER($G$108)),$C$108*(1+$G$108)^(($A184-$E$108)/365.25),""),"")</f>
        <v/>
      </c>
      <c r="F184" s="31" t="str">
        <f aca="false">IFERROR(IF(AND(B184="",ISNUMBER($C$108),ISNUMBER($G$108)),$C$108*(1+$G$108*0.85^MAX(0,($A184-$E$108)/91.25))^(($A184-$E$108)/365.25),""),"")</f>
        <v/>
      </c>
    </row>
    <row r="185" customFormat="false" ht="15" hidden="false" customHeight="false" outlineLevel="0" collapsed="false">
      <c r="A185" s="15" t="n">
        <v>46204</v>
      </c>
      <c r="B185" s="20" t="str">
        <f aca="true">IFERROR(IF(SUMIFS(INDIRECT(Index!$M$12),INDIRECT(Index!$L$12),"&gt;="&amp;$A185,INDIRECT(Index!$L$12),"&lt;"&amp;EDATE($A185,3))=0,"",SUMIFS(INDIRECT(Index!$M$12),INDIRECT(Index!$L$12),"&gt;="&amp;$A185,INDIRECT(Index!$L$12),"&lt;"&amp;EDATE($A185,3))),"")</f>
        <v/>
      </c>
      <c r="C185" s="33" t="str">
        <f aca="false">IFERROR(B185/B184-1,"")</f>
        <v/>
      </c>
      <c r="D185" s="33" t="str">
        <f aca="false">IFERROR(B185/B181-1,"")</f>
        <v/>
      </c>
      <c r="E185" s="25" t="str">
        <f aca="false">IFERROR(IF(AND(B185="",ISNUMBER($C$108),ISNUMBER($G$108)),$C$108*(1+$G$108)^(($A185-$E$108)/365.25),""),"")</f>
        <v/>
      </c>
      <c r="F185" s="25" t="str">
        <f aca="false">IFERROR(IF(AND(B185="",ISNUMBER($C$108),ISNUMBER($G$108)),$C$108*(1+$G$108*0.85^MAX(0,($A185-$E$108)/91.25))^(($A185-$E$108)/365.25),""),"")</f>
        <v/>
      </c>
    </row>
    <row r="186" customFormat="false" ht="15" hidden="false" customHeight="false" outlineLevel="0" collapsed="false">
      <c r="A186" s="27" t="n">
        <v>46296</v>
      </c>
      <c r="B186" s="28" t="str">
        <f aca="true">IFERROR(IF(SUMIFS(INDIRECT(Index!$M$12),INDIRECT(Index!$L$12),"&gt;="&amp;$A186,INDIRECT(Index!$L$12),"&lt;"&amp;EDATE($A186,3))=0,"",SUMIFS(INDIRECT(Index!$M$12),INDIRECT(Index!$L$12),"&gt;="&amp;$A186,INDIRECT(Index!$L$12),"&lt;"&amp;EDATE($A186,3))),"")</f>
        <v/>
      </c>
      <c r="C186" s="29" t="str">
        <f aca="false">IFERROR(B186/B185-1,"")</f>
        <v/>
      </c>
      <c r="D186" s="29" t="str">
        <f aca="false">IFERROR(B186/B182-1,"")</f>
        <v/>
      </c>
      <c r="E186" s="31" t="str">
        <f aca="false">IFERROR(IF(AND(B186="",ISNUMBER($C$108),ISNUMBER($G$108)),$C$108*(1+$G$108)^(($A186-$E$108)/365.25),""),"")</f>
        <v/>
      </c>
      <c r="F186" s="31" t="str">
        <f aca="false">IFERROR(IF(AND(B186="",ISNUMBER($C$108),ISNUMBER($G$108)),$C$108*(1+$G$108*0.85^MAX(0,($A186-$E$108)/91.25))^(($A186-$E$108)/365.25),""),"")</f>
        <v/>
      </c>
    </row>
    <row r="187" customFormat="false" ht="15" hidden="false" customHeight="false" outlineLevel="0" collapsed="false">
      <c r="A187" s="15" t="n">
        <v>46388</v>
      </c>
      <c r="B187" s="20" t="str">
        <f aca="true">IFERROR(IF(SUMIFS(INDIRECT(Index!$M$12),INDIRECT(Index!$L$12),"&gt;="&amp;$A187,INDIRECT(Index!$L$12),"&lt;"&amp;EDATE($A187,3))=0,"",SUMIFS(INDIRECT(Index!$M$12),INDIRECT(Index!$L$12),"&gt;="&amp;$A187,INDIRECT(Index!$L$12),"&lt;"&amp;EDATE($A187,3))),"")</f>
        <v/>
      </c>
      <c r="C187" s="33" t="str">
        <f aca="false">IFERROR(B187/B186-1,"")</f>
        <v/>
      </c>
      <c r="D187" s="33" t="str">
        <f aca="false">IFERROR(B187/B183-1,"")</f>
        <v/>
      </c>
      <c r="E187" s="25" t="str">
        <f aca="false">IFERROR(IF(AND(B187="",ISNUMBER($C$108),ISNUMBER($G$108)),$C$108*(1+$G$108)^(($A187-$E$108)/365.25),""),"")</f>
        <v/>
      </c>
      <c r="F187" s="25" t="str">
        <f aca="false">IFERROR(IF(AND(B187="",ISNUMBER($C$108),ISNUMBER($G$108)),$C$108*(1+$G$108*0.85^MAX(0,($A187-$E$108)/91.25))^(($A187-$E$108)/365.25),""),"")</f>
        <v/>
      </c>
    </row>
    <row r="188" customFormat="false" ht="15" hidden="false" customHeight="false" outlineLevel="0" collapsed="false">
      <c r="A188" s="27" t="n">
        <v>46478</v>
      </c>
      <c r="B188" s="28" t="str">
        <f aca="true">IFERROR(IF(SUMIFS(INDIRECT(Index!$M$12),INDIRECT(Index!$L$12),"&gt;="&amp;$A188,INDIRECT(Index!$L$12),"&lt;"&amp;EDATE($A188,3))=0,"",SUMIFS(INDIRECT(Index!$M$12),INDIRECT(Index!$L$12),"&gt;="&amp;$A188,INDIRECT(Index!$L$12),"&lt;"&amp;EDATE($A188,3))),"")</f>
        <v/>
      </c>
      <c r="C188" s="29" t="str">
        <f aca="false">IFERROR(B188/B187-1,"")</f>
        <v/>
      </c>
      <c r="D188" s="29" t="str">
        <f aca="false">IFERROR(B188/B184-1,"")</f>
        <v/>
      </c>
      <c r="E188" s="31" t="str">
        <f aca="false">IFERROR(IF(AND(B188="",ISNUMBER($C$108),ISNUMBER($G$108)),$C$108*(1+$G$108)^(($A188-$E$108)/365.25),""),"")</f>
        <v/>
      </c>
      <c r="F188" s="31" t="str">
        <f aca="false">IFERROR(IF(AND(B188="",ISNUMBER($C$108),ISNUMBER($G$108)),$C$108*(1+$G$108*0.85^MAX(0,($A188-$E$108)/91.25))^(($A188-$E$108)/365.25),""),"")</f>
        <v/>
      </c>
    </row>
    <row r="189" customFormat="false" ht="15" hidden="false" customHeight="false" outlineLevel="0" collapsed="false">
      <c r="A189" s="15" t="n">
        <v>46569</v>
      </c>
      <c r="B189" s="20" t="str">
        <f aca="true">IFERROR(IF(SUMIFS(INDIRECT(Index!$M$12),INDIRECT(Index!$L$12),"&gt;="&amp;$A189,INDIRECT(Index!$L$12),"&lt;"&amp;EDATE($A189,3))=0,"",SUMIFS(INDIRECT(Index!$M$12),INDIRECT(Index!$L$12),"&gt;="&amp;$A189,INDIRECT(Index!$L$12),"&lt;"&amp;EDATE($A189,3))),"")</f>
        <v/>
      </c>
      <c r="C189" s="33" t="str">
        <f aca="false">IFERROR(B189/B188-1,"")</f>
        <v/>
      </c>
      <c r="D189" s="33" t="str">
        <f aca="false">IFERROR(B189/B185-1,"")</f>
        <v/>
      </c>
      <c r="E189" s="25" t="str">
        <f aca="false">IFERROR(IF(AND(B189="",ISNUMBER($C$108),ISNUMBER($G$108)),$C$108*(1+$G$108)^(($A189-$E$108)/365.25),""),"")</f>
        <v/>
      </c>
      <c r="F189" s="25" t="str">
        <f aca="false">IFERROR(IF(AND(B189="",ISNUMBER($C$108),ISNUMBER($G$108)),$C$108*(1+$G$108*0.85^MAX(0,($A189-$E$108)/91.25))^(($A189-$E$108)/365.25),""),"")</f>
        <v/>
      </c>
    </row>
    <row r="190" customFormat="false" ht="15" hidden="false" customHeight="false" outlineLevel="0" collapsed="false">
      <c r="A190" s="27" t="n">
        <v>46661</v>
      </c>
      <c r="B190" s="28" t="str">
        <f aca="true">IFERROR(IF(SUMIFS(INDIRECT(Index!$M$12),INDIRECT(Index!$L$12),"&gt;="&amp;$A190,INDIRECT(Index!$L$12),"&lt;"&amp;EDATE($A190,3))=0,"",SUMIFS(INDIRECT(Index!$M$12),INDIRECT(Index!$L$12),"&gt;="&amp;$A190,INDIRECT(Index!$L$12),"&lt;"&amp;EDATE($A190,3))),"")</f>
        <v/>
      </c>
      <c r="C190" s="29" t="str">
        <f aca="false">IFERROR(B190/B189-1,"")</f>
        <v/>
      </c>
      <c r="D190" s="29" t="str">
        <f aca="false">IFERROR(B190/B186-1,"")</f>
        <v/>
      </c>
      <c r="E190" s="31" t="str">
        <f aca="false">IFERROR(IF(AND(B190="",ISNUMBER($C$108),ISNUMBER($G$108)),$C$108*(1+$G$108)^(($A190-$E$108)/365.25),""),"")</f>
        <v/>
      </c>
      <c r="F190" s="31" t="str">
        <f aca="false">IFERROR(IF(AND(B190="",ISNUMBER($C$108),ISNUMBER($G$108)),$C$108*(1+$G$108*0.85^MAX(0,($A190-$E$108)/91.25))^(($A190-$E$108)/365.25),""),"")</f>
        <v/>
      </c>
    </row>
    <row r="191" customFormat="false" ht="15" hidden="false" customHeight="false" outlineLevel="0" collapsed="false">
      <c r="A191" s="15" t="n">
        <v>46753</v>
      </c>
      <c r="B191" s="20" t="str">
        <f aca="true">IFERROR(IF(SUMIFS(INDIRECT(Index!$M$12),INDIRECT(Index!$L$12),"&gt;="&amp;$A191,INDIRECT(Index!$L$12),"&lt;"&amp;EDATE($A191,3))=0,"",SUMIFS(INDIRECT(Index!$M$12),INDIRECT(Index!$L$12),"&gt;="&amp;$A191,INDIRECT(Index!$L$12),"&lt;"&amp;EDATE($A191,3))),"")</f>
        <v/>
      </c>
      <c r="C191" s="33" t="str">
        <f aca="false">IFERROR(B191/B190-1,"")</f>
        <v/>
      </c>
      <c r="D191" s="33" t="str">
        <f aca="false">IFERROR(B191/B187-1,"")</f>
        <v/>
      </c>
      <c r="E191" s="25" t="str">
        <f aca="false">IFERROR(IF(AND(B191="",ISNUMBER($C$108),ISNUMBER($G$108)),$C$108*(1+$G$108)^(($A191-$E$108)/365.25),""),"")</f>
        <v/>
      </c>
      <c r="F191" s="25" t="str">
        <f aca="false">IFERROR(IF(AND(B191="",ISNUMBER($C$108),ISNUMBER($G$108)),$C$108*(1+$G$108*0.85^MAX(0,($A191-$E$108)/91.25))^(($A191-$E$108)/365.25),""),"")</f>
        <v/>
      </c>
    </row>
    <row r="192" customFormat="false" ht="15" hidden="false" customHeight="false" outlineLevel="0" collapsed="false">
      <c r="A192" s="27" t="n">
        <v>46844</v>
      </c>
      <c r="B192" s="28" t="str">
        <f aca="true">IFERROR(IF(SUMIFS(INDIRECT(Index!$M$12),INDIRECT(Index!$L$12),"&gt;="&amp;$A192,INDIRECT(Index!$L$12),"&lt;"&amp;EDATE($A192,3))=0,"",SUMIFS(INDIRECT(Index!$M$12),INDIRECT(Index!$L$12),"&gt;="&amp;$A192,INDIRECT(Index!$L$12),"&lt;"&amp;EDATE($A192,3))),"")</f>
        <v/>
      </c>
      <c r="C192" s="29" t="str">
        <f aca="false">IFERROR(B192/B191-1,"")</f>
        <v/>
      </c>
      <c r="D192" s="29" t="str">
        <f aca="false">IFERROR(B192/B188-1,"")</f>
        <v/>
      </c>
      <c r="E192" s="31" t="str">
        <f aca="false">IFERROR(IF(AND(B192="",ISNUMBER($C$108),ISNUMBER($G$108)),$C$108*(1+$G$108)^(($A192-$E$108)/365.25),""),"")</f>
        <v/>
      </c>
      <c r="F192" s="31" t="str">
        <f aca="false">IFERROR(IF(AND(B192="",ISNUMBER($C$108),ISNUMBER($G$108)),$C$108*(1+$G$108*0.85^MAX(0,($A192-$E$108)/91.25))^(($A192-$E$108)/365.25),""),"")</f>
        <v/>
      </c>
    </row>
    <row r="193" customFormat="false" ht="15" hidden="false" customHeight="false" outlineLevel="0" collapsed="false">
      <c r="A193" s="15" t="n">
        <v>46935</v>
      </c>
      <c r="B193" s="20" t="str">
        <f aca="true">IFERROR(IF(SUMIFS(INDIRECT(Index!$M$12),INDIRECT(Index!$L$12),"&gt;="&amp;$A193,INDIRECT(Index!$L$12),"&lt;"&amp;EDATE($A193,3))=0,"",SUMIFS(INDIRECT(Index!$M$12),INDIRECT(Index!$L$12),"&gt;="&amp;$A193,INDIRECT(Index!$L$12),"&lt;"&amp;EDATE($A193,3))),"")</f>
        <v/>
      </c>
      <c r="C193" s="33" t="str">
        <f aca="false">IFERROR(B193/B192-1,"")</f>
        <v/>
      </c>
      <c r="D193" s="33" t="str">
        <f aca="false">IFERROR(B193/B189-1,"")</f>
        <v/>
      </c>
      <c r="E193" s="25" t="str">
        <f aca="false">IFERROR(IF(AND(B193="",ISNUMBER($C$108),ISNUMBER($G$108)),$C$108*(1+$G$108)^(($A193-$E$108)/365.25),""),"")</f>
        <v/>
      </c>
      <c r="F193" s="25" t="str">
        <f aca="false">IFERROR(IF(AND(B193="",ISNUMBER($C$108),ISNUMBER($G$108)),$C$108*(1+$G$108*0.85^MAX(0,($A193-$E$108)/91.25))^(($A193-$E$108)/365.25),""),"")</f>
        <v/>
      </c>
    </row>
    <row r="194" customFormat="false" ht="15" hidden="false" customHeight="false" outlineLevel="0" collapsed="false">
      <c r="A194" s="27" t="n">
        <v>47027</v>
      </c>
      <c r="B194" s="28" t="str">
        <f aca="true">IFERROR(IF(SUMIFS(INDIRECT(Index!$M$12),INDIRECT(Index!$L$12),"&gt;="&amp;$A194,INDIRECT(Index!$L$12),"&lt;"&amp;EDATE($A194,3))=0,"",SUMIFS(INDIRECT(Index!$M$12),INDIRECT(Index!$L$12),"&gt;="&amp;$A194,INDIRECT(Index!$L$12),"&lt;"&amp;EDATE($A194,3))),"")</f>
        <v/>
      </c>
      <c r="C194" s="29" t="str">
        <f aca="false">IFERROR(B194/B193-1,"")</f>
        <v/>
      </c>
      <c r="D194" s="29" t="str">
        <f aca="false">IFERROR(B194/B190-1,"")</f>
        <v/>
      </c>
      <c r="E194" s="31" t="str">
        <f aca="false">IFERROR(IF(AND(B194="",ISNUMBER($C$108),ISNUMBER($G$108)),$C$108*(1+$G$108)^(($A194-$E$108)/365.25),""),"")</f>
        <v/>
      </c>
      <c r="F194" s="31" t="str">
        <f aca="false">IFERROR(IF(AND(B194="",ISNUMBER($C$108),ISNUMBER($G$108)),$C$108*(1+$G$108*0.85^MAX(0,($A194-$E$108)/91.25))^(($A194-$E$108)/365.25),""),"")</f>
        <v/>
      </c>
    </row>
    <row r="195" customFormat="false" ht="15" hidden="false" customHeight="false" outlineLevel="0" collapsed="false">
      <c r="A195" s="15" t="n">
        <v>47119</v>
      </c>
      <c r="B195" s="20" t="str">
        <f aca="true">IFERROR(IF(SUMIFS(INDIRECT(Index!$M$12),INDIRECT(Index!$L$12),"&gt;="&amp;$A195,INDIRECT(Index!$L$12),"&lt;"&amp;EDATE($A195,3))=0,"",SUMIFS(INDIRECT(Index!$M$12),INDIRECT(Index!$L$12),"&gt;="&amp;$A195,INDIRECT(Index!$L$12),"&lt;"&amp;EDATE($A195,3))),"")</f>
        <v/>
      </c>
      <c r="C195" s="33" t="str">
        <f aca="false">IFERROR(B195/B194-1,"")</f>
        <v/>
      </c>
      <c r="D195" s="33" t="str">
        <f aca="false">IFERROR(B195/B191-1,"")</f>
        <v/>
      </c>
      <c r="E195" s="25" t="str">
        <f aca="false">IFERROR(IF(AND(B195="",ISNUMBER($C$108),ISNUMBER($G$108)),$C$108*(1+$G$108)^(($A195-$E$108)/365.25),""),"")</f>
        <v/>
      </c>
      <c r="F195" s="25" t="str">
        <f aca="false">IFERROR(IF(AND(B195="",ISNUMBER($C$108),ISNUMBER($G$108)),$C$108*(1+$G$108*0.85^MAX(0,($A195-$E$108)/91.25))^(($A195-$E$108)/365.25),""),"")</f>
        <v/>
      </c>
    </row>
    <row r="196" customFormat="false" ht="15" hidden="false" customHeight="false" outlineLevel="0" collapsed="false">
      <c r="A196" s="27" t="n">
        <v>47209</v>
      </c>
      <c r="B196" s="28" t="str">
        <f aca="true">IFERROR(IF(SUMIFS(INDIRECT(Index!$M$12),INDIRECT(Index!$L$12),"&gt;="&amp;$A196,INDIRECT(Index!$L$12),"&lt;"&amp;EDATE($A196,3))=0,"",SUMIFS(INDIRECT(Index!$M$12),INDIRECT(Index!$L$12),"&gt;="&amp;$A196,INDIRECT(Index!$L$12),"&lt;"&amp;EDATE($A196,3))),"")</f>
        <v/>
      </c>
      <c r="C196" s="29" t="str">
        <f aca="false">IFERROR(B196/B195-1,"")</f>
        <v/>
      </c>
      <c r="D196" s="29" t="str">
        <f aca="false">IFERROR(B196/B192-1,"")</f>
        <v/>
      </c>
      <c r="E196" s="31" t="str">
        <f aca="false">IFERROR(IF(AND(B196="",ISNUMBER($C$108),ISNUMBER($G$108)),$C$108*(1+$G$108)^(($A196-$E$108)/365.25),""),"")</f>
        <v/>
      </c>
      <c r="F196" s="31" t="str">
        <f aca="false">IFERROR(IF(AND(B196="",ISNUMBER($C$108),ISNUMBER($G$108)),$C$108*(1+$G$108*0.85^MAX(0,($A196-$E$108)/91.25))^(($A196-$E$108)/365.25),""),"")</f>
        <v/>
      </c>
    </row>
    <row r="197" customFormat="false" ht="15" hidden="false" customHeight="false" outlineLevel="0" collapsed="false">
      <c r="A197" s="15" t="n">
        <v>47300</v>
      </c>
      <c r="B197" s="20" t="str">
        <f aca="true">IFERROR(IF(SUMIFS(INDIRECT(Index!$M$12),INDIRECT(Index!$L$12),"&gt;="&amp;$A197,INDIRECT(Index!$L$12),"&lt;"&amp;EDATE($A197,3))=0,"",SUMIFS(INDIRECT(Index!$M$12),INDIRECT(Index!$L$12),"&gt;="&amp;$A197,INDIRECT(Index!$L$12),"&lt;"&amp;EDATE($A197,3))),"")</f>
        <v/>
      </c>
      <c r="C197" s="33" t="str">
        <f aca="false">IFERROR(B197/B196-1,"")</f>
        <v/>
      </c>
      <c r="D197" s="33" t="str">
        <f aca="false">IFERROR(B197/B193-1,"")</f>
        <v/>
      </c>
      <c r="E197" s="25" t="str">
        <f aca="false">IFERROR(IF(AND(B197="",ISNUMBER($C$108),ISNUMBER($G$108)),$C$108*(1+$G$108)^(($A197-$E$108)/365.25),""),"")</f>
        <v/>
      </c>
      <c r="F197" s="25" t="str">
        <f aca="false">IFERROR(IF(AND(B197="",ISNUMBER($C$108),ISNUMBER($G$108)),$C$108*(1+$G$108*0.85^MAX(0,($A197-$E$108)/91.25))^(($A197-$E$108)/365.25),""),"")</f>
        <v/>
      </c>
    </row>
    <row r="198" customFormat="false" ht="15" hidden="false" customHeight="false" outlineLevel="0" collapsed="false">
      <c r="A198" s="27" t="n">
        <v>47392</v>
      </c>
      <c r="B198" s="28" t="str">
        <f aca="true">IFERROR(IF(SUMIFS(INDIRECT(Index!$M$12),INDIRECT(Index!$L$12),"&gt;="&amp;$A198,INDIRECT(Index!$L$12),"&lt;"&amp;EDATE($A198,3))=0,"",SUMIFS(INDIRECT(Index!$M$12),INDIRECT(Index!$L$12),"&gt;="&amp;$A198,INDIRECT(Index!$L$12),"&lt;"&amp;EDATE($A198,3))),"")</f>
        <v/>
      </c>
      <c r="C198" s="29" t="str">
        <f aca="false">IFERROR(B198/B197-1,"")</f>
        <v/>
      </c>
      <c r="D198" s="29" t="str">
        <f aca="false">IFERROR(B198/B194-1,"")</f>
        <v/>
      </c>
      <c r="E198" s="31" t="str">
        <f aca="false">IFERROR(IF(AND(B198="",ISNUMBER($C$108),ISNUMBER($G$108)),$C$108*(1+$G$108)^(($A198-$E$108)/365.25),""),"")</f>
        <v/>
      </c>
      <c r="F198" s="31" t="str">
        <f aca="false">IFERROR(IF(AND(B198="",ISNUMBER($C$108),ISNUMBER($G$108)),$C$108*(1+$G$108*0.85^MAX(0,($A198-$E$108)/91.25))^(($A198-$E$108)/365.25),""),"")</f>
        <v/>
      </c>
    </row>
    <row r="199" customFormat="false" ht="15" hidden="false" customHeight="false" outlineLevel="0" collapsed="false">
      <c r="A199" s="15" t="n">
        <v>47484</v>
      </c>
      <c r="B199" s="20" t="str">
        <f aca="true">IFERROR(IF(SUMIFS(INDIRECT(Index!$M$12),INDIRECT(Index!$L$12),"&gt;="&amp;$A199,INDIRECT(Index!$L$12),"&lt;"&amp;EDATE($A199,3))=0,"",SUMIFS(INDIRECT(Index!$M$12),INDIRECT(Index!$L$12),"&gt;="&amp;$A199,INDIRECT(Index!$L$12),"&lt;"&amp;EDATE($A199,3))),"")</f>
        <v/>
      </c>
      <c r="C199" s="33" t="str">
        <f aca="false">IFERROR(B199/B198-1,"")</f>
        <v/>
      </c>
      <c r="D199" s="33" t="str">
        <f aca="false">IFERROR(B199/B195-1,"")</f>
        <v/>
      </c>
      <c r="E199" s="25" t="str">
        <f aca="false">IFERROR(IF(AND(B199="",ISNUMBER($C$108),ISNUMBER($G$108)),$C$108*(1+$G$108)^(($A199-$E$108)/365.25),""),"")</f>
        <v/>
      </c>
      <c r="F199" s="25" t="str">
        <f aca="false">IFERROR(IF(AND(B199="",ISNUMBER($C$108),ISNUMBER($G$108)),$C$108*(1+$G$108*0.85^MAX(0,($A199-$E$108)/91.25))^(($A199-$E$108)/365.25),""),"")</f>
        <v/>
      </c>
    </row>
    <row r="200" customFormat="false" ht="15" hidden="false" customHeight="false" outlineLevel="0" collapsed="false">
      <c r="A200" s="27" t="n">
        <v>47574</v>
      </c>
      <c r="B200" s="28" t="str">
        <f aca="true">IFERROR(IF(SUMIFS(INDIRECT(Index!$M$12),INDIRECT(Index!$L$12),"&gt;="&amp;$A200,INDIRECT(Index!$L$12),"&lt;"&amp;EDATE($A200,3))=0,"",SUMIFS(INDIRECT(Index!$M$12),INDIRECT(Index!$L$12),"&gt;="&amp;$A200,INDIRECT(Index!$L$12),"&lt;"&amp;EDATE($A200,3))),"")</f>
        <v/>
      </c>
      <c r="C200" s="29" t="str">
        <f aca="false">IFERROR(B200/B199-1,"")</f>
        <v/>
      </c>
      <c r="D200" s="29" t="str">
        <f aca="false">IFERROR(B200/B196-1,"")</f>
        <v/>
      </c>
      <c r="E200" s="31" t="str">
        <f aca="false">IFERROR(IF(AND(B200="",ISNUMBER($C$108),ISNUMBER($G$108)),$C$108*(1+$G$108)^(($A200-$E$108)/365.25),""),"")</f>
        <v/>
      </c>
      <c r="F200" s="31" t="str">
        <f aca="false">IFERROR(IF(AND(B200="",ISNUMBER($C$108),ISNUMBER($G$108)),$C$108*(1+$G$108*0.85^MAX(0,($A200-$E$108)/91.25))^(($A200-$E$108)/365.25),""),"")</f>
        <v/>
      </c>
    </row>
    <row r="201" customFormat="false" ht="15" hidden="false" customHeight="false" outlineLevel="0" collapsed="false">
      <c r="A201" s="15" t="n">
        <v>47665</v>
      </c>
      <c r="B201" s="20" t="str">
        <f aca="true">IFERROR(IF(SUMIFS(INDIRECT(Index!$M$12),INDIRECT(Index!$L$12),"&gt;="&amp;$A201,INDIRECT(Index!$L$12),"&lt;"&amp;EDATE($A201,3))=0,"",SUMIFS(INDIRECT(Index!$M$12),INDIRECT(Index!$L$12),"&gt;="&amp;$A201,INDIRECT(Index!$L$12),"&lt;"&amp;EDATE($A201,3))),"")</f>
        <v/>
      </c>
      <c r="C201" s="33" t="str">
        <f aca="false">IFERROR(B201/B200-1,"")</f>
        <v/>
      </c>
      <c r="D201" s="33" t="str">
        <f aca="false">IFERROR(B201/B197-1,"")</f>
        <v/>
      </c>
      <c r="E201" s="25" t="str">
        <f aca="false">IFERROR(IF(AND(B201="",ISNUMBER($C$108),ISNUMBER($G$108)),$C$108*(1+$G$108)^(($A201-$E$108)/365.25),""),"")</f>
        <v/>
      </c>
      <c r="F201" s="25" t="str">
        <f aca="false">IFERROR(IF(AND(B201="",ISNUMBER($C$108),ISNUMBER($G$108)),$C$108*(1+$G$108*0.85^MAX(0,($A201-$E$108)/91.25))^(($A201-$E$108)/365.25),""),"")</f>
        <v/>
      </c>
    </row>
    <row r="202" customFormat="false" ht="15" hidden="false" customHeight="false" outlineLevel="0" collapsed="false">
      <c r="A202" s="27" t="n">
        <v>47757</v>
      </c>
      <c r="B202" s="28" t="str">
        <f aca="true">IFERROR(IF(SUMIFS(INDIRECT(Index!$M$12),INDIRECT(Index!$L$12),"&gt;="&amp;$A202,INDIRECT(Index!$L$12),"&lt;"&amp;EDATE($A202,3))=0,"",SUMIFS(INDIRECT(Index!$M$12),INDIRECT(Index!$L$12),"&gt;="&amp;$A202,INDIRECT(Index!$L$12),"&lt;"&amp;EDATE($A202,3))),"")</f>
        <v/>
      </c>
      <c r="C202" s="29" t="str">
        <f aca="false">IFERROR(B202/B201-1,"")</f>
        <v/>
      </c>
      <c r="D202" s="29" t="str">
        <f aca="false">IFERROR(B202/B198-1,"")</f>
        <v/>
      </c>
      <c r="E202" s="31" t="str">
        <f aca="false">IFERROR(IF(AND(B202="",ISNUMBER($C$108),ISNUMBER($G$108)),$C$108*(1+$G$108)^(($A202-$E$108)/365.25),""),"")</f>
        <v/>
      </c>
      <c r="F202" s="31" t="str">
        <f aca="false">IFERROR(IF(AND(B202="",ISNUMBER($C$108),ISNUMBER($G$108)),$C$108*(1+$G$108*0.85^MAX(0,($A202-$E$108)/91.25))^(($A202-$E$108)/365.25),""),"")</f>
        <v/>
      </c>
    </row>
    <row r="206" customFormat="false" ht="21.75" hidden="false" customHeight="true" outlineLevel="0" collapsed="false">
      <c r="A206" s="17" t="str">
        <f aca="false">Index!$A$13&amp;"   ("&amp;Index!$I$13&amp;")"</f>
        <v>Public Debt   (USD Mn)</v>
      </c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</row>
    <row r="207" customFormat="false" ht="15" hidden="false" customHeight="false" outlineLevel="0" collapsed="false">
      <c r="A207" s="4" t="s">
        <v>106</v>
      </c>
      <c r="B207" s="18" t="str">
        <f aca="false">Index!$J$13</f>
        <v>last</v>
      </c>
      <c r="C207" s="4" t="s">
        <v>107</v>
      </c>
      <c r="D207" s="19" t="str">
        <f aca="false">Index!$D$13&amp;" ["&amp;Index!$F$13&amp;Index!$G$13&amp;":"&amp;Index!$F$13&amp;Index!$H$13&amp;"]"</f>
        <v>Data_Quarterly [D2:D200]</v>
      </c>
      <c r="E207" s="19"/>
      <c r="F207" s="19"/>
      <c r="G207" s="19"/>
      <c r="H207" s="19"/>
    </row>
    <row r="208" customFormat="false" ht="15" hidden="false" customHeight="false" outlineLevel="0" collapsed="false">
      <c r="A208" s="4" t="s">
        <v>108</v>
      </c>
      <c r="B208" s="6" t="str">
        <f aca="false">IF(Index!$K$13="","",Index!$K$13)</f>
        <v>End-period stock.</v>
      </c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</row>
    <row r="209" customFormat="false" ht="15" hidden="false" customHeight="false" outlineLevel="0" collapsed="false">
      <c r="A209" s="4" t="s">
        <v>109</v>
      </c>
      <c r="B209" s="4" t="s">
        <v>110</v>
      </c>
      <c r="C209" s="20" t="str">
        <f aca="false">IFERROR(LOOKUP(2,1/($B$212:$B$303&lt;&gt;""),$B$212:$B$303),"")</f>
        <v/>
      </c>
      <c r="D209" s="4" t="s">
        <v>111</v>
      </c>
      <c r="E209" s="21" t="str">
        <f aca="false">IFERROR(LOOKUP(2,1/($B$212:$B$303&lt;&gt;""),$A$212:$A$303),"")</f>
        <v/>
      </c>
      <c r="F209" s="4" t="s">
        <v>112</v>
      </c>
      <c r="G209" s="22" t="str">
        <f aca="false">IFERROR(C209/INDEX($B$212:$B$303,MATCH(EDATE(E209,-12),$A$212:$A$303,0))-1,"")</f>
        <v/>
      </c>
    </row>
    <row r="210" customFormat="false" ht="18" hidden="false" customHeight="true" outlineLevel="0" collapsed="false">
      <c r="A210" s="23" t="s">
        <v>113</v>
      </c>
      <c r="B210" s="23"/>
      <c r="C210" s="23"/>
      <c r="D210" s="23"/>
      <c r="E210" s="23"/>
      <c r="F210" s="23"/>
      <c r="J210" s="23" t="s">
        <v>114</v>
      </c>
      <c r="K210" s="23"/>
      <c r="L210" s="23"/>
      <c r="M210" s="23"/>
    </row>
    <row r="211" customFormat="false" ht="15" hidden="false" customHeight="false" outlineLevel="0" collapsed="false">
      <c r="A211" s="7" t="s">
        <v>95</v>
      </c>
      <c r="B211" s="7" t="s">
        <v>115</v>
      </c>
      <c r="C211" s="7" t="s">
        <v>116</v>
      </c>
      <c r="D211" s="7" t="s">
        <v>117</v>
      </c>
      <c r="E211" s="7" t="s">
        <v>118</v>
      </c>
      <c r="F211" s="7" t="s">
        <v>119</v>
      </c>
      <c r="J211" s="7" t="s">
        <v>120</v>
      </c>
      <c r="K211" s="7" t="s">
        <v>115</v>
      </c>
      <c r="L211" s="7" t="s">
        <v>117</v>
      </c>
      <c r="M211" s="7" t="s">
        <v>121</v>
      </c>
    </row>
    <row r="212" customFormat="false" ht="15" hidden="false" customHeight="false" outlineLevel="0" collapsed="false">
      <c r="A212" s="15" t="n">
        <v>39448</v>
      </c>
      <c r="B212" s="20" t="str">
        <f aca="true">IFERROR(IF(IFERROR(INDEX(INDIRECT(Index!$M$13),MATCH(EDATE($A212,2),INDIRECT(Index!$L$13),0)),AVERAGEIFS(INDIRECT(Index!$M$13),INDIRECT(Index!$L$13),"&gt;="&amp;$A212,INDIRECT(Index!$L$13),"&lt;"&amp;EDATE($A212,3)))=0,"",IFERROR(INDEX(INDIRECT(Index!$M$13),MATCH(EDATE($A212,2),INDIRECT(Index!$L$13),0)),AVERAGEIFS(INDIRECT(Index!$M$13),INDIRECT(Index!$L$13),"&gt;="&amp;$A212,INDIRECT(Index!$L$13),"&lt;"&amp;EDATE($A212,3)))),"")</f>
        <v/>
      </c>
      <c r="C212" s="24"/>
      <c r="D212" s="24"/>
      <c r="E212" s="25" t="str">
        <f aca="false">IFERROR(IF(AND(B212="",ISNUMBER($C$209),ISNUMBER($G$209)),$C$209*(1+$G$209)^(($A212-$E$209)/365.25),""),"")</f>
        <v/>
      </c>
      <c r="F212" s="25" t="str">
        <f aca="false">IFERROR(IF(AND(B212="",ISNUMBER($C$209),ISNUMBER($G$209)),$C$209*(1+$G$209*0.85^MAX(0,($A212-$E$209)/91.25))^(($A212-$E$209)/365.25),""),"")</f>
        <v/>
      </c>
      <c r="J212" s="26" t="n">
        <v>2008</v>
      </c>
      <c r="K212" s="25" t="str">
        <f aca="false">IFERROR(INDEX($B$212:$B$303,MATCH(DATE(J212,10,1),$A$212:$A$303,0)),"")</f>
        <v/>
      </c>
      <c r="L212" s="24"/>
      <c r="M212" s="25" t="str">
        <f aca="false">IFERROR(INDEX($E$212:$E$303,MATCH(DATE(J212,10,1),$A$212:$A$303,0)),"")</f>
        <v/>
      </c>
    </row>
    <row r="213" customFormat="false" ht="15" hidden="false" customHeight="false" outlineLevel="0" collapsed="false">
      <c r="A213" s="27" t="n">
        <v>39539</v>
      </c>
      <c r="B213" s="28" t="str">
        <f aca="true">IFERROR(IF(IFERROR(INDEX(INDIRECT(Index!$M$13),MATCH(EDATE($A213,2),INDIRECT(Index!$L$13),0)),AVERAGEIFS(INDIRECT(Index!$M$13),INDIRECT(Index!$L$13),"&gt;="&amp;$A213,INDIRECT(Index!$L$13),"&lt;"&amp;EDATE($A213,3)))=0,"",IFERROR(INDEX(INDIRECT(Index!$M$13),MATCH(EDATE($A213,2),INDIRECT(Index!$L$13),0)),AVERAGEIFS(INDIRECT(Index!$M$13),INDIRECT(Index!$L$13),"&gt;="&amp;$A213,INDIRECT(Index!$L$13),"&lt;"&amp;EDATE($A213,3)))),"")</f>
        <v/>
      </c>
      <c r="C213" s="29" t="str">
        <f aca="false">IFERROR(B213/B212-1,"")</f>
        <v/>
      </c>
      <c r="D213" s="30"/>
      <c r="E213" s="31" t="str">
        <f aca="false">IFERROR(IF(AND(B213="",ISNUMBER($C$209),ISNUMBER($G$209)),$C$209*(1+$G$209)^(($A213-$E$209)/365.25),""),"")</f>
        <v/>
      </c>
      <c r="F213" s="31" t="str">
        <f aca="false">IFERROR(IF(AND(B213="",ISNUMBER($C$209),ISNUMBER($G$209)),$C$209*(1+$G$209*0.85^MAX(0,($A213-$E$209)/91.25))^(($A213-$E$209)/365.25),""),"")</f>
        <v/>
      </c>
      <c r="J213" s="32" t="n">
        <v>2009</v>
      </c>
      <c r="K213" s="31" t="str">
        <f aca="false">IFERROR(INDEX($B$212:$B$303,MATCH(DATE(J213,10,1),$A$212:$A$303,0)),"")</f>
        <v/>
      </c>
      <c r="L213" s="29" t="str">
        <f aca="false">IFERROR(K213/K212-1,"")</f>
        <v/>
      </c>
      <c r="M213" s="31" t="str">
        <f aca="false">IFERROR(INDEX($E$212:$E$303,MATCH(DATE(J213,10,1),$A$212:$A$303,0)),"")</f>
        <v/>
      </c>
    </row>
    <row r="214" customFormat="false" ht="15" hidden="false" customHeight="false" outlineLevel="0" collapsed="false">
      <c r="A214" s="15" t="n">
        <v>39630</v>
      </c>
      <c r="B214" s="20" t="str">
        <f aca="true">IFERROR(IF(IFERROR(INDEX(INDIRECT(Index!$M$13),MATCH(EDATE($A214,2),INDIRECT(Index!$L$13),0)),AVERAGEIFS(INDIRECT(Index!$M$13),INDIRECT(Index!$L$13),"&gt;="&amp;$A214,INDIRECT(Index!$L$13),"&lt;"&amp;EDATE($A214,3)))=0,"",IFERROR(INDEX(INDIRECT(Index!$M$13),MATCH(EDATE($A214,2),INDIRECT(Index!$L$13),0)),AVERAGEIFS(INDIRECT(Index!$M$13),INDIRECT(Index!$L$13),"&gt;="&amp;$A214,INDIRECT(Index!$L$13),"&lt;"&amp;EDATE($A214,3)))),"")</f>
        <v/>
      </c>
      <c r="C214" s="33" t="str">
        <f aca="false">IFERROR(B214/B213-1,"")</f>
        <v/>
      </c>
      <c r="D214" s="24"/>
      <c r="E214" s="25" t="str">
        <f aca="false">IFERROR(IF(AND(B214="",ISNUMBER($C$209),ISNUMBER($G$209)),$C$209*(1+$G$209)^(($A214-$E$209)/365.25),""),"")</f>
        <v/>
      </c>
      <c r="F214" s="25" t="str">
        <f aca="false">IFERROR(IF(AND(B214="",ISNUMBER($C$209),ISNUMBER($G$209)),$C$209*(1+$G$209*0.85^MAX(0,($A214-$E$209)/91.25))^(($A214-$E$209)/365.25),""),"")</f>
        <v/>
      </c>
      <c r="J214" s="26" t="n">
        <v>2010</v>
      </c>
      <c r="K214" s="25" t="str">
        <f aca="false">IFERROR(INDEX($B$212:$B$303,MATCH(DATE(J214,10,1),$A$212:$A$303,0)),"")</f>
        <v/>
      </c>
      <c r="L214" s="33" t="str">
        <f aca="false">IFERROR(K214/K213-1,"")</f>
        <v/>
      </c>
      <c r="M214" s="25" t="str">
        <f aca="false">IFERROR(INDEX($E$212:$E$303,MATCH(DATE(J214,10,1),$A$212:$A$303,0)),"")</f>
        <v/>
      </c>
    </row>
    <row r="215" customFormat="false" ht="15" hidden="false" customHeight="false" outlineLevel="0" collapsed="false">
      <c r="A215" s="27" t="n">
        <v>39722</v>
      </c>
      <c r="B215" s="28" t="str">
        <f aca="true">IFERROR(IF(IFERROR(INDEX(INDIRECT(Index!$M$13),MATCH(EDATE($A215,2),INDIRECT(Index!$L$13),0)),AVERAGEIFS(INDIRECT(Index!$M$13),INDIRECT(Index!$L$13),"&gt;="&amp;$A215,INDIRECT(Index!$L$13),"&lt;"&amp;EDATE($A215,3)))=0,"",IFERROR(INDEX(INDIRECT(Index!$M$13),MATCH(EDATE($A215,2),INDIRECT(Index!$L$13),0)),AVERAGEIFS(INDIRECT(Index!$M$13),INDIRECT(Index!$L$13),"&gt;="&amp;$A215,INDIRECT(Index!$L$13),"&lt;"&amp;EDATE($A215,3)))),"")</f>
        <v/>
      </c>
      <c r="C215" s="29" t="str">
        <f aca="false">IFERROR(B215/B214-1,"")</f>
        <v/>
      </c>
      <c r="D215" s="30"/>
      <c r="E215" s="31" t="str">
        <f aca="false">IFERROR(IF(AND(B215="",ISNUMBER($C$209),ISNUMBER($G$209)),$C$209*(1+$G$209)^(($A215-$E$209)/365.25),""),"")</f>
        <v/>
      </c>
      <c r="F215" s="31" t="str">
        <f aca="false">IFERROR(IF(AND(B215="",ISNUMBER($C$209),ISNUMBER($G$209)),$C$209*(1+$G$209*0.85^MAX(0,($A215-$E$209)/91.25))^(($A215-$E$209)/365.25),""),"")</f>
        <v/>
      </c>
      <c r="J215" s="32" t="n">
        <v>2011</v>
      </c>
      <c r="K215" s="31" t="str">
        <f aca="false">IFERROR(INDEX($B$212:$B$303,MATCH(DATE(J215,10,1),$A$212:$A$303,0)),"")</f>
        <v/>
      </c>
      <c r="L215" s="29" t="str">
        <f aca="false">IFERROR(K215/K214-1,"")</f>
        <v/>
      </c>
      <c r="M215" s="31" t="str">
        <f aca="false">IFERROR(INDEX($E$212:$E$303,MATCH(DATE(J215,10,1),$A$212:$A$303,0)),"")</f>
        <v/>
      </c>
    </row>
    <row r="216" customFormat="false" ht="15" hidden="false" customHeight="false" outlineLevel="0" collapsed="false">
      <c r="A216" s="15" t="n">
        <v>39814</v>
      </c>
      <c r="B216" s="20" t="str">
        <f aca="true">IFERROR(IF(IFERROR(INDEX(INDIRECT(Index!$M$13),MATCH(EDATE($A216,2),INDIRECT(Index!$L$13),0)),AVERAGEIFS(INDIRECT(Index!$M$13),INDIRECT(Index!$L$13),"&gt;="&amp;$A216,INDIRECT(Index!$L$13),"&lt;"&amp;EDATE($A216,3)))=0,"",IFERROR(INDEX(INDIRECT(Index!$M$13),MATCH(EDATE($A216,2),INDIRECT(Index!$L$13),0)),AVERAGEIFS(INDIRECT(Index!$M$13),INDIRECT(Index!$L$13),"&gt;="&amp;$A216,INDIRECT(Index!$L$13),"&lt;"&amp;EDATE($A216,3)))),"")</f>
        <v/>
      </c>
      <c r="C216" s="33" t="str">
        <f aca="false">IFERROR(B216/B215-1,"")</f>
        <v/>
      </c>
      <c r="D216" s="33" t="str">
        <f aca="false">IFERROR(B216/B212-1,"")</f>
        <v/>
      </c>
      <c r="E216" s="25" t="str">
        <f aca="false">IFERROR(IF(AND(B216="",ISNUMBER($C$209),ISNUMBER($G$209)),$C$209*(1+$G$209)^(($A216-$E$209)/365.25),""),"")</f>
        <v/>
      </c>
      <c r="F216" s="25" t="str">
        <f aca="false">IFERROR(IF(AND(B216="",ISNUMBER($C$209),ISNUMBER($G$209)),$C$209*(1+$G$209*0.85^MAX(0,($A216-$E$209)/91.25))^(($A216-$E$209)/365.25),""),"")</f>
        <v/>
      </c>
      <c r="J216" s="26" t="n">
        <v>2012</v>
      </c>
      <c r="K216" s="25" t="str">
        <f aca="false">IFERROR(INDEX($B$212:$B$303,MATCH(DATE(J216,10,1),$A$212:$A$303,0)),"")</f>
        <v/>
      </c>
      <c r="L216" s="33" t="str">
        <f aca="false">IFERROR(K216/K215-1,"")</f>
        <v/>
      </c>
      <c r="M216" s="25" t="str">
        <f aca="false">IFERROR(INDEX($E$212:$E$303,MATCH(DATE(J216,10,1),$A$212:$A$303,0)),"")</f>
        <v/>
      </c>
    </row>
    <row r="217" customFormat="false" ht="15" hidden="false" customHeight="false" outlineLevel="0" collapsed="false">
      <c r="A217" s="27" t="n">
        <v>39904</v>
      </c>
      <c r="B217" s="28" t="str">
        <f aca="true">IFERROR(IF(IFERROR(INDEX(INDIRECT(Index!$M$13),MATCH(EDATE($A217,2),INDIRECT(Index!$L$13),0)),AVERAGEIFS(INDIRECT(Index!$M$13),INDIRECT(Index!$L$13),"&gt;="&amp;$A217,INDIRECT(Index!$L$13),"&lt;"&amp;EDATE($A217,3)))=0,"",IFERROR(INDEX(INDIRECT(Index!$M$13),MATCH(EDATE($A217,2),INDIRECT(Index!$L$13),0)),AVERAGEIFS(INDIRECT(Index!$M$13),INDIRECT(Index!$L$13),"&gt;="&amp;$A217,INDIRECT(Index!$L$13),"&lt;"&amp;EDATE($A217,3)))),"")</f>
        <v/>
      </c>
      <c r="C217" s="29" t="str">
        <f aca="false">IFERROR(B217/B216-1,"")</f>
        <v/>
      </c>
      <c r="D217" s="29" t="str">
        <f aca="false">IFERROR(B217/B213-1,"")</f>
        <v/>
      </c>
      <c r="E217" s="31" t="str">
        <f aca="false">IFERROR(IF(AND(B217="",ISNUMBER($C$209),ISNUMBER($G$209)),$C$209*(1+$G$209)^(($A217-$E$209)/365.25),""),"")</f>
        <v/>
      </c>
      <c r="F217" s="31" t="str">
        <f aca="false">IFERROR(IF(AND(B217="",ISNUMBER($C$209),ISNUMBER($G$209)),$C$209*(1+$G$209*0.85^MAX(0,($A217-$E$209)/91.25))^(($A217-$E$209)/365.25),""),"")</f>
        <v/>
      </c>
      <c r="J217" s="32" t="n">
        <v>2013</v>
      </c>
      <c r="K217" s="31" t="str">
        <f aca="false">IFERROR(INDEX($B$212:$B$303,MATCH(DATE(J217,10,1),$A$212:$A$303,0)),"")</f>
        <v/>
      </c>
      <c r="L217" s="29" t="str">
        <f aca="false">IFERROR(K217/K216-1,"")</f>
        <v/>
      </c>
      <c r="M217" s="31" t="str">
        <f aca="false">IFERROR(INDEX($E$212:$E$303,MATCH(DATE(J217,10,1),$A$212:$A$303,0)),"")</f>
        <v/>
      </c>
    </row>
    <row r="218" customFormat="false" ht="15" hidden="false" customHeight="false" outlineLevel="0" collapsed="false">
      <c r="A218" s="15" t="n">
        <v>39995</v>
      </c>
      <c r="B218" s="20" t="str">
        <f aca="true">IFERROR(IF(IFERROR(INDEX(INDIRECT(Index!$M$13),MATCH(EDATE($A218,2),INDIRECT(Index!$L$13),0)),AVERAGEIFS(INDIRECT(Index!$M$13),INDIRECT(Index!$L$13),"&gt;="&amp;$A218,INDIRECT(Index!$L$13),"&lt;"&amp;EDATE($A218,3)))=0,"",IFERROR(INDEX(INDIRECT(Index!$M$13),MATCH(EDATE($A218,2),INDIRECT(Index!$L$13),0)),AVERAGEIFS(INDIRECT(Index!$M$13),INDIRECT(Index!$L$13),"&gt;="&amp;$A218,INDIRECT(Index!$L$13),"&lt;"&amp;EDATE($A218,3)))),"")</f>
        <v/>
      </c>
      <c r="C218" s="33" t="str">
        <f aca="false">IFERROR(B218/B217-1,"")</f>
        <v/>
      </c>
      <c r="D218" s="33" t="str">
        <f aca="false">IFERROR(B218/B214-1,"")</f>
        <v/>
      </c>
      <c r="E218" s="25" t="str">
        <f aca="false">IFERROR(IF(AND(B218="",ISNUMBER($C$209),ISNUMBER($G$209)),$C$209*(1+$G$209)^(($A218-$E$209)/365.25),""),"")</f>
        <v/>
      </c>
      <c r="F218" s="25" t="str">
        <f aca="false">IFERROR(IF(AND(B218="",ISNUMBER($C$209),ISNUMBER($G$209)),$C$209*(1+$G$209*0.85^MAX(0,($A218-$E$209)/91.25))^(($A218-$E$209)/365.25),""),"")</f>
        <v/>
      </c>
      <c r="J218" s="26" t="n">
        <v>2014</v>
      </c>
      <c r="K218" s="25" t="str">
        <f aca="false">IFERROR(INDEX($B$212:$B$303,MATCH(DATE(J218,10,1),$A$212:$A$303,0)),"")</f>
        <v/>
      </c>
      <c r="L218" s="33" t="str">
        <f aca="false">IFERROR(K218/K217-1,"")</f>
        <v/>
      </c>
      <c r="M218" s="25" t="str">
        <f aca="false">IFERROR(INDEX($E$212:$E$303,MATCH(DATE(J218,10,1),$A$212:$A$303,0)),"")</f>
        <v/>
      </c>
    </row>
    <row r="219" customFormat="false" ht="15" hidden="false" customHeight="false" outlineLevel="0" collapsed="false">
      <c r="A219" s="27" t="n">
        <v>40087</v>
      </c>
      <c r="B219" s="28" t="str">
        <f aca="true">IFERROR(IF(IFERROR(INDEX(INDIRECT(Index!$M$13),MATCH(EDATE($A219,2),INDIRECT(Index!$L$13),0)),AVERAGEIFS(INDIRECT(Index!$M$13),INDIRECT(Index!$L$13),"&gt;="&amp;$A219,INDIRECT(Index!$L$13),"&lt;"&amp;EDATE($A219,3)))=0,"",IFERROR(INDEX(INDIRECT(Index!$M$13),MATCH(EDATE($A219,2),INDIRECT(Index!$L$13),0)),AVERAGEIFS(INDIRECT(Index!$M$13),INDIRECT(Index!$L$13),"&gt;="&amp;$A219,INDIRECT(Index!$L$13),"&lt;"&amp;EDATE($A219,3)))),"")</f>
        <v/>
      </c>
      <c r="C219" s="29" t="str">
        <f aca="false">IFERROR(B219/B218-1,"")</f>
        <v/>
      </c>
      <c r="D219" s="29" t="str">
        <f aca="false">IFERROR(B219/B215-1,"")</f>
        <v/>
      </c>
      <c r="E219" s="31" t="str">
        <f aca="false">IFERROR(IF(AND(B219="",ISNUMBER($C$209),ISNUMBER($G$209)),$C$209*(1+$G$209)^(($A219-$E$209)/365.25),""),"")</f>
        <v/>
      </c>
      <c r="F219" s="31" t="str">
        <f aca="false">IFERROR(IF(AND(B219="",ISNUMBER($C$209),ISNUMBER($G$209)),$C$209*(1+$G$209*0.85^MAX(0,($A219-$E$209)/91.25))^(($A219-$E$209)/365.25),""),"")</f>
        <v/>
      </c>
      <c r="J219" s="32" t="n">
        <v>2015</v>
      </c>
      <c r="K219" s="31" t="str">
        <f aca="false">IFERROR(INDEX($B$212:$B$303,MATCH(DATE(J219,10,1),$A$212:$A$303,0)),"")</f>
        <v/>
      </c>
      <c r="L219" s="29" t="str">
        <f aca="false">IFERROR(K219/K218-1,"")</f>
        <v/>
      </c>
      <c r="M219" s="31" t="str">
        <f aca="false">IFERROR(INDEX($E$212:$E$303,MATCH(DATE(J219,10,1),$A$212:$A$303,0)),"")</f>
        <v/>
      </c>
    </row>
    <row r="220" customFormat="false" ht="15" hidden="false" customHeight="false" outlineLevel="0" collapsed="false">
      <c r="A220" s="15" t="n">
        <v>40179</v>
      </c>
      <c r="B220" s="20" t="str">
        <f aca="true">IFERROR(IF(IFERROR(INDEX(INDIRECT(Index!$M$13),MATCH(EDATE($A220,2),INDIRECT(Index!$L$13),0)),AVERAGEIFS(INDIRECT(Index!$M$13),INDIRECT(Index!$L$13),"&gt;="&amp;$A220,INDIRECT(Index!$L$13),"&lt;"&amp;EDATE($A220,3)))=0,"",IFERROR(INDEX(INDIRECT(Index!$M$13),MATCH(EDATE($A220,2),INDIRECT(Index!$L$13),0)),AVERAGEIFS(INDIRECT(Index!$M$13),INDIRECT(Index!$L$13),"&gt;="&amp;$A220,INDIRECT(Index!$L$13),"&lt;"&amp;EDATE($A220,3)))),"")</f>
        <v/>
      </c>
      <c r="C220" s="33" t="str">
        <f aca="false">IFERROR(B220/B219-1,"")</f>
        <v/>
      </c>
      <c r="D220" s="33" t="str">
        <f aca="false">IFERROR(B220/B216-1,"")</f>
        <v/>
      </c>
      <c r="E220" s="25" t="str">
        <f aca="false">IFERROR(IF(AND(B220="",ISNUMBER($C$209),ISNUMBER($G$209)),$C$209*(1+$G$209)^(($A220-$E$209)/365.25),""),"")</f>
        <v/>
      </c>
      <c r="F220" s="25" t="str">
        <f aca="false">IFERROR(IF(AND(B220="",ISNUMBER($C$209),ISNUMBER($G$209)),$C$209*(1+$G$209*0.85^MAX(0,($A220-$E$209)/91.25))^(($A220-$E$209)/365.25),""),"")</f>
        <v/>
      </c>
      <c r="J220" s="26" t="n">
        <v>2016</v>
      </c>
      <c r="K220" s="25" t="str">
        <f aca="false">IFERROR(INDEX($B$212:$B$303,MATCH(DATE(J220,10,1),$A$212:$A$303,0)),"")</f>
        <v/>
      </c>
      <c r="L220" s="33" t="str">
        <f aca="false">IFERROR(K220/K219-1,"")</f>
        <v/>
      </c>
      <c r="M220" s="25" t="str">
        <f aca="false">IFERROR(INDEX($E$212:$E$303,MATCH(DATE(J220,10,1),$A$212:$A$303,0)),"")</f>
        <v/>
      </c>
    </row>
    <row r="221" customFormat="false" ht="15" hidden="false" customHeight="false" outlineLevel="0" collapsed="false">
      <c r="A221" s="27" t="n">
        <v>40269</v>
      </c>
      <c r="B221" s="28" t="str">
        <f aca="true">IFERROR(IF(IFERROR(INDEX(INDIRECT(Index!$M$13),MATCH(EDATE($A221,2),INDIRECT(Index!$L$13),0)),AVERAGEIFS(INDIRECT(Index!$M$13),INDIRECT(Index!$L$13),"&gt;="&amp;$A221,INDIRECT(Index!$L$13),"&lt;"&amp;EDATE($A221,3)))=0,"",IFERROR(INDEX(INDIRECT(Index!$M$13),MATCH(EDATE($A221,2),INDIRECT(Index!$L$13),0)),AVERAGEIFS(INDIRECT(Index!$M$13),INDIRECT(Index!$L$13),"&gt;="&amp;$A221,INDIRECT(Index!$L$13),"&lt;"&amp;EDATE($A221,3)))),"")</f>
        <v/>
      </c>
      <c r="C221" s="29" t="str">
        <f aca="false">IFERROR(B221/B220-1,"")</f>
        <v/>
      </c>
      <c r="D221" s="29" t="str">
        <f aca="false">IFERROR(B221/B217-1,"")</f>
        <v/>
      </c>
      <c r="E221" s="31" t="str">
        <f aca="false">IFERROR(IF(AND(B221="",ISNUMBER($C$209),ISNUMBER($G$209)),$C$209*(1+$G$209)^(($A221-$E$209)/365.25),""),"")</f>
        <v/>
      </c>
      <c r="F221" s="31" t="str">
        <f aca="false">IFERROR(IF(AND(B221="",ISNUMBER($C$209),ISNUMBER($G$209)),$C$209*(1+$G$209*0.85^MAX(0,($A221-$E$209)/91.25))^(($A221-$E$209)/365.25),""),"")</f>
        <v/>
      </c>
      <c r="J221" s="32" t="n">
        <v>2017</v>
      </c>
      <c r="K221" s="31" t="str">
        <f aca="false">IFERROR(INDEX($B$212:$B$303,MATCH(DATE(J221,10,1),$A$212:$A$303,0)),"")</f>
        <v/>
      </c>
      <c r="L221" s="29" t="str">
        <f aca="false">IFERROR(K221/K220-1,"")</f>
        <v/>
      </c>
      <c r="M221" s="31" t="str">
        <f aca="false">IFERROR(INDEX($E$212:$E$303,MATCH(DATE(J221,10,1),$A$212:$A$303,0)),"")</f>
        <v/>
      </c>
    </row>
    <row r="222" customFormat="false" ht="15" hidden="false" customHeight="false" outlineLevel="0" collapsed="false">
      <c r="A222" s="15" t="n">
        <v>40360</v>
      </c>
      <c r="B222" s="20" t="str">
        <f aca="true">IFERROR(IF(IFERROR(INDEX(INDIRECT(Index!$M$13),MATCH(EDATE($A222,2),INDIRECT(Index!$L$13),0)),AVERAGEIFS(INDIRECT(Index!$M$13),INDIRECT(Index!$L$13),"&gt;="&amp;$A222,INDIRECT(Index!$L$13),"&lt;"&amp;EDATE($A222,3)))=0,"",IFERROR(INDEX(INDIRECT(Index!$M$13),MATCH(EDATE($A222,2),INDIRECT(Index!$L$13),0)),AVERAGEIFS(INDIRECT(Index!$M$13),INDIRECT(Index!$L$13),"&gt;="&amp;$A222,INDIRECT(Index!$L$13),"&lt;"&amp;EDATE($A222,3)))),"")</f>
        <v/>
      </c>
      <c r="C222" s="33" t="str">
        <f aca="false">IFERROR(B222/B221-1,"")</f>
        <v/>
      </c>
      <c r="D222" s="33" t="str">
        <f aca="false">IFERROR(B222/B218-1,"")</f>
        <v/>
      </c>
      <c r="E222" s="25" t="str">
        <f aca="false">IFERROR(IF(AND(B222="",ISNUMBER($C$209),ISNUMBER($G$209)),$C$209*(1+$G$209)^(($A222-$E$209)/365.25),""),"")</f>
        <v/>
      </c>
      <c r="F222" s="25" t="str">
        <f aca="false">IFERROR(IF(AND(B222="",ISNUMBER($C$209),ISNUMBER($G$209)),$C$209*(1+$G$209*0.85^MAX(0,($A222-$E$209)/91.25))^(($A222-$E$209)/365.25),""),"")</f>
        <v/>
      </c>
      <c r="J222" s="26" t="n">
        <v>2018</v>
      </c>
      <c r="K222" s="25" t="str">
        <f aca="false">IFERROR(INDEX($B$212:$B$303,MATCH(DATE(J222,10,1),$A$212:$A$303,0)),"")</f>
        <v/>
      </c>
      <c r="L222" s="33" t="str">
        <f aca="false">IFERROR(K222/K221-1,"")</f>
        <v/>
      </c>
      <c r="M222" s="25" t="str">
        <f aca="false">IFERROR(INDEX($E$212:$E$303,MATCH(DATE(J222,10,1),$A$212:$A$303,0)),"")</f>
        <v/>
      </c>
    </row>
    <row r="223" customFormat="false" ht="15" hidden="false" customHeight="false" outlineLevel="0" collapsed="false">
      <c r="A223" s="27" t="n">
        <v>40452</v>
      </c>
      <c r="B223" s="28" t="str">
        <f aca="true">IFERROR(IF(IFERROR(INDEX(INDIRECT(Index!$M$13),MATCH(EDATE($A223,2),INDIRECT(Index!$L$13),0)),AVERAGEIFS(INDIRECT(Index!$M$13),INDIRECT(Index!$L$13),"&gt;="&amp;$A223,INDIRECT(Index!$L$13),"&lt;"&amp;EDATE($A223,3)))=0,"",IFERROR(INDEX(INDIRECT(Index!$M$13),MATCH(EDATE($A223,2),INDIRECT(Index!$L$13),0)),AVERAGEIFS(INDIRECT(Index!$M$13),INDIRECT(Index!$L$13),"&gt;="&amp;$A223,INDIRECT(Index!$L$13),"&lt;"&amp;EDATE($A223,3)))),"")</f>
        <v/>
      </c>
      <c r="C223" s="29" t="str">
        <f aca="false">IFERROR(B223/B222-1,"")</f>
        <v/>
      </c>
      <c r="D223" s="29" t="str">
        <f aca="false">IFERROR(B223/B219-1,"")</f>
        <v/>
      </c>
      <c r="E223" s="31" t="str">
        <f aca="false">IFERROR(IF(AND(B223="",ISNUMBER($C$209),ISNUMBER($G$209)),$C$209*(1+$G$209)^(($A223-$E$209)/365.25),""),"")</f>
        <v/>
      </c>
      <c r="F223" s="31" t="str">
        <f aca="false">IFERROR(IF(AND(B223="",ISNUMBER($C$209),ISNUMBER($G$209)),$C$209*(1+$G$209*0.85^MAX(0,($A223-$E$209)/91.25))^(($A223-$E$209)/365.25),""),"")</f>
        <v/>
      </c>
      <c r="J223" s="32" t="n">
        <v>2019</v>
      </c>
      <c r="K223" s="31" t="str">
        <f aca="false">IFERROR(INDEX($B$212:$B$303,MATCH(DATE(J223,10,1),$A$212:$A$303,0)),"")</f>
        <v/>
      </c>
      <c r="L223" s="29" t="str">
        <f aca="false">IFERROR(K223/K222-1,"")</f>
        <v/>
      </c>
      <c r="M223" s="31" t="str">
        <f aca="false">IFERROR(INDEX($E$212:$E$303,MATCH(DATE(J223,10,1),$A$212:$A$303,0)),"")</f>
        <v/>
      </c>
    </row>
    <row r="224" customFormat="false" ht="15" hidden="false" customHeight="false" outlineLevel="0" collapsed="false">
      <c r="A224" s="15" t="n">
        <v>40544</v>
      </c>
      <c r="B224" s="20" t="str">
        <f aca="true">IFERROR(IF(IFERROR(INDEX(INDIRECT(Index!$M$13),MATCH(EDATE($A224,2),INDIRECT(Index!$L$13),0)),AVERAGEIFS(INDIRECT(Index!$M$13),INDIRECT(Index!$L$13),"&gt;="&amp;$A224,INDIRECT(Index!$L$13),"&lt;"&amp;EDATE($A224,3)))=0,"",IFERROR(INDEX(INDIRECT(Index!$M$13),MATCH(EDATE($A224,2),INDIRECT(Index!$L$13),0)),AVERAGEIFS(INDIRECT(Index!$M$13),INDIRECT(Index!$L$13),"&gt;="&amp;$A224,INDIRECT(Index!$L$13),"&lt;"&amp;EDATE($A224,3)))),"")</f>
        <v/>
      </c>
      <c r="C224" s="33" t="str">
        <f aca="false">IFERROR(B224/B223-1,"")</f>
        <v/>
      </c>
      <c r="D224" s="33" t="str">
        <f aca="false">IFERROR(B224/B220-1,"")</f>
        <v/>
      </c>
      <c r="E224" s="25" t="str">
        <f aca="false">IFERROR(IF(AND(B224="",ISNUMBER($C$209),ISNUMBER($G$209)),$C$209*(1+$G$209)^(($A224-$E$209)/365.25),""),"")</f>
        <v/>
      </c>
      <c r="F224" s="25" t="str">
        <f aca="false">IFERROR(IF(AND(B224="",ISNUMBER($C$209),ISNUMBER($G$209)),$C$209*(1+$G$209*0.85^MAX(0,($A224-$E$209)/91.25))^(($A224-$E$209)/365.25),""),"")</f>
        <v/>
      </c>
      <c r="J224" s="26" t="n">
        <v>2020</v>
      </c>
      <c r="K224" s="25" t="str">
        <f aca="false">IFERROR(INDEX($B$212:$B$303,MATCH(DATE(J224,10,1),$A$212:$A$303,0)),"")</f>
        <v/>
      </c>
      <c r="L224" s="33" t="str">
        <f aca="false">IFERROR(K224/K223-1,"")</f>
        <v/>
      </c>
      <c r="M224" s="25" t="str">
        <f aca="false">IFERROR(INDEX($E$212:$E$303,MATCH(DATE(J224,10,1),$A$212:$A$303,0)),"")</f>
        <v/>
      </c>
    </row>
    <row r="225" customFormat="false" ht="15" hidden="false" customHeight="false" outlineLevel="0" collapsed="false">
      <c r="A225" s="27" t="n">
        <v>40634</v>
      </c>
      <c r="B225" s="28" t="str">
        <f aca="true">IFERROR(IF(IFERROR(INDEX(INDIRECT(Index!$M$13),MATCH(EDATE($A225,2),INDIRECT(Index!$L$13),0)),AVERAGEIFS(INDIRECT(Index!$M$13),INDIRECT(Index!$L$13),"&gt;="&amp;$A225,INDIRECT(Index!$L$13),"&lt;"&amp;EDATE($A225,3)))=0,"",IFERROR(INDEX(INDIRECT(Index!$M$13),MATCH(EDATE($A225,2),INDIRECT(Index!$L$13),0)),AVERAGEIFS(INDIRECT(Index!$M$13),INDIRECT(Index!$L$13),"&gt;="&amp;$A225,INDIRECT(Index!$L$13),"&lt;"&amp;EDATE($A225,3)))),"")</f>
        <v/>
      </c>
      <c r="C225" s="29" t="str">
        <f aca="false">IFERROR(B225/B224-1,"")</f>
        <v/>
      </c>
      <c r="D225" s="29" t="str">
        <f aca="false">IFERROR(B225/B221-1,"")</f>
        <v/>
      </c>
      <c r="E225" s="31" t="str">
        <f aca="false">IFERROR(IF(AND(B225="",ISNUMBER($C$209),ISNUMBER($G$209)),$C$209*(1+$G$209)^(($A225-$E$209)/365.25),""),"")</f>
        <v/>
      </c>
      <c r="F225" s="31" t="str">
        <f aca="false">IFERROR(IF(AND(B225="",ISNUMBER($C$209),ISNUMBER($G$209)),$C$209*(1+$G$209*0.85^MAX(0,($A225-$E$209)/91.25))^(($A225-$E$209)/365.25),""),"")</f>
        <v/>
      </c>
      <c r="J225" s="32" t="n">
        <v>2021</v>
      </c>
      <c r="K225" s="31" t="str">
        <f aca="false">IFERROR(INDEX($B$212:$B$303,MATCH(DATE(J225,10,1),$A$212:$A$303,0)),"")</f>
        <v/>
      </c>
      <c r="L225" s="29" t="str">
        <f aca="false">IFERROR(K225/K224-1,"")</f>
        <v/>
      </c>
      <c r="M225" s="31" t="str">
        <f aca="false">IFERROR(INDEX($E$212:$E$303,MATCH(DATE(J225,10,1),$A$212:$A$303,0)),"")</f>
        <v/>
      </c>
    </row>
    <row r="226" customFormat="false" ht="15" hidden="false" customHeight="false" outlineLevel="0" collapsed="false">
      <c r="A226" s="15" t="n">
        <v>40725</v>
      </c>
      <c r="B226" s="20" t="str">
        <f aca="true">IFERROR(IF(IFERROR(INDEX(INDIRECT(Index!$M$13),MATCH(EDATE($A226,2),INDIRECT(Index!$L$13),0)),AVERAGEIFS(INDIRECT(Index!$M$13),INDIRECT(Index!$L$13),"&gt;="&amp;$A226,INDIRECT(Index!$L$13),"&lt;"&amp;EDATE($A226,3)))=0,"",IFERROR(INDEX(INDIRECT(Index!$M$13),MATCH(EDATE($A226,2),INDIRECT(Index!$L$13),0)),AVERAGEIFS(INDIRECT(Index!$M$13),INDIRECT(Index!$L$13),"&gt;="&amp;$A226,INDIRECT(Index!$L$13),"&lt;"&amp;EDATE($A226,3)))),"")</f>
        <v/>
      </c>
      <c r="C226" s="33" t="str">
        <f aca="false">IFERROR(B226/B225-1,"")</f>
        <v/>
      </c>
      <c r="D226" s="33" t="str">
        <f aca="false">IFERROR(B226/B222-1,"")</f>
        <v/>
      </c>
      <c r="E226" s="25" t="str">
        <f aca="false">IFERROR(IF(AND(B226="",ISNUMBER($C$209),ISNUMBER($G$209)),$C$209*(1+$G$209)^(($A226-$E$209)/365.25),""),"")</f>
        <v/>
      </c>
      <c r="F226" s="25" t="str">
        <f aca="false">IFERROR(IF(AND(B226="",ISNUMBER($C$209),ISNUMBER($G$209)),$C$209*(1+$G$209*0.85^MAX(0,($A226-$E$209)/91.25))^(($A226-$E$209)/365.25),""),"")</f>
        <v/>
      </c>
      <c r="J226" s="26" t="n">
        <v>2022</v>
      </c>
      <c r="K226" s="25" t="str">
        <f aca="false">IFERROR(INDEX($B$212:$B$303,MATCH(DATE(J226,10,1),$A$212:$A$303,0)),"")</f>
        <v/>
      </c>
      <c r="L226" s="33" t="str">
        <f aca="false">IFERROR(K226/K225-1,"")</f>
        <v/>
      </c>
      <c r="M226" s="25" t="str">
        <f aca="false">IFERROR(INDEX($E$212:$E$303,MATCH(DATE(J226,10,1),$A$212:$A$303,0)),"")</f>
        <v/>
      </c>
    </row>
    <row r="227" customFormat="false" ht="15" hidden="false" customHeight="false" outlineLevel="0" collapsed="false">
      <c r="A227" s="27" t="n">
        <v>40817</v>
      </c>
      <c r="B227" s="28" t="str">
        <f aca="true">IFERROR(IF(IFERROR(INDEX(INDIRECT(Index!$M$13),MATCH(EDATE($A227,2),INDIRECT(Index!$L$13),0)),AVERAGEIFS(INDIRECT(Index!$M$13),INDIRECT(Index!$L$13),"&gt;="&amp;$A227,INDIRECT(Index!$L$13),"&lt;"&amp;EDATE($A227,3)))=0,"",IFERROR(INDEX(INDIRECT(Index!$M$13),MATCH(EDATE($A227,2),INDIRECT(Index!$L$13),0)),AVERAGEIFS(INDIRECT(Index!$M$13),INDIRECT(Index!$L$13),"&gt;="&amp;$A227,INDIRECT(Index!$L$13),"&lt;"&amp;EDATE($A227,3)))),"")</f>
        <v/>
      </c>
      <c r="C227" s="29" t="str">
        <f aca="false">IFERROR(B227/B226-1,"")</f>
        <v/>
      </c>
      <c r="D227" s="29" t="str">
        <f aca="false">IFERROR(B227/B223-1,"")</f>
        <v/>
      </c>
      <c r="E227" s="31" t="str">
        <f aca="false">IFERROR(IF(AND(B227="",ISNUMBER($C$209),ISNUMBER($G$209)),$C$209*(1+$G$209)^(($A227-$E$209)/365.25),""),"")</f>
        <v/>
      </c>
      <c r="F227" s="31" t="str">
        <f aca="false">IFERROR(IF(AND(B227="",ISNUMBER($C$209),ISNUMBER($G$209)),$C$209*(1+$G$209*0.85^MAX(0,($A227-$E$209)/91.25))^(($A227-$E$209)/365.25),""),"")</f>
        <v/>
      </c>
      <c r="J227" s="32" t="n">
        <v>2023</v>
      </c>
      <c r="K227" s="31" t="str">
        <f aca="false">IFERROR(INDEX($B$212:$B$303,MATCH(DATE(J227,10,1),$A$212:$A$303,0)),"")</f>
        <v/>
      </c>
      <c r="L227" s="29" t="str">
        <f aca="false">IFERROR(K227/K226-1,"")</f>
        <v/>
      </c>
      <c r="M227" s="31" t="str">
        <f aca="false">IFERROR(INDEX($E$212:$E$303,MATCH(DATE(J227,10,1),$A$212:$A$303,0)),"")</f>
        <v/>
      </c>
    </row>
    <row r="228" customFormat="false" ht="15" hidden="false" customHeight="false" outlineLevel="0" collapsed="false">
      <c r="A228" s="15" t="n">
        <v>40909</v>
      </c>
      <c r="B228" s="20" t="str">
        <f aca="true">IFERROR(IF(IFERROR(INDEX(INDIRECT(Index!$M$13),MATCH(EDATE($A228,2),INDIRECT(Index!$L$13),0)),AVERAGEIFS(INDIRECT(Index!$M$13),INDIRECT(Index!$L$13),"&gt;="&amp;$A228,INDIRECT(Index!$L$13),"&lt;"&amp;EDATE($A228,3)))=0,"",IFERROR(INDEX(INDIRECT(Index!$M$13),MATCH(EDATE($A228,2),INDIRECT(Index!$L$13),0)),AVERAGEIFS(INDIRECT(Index!$M$13),INDIRECT(Index!$L$13),"&gt;="&amp;$A228,INDIRECT(Index!$L$13),"&lt;"&amp;EDATE($A228,3)))),"")</f>
        <v/>
      </c>
      <c r="C228" s="33" t="str">
        <f aca="false">IFERROR(B228/B227-1,"")</f>
        <v/>
      </c>
      <c r="D228" s="33" t="str">
        <f aca="false">IFERROR(B228/B224-1,"")</f>
        <v/>
      </c>
      <c r="E228" s="25" t="str">
        <f aca="false">IFERROR(IF(AND(B228="",ISNUMBER($C$209),ISNUMBER($G$209)),$C$209*(1+$G$209)^(($A228-$E$209)/365.25),""),"")</f>
        <v/>
      </c>
      <c r="F228" s="25" t="str">
        <f aca="false">IFERROR(IF(AND(B228="",ISNUMBER($C$209),ISNUMBER($G$209)),$C$209*(1+$G$209*0.85^MAX(0,($A228-$E$209)/91.25))^(($A228-$E$209)/365.25),""),"")</f>
        <v/>
      </c>
      <c r="J228" s="26" t="n">
        <v>2024</v>
      </c>
      <c r="K228" s="25" t="str">
        <f aca="false">IFERROR(INDEX($B$212:$B$303,MATCH(DATE(J228,10,1),$A$212:$A$303,0)),"")</f>
        <v/>
      </c>
      <c r="L228" s="33" t="str">
        <f aca="false">IFERROR(K228/K227-1,"")</f>
        <v/>
      </c>
      <c r="M228" s="25" t="str">
        <f aca="false">IFERROR(INDEX($E$212:$E$303,MATCH(DATE(J228,10,1),$A$212:$A$303,0)),"")</f>
        <v/>
      </c>
    </row>
    <row r="229" customFormat="false" ht="15" hidden="false" customHeight="false" outlineLevel="0" collapsed="false">
      <c r="A229" s="27" t="n">
        <v>41000</v>
      </c>
      <c r="B229" s="28" t="str">
        <f aca="true">IFERROR(IF(IFERROR(INDEX(INDIRECT(Index!$M$13),MATCH(EDATE($A229,2),INDIRECT(Index!$L$13),0)),AVERAGEIFS(INDIRECT(Index!$M$13),INDIRECT(Index!$L$13),"&gt;="&amp;$A229,INDIRECT(Index!$L$13),"&lt;"&amp;EDATE($A229,3)))=0,"",IFERROR(INDEX(INDIRECT(Index!$M$13),MATCH(EDATE($A229,2),INDIRECT(Index!$L$13),0)),AVERAGEIFS(INDIRECT(Index!$M$13),INDIRECT(Index!$L$13),"&gt;="&amp;$A229,INDIRECT(Index!$L$13),"&lt;"&amp;EDATE($A229,3)))),"")</f>
        <v/>
      </c>
      <c r="C229" s="29" t="str">
        <f aca="false">IFERROR(B229/B228-1,"")</f>
        <v/>
      </c>
      <c r="D229" s="29" t="str">
        <f aca="false">IFERROR(B229/B225-1,"")</f>
        <v/>
      </c>
      <c r="E229" s="31" t="str">
        <f aca="false">IFERROR(IF(AND(B229="",ISNUMBER($C$209),ISNUMBER($G$209)),$C$209*(1+$G$209)^(($A229-$E$209)/365.25),""),"")</f>
        <v/>
      </c>
      <c r="F229" s="31" t="str">
        <f aca="false">IFERROR(IF(AND(B229="",ISNUMBER($C$209),ISNUMBER($G$209)),$C$209*(1+$G$209*0.85^MAX(0,($A229-$E$209)/91.25))^(($A229-$E$209)/365.25),""),"")</f>
        <v/>
      </c>
      <c r="J229" s="32" t="n">
        <v>2025</v>
      </c>
      <c r="K229" s="31" t="str">
        <f aca="false">IFERROR(INDEX($B$212:$B$303,MATCH(DATE(J229,10,1),$A$212:$A$303,0)),"")</f>
        <v/>
      </c>
      <c r="L229" s="29" t="str">
        <f aca="false">IFERROR(K229/K228-1,"")</f>
        <v/>
      </c>
      <c r="M229" s="31" t="str">
        <f aca="false">IFERROR(INDEX($E$212:$E$303,MATCH(DATE(J229,10,1),$A$212:$A$303,0)),"")</f>
        <v/>
      </c>
    </row>
    <row r="230" customFormat="false" ht="15" hidden="false" customHeight="false" outlineLevel="0" collapsed="false">
      <c r="A230" s="15" t="n">
        <v>41091</v>
      </c>
      <c r="B230" s="20" t="str">
        <f aca="true">IFERROR(IF(IFERROR(INDEX(INDIRECT(Index!$M$13),MATCH(EDATE($A230,2),INDIRECT(Index!$L$13),0)),AVERAGEIFS(INDIRECT(Index!$M$13),INDIRECT(Index!$L$13),"&gt;="&amp;$A230,INDIRECT(Index!$L$13),"&lt;"&amp;EDATE($A230,3)))=0,"",IFERROR(INDEX(INDIRECT(Index!$M$13),MATCH(EDATE($A230,2),INDIRECT(Index!$L$13),0)),AVERAGEIFS(INDIRECT(Index!$M$13),INDIRECT(Index!$L$13),"&gt;="&amp;$A230,INDIRECT(Index!$L$13),"&lt;"&amp;EDATE($A230,3)))),"")</f>
        <v/>
      </c>
      <c r="C230" s="33" t="str">
        <f aca="false">IFERROR(B230/B229-1,"")</f>
        <v/>
      </c>
      <c r="D230" s="33" t="str">
        <f aca="false">IFERROR(B230/B226-1,"")</f>
        <v/>
      </c>
      <c r="E230" s="25" t="str">
        <f aca="false">IFERROR(IF(AND(B230="",ISNUMBER($C$209),ISNUMBER($G$209)),$C$209*(1+$G$209)^(($A230-$E$209)/365.25),""),"")</f>
        <v/>
      </c>
      <c r="F230" s="25" t="str">
        <f aca="false">IFERROR(IF(AND(B230="",ISNUMBER($C$209),ISNUMBER($G$209)),$C$209*(1+$G$209*0.85^MAX(0,($A230-$E$209)/91.25))^(($A230-$E$209)/365.25),""),"")</f>
        <v/>
      </c>
      <c r="J230" s="26" t="n">
        <v>2026</v>
      </c>
      <c r="K230" s="25" t="str">
        <f aca="false">IFERROR(INDEX($B$212:$B$303,MATCH(DATE(J230,10,1),$A$212:$A$303,0)),"")</f>
        <v/>
      </c>
      <c r="L230" s="33" t="str">
        <f aca="false">IFERROR(K230/K229-1,"")</f>
        <v/>
      </c>
      <c r="M230" s="25" t="str">
        <f aca="false">IFERROR(INDEX($E$212:$E$303,MATCH(DATE(J230,10,1),$A$212:$A$303,0)),"")</f>
        <v/>
      </c>
    </row>
    <row r="231" customFormat="false" ht="15" hidden="false" customHeight="false" outlineLevel="0" collapsed="false">
      <c r="A231" s="27" t="n">
        <v>41183</v>
      </c>
      <c r="B231" s="28" t="str">
        <f aca="true">IFERROR(IF(IFERROR(INDEX(INDIRECT(Index!$M$13),MATCH(EDATE($A231,2),INDIRECT(Index!$L$13),0)),AVERAGEIFS(INDIRECT(Index!$M$13),INDIRECT(Index!$L$13),"&gt;="&amp;$A231,INDIRECT(Index!$L$13),"&lt;"&amp;EDATE($A231,3)))=0,"",IFERROR(INDEX(INDIRECT(Index!$M$13),MATCH(EDATE($A231,2),INDIRECT(Index!$L$13),0)),AVERAGEIFS(INDIRECT(Index!$M$13),INDIRECT(Index!$L$13),"&gt;="&amp;$A231,INDIRECT(Index!$L$13),"&lt;"&amp;EDATE($A231,3)))),"")</f>
        <v/>
      </c>
      <c r="C231" s="29" t="str">
        <f aca="false">IFERROR(B231/B230-1,"")</f>
        <v/>
      </c>
      <c r="D231" s="29" t="str">
        <f aca="false">IFERROR(B231/B227-1,"")</f>
        <v/>
      </c>
      <c r="E231" s="31" t="str">
        <f aca="false">IFERROR(IF(AND(B231="",ISNUMBER($C$209),ISNUMBER($G$209)),$C$209*(1+$G$209)^(($A231-$E$209)/365.25),""),"")</f>
        <v/>
      </c>
      <c r="F231" s="31" t="str">
        <f aca="false">IFERROR(IF(AND(B231="",ISNUMBER($C$209),ISNUMBER($G$209)),$C$209*(1+$G$209*0.85^MAX(0,($A231-$E$209)/91.25))^(($A231-$E$209)/365.25),""),"")</f>
        <v/>
      </c>
      <c r="J231" s="32" t="n">
        <v>2027</v>
      </c>
      <c r="K231" s="31" t="str">
        <f aca="false">IFERROR(INDEX($B$212:$B$303,MATCH(DATE(J231,10,1),$A$212:$A$303,0)),"")</f>
        <v/>
      </c>
      <c r="L231" s="29" t="str">
        <f aca="false">IFERROR(K231/K230-1,"")</f>
        <v/>
      </c>
      <c r="M231" s="31" t="str">
        <f aca="false">IFERROR(INDEX($E$212:$E$303,MATCH(DATE(J231,10,1),$A$212:$A$303,0)),"")</f>
        <v/>
      </c>
    </row>
    <row r="232" customFormat="false" ht="15" hidden="false" customHeight="false" outlineLevel="0" collapsed="false">
      <c r="A232" s="15" t="n">
        <v>41275</v>
      </c>
      <c r="B232" s="20" t="str">
        <f aca="true">IFERROR(IF(IFERROR(INDEX(INDIRECT(Index!$M$13),MATCH(EDATE($A232,2),INDIRECT(Index!$L$13),0)),AVERAGEIFS(INDIRECT(Index!$M$13),INDIRECT(Index!$L$13),"&gt;="&amp;$A232,INDIRECT(Index!$L$13),"&lt;"&amp;EDATE($A232,3)))=0,"",IFERROR(INDEX(INDIRECT(Index!$M$13),MATCH(EDATE($A232,2),INDIRECT(Index!$L$13),0)),AVERAGEIFS(INDIRECT(Index!$M$13),INDIRECT(Index!$L$13),"&gt;="&amp;$A232,INDIRECT(Index!$L$13),"&lt;"&amp;EDATE($A232,3)))),"")</f>
        <v/>
      </c>
      <c r="C232" s="33" t="str">
        <f aca="false">IFERROR(B232/B231-1,"")</f>
        <v/>
      </c>
      <c r="D232" s="33" t="str">
        <f aca="false">IFERROR(B232/B228-1,"")</f>
        <v/>
      </c>
      <c r="E232" s="25" t="str">
        <f aca="false">IFERROR(IF(AND(B232="",ISNUMBER($C$209),ISNUMBER($G$209)),$C$209*(1+$G$209)^(($A232-$E$209)/365.25),""),"")</f>
        <v/>
      </c>
      <c r="F232" s="25" t="str">
        <f aca="false">IFERROR(IF(AND(B232="",ISNUMBER($C$209),ISNUMBER($G$209)),$C$209*(1+$G$209*0.85^MAX(0,($A232-$E$209)/91.25))^(($A232-$E$209)/365.25),""),"")</f>
        <v/>
      </c>
      <c r="J232" s="26" t="n">
        <v>2028</v>
      </c>
      <c r="K232" s="25" t="str">
        <f aca="false">IFERROR(INDEX($B$212:$B$303,MATCH(DATE(J232,10,1),$A$212:$A$303,0)),"")</f>
        <v/>
      </c>
      <c r="L232" s="33" t="str">
        <f aca="false">IFERROR(K232/K231-1,"")</f>
        <v/>
      </c>
      <c r="M232" s="25" t="str">
        <f aca="false">IFERROR(INDEX($E$212:$E$303,MATCH(DATE(J232,10,1),$A$212:$A$303,0)),"")</f>
        <v/>
      </c>
    </row>
    <row r="233" customFormat="false" ht="15" hidden="false" customHeight="false" outlineLevel="0" collapsed="false">
      <c r="A233" s="27" t="n">
        <v>41365</v>
      </c>
      <c r="B233" s="28" t="str">
        <f aca="true">IFERROR(IF(IFERROR(INDEX(INDIRECT(Index!$M$13),MATCH(EDATE($A233,2),INDIRECT(Index!$L$13),0)),AVERAGEIFS(INDIRECT(Index!$M$13),INDIRECT(Index!$L$13),"&gt;="&amp;$A233,INDIRECT(Index!$L$13),"&lt;"&amp;EDATE($A233,3)))=0,"",IFERROR(INDEX(INDIRECT(Index!$M$13),MATCH(EDATE($A233,2),INDIRECT(Index!$L$13),0)),AVERAGEIFS(INDIRECT(Index!$M$13),INDIRECT(Index!$L$13),"&gt;="&amp;$A233,INDIRECT(Index!$L$13),"&lt;"&amp;EDATE($A233,3)))),"")</f>
        <v/>
      </c>
      <c r="C233" s="29" t="str">
        <f aca="false">IFERROR(B233/B232-1,"")</f>
        <v/>
      </c>
      <c r="D233" s="29" t="str">
        <f aca="false">IFERROR(B233/B229-1,"")</f>
        <v/>
      </c>
      <c r="E233" s="31" t="str">
        <f aca="false">IFERROR(IF(AND(B233="",ISNUMBER($C$209),ISNUMBER($G$209)),$C$209*(1+$G$209)^(($A233-$E$209)/365.25),""),"")</f>
        <v/>
      </c>
      <c r="F233" s="31" t="str">
        <f aca="false">IFERROR(IF(AND(B233="",ISNUMBER($C$209),ISNUMBER($G$209)),$C$209*(1+$G$209*0.85^MAX(0,($A233-$E$209)/91.25))^(($A233-$E$209)/365.25),""),"")</f>
        <v/>
      </c>
      <c r="J233" s="32" t="n">
        <v>2029</v>
      </c>
      <c r="K233" s="31" t="str">
        <f aca="false">IFERROR(INDEX($B$212:$B$303,MATCH(DATE(J233,10,1),$A$212:$A$303,0)),"")</f>
        <v/>
      </c>
      <c r="L233" s="29" t="str">
        <f aca="false">IFERROR(K233/K232-1,"")</f>
        <v/>
      </c>
      <c r="M233" s="31" t="str">
        <f aca="false">IFERROR(INDEX($E$212:$E$303,MATCH(DATE(J233,10,1),$A$212:$A$303,0)),"")</f>
        <v/>
      </c>
    </row>
    <row r="234" customFormat="false" ht="15" hidden="false" customHeight="false" outlineLevel="0" collapsed="false">
      <c r="A234" s="15" t="n">
        <v>41456</v>
      </c>
      <c r="B234" s="20" t="str">
        <f aca="true">IFERROR(IF(IFERROR(INDEX(INDIRECT(Index!$M$13),MATCH(EDATE($A234,2),INDIRECT(Index!$L$13),0)),AVERAGEIFS(INDIRECT(Index!$M$13),INDIRECT(Index!$L$13),"&gt;="&amp;$A234,INDIRECT(Index!$L$13),"&lt;"&amp;EDATE($A234,3)))=0,"",IFERROR(INDEX(INDIRECT(Index!$M$13),MATCH(EDATE($A234,2),INDIRECT(Index!$L$13),0)),AVERAGEIFS(INDIRECT(Index!$M$13),INDIRECT(Index!$L$13),"&gt;="&amp;$A234,INDIRECT(Index!$L$13),"&lt;"&amp;EDATE($A234,3)))),"")</f>
        <v/>
      </c>
      <c r="C234" s="33" t="str">
        <f aca="false">IFERROR(B234/B233-1,"")</f>
        <v/>
      </c>
      <c r="D234" s="33" t="str">
        <f aca="false">IFERROR(B234/B230-1,"")</f>
        <v/>
      </c>
      <c r="E234" s="25" t="str">
        <f aca="false">IFERROR(IF(AND(B234="",ISNUMBER($C$209),ISNUMBER($G$209)),$C$209*(1+$G$209)^(($A234-$E$209)/365.25),""),"")</f>
        <v/>
      </c>
      <c r="F234" s="25" t="str">
        <f aca="false">IFERROR(IF(AND(B234="",ISNUMBER($C$209),ISNUMBER($G$209)),$C$209*(1+$G$209*0.85^MAX(0,($A234-$E$209)/91.25))^(($A234-$E$209)/365.25),""),"")</f>
        <v/>
      </c>
      <c r="J234" s="26" t="n">
        <v>2030</v>
      </c>
      <c r="K234" s="25" t="str">
        <f aca="false">IFERROR(INDEX($B$212:$B$303,MATCH(DATE(J234,10,1),$A$212:$A$303,0)),"")</f>
        <v/>
      </c>
      <c r="L234" s="33" t="str">
        <f aca="false">IFERROR(K234/K233-1,"")</f>
        <v/>
      </c>
      <c r="M234" s="25" t="str">
        <f aca="false">IFERROR(INDEX($E$212:$E$303,MATCH(DATE(J234,10,1),$A$212:$A$303,0)),"")</f>
        <v/>
      </c>
    </row>
    <row r="235" customFormat="false" ht="15" hidden="false" customHeight="false" outlineLevel="0" collapsed="false">
      <c r="A235" s="27" t="n">
        <v>41548</v>
      </c>
      <c r="B235" s="28" t="str">
        <f aca="true">IFERROR(IF(IFERROR(INDEX(INDIRECT(Index!$M$13),MATCH(EDATE($A235,2),INDIRECT(Index!$L$13),0)),AVERAGEIFS(INDIRECT(Index!$M$13),INDIRECT(Index!$L$13),"&gt;="&amp;$A235,INDIRECT(Index!$L$13),"&lt;"&amp;EDATE($A235,3)))=0,"",IFERROR(INDEX(INDIRECT(Index!$M$13),MATCH(EDATE($A235,2),INDIRECT(Index!$L$13),0)),AVERAGEIFS(INDIRECT(Index!$M$13),INDIRECT(Index!$L$13),"&gt;="&amp;$A235,INDIRECT(Index!$L$13),"&lt;"&amp;EDATE($A235,3)))),"")</f>
        <v/>
      </c>
      <c r="C235" s="29" t="str">
        <f aca="false">IFERROR(B235/B234-1,"")</f>
        <v/>
      </c>
      <c r="D235" s="29" t="str">
        <f aca="false">IFERROR(B235/B231-1,"")</f>
        <v/>
      </c>
      <c r="E235" s="31" t="str">
        <f aca="false">IFERROR(IF(AND(B235="",ISNUMBER($C$209),ISNUMBER($G$209)),$C$209*(1+$G$209)^(($A235-$E$209)/365.25),""),"")</f>
        <v/>
      </c>
      <c r="F235" s="31" t="str">
        <f aca="false">IFERROR(IF(AND(B235="",ISNUMBER($C$209),ISNUMBER($G$209)),$C$209*(1+$G$209*0.85^MAX(0,($A235-$E$209)/91.25))^(($A235-$E$209)/365.25),""),"")</f>
        <v/>
      </c>
    </row>
    <row r="236" customFormat="false" ht="15" hidden="false" customHeight="false" outlineLevel="0" collapsed="false">
      <c r="A236" s="15" t="n">
        <v>41640</v>
      </c>
      <c r="B236" s="20" t="str">
        <f aca="true">IFERROR(IF(IFERROR(INDEX(INDIRECT(Index!$M$13),MATCH(EDATE($A236,2),INDIRECT(Index!$L$13),0)),AVERAGEIFS(INDIRECT(Index!$M$13),INDIRECT(Index!$L$13),"&gt;="&amp;$A236,INDIRECT(Index!$L$13),"&lt;"&amp;EDATE($A236,3)))=0,"",IFERROR(INDEX(INDIRECT(Index!$M$13),MATCH(EDATE($A236,2),INDIRECT(Index!$L$13),0)),AVERAGEIFS(INDIRECT(Index!$M$13),INDIRECT(Index!$L$13),"&gt;="&amp;$A236,INDIRECT(Index!$L$13),"&lt;"&amp;EDATE($A236,3)))),"")</f>
        <v/>
      </c>
      <c r="C236" s="33" t="str">
        <f aca="false">IFERROR(B236/B235-1,"")</f>
        <v/>
      </c>
      <c r="D236" s="33" t="str">
        <f aca="false">IFERROR(B236/B232-1,"")</f>
        <v/>
      </c>
      <c r="E236" s="25" t="str">
        <f aca="false">IFERROR(IF(AND(B236="",ISNUMBER($C$209),ISNUMBER($G$209)),$C$209*(1+$G$209)^(($A236-$E$209)/365.25),""),"")</f>
        <v/>
      </c>
      <c r="F236" s="25" t="str">
        <f aca="false">IFERROR(IF(AND(B236="",ISNUMBER($C$209),ISNUMBER($G$209)),$C$209*(1+$G$209*0.85^MAX(0,($A236-$E$209)/91.25))^(($A236-$E$209)/365.25),""),"")</f>
        <v/>
      </c>
    </row>
    <row r="237" customFormat="false" ht="15" hidden="false" customHeight="false" outlineLevel="0" collapsed="false">
      <c r="A237" s="27" t="n">
        <v>41730</v>
      </c>
      <c r="B237" s="28" t="str">
        <f aca="true">IFERROR(IF(IFERROR(INDEX(INDIRECT(Index!$M$13),MATCH(EDATE($A237,2),INDIRECT(Index!$L$13),0)),AVERAGEIFS(INDIRECT(Index!$M$13),INDIRECT(Index!$L$13),"&gt;="&amp;$A237,INDIRECT(Index!$L$13),"&lt;"&amp;EDATE($A237,3)))=0,"",IFERROR(INDEX(INDIRECT(Index!$M$13),MATCH(EDATE($A237,2),INDIRECT(Index!$L$13),0)),AVERAGEIFS(INDIRECT(Index!$M$13),INDIRECT(Index!$L$13),"&gt;="&amp;$A237,INDIRECT(Index!$L$13),"&lt;"&amp;EDATE($A237,3)))),"")</f>
        <v/>
      </c>
      <c r="C237" s="29" t="str">
        <f aca="false">IFERROR(B237/B236-1,"")</f>
        <v/>
      </c>
      <c r="D237" s="29" t="str">
        <f aca="false">IFERROR(B237/B233-1,"")</f>
        <v/>
      </c>
      <c r="E237" s="31" t="str">
        <f aca="false">IFERROR(IF(AND(B237="",ISNUMBER($C$209),ISNUMBER($G$209)),$C$209*(1+$G$209)^(($A237-$E$209)/365.25),""),"")</f>
        <v/>
      </c>
      <c r="F237" s="31" t="str">
        <f aca="false">IFERROR(IF(AND(B237="",ISNUMBER($C$209),ISNUMBER($G$209)),$C$209*(1+$G$209*0.85^MAX(0,($A237-$E$209)/91.25))^(($A237-$E$209)/365.25),""),"")</f>
        <v/>
      </c>
    </row>
    <row r="238" customFormat="false" ht="15" hidden="false" customHeight="false" outlineLevel="0" collapsed="false">
      <c r="A238" s="15" t="n">
        <v>41821</v>
      </c>
      <c r="B238" s="20" t="str">
        <f aca="true">IFERROR(IF(IFERROR(INDEX(INDIRECT(Index!$M$13),MATCH(EDATE($A238,2),INDIRECT(Index!$L$13),0)),AVERAGEIFS(INDIRECT(Index!$M$13),INDIRECT(Index!$L$13),"&gt;="&amp;$A238,INDIRECT(Index!$L$13),"&lt;"&amp;EDATE($A238,3)))=0,"",IFERROR(INDEX(INDIRECT(Index!$M$13),MATCH(EDATE($A238,2),INDIRECT(Index!$L$13),0)),AVERAGEIFS(INDIRECT(Index!$M$13),INDIRECT(Index!$L$13),"&gt;="&amp;$A238,INDIRECT(Index!$L$13),"&lt;"&amp;EDATE($A238,3)))),"")</f>
        <v/>
      </c>
      <c r="C238" s="33" t="str">
        <f aca="false">IFERROR(B238/B237-1,"")</f>
        <v/>
      </c>
      <c r="D238" s="33" t="str">
        <f aca="false">IFERROR(B238/B234-1,"")</f>
        <v/>
      </c>
      <c r="E238" s="25" t="str">
        <f aca="false">IFERROR(IF(AND(B238="",ISNUMBER($C$209),ISNUMBER($G$209)),$C$209*(1+$G$209)^(($A238-$E$209)/365.25),""),"")</f>
        <v/>
      </c>
      <c r="F238" s="25" t="str">
        <f aca="false">IFERROR(IF(AND(B238="",ISNUMBER($C$209),ISNUMBER($G$209)),$C$209*(1+$G$209*0.85^MAX(0,($A238-$E$209)/91.25))^(($A238-$E$209)/365.25),""),"")</f>
        <v/>
      </c>
    </row>
    <row r="239" customFormat="false" ht="15" hidden="false" customHeight="false" outlineLevel="0" collapsed="false">
      <c r="A239" s="27" t="n">
        <v>41913</v>
      </c>
      <c r="B239" s="28" t="str">
        <f aca="true">IFERROR(IF(IFERROR(INDEX(INDIRECT(Index!$M$13),MATCH(EDATE($A239,2),INDIRECT(Index!$L$13),0)),AVERAGEIFS(INDIRECT(Index!$M$13),INDIRECT(Index!$L$13),"&gt;="&amp;$A239,INDIRECT(Index!$L$13),"&lt;"&amp;EDATE($A239,3)))=0,"",IFERROR(INDEX(INDIRECT(Index!$M$13),MATCH(EDATE($A239,2),INDIRECT(Index!$L$13),0)),AVERAGEIFS(INDIRECT(Index!$M$13),INDIRECT(Index!$L$13),"&gt;="&amp;$A239,INDIRECT(Index!$L$13),"&lt;"&amp;EDATE($A239,3)))),"")</f>
        <v/>
      </c>
      <c r="C239" s="29" t="str">
        <f aca="false">IFERROR(B239/B238-1,"")</f>
        <v/>
      </c>
      <c r="D239" s="29" t="str">
        <f aca="false">IFERROR(B239/B235-1,"")</f>
        <v/>
      </c>
      <c r="E239" s="31" t="str">
        <f aca="false">IFERROR(IF(AND(B239="",ISNUMBER($C$209),ISNUMBER($G$209)),$C$209*(1+$G$209)^(($A239-$E$209)/365.25),""),"")</f>
        <v/>
      </c>
      <c r="F239" s="31" t="str">
        <f aca="false">IFERROR(IF(AND(B239="",ISNUMBER($C$209),ISNUMBER($G$209)),$C$209*(1+$G$209*0.85^MAX(0,($A239-$E$209)/91.25))^(($A239-$E$209)/365.25),""),"")</f>
        <v/>
      </c>
    </row>
    <row r="240" customFormat="false" ht="15" hidden="false" customHeight="false" outlineLevel="0" collapsed="false">
      <c r="A240" s="15" t="n">
        <v>42005</v>
      </c>
      <c r="B240" s="20" t="str">
        <f aca="true">IFERROR(IF(IFERROR(INDEX(INDIRECT(Index!$M$13),MATCH(EDATE($A240,2),INDIRECT(Index!$L$13),0)),AVERAGEIFS(INDIRECT(Index!$M$13),INDIRECT(Index!$L$13),"&gt;="&amp;$A240,INDIRECT(Index!$L$13),"&lt;"&amp;EDATE($A240,3)))=0,"",IFERROR(INDEX(INDIRECT(Index!$M$13),MATCH(EDATE($A240,2),INDIRECT(Index!$L$13),0)),AVERAGEIFS(INDIRECT(Index!$M$13),INDIRECT(Index!$L$13),"&gt;="&amp;$A240,INDIRECT(Index!$L$13),"&lt;"&amp;EDATE($A240,3)))),"")</f>
        <v/>
      </c>
      <c r="C240" s="33" t="str">
        <f aca="false">IFERROR(B240/B239-1,"")</f>
        <v/>
      </c>
      <c r="D240" s="33" t="str">
        <f aca="false">IFERROR(B240/B236-1,"")</f>
        <v/>
      </c>
      <c r="E240" s="25" t="str">
        <f aca="false">IFERROR(IF(AND(B240="",ISNUMBER($C$209),ISNUMBER($G$209)),$C$209*(1+$G$209)^(($A240-$E$209)/365.25),""),"")</f>
        <v/>
      </c>
      <c r="F240" s="25" t="str">
        <f aca="false">IFERROR(IF(AND(B240="",ISNUMBER($C$209),ISNUMBER($G$209)),$C$209*(1+$G$209*0.85^MAX(0,($A240-$E$209)/91.25))^(($A240-$E$209)/365.25),""),"")</f>
        <v/>
      </c>
    </row>
    <row r="241" customFormat="false" ht="15" hidden="false" customHeight="false" outlineLevel="0" collapsed="false">
      <c r="A241" s="27" t="n">
        <v>42095</v>
      </c>
      <c r="B241" s="28" t="str">
        <f aca="true">IFERROR(IF(IFERROR(INDEX(INDIRECT(Index!$M$13),MATCH(EDATE($A241,2),INDIRECT(Index!$L$13),0)),AVERAGEIFS(INDIRECT(Index!$M$13),INDIRECT(Index!$L$13),"&gt;="&amp;$A241,INDIRECT(Index!$L$13),"&lt;"&amp;EDATE($A241,3)))=0,"",IFERROR(INDEX(INDIRECT(Index!$M$13),MATCH(EDATE($A241,2),INDIRECT(Index!$L$13),0)),AVERAGEIFS(INDIRECT(Index!$M$13),INDIRECT(Index!$L$13),"&gt;="&amp;$A241,INDIRECT(Index!$L$13),"&lt;"&amp;EDATE($A241,3)))),"")</f>
        <v/>
      </c>
      <c r="C241" s="29" t="str">
        <f aca="false">IFERROR(B241/B240-1,"")</f>
        <v/>
      </c>
      <c r="D241" s="29" t="str">
        <f aca="false">IFERROR(B241/B237-1,"")</f>
        <v/>
      </c>
      <c r="E241" s="31" t="str">
        <f aca="false">IFERROR(IF(AND(B241="",ISNUMBER($C$209),ISNUMBER($G$209)),$C$209*(1+$G$209)^(($A241-$E$209)/365.25),""),"")</f>
        <v/>
      </c>
      <c r="F241" s="31" t="str">
        <f aca="false">IFERROR(IF(AND(B241="",ISNUMBER($C$209),ISNUMBER($G$209)),$C$209*(1+$G$209*0.85^MAX(0,($A241-$E$209)/91.25))^(($A241-$E$209)/365.25),""),"")</f>
        <v/>
      </c>
    </row>
    <row r="242" customFormat="false" ht="15" hidden="false" customHeight="false" outlineLevel="0" collapsed="false">
      <c r="A242" s="15" t="n">
        <v>42186</v>
      </c>
      <c r="B242" s="20" t="str">
        <f aca="true">IFERROR(IF(IFERROR(INDEX(INDIRECT(Index!$M$13),MATCH(EDATE($A242,2),INDIRECT(Index!$L$13),0)),AVERAGEIFS(INDIRECT(Index!$M$13),INDIRECT(Index!$L$13),"&gt;="&amp;$A242,INDIRECT(Index!$L$13),"&lt;"&amp;EDATE($A242,3)))=0,"",IFERROR(INDEX(INDIRECT(Index!$M$13),MATCH(EDATE($A242,2),INDIRECT(Index!$L$13),0)),AVERAGEIFS(INDIRECT(Index!$M$13),INDIRECT(Index!$L$13),"&gt;="&amp;$A242,INDIRECT(Index!$L$13),"&lt;"&amp;EDATE($A242,3)))),"")</f>
        <v/>
      </c>
      <c r="C242" s="33" t="str">
        <f aca="false">IFERROR(B242/B241-1,"")</f>
        <v/>
      </c>
      <c r="D242" s="33" t="str">
        <f aca="false">IFERROR(B242/B238-1,"")</f>
        <v/>
      </c>
      <c r="E242" s="25" t="str">
        <f aca="false">IFERROR(IF(AND(B242="",ISNUMBER($C$209),ISNUMBER($G$209)),$C$209*(1+$G$209)^(($A242-$E$209)/365.25),""),"")</f>
        <v/>
      </c>
      <c r="F242" s="25" t="str">
        <f aca="false">IFERROR(IF(AND(B242="",ISNUMBER($C$209),ISNUMBER($G$209)),$C$209*(1+$G$209*0.85^MAX(0,($A242-$E$209)/91.25))^(($A242-$E$209)/365.25),""),"")</f>
        <v/>
      </c>
    </row>
    <row r="243" customFormat="false" ht="15" hidden="false" customHeight="false" outlineLevel="0" collapsed="false">
      <c r="A243" s="27" t="n">
        <v>42278</v>
      </c>
      <c r="B243" s="28" t="str">
        <f aca="true">IFERROR(IF(IFERROR(INDEX(INDIRECT(Index!$M$13),MATCH(EDATE($A243,2),INDIRECT(Index!$L$13),0)),AVERAGEIFS(INDIRECT(Index!$M$13),INDIRECT(Index!$L$13),"&gt;="&amp;$A243,INDIRECT(Index!$L$13),"&lt;"&amp;EDATE($A243,3)))=0,"",IFERROR(INDEX(INDIRECT(Index!$M$13),MATCH(EDATE($A243,2),INDIRECT(Index!$L$13),0)),AVERAGEIFS(INDIRECT(Index!$M$13),INDIRECT(Index!$L$13),"&gt;="&amp;$A243,INDIRECT(Index!$L$13),"&lt;"&amp;EDATE($A243,3)))),"")</f>
        <v/>
      </c>
      <c r="C243" s="29" t="str">
        <f aca="false">IFERROR(B243/B242-1,"")</f>
        <v/>
      </c>
      <c r="D243" s="29" t="str">
        <f aca="false">IFERROR(B243/B239-1,"")</f>
        <v/>
      </c>
      <c r="E243" s="31" t="str">
        <f aca="false">IFERROR(IF(AND(B243="",ISNUMBER($C$209),ISNUMBER($G$209)),$C$209*(1+$G$209)^(($A243-$E$209)/365.25),""),"")</f>
        <v/>
      </c>
      <c r="F243" s="31" t="str">
        <f aca="false">IFERROR(IF(AND(B243="",ISNUMBER($C$209),ISNUMBER($G$209)),$C$209*(1+$G$209*0.85^MAX(0,($A243-$E$209)/91.25))^(($A243-$E$209)/365.25),""),"")</f>
        <v/>
      </c>
    </row>
    <row r="244" customFormat="false" ht="15" hidden="false" customHeight="false" outlineLevel="0" collapsed="false">
      <c r="A244" s="15" t="n">
        <v>42370</v>
      </c>
      <c r="B244" s="20" t="str">
        <f aca="true">IFERROR(IF(IFERROR(INDEX(INDIRECT(Index!$M$13),MATCH(EDATE($A244,2),INDIRECT(Index!$L$13),0)),AVERAGEIFS(INDIRECT(Index!$M$13),INDIRECT(Index!$L$13),"&gt;="&amp;$A244,INDIRECT(Index!$L$13),"&lt;"&amp;EDATE($A244,3)))=0,"",IFERROR(INDEX(INDIRECT(Index!$M$13),MATCH(EDATE($A244,2),INDIRECT(Index!$L$13),0)),AVERAGEIFS(INDIRECT(Index!$M$13),INDIRECT(Index!$L$13),"&gt;="&amp;$A244,INDIRECT(Index!$L$13),"&lt;"&amp;EDATE($A244,3)))),"")</f>
        <v/>
      </c>
      <c r="C244" s="33" t="str">
        <f aca="false">IFERROR(B244/B243-1,"")</f>
        <v/>
      </c>
      <c r="D244" s="33" t="str">
        <f aca="false">IFERROR(B244/B240-1,"")</f>
        <v/>
      </c>
      <c r="E244" s="25" t="str">
        <f aca="false">IFERROR(IF(AND(B244="",ISNUMBER($C$209),ISNUMBER($G$209)),$C$209*(1+$G$209)^(($A244-$E$209)/365.25),""),"")</f>
        <v/>
      </c>
      <c r="F244" s="25" t="str">
        <f aca="false">IFERROR(IF(AND(B244="",ISNUMBER($C$209),ISNUMBER($G$209)),$C$209*(1+$G$209*0.85^MAX(0,($A244-$E$209)/91.25))^(($A244-$E$209)/365.25),""),"")</f>
        <v/>
      </c>
    </row>
    <row r="245" customFormat="false" ht="15" hidden="false" customHeight="false" outlineLevel="0" collapsed="false">
      <c r="A245" s="27" t="n">
        <v>42461</v>
      </c>
      <c r="B245" s="28" t="str">
        <f aca="true">IFERROR(IF(IFERROR(INDEX(INDIRECT(Index!$M$13),MATCH(EDATE($A245,2),INDIRECT(Index!$L$13),0)),AVERAGEIFS(INDIRECT(Index!$M$13),INDIRECT(Index!$L$13),"&gt;="&amp;$A245,INDIRECT(Index!$L$13),"&lt;"&amp;EDATE($A245,3)))=0,"",IFERROR(INDEX(INDIRECT(Index!$M$13),MATCH(EDATE($A245,2),INDIRECT(Index!$L$13),0)),AVERAGEIFS(INDIRECT(Index!$M$13),INDIRECT(Index!$L$13),"&gt;="&amp;$A245,INDIRECT(Index!$L$13),"&lt;"&amp;EDATE($A245,3)))),"")</f>
        <v/>
      </c>
      <c r="C245" s="29" t="str">
        <f aca="false">IFERROR(B245/B244-1,"")</f>
        <v/>
      </c>
      <c r="D245" s="29" t="str">
        <f aca="false">IFERROR(B245/B241-1,"")</f>
        <v/>
      </c>
      <c r="E245" s="31" t="str">
        <f aca="false">IFERROR(IF(AND(B245="",ISNUMBER($C$209),ISNUMBER($G$209)),$C$209*(1+$G$209)^(($A245-$E$209)/365.25),""),"")</f>
        <v/>
      </c>
      <c r="F245" s="31" t="str">
        <f aca="false">IFERROR(IF(AND(B245="",ISNUMBER($C$209),ISNUMBER($G$209)),$C$209*(1+$G$209*0.85^MAX(0,($A245-$E$209)/91.25))^(($A245-$E$209)/365.25),""),"")</f>
        <v/>
      </c>
    </row>
    <row r="246" customFormat="false" ht="15" hidden="false" customHeight="false" outlineLevel="0" collapsed="false">
      <c r="A246" s="15" t="n">
        <v>42552</v>
      </c>
      <c r="B246" s="20" t="str">
        <f aca="true">IFERROR(IF(IFERROR(INDEX(INDIRECT(Index!$M$13),MATCH(EDATE($A246,2),INDIRECT(Index!$L$13),0)),AVERAGEIFS(INDIRECT(Index!$M$13),INDIRECT(Index!$L$13),"&gt;="&amp;$A246,INDIRECT(Index!$L$13),"&lt;"&amp;EDATE($A246,3)))=0,"",IFERROR(INDEX(INDIRECT(Index!$M$13),MATCH(EDATE($A246,2),INDIRECT(Index!$L$13),0)),AVERAGEIFS(INDIRECT(Index!$M$13),INDIRECT(Index!$L$13),"&gt;="&amp;$A246,INDIRECT(Index!$L$13),"&lt;"&amp;EDATE($A246,3)))),"")</f>
        <v/>
      </c>
      <c r="C246" s="33" t="str">
        <f aca="false">IFERROR(B246/B245-1,"")</f>
        <v/>
      </c>
      <c r="D246" s="33" t="str">
        <f aca="false">IFERROR(B246/B242-1,"")</f>
        <v/>
      </c>
      <c r="E246" s="25" t="str">
        <f aca="false">IFERROR(IF(AND(B246="",ISNUMBER($C$209),ISNUMBER($G$209)),$C$209*(1+$G$209)^(($A246-$E$209)/365.25),""),"")</f>
        <v/>
      </c>
      <c r="F246" s="25" t="str">
        <f aca="false">IFERROR(IF(AND(B246="",ISNUMBER($C$209),ISNUMBER($G$209)),$C$209*(1+$G$209*0.85^MAX(0,($A246-$E$209)/91.25))^(($A246-$E$209)/365.25),""),"")</f>
        <v/>
      </c>
    </row>
    <row r="247" customFormat="false" ht="15" hidden="false" customHeight="false" outlineLevel="0" collapsed="false">
      <c r="A247" s="27" t="n">
        <v>42644</v>
      </c>
      <c r="B247" s="28" t="str">
        <f aca="true">IFERROR(IF(IFERROR(INDEX(INDIRECT(Index!$M$13),MATCH(EDATE($A247,2),INDIRECT(Index!$L$13),0)),AVERAGEIFS(INDIRECT(Index!$M$13),INDIRECT(Index!$L$13),"&gt;="&amp;$A247,INDIRECT(Index!$L$13),"&lt;"&amp;EDATE($A247,3)))=0,"",IFERROR(INDEX(INDIRECT(Index!$M$13),MATCH(EDATE($A247,2),INDIRECT(Index!$L$13),0)),AVERAGEIFS(INDIRECT(Index!$M$13),INDIRECT(Index!$L$13),"&gt;="&amp;$A247,INDIRECT(Index!$L$13),"&lt;"&amp;EDATE($A247,3)))),"")</f>
        <v/>
      </c>
      <c r="C247" s="29" t="str">
        <f aca="false">IFERROR(B247/B246-1,"")</f>
        <v/>
      </c>
      <c r="D247" s="29" t="str">
        <f aca="false">IFERROR(B247/B243-1,"")</f>
        <v/>
      </c>
      <c r="E247" s="31" t="str">
        <f aca="false">IFERROR(IF(AND(B247="",ISNUMBER($C$209),ISNUMBER($G$209)),$C$209*(1+$G$209)^(($A247-$E$209)/365.25),""),"")</f>
        <v/>
      </c>
      <c r="F247" s="31" t="str">
        <f aca="false">IFERROR(IF(AND(B247="",ISNUMBER($C$209),ISNUMBER($G$209)),$C$209*(1+$G$209*0.85^MAX(0,($A247-$E$209)/91.25))^(($A247-$E$209)/365.25),""),"")</f>
        <v/>
      </c>
    </row>
    <row r="248" customFormat="false" ht="15" hidden="false" customHeight="false" outlineLevel="0" collapsed="false">
      <c r="A248" s="15" t="n">
        <v>42736</v>
      </c>
      <c r="B248" s="20" t="str">
        <f aca="true">IFERROR(IF(IFERROR(INDEX(INDIRECT(Index!$M$13),MATCH(EDATE($A248,2),INDIRECT(Index!$L$13),0)),AVERAGEIFS(INDIRECT(Index!$M$13),INDIRECT(Index!$L$13),"&gt;="&amp;$A248,INDIRECT(Index!$L$13),"&lt;"&amp;EDATE($A248,3)))=0,"",IFERROR(INDEX(INDIRECT(Index!$M$13),MATCH(EDATE($A248,2),INDIRECT(Index!$L$13),0)),AVERAGEIFS(INDIRECT(Index!$M$13),INDIRECT(Index!$L$13),"&gt;="&amp;$A248,INDIRECT(Index!$L$13),"&lt;"&amp;EDATE($A248,3)))),"")</f>
        <v/>
      </c>
      <c r="C248" s="33" t="str">
        <f aca="false">IFERROR(B248/B247-1,"")</f>
        <v/>
      </c>
      <c r="D248" s="33" t="str">
        <f aca="false">IFERROR(B248/B244-1,"")</f>
        <v/>
      </c>
      <c r="E248" s="25" t="str">
        <f aca="false">IFERROR(IF(AND(B248="",ISNUMBER($C$209),ISNUMBER($G$209)),$C$209*(1+$G$209)^(($A248-$E$209)/365.25),""),"")</f>
        <v/>
      </c>
      <c r="F248" s="25" t="str">
        <f aca="false">IFERROR(IF(AND(B248="",ISNUMBER($C$209),ISNUMBER($G$209)),$C$209*(1+$G$209*0.85^MAX(0,($A248-$E$209)/91.25))^(($A248-$E$209)/365.25),""),"")</f>
        <v/>
      </c>
    </row>
    <row r="249" customFormat="false" ht="15" hidden="false" customHeight="false" outlineLevel="0" collapsed="false">
      <c r="A249" s="27" t="n">
        <v>42826</v>
      </c>
      <c r="B249" s="28" t="str">
        <f aca="true">IFERROR(IF(IFERROR(INDEX(INDIRECT(Index!$M$13),MATCH(EDATE($A249,2),INDIRECT(Index!$L$13),0)),AVERAGEIFS(INDIRECT(Index!$M$13),INDIRECT(Index!$L$13),"&gt;="&amp;$A249,INDIRECT(Index!$L$13),"&lt;"&amp;EDATE($A249,3)))=0,"",IFERROR(INDEX(INDIRECT(Index!$M$13),MATCH(EDATE($A249,2),INDIRECT(Index!$L$13),0)),AVERAGEIFS(INDIRECT(Index!$M$13),INDIRECT(Index!$L$13),"&gt;="&amp;$A249,INDIRECT(Index!$L$13),"&lt;"&amp;EDATE($A249,3)))),"")</f>
        <v/>
      </c>
      <c r="C249" s="29" t="str">
        <f aca="false">IFERROR(B249/B248-1,"")</f>
        <v/>
      </c>
      <c r="D249" s="29" t="str">
        <f aca="false">IFERROR(B249/B245-1,"")</f>
        <v/>
      </c>
      <c r="E249" s="31" t="str">
        <f aca="false">IFERROR(IF(AND(B249="",ISNUMBER($C$209),ISNUMBER($G$209)),$C$209*(1+$G$209)^(($A249-$E$209)/365.25),""),"")</f>
        <v/>
      </c>
      <c r="F249" s="31" t="str">
        <f aca="false">IFERROR(IF(AND(B249="",ISNUMBER($C$209),ISNUMBER($G$209)),$C$209*(1+$G$209*0.85^MAX(0,($A249-$E$209)/91.25))^(($A249-$E$209)/365.25),""),"")</f>
        <v/>
      </c>
    </row>
    <row r="250" customFormat="false" ht="15" hidden="false" customHeight="false" outlineLevel="0" collapsed="false">
      <c r="A250" s="15" t="n">
        <v>42917</v>
      </c>
      <c r="B250" s="20" t="str">
        <f aca="true">IFERROR(IF(IFERROR(INDEX(INDIRECT(Index!$M$13),MATCH(EDATE($A250,2),INDIRECT(Index!$L$13),0)),AVERAGEIFS(INDIRECT(Index!$M$13),INDIRECT(Index!$L$13),"&gt;="&amp;$A250,INDIRECT(Index!$L$13),"&lt;"&amp;EDATE($A250,3)))=0,"",IFERROR(INDEX(INDIRECT(Index!$M$13),MATCH(EDATE($A250,2),INDIRECT(Index!$L$13),0)),AVERAGEIFS(INDIRECT(Index!$M$13),INDIRECT(Index!$L$13),"&gt;="&amp;$A250,INDIRECT(Index!$L$13),"&lt;"&amp;EDATE($A250,3)))),"")</f>
        <v/>
      </c>
      <c r="C250" s="33" t="str">
        <f aca="false">IFERROR(B250/B249-1,"")</f>
        <v/>
      </c>
      <c r="D250" s="33" t="str">
        <f aca="false">IFERROR(B250/B246-1,"")</f>
        <v/>
      </c>
      <c r="E250" s="25" t="str">
        <f aca="false">IFERROR(IF(AND(B250="",ISNUMBER($C$209),ISNUMBER($G$209)),$C$209*(1+$G$209)^(($A250-$E$209)/365.25),""),"")</f>
        <v/>
      </c>
      <c r="F250" s="25" t="str">
        <f aca="false">IFERROR(IF(AND(B250="",ISNUMBER($C$209),ISNUMBER($G$209)),$C$209*(1+$G$209*0.85^MAX(0,($A250-$E$209)/91.25))^(($A250-$E$209)/365.25),""),"")</f>
        <v/>
      </c>
    </row>
    <row r="251" customFormat="false" ht="15" hidden="false" customHeight="false" outlineLevel="0" collapsed="false">
      <c r="A251" s="27" t="n">
        <v>43009</v>
      </c>
      <c r="B251" s="28" t="str">
        <f aca="true">IFERROR(IF(IFERROR(INDEX(INDIRECT(Index!$M$13),MATCH(EDATE($A251,2),INDIRECT(Index!$L$13),0)),AVERAGEIFS(INDIRECT(Index!$M$13),INDIRECT(Index!$L$13),"&gt;="&amp;$A251,INDIRECT(Index!$L$13),"&lt;"&amp;EDATE($A251,3)))=0,"",IFERROR(INDEX(INDIRECT(Index!$M$13),MATCH(EDATE($A251,2),INDIRECT(Index!$L$13),0)),AVERAGEIFS(INDIRECT(Index!$M$13),INDIRECT(Index!$L$13),"&gt;="&amp;$A251,INDIRECT(Index!$L$13),"&lt;"&amp;EDATE($A251,3)))),"")</f>
        <v/>
      </c>
      <c r="C251" s="29" t="str">
        <f aca="false">IFERROR(B251/B250-1,"")</f>
        <v/>
      </c>
      <c r="D251" s="29" t="str">
        <f aca="false">IFERROR(B251/B247-1,"")</f>
        <v/>
      </c>
      <c r="E251" s="31" t="str">
        <f aca="false">IFERROR(IF(AND(B251="",ISNUMBER($C$209),ISNUMBER($G$209)),$C$209*(1+$G$209)^(($A251-$E$209)/365.25),""),"")</f>
        <v/>
      </c>
      <c r="F251" s="31" t="str">
        <f aca="false">IFERROR(IF(AND(B251="",ISNUMBER($C$209),ISNUMBER($G$209)),$C$209*(1+$G$209*0.85^MAX(0,($A251-$E$209)/91.25))^(($A251-$E$209)/365.25),""),"")</f>
        <v/>
      </c>
    </row>
    <row r="252" customFormat="false" ht="15" hidden="false" customHeight="false" outlineLevel="0" collapsed="false">
      <c r="A252" s="15" t="n">
        <v>43101</v>
      </c>
      <c r="B252" s="20" t="str">
        <f aca="true">IFERROR(IF(IFERROR(INDEX(INDIRECT(Index!$M$13),MATCH(EDATE($A252,2),INDIRECT(Index!$L$13),0)),AVERAGEIFS(INDIRECT(Index!$M$13),INDIRECT(Index!$L$13),"&gt;="&amp;$A252,INDIRECT(Index!$L$13),"&lt;"&amp;EDATE($A252,3)))=0,"",IFERROR(INDEX(INDIRECT(Index!$M$13),MATCH(EDATE($A252,2),INDIRECT(Index!$L$13),0)),AVERAGEIFS(INDIRECT(Index!$M$13),INDIRECT(Index!$L$13),"&gt;="&amp;$A252,INDIRECT(Index!$L$13),"&lt;"&amp;EDATE($A252,3)))),"")</f>
        <v/>
      </c>
      <c r="C252" s="33" t="str">
        <f aca="false">IFERROR(B252/B251-1,"")</f>
        <v/>
      </c>
      <c r="D252" s="33" t="str">
        <f aca="false">IFERROR(B252/B248-1,"")</f>
        <v/>
      </c>
      <c r="E252" s="25" t="str">
        <f aca="false">IFERROR(IF(AND(B252="",ISNUMBER($C$209),ISNUMBER($G$209)),$C$209*(1+$G$209)^(($A252-$E$209)/365.25),""),"")</f>
        <v/>
      </c>
      <c r="F252" s="25" t="str">
        <f aca="false">IFERROR(IF(AND(B252="",ISNUMBER($C$209),ISNUMBER($G$209)),$C$209*(1+$G$209*0.85^MAX(0,($A252-$E$209)/91.25))^(($A252-$E$209)/365.25),""),"")</f>
        <v/>
      </c>
    </row>
    <row r="253" customFormat="false" ht="15" hidden="false" customHeight="false" outlineLevel="0" collapsed="false">
      <c r="A253" s="27" t="n">
        <v>43191</v>
      </c>
      <c r="B253" s="28" t="str">
        <f aca="true">IFERROR(IF(IFERROR(INDEX(INDIRECT(Index!$M$13),MATCH(EDATE($A253,2),INDIRECT(Index!$L$13),0)),AVERAGEIFS(INDIRECT(Index!$M$13),INDIRECT(Index!$L$13),"&gt;="&amp;$A253,INDIRECT(Index!$L$13),"&lt;"&amp;EDATE($A253,3)))=0,"",IFERROR(INDEX(INDIRECT(Index!$M$13),MATCH(EDATE($A253,2),INDIRECT(Index!$L$13),0)),AVERAGEIFS(INDIRECT(Index!$M$13),INDIRECT(Index!$L$13),"&gt;="&amp;$A253,INDIRECT(Index!$L$13),"&lt;"&amp;EDATE($A253,3)))),"")</f>
        <v/>
      </c>
      <c r="C253" s="29" t="str">
        <f aca="false">IFERROR(B253/B252-1,"")</f>
        <v/>
      </c>
      <c r="D253" s="29" t="str">
        <f aca="false">IFERROR(B253/B249-1,"")</f>
        <v/>
      </c>
      <c r="E253" s="31" t="str">
        <f aca="false">IFERROR(IF(AND(B253="",ISNUMBER($C$209),ISNUMBER($G$209)),$C$209*(1+$G$209)^(($A253-$E$209)/365.25),""),"")</f>
        <v/>
      </c>
      <c r="F253" s="31" t="str">
        <f aca="false">IFERROR(IF(AND(B253="",ISNUMBER($C$209),ISNUMBER($G$209)),$C$209*(1+$G$209*0.85^MAX(0,($A253-$E$209)/91.25))^(($A253-$E$209)/365.25),""),"")</f>
        <v/>
      </c>
    </row>
    <row r="254" customFormat="false" ht="15" hidden="false" customHeight="false" outlineLevel="0" collapsed="false">
      <c r="A254" s="15" t="n">
        <v>43282</v>
      </c>
      <c r="B254" s="20" t="str">
        <f aca="true">IFERROR(IF(IFERROR(INDEX(INDIRECT(Index!$M$13),MATCH(EDATE($A254,2),INDIRECT(Index!$L$13),0)),AVERAGEIFS(INDIRECT(Index!$M$13),INDIRECT(Index!$L$13),"&gt;="&amp;$A254,INDIRECT(Index!$L$13),"&lt;"&amp;EDATE($A254,3)))=0,"",IFERROR(INDEX(INDIRECT(Index!$M$13),MATCH(EDATE($A254,2),INDIRECT(Index!$L$13),0)),AVERAGEIFS(INDIRECT(Index!$M$13),INDIRECT(Index!$L$13),"&gt;="&amp;$A254,INDIRECT(Index!$L$13),"&lt;"&amp;EDATE($A254,3)))),"")</f>
        <v/>
      </c>
      <c r="C254" s="33" t="str">
        <f aca="false">IFERROR(B254/B253-1,"")</f>
        <v/>
      </c>
      <c r="D254" s="33" t="str">
        <f aca="false">IFERROR(B254/B250-1,"")</f>
        <v/>
      </c>
      <c r="E254" s="25" t="str">
        <f aca="false">IFERROR(IF(AND(B254="",ISNUMBER($C$209),ISNUMBER($G$209)),$C$209*(1+$G$209)^(($A254-$E$209)/365.25),""),"")</f>
        <v/>
      </c>
      <c r="F254" s="25" t="str">
        <f aca="false">IFERROR(IF(AND(B254="",ISNUMBER($C$209),ISNUMBER($G$209)),$C$209*(1+$G$209*0.85^MAX(0,($A254-$E$209)/91.25))^(($A254-$E$209)/365.25),""),"")</f>
        <v/>
      </c>
    </row>
    <row r="255" customFormat="false" ht="15" hidden="false" customHeight="false" outlineLevel="0" collapsed="false">
      <c r="A255" s="27" t="n">
        <v>43374</v>
      </c>
      <c r="B255" s="28" t="str">
        <f aca="true">IFERROR(IF(IFERROR(INDEX(INDIRECT(Index!$M$13),MATCH(EDATE($A255,2),INDIRECT(Index!$L$13),0)),AVERAGEIFS(INDIRECT(Index!$M$13),INDIRECT(Index!$L$13),"&gt;="&amp;$A255,INDIRECT(Index!$L$13),"&lt;"&amp;EDATE($A255,3)))=0,"",IFERROR(INDEX(INDIRECT(Index!$M$13),MATCH(EDATE($A255,2),INDIRECT(Index!$L$13),0)),AVERAGEIFS(INDIRECT(Index!$M$13),INDIRECT(Index!$L$13),"&gt;="&amp;$A255,INDIRECT(Index!$L$13),"&lt;"&amp;EDATE($A255,3)))),"")</f>
        <v/>
      </c>
      <c r="C255" s="29" t="str">
        <f aca="false">IFERROR(B255/B254-1,"")</f>
        <v/>
      </c>
      <c r="D255" s="29" t="str">
        <f aca="false">IFERROR(B255/B251-1,"")</f>
        <v/>
      </c>
      <c r="E255" s="31" t="str">
        <f aca="false">IFERROR(IF(AND(B255="",ISNUMBER($C$209),ISNUMBER($G$209)),$C$209*(1+$G$209)^(($A255-$E$209)/365.25),""),"")</f>
        <v/>
      </c>
      <c r="F255" s="31" t="str">
        <f aca="false">IFERROR(IF(AND(B255="",ISNUMBER($C$209),ISNUMBER($G$209)),$C$209*(1+$G$209*0.85^MAX(0,($A255-$E$209)/91.25))^(($A255-$E$209)/365.25),""),"")</f>
        <v/>
      </c>
    </row>
    <row r="256" customFormat="false" ht="15" hidden="false" customHeight="false" outlineLevel="0" collapsed="false">
      <c r="A256" s="15" t="n">
        <v>43466</v>
      </c>
      <c r="B256" s="20" t="str">
        <f aca="true">IFERROR(IF(IFERROR(INDEX(INDIRECT(Index!$M$13),MATCH(EDATE($A256,2),INDIRECT(Index!$L$13),0)),AVERAGEIFS(INDIRECT(Index!$M$13),INDIRECT(Index!$L$13),"&gt;="&amp;$A256,INDIRECT(Index!$L$13),"&lt;"&amp;EDATE($A256,3)))=0,"",IFERROR(INDEX(INDIRECT(Index!$M$13),MATCH(EDATE($A256,2),INDIRECT(Index!$L$13),0)),AVERAGEIFS(INDIRECT(Index!$M$13),INDIRECT(Index!$L$13),"&gt;="&amp;$A256,INDIRECT(Index!$L$13),"&lt;"&amp;EDATE($A256,3)))),"")</f>
        <v/>
      </c>
      <c r="C256" s="33" t="str">
        <f aca="false">IFERROR(B256/B255-1,"")</f>
        <v/>
      </c>
      <c r="D256" s="33" t="str">
        <f aca="false">IFERROR(B256/B252-1,"")</f>
        <v/>
      </c>
      <c r="E256" s="25" t="str">
        <f aca="false">IFERROR(IF(AND(B256="",ISNUMBER($C$209),ISNUMBER($G$209)),$C$209*(1+$G$209)^(($A256-$E$209)/365.25),""),"")</f>
        <v/>
      </c>
      <c r="F256" s="25" t="str">
        <f aca="false">IFERROR(IF(AND(B256="",ISNUMBER($C$209),ISNUMBER($G$209)),$C$209*(1+$G$209*0.85^MAX(0,($A256-$E$209)/91.25))^(($A256-$E$209)/365.25),""),"")</f>
        <v/>
      </c>
    </row>
    <row r="257" customFormat="false" ht="15" hidden="false" customHeight="false" outlineLevel="0" collapsed="false">
      <c r="A257" s="27" t="n">
        <v>43556</v>
      </c>
      <c r="B257" s="28" t="str">
        <f aca="true">IFERROR(IF(IFERROR(INDEX(INDIRECT(Index!$M$13),MATCH(EDATE($A257,2),INDIRECT(Index!$L$13),0)),AVERAGEIFS(INDIRECT(Index!$M$13),INDIRECT(Index!$L$13),"&gt;="&amp;$A257,INDIRECT(Index!$L$13),"&lt;"&amp;EDATE($A257,3)))=0,"",IFERROR(INDEX(INDIRECT(Index!$M$13),MATCH(EDATE($A257,2),INDIRECT(Index!$L$13),0)),AVERAGEIFS(INDIRECT(Index!$M$13),INDIRECT(Index!$L$13),"&gt;="&amp;$A257,INDIRECT(Index!$L$13),"&lt;"&amp;EDATE($A257,3)))),"")</f>
        <v/>
      </c>
      <c r="C257" s="29" t="str">
        <f aca="false">IFERROR(B257/B256-1,"")</f>
        <v/>
      </c>
      <c r="D257" s="29" t="str">
        <f aca="false">IFERROR(B257/B253-1,"")</f>
        <v/>
      </c>
      <c r="E257" s="31" t="str">
        <f aca="false">IFERROR(IF(AND(B257="",ISNUMBER($C$209),ISNUMBER($G$209)),$C$209*(1+$G$209)^(($A257-$E$209)/365.25),""),"")</f>
        <v/>
      </c>
      <c r="F257" s="31" t="str">
        <f aca="false">IFERROR(IF(AND(B257="",ISNUMBER($C$209),ISNUMBER($G$209)),$C$209*(1+$G$209*0.85^MAX(0,($A257-$E$209)/91.25))^(($A257-$E$209)/365.25),""),"")</f>
        <v/>
      </c>
    </row>
    <row r="258" customFormat="false" ht="15" hidden="false" customHeight="false" outlineLevel="0" collapsed="false">
      <c r="A258" s="15" t="n">
        <v>43647</v>
      </c>
      <c r="B258" s="20" t="str">
        <f aca="true">IFERROR(IF(IFERROR(INDEX(INDIRECT(Index!$M$13),MATCH(EDATE($A258,2),INDIRECT(Index!$L$13),0)),AVERAGEIFS(INDIRECT(Index!$M$13),INDIRECT(Index!$L$13),"&gt;="&amp;$A258,INDIRECT(Index!$L$13),"&lt;"&amp;EDATE($A258,3)))=0,"",IFERROR(INDEX(INDIRECT(Index!$M$13),MATCH(EDATE($A258,2),INDIRECT(Index!$L$13),0)),AVERAGEIFS(INDIRECT(Index!$M$13),INDIRECT(Index!$L$13),"&gt;="&amp;$A258,INDIRECT(Index!$L$13),"&lt;"&amp;EDATE($A258,3)))),"")</f>
        <v/>
      </c>
      <c r="C258" s="33" t="str">
        <f aca="false">IFERROR(B258/B257-1,"")</f>
        <v/>
      </c>
      <c r="D258" s="33" t="str">
        <f aca="false">IFERROR(B258/B254-1,"")</f>
        <v/>
      </c>
      <c r="E258" s="25" t="str">
        <f aca="false">IFERROR(IF(AND(B258="",ISNUMBER($C$209),ISNUMBER($G$209)),$C$209*(1+$G$209)^(($A258-$E$209)/365.25),""),"")</f>
        <v/>
      </c>
      <c r="F258" s="25" t="str">
        <f aca="false">IFERROR(IF(AND(B258="",ISNUMBER($C$209),ISNUMBER($G$209)),$C$209*(1+$G$209*0.85^MAX(0,($A258-$E$209)/91.25))^(($A258-$E$209)/365.25),""),"")</f>
        <v/>
      </c>
    </row>
    <row r="259" customFormat="false" ht="15" hidden="false" customHeight="false" outlineLevel="0" collapsed="false">
      <c r="A259" s="27" t="n">
        <v>43739</v>
      </c>
      <c r="B259" s="28" t="str">
        <f aca="true">IFERROR(IF(IFERROR(INDEX(INDIRECT(Index!$M$13),MATCH(EDATE($A259,2),INDIRECT(Index!$L$13),0)),AVERAGEIFS(INDIRECT(Index!$M$13),INDIRECT(Index!$L$13),"&gt;="&amp;$A259,INDIRECT(Index!$L$13),"&lt;"&amp;EDATE($A259,3)))=0,"",IFERROR(INDEX(INDIRECT(Index!$M$13),MATCH(EDATE($A259,2),INDIRECT(Index!$L$13),0)),AVERAGEIFS(INDIRECT(Index!$M$13),INDIRECT(Index!$L$13),"&gt;="&amp;$A259,INDIRECT(Index!$L$13),"&lt;"&amp;EDATE($A259,3)))),"")</f>
        <v/>
      </c>
      <c r="C259" s="29" t="str">
        <f aca="false">IFERROR(B259/B258-1,"")</f>
        <v/>
      </c>
      <c r="D259" s="29" t="str">
        <f aca="false">IFERROR(B259/B255-1,"")</f>
        <v/>
      </c>
      <c r="E259" s="31" t="str">
        <f aca="false">IFERROR(IF(AND(B259="",ISNUMBER($C$209),ISNUMBER($G$209)),$C$209*(1+$G$209)^(($A259-$E$209)/365.25),""),"")</f>
        <v/>
      </c>
      <c r="F259" s="31" t="str">
        <f aca="false">IFERROR(IF(AND(B259="",ISNUMBER($C$209),ISNUMBER($G$209)),$C$209*(1+$G$209*0.85^MAX(0,($A259-$E$209)/91.25))^(($A259-$E$209)/365.25),""),"")</f>
        <v/>
      </c>
    </row>
    <row r="260" customFormat="false" ht="15" hidden="false" customHeight="false" outlineLevel="0" collapsed="false">
      <c r="A260" s="15" t="n">
        <v>43831</v>
      </c>
      <c r="B260" s="20" t="str">
        <f aca="true">IFERROR(IF(IFERROR(INDEX(INDIRECT(Index!$M$13),MATCH(EDATE($A260,2),INDIRECT(Index!$L$13),0)),AVERAGEIFS(INDIRECT(Index!$M$13),INDIRECT(Index!$L$13),"&gt;="&amp;$A260,INDIRECT(Index!$L$13),"&lt;"&amp;EDATE($A260,3)))=0,"",IFERROR(INDEX(INDIRECT(Index!$M$13),MATCH(EDATE($A260,2),INDIRECT(Index!$L$13),0)),AVERAGEIFS(INDIRECT(Index!$M$13),INDIRECT(Index!$L$13),"&gt;="&amp;$A260,INDIRECT(Index!$L$13),"&lt;"&amp;EDATE($A260,3)))),"")</f>
        <v/>
      </c>
      <c r="C260" s="33" t="str">
        <f aca="false">IFERROR(B260/B259-1,"")</f>
        <v/>
      </c>
      <c r="D260" s="33" t="str">
        <f aca="false">IFERROR(B260/B256-1,"")</f>
        <v/>
      </c>
      <c r="E260" s="25" t="str">
        <f aca="false">IFERROR(IF(AND(B260="",ISNUMBER($C$209),ISNUMBER($G$209)),$C$209*(1+$G$209)^(($A260-$E$209)/365.25),""),"")</f>
        <v/>
      </c>
      <c r="F260" s="25" t="str">
        <f aca="false">IFERROR(IF(AND(B260="",ISNUMBER($C$209),ISNUMBER($G$209)),$C$209*(1+$G$209*0.85^MAX(0,($A260-$E$209)/91.25))^(($A260-$E$209)/365.25),""),"")</f>
        <v/>
      </c>
    </row>
    <row r="261" customFormat="false" ht="15" hidden="false" customHeight="false" outlineLevel="0" collapsed="false">
      <c r="A261" s="27" t="n">
        <v>43922</v>
      </c>
      <c r="B261" s="28" t="str">
        <f aca="true">IFERROR(IF(IFERROR(INDEX(INDIRECT(Index!$M$13),MATCH(EDATE($A261,2),INDIRECT(Index!$L$13),0)),AVERAGEIFS(INDIRECT(Index!$M$13),INDIRECT(Index!$L$13),"&gt;="&amp;$A261,INDIRECT(Index!$L$13),"&lt;"&amp;EDATE($A261,3)))=0,"",IFERROR(INDEX(INDIRECT(Index!$M$13),MATCH(EDATE($A261,2),INDIRECT(Index!$L$13),0)),AVERAGEIFS(INDIRECT(Index!$M$13),INDIRECT(Index!$L$13),"&gt;="&amp;$A261,INDIRECT(Index!$L$13),"&lt;"&amp;EDATE($A261,3)))),"")</f>
        <v/>
      </c>
      <c r="C261" s="29" t="str">
        <f aca="false">IFERROR(B261/B260-1,"")</f>
        <v/>
      </c>
      <c r="D261" s="29" t="str">
        <f aca="false">IFERROR(B261/B257-1,"")</f>
        <v/>
      </c>
      <c r="E261" s="31" t="str">
        <f aca="false">IFERROR(IF(AND(B261="",ISNUMBER($C$209),ISNUMBER($G$209)),$C$209*(1+$G$209)^(($A261-$E$209)/365.25),""),"")</f>
        <v/>
      </c>
      <c r="F261" s="31" t="str">
        <f aca="false">IFERROR(IF(AND(B261="",ISNUMBER($C$209),ISNUMBER($G$209)),$C$209*(1+$G$209*0.85^MAX(0,($A261-$E$209)/91.25))^(($A261-$E$209)/365.25),""),"")</f>
        <v/>
      </c>
    </row>
    <row r="262" customFormat="false" ht="15" hidden="false" customHeight="false" outlineLevel="0" collapsed="false">
      <c r="A262" s="15" t="n">
        <v>44013</v>
      </c>
      <c r="B262" s="20" t="str">
        <f aca="true">IFERROR(IF(IFERROR(INDEX(INDIRECT(Index!$M$13),MATCH(EDATE($A262,2),INDIRECT(Index!$L$13),0)),AVERAGEIFS(INDIRECT(Index!$M$13),INDIRECT(Index!$L$13),"&gt;="&amp;$A262,INDIRECT(Index!$L$13),"&lt;"&amp;EDATE($A262,3)))=0,"",IFERROR(INDEX(INDIRECT(Index!$M$13),MATCH(EDATE($A262,2),INDIRECT(Index!$L$13),0)),AVERAGEIFS(INDIRECT(Index!$M$13),INDIRECT(Index!$L$13),"&gt;="&amp;$A262,INDIRECT(Index!$L$13),"&lt;"&amp;EDATE($A262,3)))),"")</f>
        <v/>
      </c>
      <c r="C262" s="33" t="str">
        <f aca="false">IFERROR(B262/B261-1,"")</f>
        <v/>
      </c>
      <c r="D262" s="33" t="str">
        <f aca="false">IFERROR(B262/B258-1,"")</f>
        <v/>
      </c>
      <c r="E262" s="25" t="str">
        <f aca="false">IFERROR(IF(AND(B262="",ISNUMBER($C$209),ISNUMBER($G$209)),$C$209*(1+$G$209)^(($A262-$E$209)/365.25),""),"")</f>
        <v/>
      </c>
      <c r="F262" s="25" t="str">
        <f aca="false">IFERROR(IF(AND(B262="",ISNUMBER($C$209),ISNUMBER($G$209)),$C$209*(1+$G$209*0.85^MAX(0,($A262-$E$209)/91.25))^(($A262-$E$209)/365.25),""),"")</f>
        <v/>
      </c>
    </row>
    <row r="263" customFormat="false" ht="15" hidden="false" customHeight="false" outlineLevel="0" collapsed="false">
      <c r="A263" s="27" t="n">
        <v>44105</v>
      </c>
      <c r="B263" s="28" t="str">
        <f aca="true">IFERROR(IF(IFERROR(INDEX(INDIRECT(Index!$M$13),MATCH(EDATE($A263,2),INDIRECT(Index!$L$13),0)),AVERAGEIFS(INDIRECT(Index!$M$13),INDIRECT(Index!$L$13),"&gt;="&amp;$A263,INDIRECT(Index!$L$13),"&lt;"&amp;EDATE($A263,3)))=0,"",IFERROR(INDEX(INDIRECT(Index!$M$13),MATCH(EDATE($A263,2),INDIRECT(Index!$L$13),0)),AVERAGEIFS(INDIRECT(Index!$M$13),INDIRECT(Index!$L$13),"&gt;="&amp;$A263,INDIRECT(Index!$L$13),"&lt;"&amp;EDATE($A263,3)))),"")</f>
        <v/>
      </c>
      <c r="C263" s="29" t="str">
        <f aca="false">IFERROR(B263/B262-1,"")</f>
        <v/>
      </c>
      <c r="D263" s="29" t="str">
        <f aca="false">IFERROR(B263/B259-1,"")</f>
        <v/>
      </c>
      <c r="E263" s="31" t="str">
        <f aca="false">IFERROR(IF(AND(B263="",ISNUMBER($C$209),ISNUMBER($G$209)),$C$209*(1+$G$209)^(($A263-$E$209)/365.25),""),"")</f>
        <v/>
      </c>
      <c r="F263" s="31" t="str">
        <f aca="false">IFERROR(IF(AND(B263="",ISNUMBER($C$209),ISNUMBER($G$209)),$C$209*(1+$G$209*0.85^MAX(0,($A263-$E$209)/91.25))^(($A263-$E$209)/365.25),""),"")</f>
        <v/>
      </c>
    </row>
    <row r="264" customFormat="false" ht="15" hidden="false" customHeight="false" outlineLevel="0" collapsed="false">
      <c r="A264" s="15" t="n">
        <v>44197</v>
      </c>
      <c r="B264" s="20" t="str">
        <f aca="true">IFERROR(IF(IFERROR(INDEX(INDIRECT(Index!$M$13),MATCH(EDATE($A264,2),INDIRECT(Index!$L$13),0)),AVERAGEIFS(INDIRECT(Index!$M$13),INDIRECT(Index!$L$13),"&gt;="&amp;$A264,INDIRECT(Index!$L$13),"&lt;"&amp;EDATE($A264,3)))=0,"",IFERROR(INDEX(INDIRECT(Index!$M$13),MATCH(EDATE($A264,2),INDIRECT(Index!$L$13),0)),AVERAGEIFS(INDIRECT(Index!$M$13),INDIRECT(Index!$L$13),"&gt;="&amp;$A264,INDIRECT(Index!$L$13),"&lt;"&amp;EDATE($A264,3)))),"")</f>
        <v/>
      </c>
      <c r="C264" s="33" t="str">
        <f aca="false">IFERROR(B264/B263-1,"")</f>
        <v/>
      </c>
      <c r="D264" s="33" t="str">
        <f aca="false">IFERROR(B264/B260-1,"")</f>
        <v/>
      </c>
      <c r="E264" s="25" t="str">
        <f aca="false">IFERROR(IF(AND(B264="",ISNUMBER($C$209),ISNUMBER($G$209)),$C$209*(1+$G$209)^(($A264-$E$209)/365.25),""),"")</f>
        <v/>
      </c>
      <c r="F264" s="25" t="str">
        <f aca="false">IFERROR(IF(AND(B264="",ISNUMBER($C$209),ISNUMBER($G$209)),$C$209*(1+$G$209*0.85^MAX(0,($A264-$E$209)/91.25))^(($A264-$E$209)/365.25),""),"")</f>
        <v/>
      </c>
    </row>
    <row r="265" customFormat="false" ht="15" hidden="false" customHeight="false" outlineLevel="0" collapsed="false">
      <c r="A265" s="27" t="n">
        <v>44287</v>
      </c>
      <c r="B265" s="28" t="str">
        <f aca="true">IFERROR(IF(IFERROR(INDEX(INDIRECT(Index!$M$13),MATCH(EDATE($A265,2),INDIRECT(Index!$L$13),0)),AVERAGEIFS(INDIRECT(Index!$M$13),INDIRECT(Index!$L$13),"&gt;="&amp;$A265,INDIRECT(Index!$L$13),"&lt;"&amp;EDATE($A265,3)))=0,"",IFERROR(INDEX(INDIRECT(Index!$M$13),MATCH(EDATE($A265,2),INDIRECT(Index!$L$13),0)),AVERAGEIFS(INDIRECT(Index!$M$13),INDIRECT(Index!$L$13),"&gt;="&amp;$A265,INDIRECT(Index!$L$13),"&lt;"&amp;EDATE($A265,3)))),"")</f>
        <v/>
      </c>
      <c r="C265" s="29" t="str">
        <f aca="false">IFERROR(B265/B264-1,"")</f>
        <v/>
      </c>
      <c r="D265" s="29" t="str">
        <f aca="false">IFERROR(B265/B261-1,"")</f>
        <v/>
      </c>
      <c r="E265" s="31" t="str">
        <f aca="false">IFERROR(IF(AND(B265="",ISNUMBER($C$209),ISNUMBER($G$209)),$C$209*(1+$G$209)^(($A265-$E$209)/365.25),""),"")</f>
        <v/>
      </c>
      <c r="F265" s="31" t="str">
        <f aca="false">IFERROR(IF(AND(B265="",ISNUMBER($C$209),ISNUMBER($G$209)),$C$209*(1+$G$209*0.85^MAX(0,($A265-$E$209)/91.25))^(($A265-$E$209)/365.25),""),"")</f>
        <v/>
      </c>
    </row>
    <row r="266" customFormat="false" ht="15" hidden="false" customHeight="false" outlineLevel="0" collapsed="false">
      <c r="A266" s="15" t="n">
        <v>44378</v>
      </c>
      <c r="B266" s="20" t="str">
        <f aca="true">IFERROR(IF(IFERROR(INDEX(INDIRECT(Index!$M$13),MATCH(EDATE($A266,2),INDIRECT(Index!$L$13),0)),AVERAGEIFS(INDIRECT(Index!$M$13),INDIRECT(Index!$L$13),"&gt;="&amp;$A266,INDIRECT(Index!$L$13),"&lt;"&amp;EDATE($A266,3)))=0,"",IFERROR(INDEX(INDIRECT(Index!$M$13),MATCH(EDATE($A266,2),INDIRECT(Index!$L$13),0)),AVERAGEIFS(INDIRECT(Index!$M$13),INDIRECT(Index!$L$13),"&gt;="&amp;$A266,INDIRECT(Index!$L$13),"&lt;"&amp;EDATE($A266,3)))),"")</f>
        <v/>
      </c>
      <c r="C266" s="33" t="str">
        <f aca="false">IFERROR(B266/B265-1,"")</f>
        <v/>
      </c>
      <c r="D266" s="33" t="str">
        <f aca="false">IFERROR(B266/B262-1,"")</f>
        <v/>
      </c>
      <c r="E266" s="25" t="str">
        <f aca="false">IFERROR(IF(AND(B266="",ISNUMBER($C$209),ISNUMBER($G$209)),$C$209*(1+$G$209)^(($A266-$E$209)/365.25),""),"")</f>
        <v/>
      </c>
      <c r="F266" s="25" t="str">
        <f aca="false">IFERROR(IF(AND(B266="",ISNUMBER($C$209),ISNUMBER($G$209)),$C$209*(1+$G$209*0.85^MAX(0,($A266-$E$209)/91.25))^(($A266-$E$209)/365.25),""),"")</f>
        <v/>
      </c>
    </row>
    <row r="267" customFormat="false" ht="15" hidden="false" customHeight="false" outlineLevel="0" collapsed="false">
      <c r="A267" s="27" t="n">
        <v>44470</v>
      </c>
      <c r="B267" s="28" t="str">
        <f aca="true">IFERROR(IF(IFERROR(INDEX(INDIRECT(Index!$M$13),MATCH(EDATE($A267,2),INDIRECT(Index!$L$13),0)),AVERAGEIFS(INDIRECT(Index!$M$13),INDIRECT(Index!$L$13),"&gt;="&amp;$A267,INDIRECT(Index!$L$13),"&lt;"&amp;EDATE($A267,3)))=0,"",IFERROR(INDEX(INDIRECT(Index!$M$13),MATCH(EDATE($A267,2),INDIRECT(Index!$L$13),0)),AVERAGEIFS(INDIRECT(Index!$M$13),INDIRECT(Index!$L$13),"&gt;="&amp;$A267,INDIRECT(Index!$L$13),"&lt;"&amp;EDATE($A267,3)))),"")</f>
        <v/>
      </c>
      <c r="C267" s="29" t="str">
        <f aca="false">IFERROR(B267/B266-1,"")</f>
        <v/>
      </c>
      <c r="D267" s="29" t="str">
        <f aca="false">IFERROR(B267/B263-1,"")</f>
        <v/>
      </c>
      <c r="E267" s="31" t="str">
        <f aca="false">IFERROR(IF(AND(B267="",ISNUMBER($C$209),ISNUMBER($G$209)),$C$209*(1+$G$209)^(($A267-$E$209)/365.25),""),"")</f>
        <v/>
      </c>
      <c r="F267" s="31" t="str">
        <f aca="false">IFERROR(IF(AND(B267="",ISNUMBER($C$209),ISNUMBER($G$209)),$C$209*(1+$G$209*0.85^MAX(0,($A267-$E$209)/91.25))^(($A267-$E$209)/365.25),""),"")</f>
        <v/>
      </c>
    </row>
    <row r="268" customFormat="false" ht="15" hidden="false" customHeight="false" outlineLevel="0" collapsed="false">
      <c r="A268" s="15" t="n">
        <v>44562</v>
      </c>
      <c r="B268" s="20" t="str">
        <f aca="true">IFERROR(IF(IFERROR(INDEX(INDIRECT(Index!$M$13),MATCH(EDATE($A268,2),INDIRECT(Index!$L$13),0)),AVERAGEIFS(INDIRECT(Index!$M$13),INDIRECT(Index!$L$13),"&gt;="&amp;$A268,INDIRECT(Index!$L$13),"&lt;"&amp;EDATE($A268,3)))=0,"",IFERROR(INDEX(INDIRECT(Index!$M$13),MATCH(EDATE($A268,2),INDIRECT(Index!$L$13),0)),AVERAGEIFS(INDIRECT(Index!$M$13),INDIRECT(Index!$L$13),"&gt;="&amp;$A268,INDIRECT(Index!$L$13),"&lt;"&amp;EDATE($A268,3)))),"")</f>
        <v/>
      </c>
      <c r="C268" s="33" t="str">
        <f aca="false">IFERROR(B268/B267-1,"")</f>
        <v/>
      </c>
      <c r="D268" s="33" t="str">
        <f aca="false">IFERROR(B268/B264-1,"")</f>
        <v/>
      </c>
      <c r="E268" s="25" t="str">
        <f aca="false">IFERROR(IF(AND(B268="",ISNUMBER($C$209),ISNUMBER($G$209)),$C$209*(1+$G$209)^(($A268-$E$209)/365.25),""),"")</f>
        <v/>
      </c>
      <c r="F268" s="25" t="str">
        <f aca="false">IFERROR(IF(AND(B268="",ISNUMBER($C$209),ISNUMBER($G$209)),$C$209*(1+$G$209*0.85^MAX(0,($A268-$E$209)/91.25))^(($A268-$E$209)/365.25),""),"")</f>
        <v/>
      </c>
    </row>
    <row r="269" customFormat="false" ht="15" hidden="false" customHeight="false" outlineLevel="0" collapsed="false">
      <c r="A269" s="27" t="n">
        <v>44652</v>
      </c>
      <c r="B269" s="28" t="str">
        <f aca="true">IFERROR(IF(IFERROR(INDEX(INDIRECT(Index!$M$13),MATCH(EDATE($A269,2),INDIRECT(Index!$L$13),0)),AVERAGEIFS(INDIRECT(Index!$M$13),INDIRECT(Index!$L$13),"&gt;="&amp;$A269,INDIRECT(Index!$L$13),"&lt;"&amp;EDATE($A269,3)))=0,"",IFERROR(INDEX(INDIRECT(Index!$M$13),MATCH(EDATE($A269,2),INDIRECT(Index!$L$13),0)),AVERAGEIFS(INDIRECT(Index!$M$13),INDIRECT(Index!$L$13),"&gt;="&amp;$A269,INDIRECT(Index!$L$13),"&lt;"&amp;EDATE($A269,3)))),"")</f>
        <v/>
      </c>
      <c r="C269" s="29" t="str">
        <f aca="false">IFERROR(B269/B268-1,"")</f>
        <v/>
      </c>
      <c r="D269" s="29" t="str">
        <f aca="false">IFERROR(B269/B265-1,"")</f>
        <v/>
      </c>
      <c r="E269" s="31" t="str">
        <f aca="false">IFERROR(IF(AND(B269="",ISNUMBER($C$209),ISNUMBER($G$209)),$C$209*(1+$G$209)^(($A269-$E$209)/365.25),""),"")</f>
        <v/>
      </c>
      <c r="F269" s="31" t="str">
        <f aca="false">IFERROR(IF(AND(B269="",ISNUMBER($C$209),ISNUMBER($G$209)),$C$209*(1+$G$209*0.85^MAX(0,($A269-$E$209)/91.25))^(($A269-$E$209)/365.25),""),"")</f>
        <v/>
      </c>
    </row>
    <row r="270" customFormat="false" ht="15" hidden="false" customHeight="false" outlineLevel="0" collapsed="false">
      <c r="A270" s="15" t="n">
        <v>44743</v>
      </c>
      <c r="B270" s="20" t="str">
        <f aca="true">IFERROR(IF(IFERROR(INDEX(INDIRECT(Index!$M$13),MATCH(EDATE($A270,2),INDIRECT(Index!$L$13),0)),AVERAGEIFS(INDIRECT(Index!$M$13),INDIRECT(Index!$L$13),"&gt;="&amp;$A270,INDIRECT(Index!$L$13),"&lt;"&amp;EDATE($A270,3)))=0,"",IFERROR(INDEX(INDIRECT(Index!$M$13),MATCH(EDATE($A270,2),INDIRECT(Index!$L$13),0)),AVERAGEIFS(INDIRECT(Index!$M$13),INDIRECT(Index!$L$13),"&gt;="&amp;$A270,INDIRECT(Index!$L$13),"&lt;"&amp;EDATE($A270,3)))),"")</f>
        <v/>
      </c>
      <c r="C270" s="33" t="str">
        <f aca="false">IFERROR(B270/B269-1,"")</f>
        <v/>
      </c>
      <c r="D270" s="33" t="str">
        <f aca="false">IFERROR(B270/B266-1,"")</f>
        <v/>
      </c>
      <c r="E270" s="25" t="str">
        <f aca="false">IFERROR(IF(AND(B270="",ISNUMBER($C$209),ISNUMBER($G$209)),$C$209*(1+$G$209)^(($A270-$E$209)/365.25),""),"")</f>
        <v/>
      </c>
      <c r="F270" s="25" t="str">
        <f aca="false">IFERROR(IF(AND(B270="",ISNUMBER($C$209),ISNUMBER($G$209)),$C$209*(1+$G$209*0.85^MAX(0,($A270-$E$209)/91.25))^(($A270-$E$209)/365.25),""),"")</f>
        <v/>
      </c>
    </row>
    <row r="271" customFormat="false" ht="15" hidden="false" customHeight="false" outlineLevel="0" collapsed="false">
      <c r="A271" s="27" t="n">
        <v>44835</v>
      </c>
      <c r="B271" s="28" t="str">
        <f aca="true">IFERROR(IF(IFERROR(INDEX(INDIRECT(Index!$M$13),MATCH(EDATE($A271,2),INDIRECT(Index!$L$13),0)),AVERAGEIFS(INDIRECT(Index!$M$13),INDIRECT(Index!$L$13),"&gt;="&amp;$A271,INDIRECT(Index!$L$13),"&lt;"&amp;EDATE($A271,3)))=0,"",IFERROR(INDEX(INDIRECT(Index!$M$13),MATCH(EDATE($A271,2),INDIRECT(Index!$L$13),0)),AVERAGEIFS(INDIRECT(Index!$M$13),INDIRECT(Index!$L$13),"&gt;="&amp;$A271,INDIRECT(Index!$L$13),"&lt;"&amp;EDATE($A271,3)))),"")</f>
        <v/>
      </c>
      <c r="C271" s="29" t="str">
        <f aca="false">IFERROR(B271/B270-1,"")</f>
        <v/>
      </c>
      <c r="D271" s="29" t="str">
        <f aca="false">IFERROR(B271/B267-1,"")</f>
        <v/>
      </c>
      <c r="E271" s="31" t="str">
        <f aca="false">IFERROR(IF(AND(B271="",ISNUMBER($C$209),ISNUMBER($G$209)),$C$209*(1+$G$209)^(($A271-$E$209)/365.25),""),"")</f>
        <v/>
      </c>
      <c r="F271" s="31" t="str">
        <f aca="false">IFERROR(IF(AND(B271="",ISNUMBER($C$209),ISNUMBER($G$209)),$C$209*(1+$G$209*0.85^MAX(0,($A271-$E$209)/91.25))^(($A271-$E$209)/365.25),""),"")</f>
        <v/>
      </c>
    </row>
    <row r="272" customFormat="false" ht="15" hidden="false" customHeight="false" outlineLevel="0" collapsed="false">
      <c r="A272" s="15" t="n">
        <v>44927</v>
      </c>
      <c r="B272" s="20" t="str">
        <f aca="true">IFERROR(IF(IFERROR(INDEX(INDIRECT(Index!$M$13),MATCH(EDATE($A272,2),INDIRECT(Index!$L$13),0)),AVERAGEIFS(INDIRECT(Index!$M$13),INDIRECT(Index!$L$13),"&gt;="&amp;$A272,INDIRECT(Index!$L$13),"&lt;"&amp;EDATE($A272,3)))=0,"",IFERROR(INDEX(INDIRECT(Index!$M$13),MATCH(EDATE($A272,2),INDIRECT(Index!$L$13),0)),AVERAGEIFS(INDIRECT(Index!$M$13),INDIRECT(Index!$L$13),"&gt;="&amp;$A272,INDIRECT(Index!$L$13),"&lt;"&amp;EDATE($A272,3)))),"")</f>
        <v/>
      </c>
      <c r="C272" s="33" t="str">
        <f aca="false">IFERROR(B272/B271-1,"")</f>
        <v/>
      </c>
      <c r="D272" s="33" t="str">
        <f aca="false">IFERROR(B272/B268-1,"")</f>
        <v/>
      </c>
      <c r="E272" s="25" t="str">
        <f aca="false">IFERROR(IF(AND(B272="",ISNUMBER($C$209),ISNUMBER($G$209)),$C$209*(1+$G$209)^(($A272-$E$209)/365.25),""),"")</f>
        <v/>
      </c>
      <c r="F272" s="25" t="str">
        <f aca="false">IFERROR(IF(AND(B272="",ISNUMBER($C$209),ISNUMBER($G$209)),$C$209*(1+$G$209*0.85^MAX(0,($A272-$E$209)/91.25))^(($A272-$E$209)/365.25),""),"")</f>
        <v/>
      </c>
    </row>
    <row r="273" customFormat="false" ht="15" hidden="false" customHeight="false" outlineLevel="0" collapsed="false">
      <c r="A273" s="27" t="n">
        <v>45017</v>
      </c>
      <c r="B273" s="28" t="str">
        <f aca="true">IFERROR(IF(IFERROR(INDEX(INDIRECT(Index!$M$13),MATCH(EDATE($A273,2),INDIRECT(Index!$L$13),0)),AVERAGEIFS(INDIRECT(Index!$M$13),INDIRECT(Index!$L$13),"&gt;="&amp;$A273,INDIRECT(Index!$L$13),"&lt;"&amp;EDATE($A273,3)))=0,"",IFERROR(INDEX(INDIRECT(Index!$M$13),MATCH(EDATE($A273,2),INDIRECT(Index!$L$13),0)),AVERAGEIFS(INDIRECT(Index!$M$13),INDIRECT(Index!$L$13),"&gt;="&amp;$A273,INDIRECT(Index!$L$13),"&lt;"&amp;EDATE($A273,3)))),"")</f>
        <v/>
      </c>
      <c r="C273" s="29" t="str">
        <f aca="false">IFERROR(B273/B272-1,"")</f>
        <v/>
      </c>
      <c r="D273" s="29" t="str">
        <f aca="false">IFERROR(B273/B269-1,"")</f>
        <v/>
      </c>
      <c r="E273" s="31" t="str">
        <f aca="false">IFERROR(IF(AND(B273="",ISNUMBER($C$209),ISNUMBER($G$209)),$C$209*(1+$G$209)^(($A273-$E$209)/365.25),""),"")</f>
        <v/>
      </c>
      <c r="F273" s="31" t="str">
        <f aca="false">IFERROR(IF(AND(B273="",ISNUMBER($C$209),ISNUMBER($G$209)),$C$209*(1+$G$209*0.85^MAX(0,($A273-$E$209)/91.25))^(($A273-$E$209)/365.25),""),"")</f>
        <v/>
      </c>
    </row>
    <row r="274" customFormat="false" ht="15" hidden="false" customHeight="false" outlineLevel="0" collapsed="false">
      <c r="A274" s="15" t="n">
        <v>45108</v>
      </c>
      <c r="B274" s="20" t="str">
        <f aca="true">IFERROR(IF(IFERROR(INDEX(INDIRECT(Index!$M$13),MATCH(EDATE($A274,2),INDIRECT(Index!$L$13),0)),AVERAGEIFS(INDIRECT(Index!$M$13),INDIRECT(Index!$L$13),"&gt;="&amp;$A274,INDIRECT(Index!$L$13),"&lt;"&amp;EDATE($A274,3)))=0,"",IFERROR(INDEX(INDIRECT(Index!$M$13),MATCH(EDATE($A274,2),INDIRECT(Index!$L$13),0)),AVERAGEIFS(INDIRECT(Index!$M$13),INDIRECT(Index!$L$13),"&gt;="&amp;$A274,INDIRECT(Index!$L$13),"&lt;"&amp;EDATE($A274,3)))),"")</f>
        <v/>
      </c>
      <c r="C274" s="33" t="str">
        <f aca="false">IFERROR(B274/B273-1,"")</f>
        <v/>
      </c>
      <c r="D274" s="33" t="str">
        <f aca="false">IFERROR(B274/B270-1,"")</f>
        <v/>
      </c>
      <c r="E274" s="25" t="str">
        <f aca="false">IFERROR(IF(AND(B274="",ISNUMBER($C$209),ISNUMBER($G$209)),$C$209*(1+$G$209)^(($A274-$E$209)/365.25),""),"")</f>
        <v/>
      </c>
      <c r="F274" s="25" t="str">
        <f aca="false">IFERROR(IF(AND(B274="",ISNUMBER($C$209),ISNUMBER($G$209)),$C$209*(1+$G$209*0.85^MAX(0,($A274-$E$209)/91.25))^(($A274-$E$209)/365.25),""),"")</f>
        <v/>
      </c>
    </row>
    <row r="275" customFormat="false" ht="15" hidden="false" customHeight="false" outlineLevel="0" collapsed="false">
      <c r="A275" s="27" t="n">
        <v>45200</v>
      </c>
      <c r="B275" s="28" t="str">
        <f aca="true">IFERROR(IF(IFERROR(INDEX(INDIRECT(Index!$M$13),MATCH(EDATE($A275,2),INDIRECT(Index!$L$13),0)),AVERAGEIFS(INDIRECT(Index!$M$13),INDIRECT(Index!$L$13),"&gt;="&amp;$A275,INDIRECT(Index!$L$13),"&lt;"&amp;EDATE($A275,3)))=0,"",IFERROR(INDEX(INDIRECT(Index!$M$13),MATCH(EDATE($A275,2),INDIRECT(Index!$L$13),0)),AVERAGEIFS(INDIRECT(Index!$M$13),INDIRECT(Index!$L$13),"&gt;="&amp;$A275,INDIRECT(Index!$L$13),"&lt;"&amp;EDATE($A275,3)))),"")</f>
        <v/>
      </c>
      <c r="C275" s="29" t="str">
        <f aca="false">IFERROR(B275/B274-1,"")</f>
        <v/>
      </c>
      <c r="D275" s="29" t="str">
        <f aca="false">IFERROR(B275/B271-1,"")</f>
        <v/>
      </c>
      <c r="E275" s="31" t="str">
        <f aca="false">IFERROR(IF(AND(B275="",ISNUMBER($C$209),ISNUMBER($G$209)),$C$209*(1+$G$209)^(($A275-$E$209)/365.25),""),"")</f>
        <v/>
      </c>
      <c r="F275" s="31" t="str">
        <f aca="false">IFERROR(IF(AND(B275="",ISNUMBER($C$209),ISNUMBER($G$209)),$C$209*(1+$G$209*0.85^MAX(0,($A275-$E$209)/91.25))^(($A275-$E$209)/365.25),""),"")</f>
        <v/>
      </c>
    </row>
    <row r="276" customFormat="false" ht="15" hidden="false" customHeight="false" outlineLevel="0" collapsed="false">
      <c r="A276" s="15" t="n">
        <v>45292</v>
      </c>
      <c r="B276" s="20" t="str">
        <f aca="true">IFERROR(IF(IFERROR(INDEX(INDIRECT(Index!$M$13),MATCH(EDATE($A276,2),INDIRECT(Index!$L$13),0)),AVERAGEIFS(INDIRECT(Index!$M$13),INDIRECT(Index!$L$13),"&gt;="&amp;$A276,INDIRECT(Index!$L$13),"&lt;"&amp;EDATE($A276,3)))=0,"",IFERROR(INDEX(INDIRECT(Index!$M$13),MATCH(EDATE($A276,2),INDIRECT(Index!$L$13),0)),AVERAGEIFS(INDIRECT(Index!$M$13),INDIRECT(Index!$L$13),"&gt;="&amp;$A276,INDIRECT(Index!$L$13),"&lt;"&amp;EDATE($A276,3)))),"")</f>
        <v/>
      </c>
      <c r="C276" s="33" t="str">
        <f aca="false">IFERROR(B276/B275-1,"")</f>
        <v/>
      </c>
      <c r="D276" s="33" t="str">
        <f aca="false">IFERROR(B276/B272-1,"")</f>
        <v/>
      </c>
      <c r="E276" s="25" t="str">
        <f aca="false">IFERROR(IF(AND(B276="",ISNUMBER($C$209),ISNUMBER($G$209)),$C$209*(1+$G$209)^(($A276-$E$209)/365.25),""),"")</f>
        <v/>
      </c>
      <c r="F276" s="25" t="str">
        <f aca="false">IFERROR(IF(AND(B276="",ISNUMBER($C$209),ISNUMBER($G$209)),$C$209*(1+$G$209*0.85^MAX(0,($A276-$E$209)/91.25))^(($A276-$E$209)/365.25),""),"")</f>
        <v/>
      </c>
    </row>
    <row r="277" customFormat="false" ht="15" hidden="false" customHeight="false" outlineLevel="0" collapsed="false">
      <c r="A277" s="27" t="n">
        <v>45383</v>
      </c>
      <c r="B277" s="28" t="str">
        <f aca="true">IFERROR(IF(IFERROR(INDEX(INDIRECT(Index!$M$13),MATCH(EDATE($A277,2),INDIRECT(Index!$L$13),0)),AVERAGEIFS(INDIRECT(Index!$M$13),INDIRECT(Index!$L$13),"&gt;="&amp;$A277,INDIRECT(Index!$L$13),"&lt;"&amp;EDATE($A277,3)))=0,"",IFERROR(INDEX(INDIRECT(Index!$M$13),MATCH(EDATE($A277,2),INDIRECT(Index!$L$13),0)),AVERAGEIFS(INDIRECT(Index!$M$13),INDIRECT(Index!$L$13),"&gt;="&amp;$A277,INDIRECT(Index!$L$13),"&lt;"&amp;EDATE($A277,3)))),"")</f>
        <v/>
      </c>
      <c r="C277" s="29" t="str">
        <f aca="false">IFERROR(B277/B276-1,"")</f>
        <v/>
      </c>
      <c r="D277" s="29" t="str">
        <f aca="false">IFERROR(B277/B273-1,"")</f>
        <v/>
      </c>
      <c r="E277" s="31" t="str">
        <f aca="false">IFERROR(IF(AND(B277="",ISNUMBER($C$209),ISNUMBER($G$209)),$C$209*(1+$G$209)^(($A277-$E$209)/365.25),""),"")</f>
        <v/>
      </c>
      <c r="F277" s="31" t="str">
        <f aca="false">IFERROR(IF(AND(B277="",ISNUMBER($C$209),ISNUMBER($G$209)),$C$209*(1+$G$209*0.85^MAX(0,($A277-$E$209)/91.25))^(($A277-$E$209)/365.25),""),"")</f>
        <v/>
      </c>
    </row>
    <row r="278" customFormat="false" ht="15" hidden="false" customHeight="false" outlineLevel="0" collapsed="false">
      <c r="A278" s="15" t="n">
        <v>45474</v>
      </c>
      <c r="B278" s="20" t="str">
        <f aca="true">IFERROR(IF(IFERROR(INDEX(INDIRECT(Index!$M$13),MATCH(EDATE($A278,2),INDIRECT(Index!$L$13),0)),AVERAGEIFS(INDIRECT(Index!$M$13),INDIRECT(Index!$L$13),"&gt;="&amp;$A278,INDIRECT(Index!$L$13),"&lt;"&amp;EDATE($A278,3)))=0,"",IFERROR(INDEX(INDIRECT(Index!$M$13),MATCH(EDATE($A278,2),INDIRECT(Index!$L$13),0)),AVERAGEIFS(INDIRECT(Index!$M$13),INDIRECT(Index!$L$13),"&gt;="&amp;$A278,INDIRECT(Index!$L$13),"&lt;"&amp;EDATE($A278,3)))),"")</f>
        <v/>
      </c>
      <c r="C278" s="33" t="str">
        <f aca="false">IFERROR(B278/B277-1,"")</f>
        <v/>
      </c>
      <c r="D278" s="33" t="str">
        <f aca="false">IFERROR(B278/B274-1,"")</f>
        <v/>
      </c>
      <c r="E278" s="25" t="str">
        <f aca="false">IFERROR(IF(AND(B278="",ISNUMBER($C$209),ISNUMBER($G$209)),$C$209*(1+$G$209)^(($A278-$E$209)/365.25),""),"")</f>
        <v/>
      </c>
      <c r="F278" s="25" t="str">
        <f aca="false">IFERROR(IF(AND(B278="",ISNUMBER($C$209),ISNUMBER($G$209)),$C$209*(1+$G$209*0.85^MAX(0,($A278-$E$209)/91.25))^(($A278-$E$209)/365.25),""),"")</f>
        <v/>
      </c>
    </row>
    <row r="279" customFormat="false" ht="15" hidden="false" customHeight="false" outlineLevel="0" collapsed="false">
      <c r="A279" s="27" t="n">
        <v>45566</v>
      </c>
      <c r="B279" s="28" t="str">
        <f aca="true">IFERROR(IF(IFERROR(INDEX(INDIRECT(Index!$M$13),MATCH(EDATE($A279,2),INDIRECT(Index!$L$13),0)),AVERAGEIFS(INDIRECT(Index!$M$13),INDIRECT(Index!$L$13),"&gt;="&amp;$A279,INDIRECT(Index!$L$13),"&lt;"&amp;EDATE($A279,3)))=0,"",IFERROR(INDEX(INDIRECT(Index!$M$13),MATCH(EDATE($A279,2),INDIRECT(Index!$L$13),0)),AVERAGEIFS(INDIRECT(Index!$M$13),INDIRECT(Index!$L$13),"&gt;="&amp;$A279,INDIRECT(Index!$L$13),"&lt;"&amp;EDATE($A279,3)))),"")</f>
        <v/>
      </c>
      <c r="C279" s="29" t="str">
        <f aca="false">IFERROR(B279/B278-1,"")</f>
        <v/>
      </c>
      <c r="D279" s="29" t="str">
        <f aca="false">IFERROR(B279/B275-1,"")</f>
        <v/>
      </c>
      <c r="E279" s="31" t="str">
        <f aca="false">IFERROR(IF(AND(B279="",ISNUMBER($C$209),ISNUMBER($G$209)),$C$209*(1+$G$209)^(($A279-$E$209)/365.25),""),"")</f>
        <v/>
      </c>
      <c r="F279" s="31" t="str">
        <f aca="false">IFERROR(IF(AND(B279="",ISNUMBER($C$209),ISNUMBER($G$209)),$C$209*(1+$G$209*0.85^MAX(0,($A279-$E$209)/91.25))^(($A279-$E$209)/365.25),""),"")</f>
        <v/>
      </c>
    </row>
    <row r="280" customFormat="false" ht="15" hidden="false" customHeight="false" outlineLevel="0" collapsed="false">
      <c r="A280" s="15" t="n">
        <v>45658</v>
      </c>
      <c r="B280" s="20" t="str">
        <f aca="true">IFERROR(IF(IFERROR(INDEX(INDIRECT(Index!$M$13),MATCH(EDATE($A280,2),INDIRECT(Index!$L$13),0)),AVERAGEIFS(INDIRECT(Index!$M$13),INDIRECT(Index!$L$13),"&gt;="&amp;$A280,INDIRECT(Index!$L$13),"&lt;"&amp;EDATE($A280,3)))=0,"",IFERROR(INDEX(INDIRECT(Index!$M$13),MATCH(EDATE($A280,2),INDIRECT(Index!$L$13),0)),AVERAGEIFS(INDIRECT(Index!$M$13),INDIRECT(Index!$L$13),"&gt;="&amp;$A280,INDIRECT(Index!$L$13),"&lt;"&amp;EDATE($A280,3)))),"")</f>
        <v/>
      </c>
      <c r="C280" s="33" t="str">
        <f aca="false">IFERROR(B280/B279-1,"")</f>
        <v/>
      </c>
      <c r="D280" s="33" t="str">
        <f aca="false">IFERROR(B280/B276-1,"")</f>
        <v/>
      </c>
      <c r="E280" s="25" t="str">
        <f aca="false">IFERROR(IF(AND(B280="",ISNUMBER($C$209),ISNUMBER($G$209)),$C$209*(1+$G$209)^(($A280-$E$209)/365.25),""),"")</f>
        <v/>
      </c>
      <c r="F280" s="25" t="str">
        <f aca="false">IFERROR(IF(AND(B280="",ISNUMBER($C$209),ISNUMBER($G$209)),$C$209*(1+$G$209*0.85^MAX(0,($A280-$E$209)/91.25))^(($A280-$E$209)/365.25),""),"")</f>
        <v/>
      </c>
    </row>
    <row r="281" customFormat="false" ht="15" hidden="false" customHeight="false" outlineLevel="0" collapsed="false">
      <c r="A281" s="27" t="n">
        <v>45748</v>
      </c>
      <c r="B281" s="28" t="str">
        <f aca="true">IFERROR(IF(IFERROR(INDEX(INDIRECT(Index!$M$13),MATCH(EDATE($A281,2),INDIRECT(Index!$L$13),0)),AVERAGEIFS(INDIRECT(Index!$M$13),INDIRECT(Index!$L$13),"&gt;="&amp;$A281,INDIRECT(Index!$L$13),"&lt;"&amp;EDATE($A281,3)))=0,"",IFERROR(INDEX(INDIRECT(Index!$M$13),MATCH(EDATE($A281,2),INDIRECT(Index!$L$13),0)),AVERAGEIFS(INDIRECT(Index!$M$13),INDIRECT(Index!$L$13),"&gt;="&amp;$A281,INDIRECT(Index!$L$13),"&lt;"&amp;EDATE($A281,3)))),"")</f>
        <v/>
      </c>
      <c r="C281" s="29" t="str">
        <f aca="false">IFERROR(B281/B280-1,"")</f>
        <v/>
      </c>
      <c r="D281" s="29" t="str">
        <f aca="false">IFERROR(B281/B277-1,"")</f>
        <v/>
      </c>
      <c r="E281" s="31" t="str">
        <f aca="false">IFERROR(IF(AND(B281="",ISNUMBER($C$209),ISNUMBER($G$209)),$C$209*(1+$G$209)^(($A281-$E$209)/365.25),""),"")</f>
        <v/>
      </c>
      <c r="F281" s="31" t="str">
        <f aca="false">IFERROR(IF(AND(B281="",ISNUMBER($C$209),ISNUMBER($G$209)),$C$209*(1+$G$209*0.85^MAX(0,($A281-$E$209)/91.25))^(($A281-$E$209)/365.25),""),"")</f>
        <v/>
      </c>
    </row>
    <row r="282" customFormat="false" ht="15" hidden="false" customHeight="false" outlineLevel="0" collapsed="false">
      <c r="A282" s="15" t="n">
        <v>45839</v>
      </c>
      <c r="B282" s="20" t="str">
        <f aca="true">IFERROR(IF(IFERROR(INDEX(INDIRECT(Index!$M$13),MATCH(EDATE($A282,2),INDIRECT(Index!$L$13),0)),AVERAGEIFS(INDIRECT(Index!$M$13),INDIRECT(Index!$L$13),"&gt;="&amp;$A282,INDIRECT(Index!$L$13),"&lt;"&amp;EDATE($A282,3)))=0,"",IFERROR(INDEX(INDIRECT(Index!$M$13),MATCH(EDATE($A282,2),INDIRECT(Index!$L$13),0)),AVERAGEIFS(INDIRECT(Index!$M$13),INDIRECT(Index!$L$13),"&gt;="&amp;$A282,INDIRECT(Index!$L$13),"&lt;"&amp;EDATE($A282,3)))),"")</f>
        <v/>
      </c>
      <c r="C282" s="33" t="str">
        <f aca="false">IFERROR(B282/B281-1,"")</f>
        <v/>
      </c>
      <c r="D282" s="33" t="str">
        <f aca="false">IFERROR(B282/B278-1,"")</f>
        <v/>
      </c>
      <c r="E282" s="25" t="str">
        <f aca="false">IFERROR(IF(AND(B282="",ISNUMBER($C$209),ISNUMBER($G$209)),$C$209*(1+$G$209)^(($A282-$E$209)/365.25),""),"")</f>
        <v/>
      </c>
      <c r="F282" s="25" t="str">
        <f aca="false">IFERROR(IF(AND(B282="",ISNUMBER($C$209),ISNUMBER($G$209)),$C$209*(1+$G$209*0.85^MAX(0,($A282-$E$209)/91.25))^(($A282-$E$209)/365.25),""),"")</f>
        <v/>
      </c>
    </row>
    <row r="283" customFormat="false" ht="15" hidden="false" customHeight="false" outlineLevel="0" collapsed="false">
      <c r="A283" s="27" t="n">
        <v>45931</v>
      </c>
      <c r="B283" s="28" t="str">
        <f aca="true">IFERROR(IF(IFERROR(INDEX(INDIRECT(Index!$M$13),MATCH(EDATE($A283,2),INDIRECT(Index!$L$13),0)),AVERAGEIFS(INDIRECT(Index!$M$13),INDIRECT(Index!$L$13),"&gt;="&amp;$A283,INDIRECT(Index!$L$13),"&lt;"&amp;EDATE($A283,3)))=0,"",IFERROR(INDEX(INDIRECT(Index!$M$13),MATCH(EDATE($A283,2),INDIRECT(Index!$L$13),0)),AVERAGEIFS(INDIRECT(Index!$M$13),INDIRECT(Index!$L$13),"&gt;="&amp;$A283,INDIRECT(Index!$L$13),"&lt;"&amp;EDATE($A283,3)))),"")</f>
        <v/>
      </c>
      <c r="C283" s="29" t="str">
        <f aca="false">IFERROR(B283/B282-1,"")</f>
        <v/>
      </c>
      <c r="D283" s="29" t="str">
        <f aca="false">IFERROR(B283/B279-1,"")</f>
        <v/>
      </c>
      <c r="E283" s="31" t="str">
        <f aca="false">IFERROR(IF(AND(B283="",ISNUMBER($C$209),ISNUMBER($G$209)),$C$209*(1+$G$209)^(($A283-$E$209)/365.25),""),"")</f>
        <v/>
      </c>
      <c r="F283" s="31" t="str">
        <f aca="false">IFERROR(IF(AND(B283="",ISNUMBER($C$209),ISNUMBER($G$209)),$C$209*(1+$G$209*0.85^MAX(0,($A283-$E$209)/91.25))^(($A283-$E$209)/365.25),""),"")</f>
        <v/>
      </c>
    </row>
    <row r="284" customFormat="false" ht="15" hidden="false" customHeight="false" outlineLevel="0" collapsed="false">
      <c r="A284" s="15" t="n">
        <v>46023</v>
      </c>
      <c r="B284" s="20" t="str">
        <f aca="true">IFERROR(IF(IFERROR(INDEX(INDIRECT(Index!$M$13),MATCH(EDATE($A284,2),INDIRECT(Index!$L$13),0)),AVERAGEIFS(INDIRECT(Index!$M$13),INDIRECT(Index!$L$13),"&gt;="&amp;$A284,INDIRECT(Index!$L$13),"&lt;"&amp;EDATE($A284,3)))=0,"",IFERROR(INDEX(INDIRECT(Index!$M$13),MATCH(EDATE($A284,2),INDIRECT(Index!$L$13),0)),AVERAGEIFS(INDIRECT(Index!$M$13),INDIRECT(Index!$L$13),"&gt;="&amp;$A284,INDIRECT(Index!$L$13),"&lt;"&amp;EDATE($A284,3)))),"")</f>
        <v/>
      </c>
      <c r="C284" s="33" t="str">
        <f aca="false">IFERROR(B284/B283-1,"")</f>
        <v/>
      </c>
      <c r="D284" s="33" t="str">
        <f aca="false">IFERROR(B284/B280-1,"")</f>
        <v/>
      </c>
      <c r="E284" s="25" t="str">
        <f aca="false">IFERROR(IF(AND(B284="",ISNUMBER($C$209),ISNUMBER($G$209)),$C$209*(1+$G$209)^(($A284-$E$209)/365.25),""),"")</f>
        <v/>
      </c>
      <c r="F284" s="25" t="str">
        <f aca="false">IFERROR(IF(AND(B284="",ISNUMBER($C$209),ISNUMBER($G$209)),$C$209*(1+$G$209*0.85^MAX(0,($A284-$E$209)/91.25))^(($A284-$E$209)/365.25),""),"")</f>
        <v/>
      </c>
    </row>
    <row r="285" customFormat="false" ht="15" hidden="false" customHeight="false" outlineLevel="0" collapsed="false">
      <c r="A285" s="27" t="n">
        <v>46113</v>
      </c>
      <c r="B285" s="28" t="str">
        <f aca="true">IFERROR(IF(IFERROR(INDEX(INDIRECT(Index!$M$13),MATCH(EDATE($A285,2),INDIRECT(Index!$L$13),0)),AVERAGEIFS(INDIRECT(Index!$M$13),INDIRECT(Index!$L$13),"&gt;="&amp;$A285,INDIRECT(Index!$L$13),"&lt;"&amp;EDATE($A285,3)))=0,"",IFERROR(INDEX(INDIRECT(Index!$M$13),MATCH(EDATE($A285,2),INDIRECT(Index!$L$13),0)),AVERAGEIFS(INDIRECT(Index!$M$13),INDIRECT(Index!$L$13),"&gt;="&amp;$A285,INDIRECT(Index!$L$13),"&lt;"&amp;EDATE($A285,3)))),"")</f>
        <v/>
      </c>
      <c r="C285" s="29" t="str">
        <f aca="false">IFERROR(B285/B284-1,"")</f>
        <v/>
      </c>
      <c r="D285" s="29" t="str">
        <f aca="false">IFERROR(B285/B281-1,"")</f>
        <v/>
      </c>
      <c r="E285" s="31" t="str">
        <f aca="false">IFERROR(IF(AND(B285="",ISNUMBER($C$209),ISNUMBER($G$209)),$C$209*(1+$G$209)^(($A285-$E$209)/365.25),""),"")</f>
        <v/>
      </c>
      <c r="F285" s="31" t="str">
        <f aca="false">IFERROR(IF(AND(B285="",ISNUMBER($C$209),ISNUMBER($G$209)),$C$209*(1+$G$209*0.85^MAX(0,($A285-$E$209)/91.25))^(($A285-$E$209)/365.25),""),"")</f>
        <v/>
      </c>
    </row>
    <row r="286" customFormat="false" ht="15" hidden="false" customHeight="false" outlineLevel="0" collapsed="false">
      <c r="A286" s="15" t="n">
        <v>46204</v>
      </c>
      <c r="B286" s="20" t="str">
        <f aca="true">IFERROR(IF(IFERROR(INDEX(INDIRECT(Index!$M$13),MATCH(EDATE($A286,2),INDIRECT(Index!$L$13),0)),AVERAGEIFS(INDIRECT(Index!$M$13),INDIRECT(Index!$L$13),"&gt;="&amp;$A286,INDIRECT(Index!$L$13),"&lt;"&amp;EDATE($A286,3)))=0,"",IFERROR(INDEX(INDIRECT(Index!$M$13),MATCH(EDATE($A286,2),INDIRECT(Index!$L$13),0)),AVERAGEIFS(INDIRECT(Index!$M$13),INDIRECT(Index!$L$13),"&gt;="&amp;$A286,INDIRECT(Index!$L$13),"&lt;"&amp;EDATE($A286,3)))),"")</f>
        <v/>
      </c>
      <c r="C286" s="33" t="str">
        <f aca="false">IFERROR(B286/B285-1,"")</f>
        <v/>
      </c>
      <c r="D286" s="33" t="str">
        <f aca="false">IFERROR(B286/B282-1,"")</f>
        <v/>
      </c>
      <c r="E286" s="25" t="str">
        <f aca="false">IFERROR(IF(AND(B286="",ISNUMBER($C$209),ISNUMBER($G$209)),$C$209*(1+$G$209)^(($A286-$E$209)/365.25),""),"")</f>
        <v/>
      </c>
      <c r="F286" s="25" t="str">
        <f aca="false">IFERROR(IF(AND(B286="",ISNUMBER($C$209),ISNUMBER($G$209)),$C$209*(1+$G$209*0.85^MAX(0,($A286-$E$209)/91.25))^(($A286-$E$209)/365.25),""),"")</f>
        <v/>
      </c>
    </row>
    <row r="287" customFormat="false" ht="15" hidden="false" customHeight="false" outlineLevel="0" collapsed="false">
      <c r="A287" s="27" t="n">
        <v>46296</v>
      </c>
      <c r="B287" s="28" t="str">
        <f aca="true">IFERROR(IF(IFERROR(INDEX(INDIRECT(Index!$M$13),MATCH(EDATE($A287,2),INDIRECT(Index!$L$13),0)),AVERAGEIFS(INDIRECT(Index!$M$13),INDIRECT(Index!$L$13),"&gt;="&amp;$A287,INDIRECT(Index!$L$13),"&lt;"&amp;EDATE($A287,3)))=0,"",IFERROR(INDEX(INDIRECT(Index!$M$13),MATCH(EDATE($A287,2),INDIRECT(Index!$L$13),0)),AVERAGEIFS(INDIRECT(Index!$M$13),INDIRECT(Index!$L$13),"&gt;="&amp;$A287,INDIRECT(Index!$L$13),"&lt;"&amp;EDATE($A287,3)))),"")</f>
        <v/>
      </c>
      <c r="C287" s="29" t="str">
        <f aca="false">IFERROR(B287/B286-1,"")</f>
        <v/>
      </c>
      <c r="D287" s="29" t="str">
        <f aca="false">IFERROR(B287/B283-1,"")</f>
        <v/>
      </c>
      <c r="E287" s="31" t="str">
        <f aca="false">IFERROR(IF(AND(B287="",ISNUMBER($C$209),ISNUMBER($G$209)),$C$209*(1+$G$209)^(($A287-$E$209)/365.25),""),"")</f>
        <v/>
      </c>
      <c r="F287" s="31" t="str">
        <f aca="false">IFERROR(IF(AND(B287="",ISNUMBER($C$209),ISNUMBER($G$209)),$C$209*(1+$G$209*0.85^MAX(0,($A287-$E$209)/91.25))^(($A287-$E$209)/365.25),""),"")</f>
        <v/>
      </c>
    </row>
    <row r="288" customFormat="false" ht="15" hidden="false" customHeight="false" outlineLevel="0" collapsed="false">
      <c r="A288" s="15" t="n">
        <v>46388</v>
      </c>
      <c r="B288" s="20" t="str">
        <f aca="true">IFERROR(IF(IFERROR(INDEX(INDIRECT(Index!$M$13),MATCH(EDATE($A288,2),INDIRECT(Index!$L$13),0)),AVERAGEIFS(INDIRECT(Index!$M$13),INDIRECT(Index!$L$13),"&gt;="&amp;$A288,INDIRECT(Index!$L$13),"&lt;"&amp;EDATE($A288,3)))=0,"",IFERROR(INDEX(INDIRECT(Index!$M$13),MATCH(EDATE($A288,2),INDIRECT(Index!$L$13),0)),AVERAGEIFS(INDIRECT(Index!$M$13),INDIRECT(Index!$L$13),"&gt;="&amp;$A288,INDIRECT(Index!$L$13),"&lt;"&amp;EDATE($A288,3)))),"")</f>
        <v/>
      </c>
      <c r="C288" s="33" t="str">
        <f aca="false">IFERROR(B288/B287-1,"")</f>
        <v/>
      </c>
      <c r="D288" s="33" t="str">
        <f aca="false">IFERROR(B288/B284-1,"")</f>
        <v/>
      </c>
      <c r="E288" s="25" t="str">
        <f aca="false">IFERROR(IF(AND(B288="",ISNUMBER($C$209),ISNUMBER($G$209)),$C$209*(1+$G$209)^(($A288-$E$209)/365.25),""),"")</f>
        <v/>
      </c>
      <c r="F288" s="25" t="str">
        <f aca="false">IFERROR(IF(AND(B288="",ISNUMBER($C$209),ISNUMBER($G$209)),$C$209*(1+$G$209*0.85^MAX(0,($A288-$E$209)/91.25))^(($A288-$E$209)/365.25),""),"")</f>
        <v/>
      </c>
    </row>
    <row r="289" customFormat="false" ht="15" hidden="false" customHeight="false" outlineLevel="0" collapsed="false">
      <c r="A289" s="27" t="n">
        <v>46478</v>
      </c>
      <c r="B289" s="28" t="str">
        <f aca="true">IFERROR(IF(IFERROR(INDEX(INDIRECT(Index!$M$13),MATCH(EDATE($A289,2),INDIRECT(Index!$L$13),0)),AVERAGEIFS(INDIRECT(Index!$M$13),INDIRECT(Index!$L$13),"&gt;="&amp;$A289,INDIRECT(Index!$L$13),"&lt;"&amp;EDATE($A289,3)))=0,"",IFERROR(INDEX(INDIRECT(Index!$M$13),MATCH(EDATE($A289,2),INDIRECT(Index!$L$13),0)),AVERAGEIFS(INDIRECT(Index!$M$13),INDIRECT(Index!$L$13),"&gt;="&amp;$A289,INDIRECT(Index!$L$13),"&lt;"&amp;EDATE($A289,3)))),"")</f>
        <v/>
      </c>
      <c r="C289" s="29" t="str">
        <f aca="false">IFERROR(B289/B288-1,"")</f>
        <v/>
      </c>
      <c r="D289" s="29" t="str">
        <f aca="false">IFERROR(B289/B285-1,"")</f>
        <v/>
      </c>
      <c r="E289" s="31" t="str">
        <f aca="false">IFERROR(IF(AND(B289="",ISNUMBER($C$209),ISNUMBER($G$209)),$C$209*(1+$G$209)^(($A289-$E$209)/365.25),""),"")</f>
        <v/>
      </c>
      <c r="F289" s="31" t="str">
        <f aca="false">IFERROR(IF(AND(B289="",ISNUMBER($C$209),ISNUMBER($G$209)),$C$209*(1+$G$209*0.85^MAX(0,($A289-$E$209)/91.25))^(($A289-$E$209)/365.25),""),"")</f>
        <v/>
      </c>
    </row>
    <row r="290" customFormat="false" ht="15" hidden="false" customHeight="false" outlineLevel="0" collapsed="false">
      <c r="A290" s="15" t="n">
        <v>46569</v>
      </c>
      <c r="B290" s="20" t="str">
        <f aca="true">IFERROR(IF(IFERROR(INDEX(INDIRECT(Index!$M$13),MATCH(EDATE($A290,2),INDIRECT(Index!$L$13),0)),AVERAGEIFS(INDIRECT(Index!$M$13),INDIRECT(Index!$L$13),"&gt;="&amp;$A290,INDIRECT(Index!$L$13),"&lt;"&amp;EDATE($A290,3)))=0,"",IFERROR(INDEX(INDIRECT(Index!$M$13),MATCH(EDATE($A290,2),INDIRECT(Index!$L$13),0)),AVERAGEIFS(INDIRECT(Index!$M$13),INDIRECT(Index!$L$13),"&gt;="&amp;$A290,INDIRECT(Index!$L$13),"&lt;"&amp;EDATE($A290,3)))),"")</f>
        <v/>
      </c>
      <c r="C290" s="33" t="str">
        <f aca="false">IFERROR(B290/B289-1,"")</f>
        <v/>
      </c>
      <c r="D290" s="33" t="str">
        <f aca="false">IFERROR(B290/B286-1,"")</f>
        <v/>
      </c>
      <c r="E290" s="25" t="str">
        <f aca="false">IFERROR(IF(AND(B290="",ISNUMBER($C$209),ISNUMBER($G$209)),$C$209*(1+$G$209)^(($A290-$E$209)/365.25),""),"")</f>
        <v/>
      </c>
      <c r="F290" s="25" t="str">
        <f aca="false">IFERROR(IF(AND(B290="",ISNUMBER($C$209),ISNUMBER($G$209)),$C$209*(1+$G$209*0.85^MAX(0,($A290-$E$209)/91.25))^(($A290-$E$209)/365.25),""),"")</f>
        <v/>
      </c>
    </row>
    <row r="291" customFormat="false" ht="15" hidden="false" customHeight="false" outlineLevel="0" collapsed="false">
      <c r="A291" s="27" t="n">
        <v>46661</v>
      </c>
      <c r="B291" s="28" t="str">
        <f aca="true">IFERROR(IF(IFERROR(INDEX(INDIRECT(Index!$M$13),MATCH(EDATE($A291,2),INDIRECT(Index!$L$13),0)),AVERAGEIFS(INDIRECT(Index!$M$13),INDIRECT(Index!$L$13),"&gt;="&amp;$A291,INDIRECT(Index!$L$13),"&lt;"&amp;EDATE($A291,3)))=0,"",IFERROR(INDEX(INDIRECT(Index!$M$13),MATCH(EDATE($A291,2),INDIRECT(Index!$L$13),0)),AVERAGEIFS(INDIRECT(Index!$M$13),INDIRECT(Index!$L$13),"&gt;="&amp;$A291,INDIRECT(Index!$L$13),"&lt;"&amp;EDATE($A291,3)))),"")</f>
        <v/>
      </c>
      <c r="C291" s="29" t="str">
        <f aca="false">IFERROR(B291/B290-1,"")</f>
        <v/>
      </c>
      <c r="D291" s="29" t="str">
        <f aca="false">IFERROR(B291/B287-1,"")</f>
        <v/>
      </c>
      <c r="E291" s="31" t="str">
        <f aca="false">IFERROR(IF(AND(B291="",ISNUMBER($C$209),ISNUMBER($G$209)),$C$209*(1+$G$209)^(($A291-$E$209)/365.25),""),"")</f>
        <v/>
      </c>
      <c r="F291" s="31" t="str">
        <f aca="false">IFERROR(IF(AND(B291="",ISNUMBER($C$209),ISNUMBER($G$209)),$C$209*(1+$G$209*0.85^MAX(0,($A291-$E$209)/91.25))^(($A291-$E$209)/365.25),""),"")</f>
        <v/>
      </c>
    </row>
    <row r="292" customFormat="false" ht="15" hidden="false" customHeight="false" outlineLevel="0" collapsed="false">
      <c r="A292" s="15" t="n">
        <v>46753</v>
      </c>
      <c r="B292" s="20" t="str">
        <f aca="true">IFERROR(IF(IFERROR(INDEX(INDIRECT(Index!$M$13),MATCH(EDATE($A292,2),INDIRECT(Index!$L$13),0)),AVERAGEIFS(INDIRECT(Index!$M$13),INDIRECT(Index!$L$13),"&gt;="&amp;$A292,INDIRECT(Index!$L$13),"&lt;"&amp;EDATE($A292,3)))=0,"",IFERROR(INDEX(INDIRECT(Index!$M$13),MATCH(EDATE($A292,2),INDIRECT(Index!$L$13),0)),AVERAGEIFS(INDIRECT(Index!$M$13),INDIRECT(Index!$L$13),"&gt;="&amp;$A292,INDIRECT(Index!$L$13),"&lt;"&amp;EDATE($A292,3)))),"")</f>
        <v/>
      </c>
      <c r="C292" s="33" t="str">
        <f aca="false">IFERROR(B292/B291-1,"")</f>
        <v/>
      </c>
      <c r="D292" s="33" t="str">
        <f aca="false">IFERROR(B292/B288-1,"")</f>
        <v/>
      </c>
      <c r="E292" s="25" t="str">
        <f aca="false">IFERROR(IF(AND(B292="",ISNUMBER($C$209),ISNUMBER($G$209)),$C$209*(1+$G$209)^(($A292-$E$209)/365.25),""),"")</f>
        <v/>
      </c>
      <c r="F292" s="25" t="str">
        <f aca="false">IFERROR(IF(AND(B292="",ISNUMBER($C$209),ISNUMBER($G$209)),$C$209*(1+$G$209*0.85^MAX(0,($A292-$E$209)/91.25))^(($A292-$E$209)/365.25),""),"")</f>
        <v/>
      </c>
    </row>
    <row r="293" customFormat="false" ht="15" hidden="false" customHeight="false" outlineLevel="0" collapsed="false">
      <c r="A293" s="27" t="n">
        <v>46844</v>
      </c>
      <c r="B293" s="28" t="str">
        <f aca="true">IFERROR(IF(IFERROR(INDEX(INDIRECT(Index!$M$13),MATCH(EDATE($A293,2),INDIRECT(Index!$L$13),0)),AVERAGEIFS(INDIRECT(Index!$M$13),INDIRECT(Index!$L$13),"&gt;="&amp;$A293,INDIRECT(Index!$L$13),"&lt;"&amp;EDATE($A293,3)))=0,"",IFERROR(INDEX(INDIRECT(Index!$M$13),MATCH(EDATE($A293,2),INDIRECT(Index!$L$13),0)),AVERAGEIFS(INDIRECT(Index!$M$13),INDIRECT(Index!$L$13),"&gt;="&amp;$A293,INDIRECT(Index!$L$13),"&lt;"&amp;EDATE($A293,3)))),"")</f>
        <v/>
      </c>
      <c r="C293" s="29" t="str">
        <f aca="false">IFERROR(B293/B292-1,"")</f>
        <v/>
      </c>
      <c r="D293" s="29" t="str">
        <f aca="false">IFERROR(B293/B289-1,"")</f>
        <v/>
      </c>
      <c r="E293" s="31" t="str">
        <f aca="false">IFERROR(IF(AND(B293="",ISNUMBER($C$209),ISNUMBER($G$209)),$C$209*(1+$G$209)^(($A293-$E$209)/365.25),""),"")</f>
        <v/>
      </c>
      <c r="F293" s="31" t="str">
        <f aca="false">IFERROR(IF(AND(B293="",ISNUMBER($C$209),ISNUMBER($G$209)),$C$209*(1+$G$209*0.85^MAX(0,($A293-$E$209)/91.25))^(($A293-$E$209)/365.25),""),"")</f>
        <v/>
      </c>
    </row>
    <row r="294" customFormat="false" ht="15" hidden="false" customHeight="false" outlineLevel="0" collapsed="false">
      <c r="A294" s="15" t="n">
        <v>46935</v>
      </c>
      <c r="B294" s="20" t="str">
        <f aca="true">IFERROR(IF(IFERROR(INDEX(INDIRECT(Index!$M$13),MATCH(EDATE($A294,2),INDIRECT(Index!$L$13),0)),AVERAGEIFS(INDIRECT(Index!$M$13),INDIRECT(Index!$L$13),"&gt;="&amp;$A294,INDIRECT(Index!$L$13),"&lt;"&amp;EDATE($A294,3)))=0,"",IFERROR(INDEX(INDIRECT(Index!$M$13),MATCH(EDATE($A294,2),INDIRECT(Index!$L$13),0)),AVERAGEIFS(INDIRECT(Index!$M$13),INDIRECT(Index!$L$13),"&gt;="&amp;$A294,INDIRECT(Index!$L$13),"&lt;"&amp;EDATE($A294,3)))),"")</f>
        <v/>
      </c>
      <c r="C294" s="33" t="str">
        <f aca="false">IFERROR(B294/B293-1,"")</f>
        <v/>
      </c>
      <c r="D294" s="33" t="str">
        <f aca="false">IFERROR(B294/B290-1,"")</f>
        <v/>
      </c>
      <c r="E294" s="25" t="str">
        <f aca="false">IFERROR(IF(AND(B294="",ISNUMBER($C$209),ISNUMBER($G$209)),$C$209*(1+$G$209)^(($A294-$E$209)/365.25),""),"")</f>
        <v/>
      </c>
      <c r="F294" s="25" t="str">
        <f aca="false">IFERROR(IF(AND(B294="",ISNUMBER($C$209),ISNUMBER($G$209)),$C$209*(1+$G$209*0.85^MAX(0,($A294-$E$209)/91.25))^(($A294-$E$209)/365.25),""),"")</f>
        <v/>
      </c>
    </row>
    <row r="295" customFormat="false" ht="15" hidden="false" customHeight="false" outlineLevel="0" collapsed="false">
      <c r="A295" s="27" t="n">
        <v>47027</v>
      </c>
      <c r="B295" s="28" t="str">
        <f aca="true">IFERROR(IF(IFERROR(INDEX(INDIRECT(Index!$M$13),MATCH(EDATE($A295,2),INDIRECT(Index!$L$13),0)),AVERAGEIFS(INDIRECT(Index!$M$13),INDIRECT(Index!$L$13),"&gt;="&amp;$A295,INDIRECT(Index!$L$13),"&lt;"&amp;EDATE($A295,3)))=0,"",IFERROR(INDEX(INDIRECT(Index!$M$13),MATCH(EDATE($A295,2),INDIRECT(Index!$L$13),0)),AVERAGEIFS(INDIRECT(Index!$M$13),INDIRECT(Index!$L$13),"&gt;="&amp;$A295,INDIRECT(Index!$L$13),"&lt;"&amp;EDATE($A295,3)))),"")</f>
        <v/>
      </c>
      <c r="C295" s="29" t="str">
        <f aca="false">IFERROR(B295/B294-1,"")</f>
        <v/>
      </c>
      <c r="D295" s="29" t="str">
        <f aca="false">IFERROR(B295/B291-1,"")</f>
        <v/>
      </c>
      <c r="E295" s="31" t="str">
        <f aca="false">IFERROR(IF(AND(B295="",ISNUMBER($C$209),ISNUMBER($G$209)),$C$209*(1+$G$209)^(($A295-$E$209)/365.25),""),"")</f>
        <v/>
      </c>
      <c r="F295" s="31" t="str">
        <f aca="false">IFERROR(IF(AND(B295="",ISNUMBER($C$209),ISNUMBER($G$209)),$C$209*(1+$G$209*0.85^MAX(0,($A295-$E$209)/91.25))^(($A295-$E$209)/365.25),""),"")</f>
        <v/>
      </c>
    </row>
    <row r="296" customFormat="false" ht="15" hidden="false" customHeight="false" outlineLevel="0" collapsed="false">
      <c r="A296" s="15" t="n">
        <v>47119</v>
      </c>
      <c r="B296" s="20" t="str">
        <f aca="true">IFERROR(IF(IFERROR(INDEX(INDIRECT(Index!$M$13),MATCH(EDATE($A296,2),INDIRECT(Index!$L$13),0)),AVERAGEIFS(INDIRECT(Index!$M$13),INDIRECT(Index!$L$13),"&gt;="&amp;$A296,INDIRECT(Index!$L$13),"&lt;"&amp;EDATE($A296,3)))=0,"",IFERROR(INDEX(INDIRECT(Index!$M$13),MATCH(EDATE($A296,2),INDIRECT(Index!$L$13),0)),AVERAGEIFS(INDIRECT(Index!$M$13),INDIRECT(Index!$L$13),"&gt;="&amp;$A296,INDIRECT(Index!$L$13),"&lt;"&amp;EDATE($A296,3)))),"")</f>
        <v/>
      </c>
      <c r="C296" s="33" t="str">
        <f aca="false">IFERROR(B296/B295-1,"")</f>
        <v/>
      </c>
      <c r="D296" s="33" t="str">
        <f aca="false">IFERROR(B296/B292-1,"")</f>
        <v/>
      </c>
      <c r="E296" s="25" t="str">
        <f aca="false">IFERROR(IF(AND(B296="",ISNUMBER($C$209),ISNUMBER($G$209)),$C$209*(1+$G$209)^(($A296-$E$209)/365.25),""),"")</f>
        <v/>
      </c>
      <c r="F296" s="25" t="str">
        <f aca="false">IFERROR(IF(AND(B296="",ISNUMBER($C$209),ISNUMBER($G$209)),$C$209*(1+$G$209*0.85^MAX(0,($A296-$E$209)/91.25))^(($A296-$E$209)/365.25),""),"")</f>
        <v/>
      </c>
    </row>
    <row r="297" customFormat="false" ht="15" hidden="false" customHeight="false" outlineLevel="0" collapsed="false">
      <c r="A297" s="27" t="n">
        <v>47209</v>
      </c>
      <c r="B297" s="28" t="str">
        <f aca="true">IFERROR(IF(IFERROR(INDEX(INDIRECT(Index!$M$13),MATCH(EDATE($A297,2),INDIRECT(Index!$L$13),0)),AVERAGEIFS(INDIRECT(Index!$M$13),INDIRECT(Index!$L$13),"&gt;="&amp;$A297,INDIRECT(Index!$L$13),"&lt;"&amp;EDATE($A297,3)))=0,"",IFERROR(INDEX(INDIRECT(Index!$M$13),MATCH(EDATE($A297,2),INDIRECT(Index!$L$13),0)),AVERAGEIFS(INDIRECT(Index!$M$13),INDIRECT(Index!$L$13),"&gt;="&amp;$A297,INDIRECT(Index!$L$13),"&lt;"&amp;EDATE($A297,3)))),"")</f>
        <v/>
      </c>
      <c r="C297" s="29" t="str">
        <f aca="false">IFERROR(B297/B296-1,"")</f>
        <v/>
      </c>
      <c r="D297" s="29" t="str">
        <f aca="false">IFERROR(B297/B293-1,"")</f>
        <v/>
      </c>
      <c r="E297" s="31" t="str">
        <f aca="false">IFERROR(IF(AND(B297="",ISNUMBER($C$209),ISNUMBER($G$209)),$C$209*(1+$G$209)^(($A297-$E$209)/365.25),""),"")</f>
        <v/>
      </c>
      <c r="F297" s="31" t="str">
        <f aca="false">IFERROR(IF(AND(B297="",ISNUMBER($C$209),ISNUMBER($G$209)),$C$209*(1+$G$209*0.85^MAX(0,($A297-$E$209)/91.25))^(($A297-$E$209)/365.25),""),"")</f>
        <v/>
      </c>
    </row>
    <row r="298" customFormat="false" ht="15" hidden="false" customHeight="false" outlineLevel="0" collapsed="false">
      <c r="A298" s="15" t="n">
        <v>47300</v>
      </c>
      <c r="B298" s="20" t="str">
        <f aca="true">IFERROR(IF(IFERROR(INDEX(INDIRECT(Index!$M$13),MATCH(EDATE($A298,2),INDIRECT(Index!$L$13),0)),AVERAGEIFS(INDIRECT(Index!$M$13),INDIRECT(Index!$L$13),"&gt;="&amp;$A298,INDIRECT(Index!$L$13),"&lt;"&amp;EDATE($A298,3)))=0,"",IFERROR(INDEX(INDIRECT(Index!$M$13),MATCH(EDATE($A298,2),INDIRECT(Index!$L$13),0)),AVERAGEIFS(INDIRECT(Index!$M$13),INDIRECT(Index!$L$13),"&gt;="&amp;$A298,INDIRECT(Index!$L$13),"&lt;"&amp;EDATE($A298,3)))),"")</f>
        <v/>
      </c>
      <c r="C298" s="33" t="str">
        <f aca="false">IFERROR(B298/B297-1,"")</f>
        <v/>
      </c>
      <c r="D298" s="33" t="str">
        <f aca="false">IFERROR(B298/B294-1,"")</f>
        <v/>
      </c>
      <c r="E298" s="25" t="str">
        <f aca="false">IFERROR(IF(AND(B298="",ISNUMBER($C$209),ISNUMBER($G$209)),$C$209*(1+$G$209)^(($A298-$E$209)/365.25),""),"")</f>
        <v/>
      </c>
      <c r="F298" s="25" t="str">
        <f aca="false">IFERROR(IF(AND(B298="",ISNUMBER($C$209),ISNUMBER($G$209)),$C$209*(1+$G$209*0.85^MAX(0,($A298-$E$209)/91.25))^(($A298-$E$209)/365.25),""),"")</f>
        <v/>
      </c>
    </row>
    <row r="299" customFormat="false" ht="15" hidden="false" customHeight="false" outlineLevel="0" collapsed="false">
      <c r="A299" s="27" t="n">
        <v>47392</v>
      </c>
      <c r="B299" s="28" t="str">
        <f aca="true">IFERROR(IF(IFERROR(INDEX(INDIRECT(Index!$M$13),MATCH(EDATE($A299,2),INDIRECT(Index!$L$13),0)),AVERAGEIFS(INDIRECT(Index!$M$13),INDIRECT(Index!$L$13),"&gt;="&amp;$A299,INDIRECT(Index!$L$13),"&lt;"&amp;EDATE($A299,3)))=0,"",IFERROR(INDEX(INDIRECT(Index!$M$13),MATCH(EDATE($A299,2),INDIRECT(Index!$L$13),0)),AVERAGEIFS(INDIRECT(Index!$M$13),INDIRECT(Index!$L$13),"&gt;="&amp;$A299,INDIRECT(Index!$L$13),"&lt;"&amp;EDATE($A299,3)))),"")</f>
        <v/>
      </c>
      <c r="C299" s="29" t="str">
        <f aca="false">IFERROR(B299/B298-1,"")</f>
        <v/>
      </c>
      <c r="D299" s="29" t="str">
        <f aca="false">IFERROR(B299/B295-1,"")</f>
        <v/>
      </c>
      <c r="E299" s="31" t="str">
        <f aca="false">IFERROR(IF(AND(B299="",ISNUMBER($C$209),ISNUMBER($G$209)),$C$209*(1+$G$209)^(($A299-$E$209)/365.25),""),"")</f>
        <v/>
      </c>
      <c r="F299" s="31" t="str">
        <f aca="false">IFERROR(IF(AND(B299="",ISNUMBER($C$209),ISNUMBER($G$209)),$C$209*(1+$G$209*0.85^MAX(0,($A299-$E$209)/91.25))^(($A299-$E$209)/365.25),""),"")</f>
        <v/>
      </c>
    </row>
    <row r="300" customFormat="false" ht="15" hidden="false" customHeight="false" outlineLevel="0" collapsed="false">
      <c r="A300" s="15" t="n">
        <v>47484</v>
      </c>
      <c r="B300" s="20" t="str">
        <f aca="true">IFERROR(IF(IFERROR(INDEX(INDIRECT(Index!$M$13),MATCH(EDATE($A300,2),INDIRECT(Index!$L$13),0)),AVERAGEIFS(INDIRECT(Index!$M$13),INDIRECT(Index!$L$13),"&gt;="&amp;$A300,INDIRECT(Index!$L$13),"&lt;"&amp;EDATE($A300,3)))=0,"",IFERROR(INDEX(INDIRECT(Index!$M$13),MATCH(EDATE($A300,2),INDIRECT(Index!$L$13),0)),AVERAGEIFS(INDIRECT(Index!$M$13),INDIRECT(Index!$L$13),"&gt;="&amp;$A300,INDIRECT(Index!$L$13),"&lt;"&amp;EDATE($A300,3)))),"")</f>
        <v/>
      </c>
      <c r="C300" s="33" t="str">
        <f aca="false">IFERROR(B300/B299-1,"")</f>
        <v/>
      </c>
      <c r="D300" s="33" t="str">
        <f aca="false">IFERROR(B300/B296-1,"")</f>
        <v/>
      </c>
      <c r="E300" s="25" t="str">
        <f aca="false">IFERROR(IF(AND(B300="",ISNUMBER($C$209),ISNUMBER($G$209)),$C$209*(1+$G$209)^(($A300-$E$209)/365.25),""),"")</f>
        <v/>
      </c>
      <c r="F300" s="25" t="str">
        <f aca="false">IFERROR(IF(AND(B300="",ISNUMBER($C$209),ISNUMBER($G$209)),$C$209*(1+$G$209*0.85^MAX(0,($A300-$E$209)/91.25))^(($A300-$E$209)/365.25),""),"")</f>
        <v/>
      </c>
    </row>
    <row r="301" customFormat="false" ht="15" hidden="false" customHeight="false" outlineLevel="0" collapsed="false">
      <c r="A301" s="27" t="n">
        <v>47574</v>
      </c>
      <c r="B301" s="28" t="str">
        <f aca="true">IFERROR(IF(IFERROR(INDEX(INDIRECT(Index!$M$13),MATCH(EDATE($A301,2),INDIRECT(Index!$L$13),0)),AVERAGEIFS(INDIRECT(Index!$M$13),INDIRECT(Index!$L$13),"&gt;="&amp;$A301,INDIRECT(Index!$L$13),"&lt;"&amp;EDATE($A301,3)))=0,"",IFERROR(INDEX(INDIRECT(Index!$M$13),MATCH(EDATE($A301,2),INDIRECT(Index!$L$13),0)),AVERAGEIFS(INDIRECT(Index!$M$13),INDIRECT(Index!$L$13),"&gt;="&amp;$A301,INDIRECT(Index!$L$13),"&lt;"&amp;EDATE($A301,3)))),"")</f>
        <v/>
      </c>
      <c r="C301" s="29" t="str">
        <f aca="false">IFERROR(B301/B300-1,"")</f>
        <v/>
      </c>
      <c r="D301" s="29" t="str">
        <f aca="false">IFERROR(B301/B297-1,"")</f>
        <v/>
      </c>
      <c r="E301" s="31" t="str">
        <f aca="false">IFERROR(IF(AND(B301="",ISNUMBER($C$209),ISNUMBER($G$209)),$C$209*(1+$G$209)^(($A301-$E$209)/365.25),""),"")</f>
        <v/>
      </c>
      <c r="F301" s="31" t="str">
        <f aca="false">IFERROR(IF(AND(B301="",ISNUMBER($C$209),ISNUMBER($G$209)),$C$209*(1+$G$209*0.85^MAX(0,($A301-$E$209)/91.25))^(($A301-$E$209)/365.25),""),"")</f>
        <v/>
      </c>
    </row>
    <row r="302" customFormat="false" ht="15" hidden="false" customHeight="false" outlineLevel="0" collapsed="false">
      <c r="A302" s="15" t="n">
        <v>47665</v>
      </c>
      <c r="B302" s="20" t="str">
        <f aca="true">IFERROR(IF(IFERROR(INDEX(INDIRECT(Index!$M$13),MATCH(EDATE($A302,2),INDIRECT(Index!$L$13),0)),AVERAGEIFS(INDIRECT(Index!$M$13),INDIRECT(Index!$L$13),"&gt;="&amp;$A302,INDIRECT(Index!$L$13),"&lt;"&amp;EDATE($A302,3)))=0,"",IFERROR(INDEX(INDIRECT(Index!$M$13),MATCH(EDATE($A302,2),INDIRECT(Index!$L$13),0)),AVERAGEIFS(INDIRECT(Index!$M$13),INDIRECT(Index!$L$13),"&gt;="&amp;$A302,INDIRECT(Index!$L$13),"&lt;"&amp;EDATE($A302,3)))),"")</f>
        <v/>
      </c>
      <c r="C302" s="33" t="str">
        <f aca="false">IFERROR(B302/B301-1,"")</f>
        <v/>
      </c>
      <c r="D302" s="33" t="str">
        <f aca="false">IFERROR(B302/B298-1,"")</f>
        <v/>
      </c>
      <c r="E302" s="25" t="str">
        <f aca="false">IFERROR(IF(AND(B302="",ISNUMBER($C$209),ISNUMBER($G$209)),$C$209*(1+$G$209)^(($A302-$E$209)/365.25),""),"")</f>
        <v/>
      </c>
      <c r="F302" s="25" t="str">
        <f aca="false">IFERROR(IF(AND(B302="",ISNUMBER($C$209),ISNUMBER($G$209)),$C$209*(1+$G$209*0.85^MAX(0,($A302-$E$209)/91.25))^(($A302-$E$209)/365.25),""),"")</f>
        <v/>
      </c>
    </row>
    <row r="303" customFormat="false" ht="15" hidden="false" customHeight="false" outlineLevel="0" collapsed="false">
      <c r="A303" s="27" t="n">
        <v>47757</v>
      </c>
      <c r="B303" s="28" t="str">
        <f aca="true">IFERROR(IF(IFERROR(INDEX(INDIRECT(Index!$M$13),MATCH(EDATE($A303,2),INDIRECT(Index!$L$13),0)),AVERAGEIFS(INDIRECT(Index!$M$13),INDIRECT(Index!$L$13),"&gt;="&amp;$A303,INDIRECT(Index!$L$13),"&lt;"&amp;EDATE($A303,3)))=0,"",IFERROR(INDEX(INDIRECT(Index!$M$13),MATCH(EDATE($A303,2),INDIRECT(Index!$L$13),0)),AVERAGEIFS(INDIRECT(Index!$M$13),INDIRECT(Index!$L$13),"&gt;="&amp;$A303,INDIRECT(Index!$L$13),"&lt;"&amp;EDATE($A303,3)))),"")</f>
        <v/>
      </c>
      <c r="C303" s="29" t="str">
        <f aca="false">IFERROR(B303/B302-1,"")</f>
        <v/>
      </c>
      <c r="D303" s="29" t="str">
        <f aca="false">IFERROR(B303/B299-1,"")</f>
        <v/>
      </c>
      <c r="E303" s="31" t="str">
        <f aca="false">IFERROR(IF(AND(B303="",ISNUMBER($C$209),ISNUMBER($G$209)),$C$209*(1+$G$209)^(($A303-$E$209)/365.25),""),"")</f>
        <v/>
      </c>
      <c r="F303" s="31" t="str">
        <f aca="false">IFERROR(IF(AND(B303="",ISNUMBER($C$209),ISNUMBER($G$209)),$C$209*(1+$G$209*0.85^MAX(0,($A303-$E$209)/91.25))^(($A303-$E$209)/365.25),""),"")</f>
        <v/>
      </c>
    </row>
  </sheetData>
  <mergeCells count="16">
    <mergeCell ref="A2:N2"/>
    <mergeCell ref="A4:M4"/>
    <mergeCell ref="D5:H5"/>
    <mergeCell ref="B6:M6"/>
    <mergeCell ref="A8:F8"/>
    <mergeCell ref="J8:M8"/>
    <mergeCell ref="A105:M105"/>
    <mergeCell ref="D106:H106"/>
    <mergeCell ref="B107:M107"/>
    <mergeCell ref="A109:F109"/>
    <mergeCell ref="J109:M109"/>
    <mergeCell ref="A206:M206"/>
    <mergeCell ref="D207:H207"/>
    <mergeCell ref="B208:M208"/>
    <mergeCell ref="A210:F210"/>
    <mergeCell ref="J210:M2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4" min="3" style="0" width="9"/>
    <col collapsed="false" customWidth="true" hidden="false" outlineLevel="0" max="8" min="5" style="0" width="12"/>
    <col collapsed="false" customWidth="true" hidden="false" outlineLevel="0" max="9" min="9" style="0" width="2"/>
    <col collapsed="false" customWidth="true" hidden="false" outlineLevel="0" max="10" min="10" style="0" width="7"/>
    <col collapsed="false" customWidth="true" hidden="false" outlineLevel="0" max="11" min="11" style="0" width="14"/>
    <col collapsed="false" customWidth="true" hidden="false" outlineLevel="0" max="12" min="12" style="0" width="9"/>
    <col collapsed="false" customWidth="true" hidden="false" outlineLevel="0" max="13" min="13" style="0" width="14"/>
    <col collapsed="false" customWidth="true" hidden="false" outlineLevel="0" max="14" min="14" style="0" width="2"/>
  </cols>
  <sheetData>
    <row r="1" customFormat="false" ht="22.05" hidden="false" customHeight="false" outlineLevel="0" collapsed="false">
      <c r="A1" s="1" t="s">
        <v>124</v>
      </c>
    </row>
    <row r="2" customFormat="false" ht="15" hidden="false" customHeight="false" outlineLevel="0" collapsed="false">
      <c r="A2" s="6" t="s">
        <v>105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4" customFormat="false" ht="21.75" hidden="false" customHeight="true" outlineLevel="0" collapsed="false">
      <c r="A4" s="17" t="str">
        <f aca="false">Index!$A$14&amp;"   ("&amp;Index!$I$14&amp;")"</f>
        <v>Current Account Balance   (USD Mn)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</row>
    <row r="5" customFormat="false" ht="15" hidden="false" customHeight="false" outlineLevel="0" collapsed="false">
      <c r="A5" s="4" t="s">
        <v>106</v>
      </c>
      <c r="B5" s="18" t="str">
        <f aca="false">Index!$J$14</f>
        <v>sum</v>
      </c>
      <c r="C5" s="4" t="s">
        <v>107</v>
      </c>
      <c r="D5" s="19" t="str">
        <f aca="false">Index!$D$14&amp;" ["&amp;Index!$F$14&amp;Index!$G$14&amp;":"&amp;Index!$F$14&amp;Index!$H$14&amp;"]"</f>
        <v>Data_Quarterly [E2:E200]</v>
      </c>
      <c r="E5" s="19"/>
      <c r="F5" s="19"/>
      <c r="G5" s="19"/>
      <c r="H5" s="19"/>
    </row>
    <row r="6" customFormat="false" ht="15" hidden="false" customHeight="false" outlineLevel="0" collapsed="false">
      <c r="A6" s="4" t="s">
        <v>108</v>
      </c>
      <c r="B6" s="6" t="str">
        <f aca="false">IF(Index!$K$14="","",Index!$K$14)</f>
        <v/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</row>
    <row r="7" customFormat="false" ht="15" hidden="false" customHeight="false" outlineLevel="0" collapsed="false">
      <c r="A7" s="4" t="s">
        <v>109</v>
      </c>
      <c r="B7" s="4" t="s">
        <v>110</v>
      </c>
      <c r="C7" s="20" t="str">
        <f aca="false">IFERROR(LOOKUP(2,1/($B$10:$B$101&lt;&gt;""),$B$10:$B$101),"")</f>
        <v/>
      </c>
      <c r="D7" s="4" t="s">
        <v>111</v>
      </c>
      <c r="E7" s="21" t="str">
        <f aca="false">IFERROR(LOOKUP(2,1/($B$10:$B$101&lt;&gt;""),$A$10:$A$101),"")</f>
        <v/>
      </c>
      <c r="F7" s="4" t="s">
        <v>112</v>
      </c>
      <c r="G7" s="22" t="str">
        <f aca="false">IFERROR(C7/INDEX($B$10:$B$101,MATCH(EDATE(E7,-12),$A$10:$A$101,0))-1,"")</f>
        <v/>
      </c>
    </row>
    <row r="8" customFormat="false" ht="18" hidden="false" customHeight="true" outlineLevel="0" collapsed="false">
      <c r="A8" s="23" t="s">
        <v>113</v>
      </c>
      <c r="B8" s="23"/>
      <c r="C8" s="23"/>
      <c r="D8" s="23"/>
      <c r="E8" s="23"/>
      <c r="F8" s="23"/>
      <c r="J8" s="23" t="s">
        <v>114</v>
      </c>
      <c r="K8" s="23"/>
      <c r="L8" s="23"/>
      <c r="M8" s="23"/>
    </row>
    <row r="9" customFormat="false" ht="15" hidden="false" customHeight="false" outlineLevel="0" collapsed="false">
      <c r="A9" s="7" t="s">
        <v>95</v>
      </c>
      <c r="B9" s="7" t="s">
        <v>115</v>
      </c>
      <c r="C9" s="7" t="s">
        <v>116</v>
      </c>
      <c r="D9" s="7" t="s">
        <v>117</v>
      </c>
      <c r="E9" s="7" t="s">
        <v>118</v>
      </c>
      <c r="F9" s="7" t="s">
        <v>119</v>
      </c>
      <c r="J9" s="7" t="s">
        <v>120</v>
      </c>
      <c r="K9" s="7" t="s">
        <v>115</v>
      </c>
      <c r="L9" s="7" t="s">
        <v>117</v>
      </c>
      <c r="M9" s="7" t="s">
        <v>121</v>
      </c>
    </row>
    <row r="10" customFormat="false" ht="15" hidden="false" customHeight="false" outlineLevel="0" collapsed="false">
      <c r="A10" s="15" t="n">
        <v>39448</v>
      </c>
      <c r="B10" s="20" t="str">
        <f aca="true">IFERROR(IF(SUMIFS(INDIRECT(Index!$M$14),INDIRECT(Index!$L$14),"&gt;="&amp;$A10,INDIRECT(Index!$L$14),"&lt;"&amp;EDATE($A10,3))=0,"",SUMIFS(INDIRECT(Index!$M$14),INDIRECT(Index!$L$14),"&gt;="&amp;$A10,INDIRECT(Index!$L$14),"&lt;"&amp;EDATE($A10,3))),"")</f>
        <v/>
      </c>
      <c r="C10" s="24"/>
      <c r="D10" s="24"/>
      <c r="E10" s="25" t="str">
        <f aca="false">IFERROR(IF(AND(B10="",ISNUMBER($C$7),ISNUMBER($G$7)),$C$7*(1+$G$7)^(($A10-$E$7)/365.25),""),"")</f>
        <v/>
      </c>
      <c r="F10" s="25" t="str">
        <f aca="false">IFERROR(IF(AND(B10="",ISNUMBER($C$7),ISNUMBER($G$7)),$C$7*(1+$G$7*0.85^MAX(0,($A10-$E$7)/91.25))^(($A10-$E$7)/365.25),""),"")</f>
        <v/>
      </c>
      <c r="J10" s="26" t="n">
        <v>2008</v>
      </c>
      <c r="K10" s="25" t="n">
        <f aca="false">IFERROR(SUMIFS($B$10:$B$101,$A$10:$A$101,"&gt;="&amp;DATE(J10,1,1),$A$10:$A$101,"&lt;="&amp;DATE(J10,12,31)),"")</f>
        <v>0</v>
      </c>
      <c r="L10" s="24"/>
      <c r="M10" s="25" t="n">
        <f aca="false">IFERROR(SUMIFS($E$10:$E$101,$A$10:$A$101,"&gt;="&amp;DATE(J10,1,1),$A$10:$A$101,"&lt;="&amp;DATE(J10,12,31)),"")</f>
        <v>0</v>
      </c>
    </row>
    <row r="11" customFormat="false" ht="15" hidden="false" customHeight="false" outlineLevel="0" collapsed="false">
      <c r="A11" s="27" t="n">
        <v>39539</v>
      </c>
      <c r="B11" s="28" t="str">
        <f aca="true">IFERROR(IF(SUMIFS(INDIRECT(Index!$M$14),INDIRECT(Index!$L$14),"&gt;="&amp;$A11,INDIRECT(Index!$L$14),"&lt;"&amp;EDATE($A11,3))=0,"",SUMIFS(INDIRECT(Index!$M$14),INDIRECT(Index!$L$14),"&gt;="&amp;$A11,INDIRECT(Index!$L$14),"&lt;"&amp;EDATE($A11,3))),"")</f>
        <v/>
      </c>
      <c r="C11" s="29" t="str">
        <f aca="false">IFERROR(B11/B10-1,"")</f>
        <v/>
      </c>
      <c r="D11" s="30"/>
      <c r="E11" s="31" t="str">
        <f aca="false">IFERROR(IF(AND(B11="",ISNUMBER($C$7),ISNUMBER($G$7)),$C$7*(1+$G$7)^(($A11-$E$7)/365.25),""),"")</f>
        <v/>
      </c>
      <c r="F11" s="31" t="str">
        <f aca="false">IFERROR(IF(AND(B11="",ISNUMBER($C$7),ISNUMBER($G$7)),$C$7*(1+$G$7*0.85^MAX(0,($A11-$E$7)/91.25))^(($A11-$E$7)/365.25),""),"")</f>
        <v/>
      </c>
      <c r="J11" s="32" t="n">
        <v>2009</v>
      </c>
      <c r="K11" s="31" t="n">
        <f aca="false">IFERROR(SUMIFS($B$10:$B$101,$A$10:$A$101,"&gt;="&amp;DATE(J11,1,1),$A$10:$A$101,"&lt;="&amp;DATE(J11,12,31)),"")</f>
        <v>0</v>
      </c>
      <c r="L11" s="29" t="str">
        <f aca="false">IFERROR(K11/K10-1,"")</f>
        <v/>
      </c>
      <c r="M11" s="31" t="n">
        <f aca="false">IFERROR(SUMIFS($E$10:$E$101,$A$10:$A$101,"&gt;="&amp;DATE(J11,1,1),$A$10:$A$101,"&lt;="&amp;DATE(J11,12,31)),"")</f>
        <v>0</v>
      </c>
    </row>
    <row r="12" customFormat="false" ht="15" hidden="false" customHeight="false" outlineLevel="0" collapsed="false">
      <c r="A12" s="15" t="n">
        <v>39630</v>
      </c>
      <c r="B12" s="20" t="str">
        <f aca="true">IFERROR(IF(SUMIFS(INDIRECT(Index!$M$14),INDIRECT(Index!$L$14),"&gt;="&amp;$A12,INDIRECT(Index!$L$14),"&lt;"&amp;EDATE($A12,3))=0,"",SUMIFS(INDIRECT(Index!$M$14),INDIRECT(Index!$L$14),"&gt;="&amp;$A12,INDIRECT(Index!$L$14),"&lt;"&amp;EDATE($A12,3))),"")</f>
        <v/>
      </c>
      <c r="C12" s="33" t="str">
        <f aca="false">IFERROR(B12/B11-1,"")</f>
        <v/>
      </c>
      <c r="D12" s="24"/>
      <c r="E12" s="25" t="str">
        <f aca="false">IFERROR(IF(AND(B12="",ISNUMBER($C$7),ISNUMBER($G$7)),$C$7*(1+$G$7)^(($A12-$E$7)/365.25),""),"")</f>
        <v/>
      </c>
      <c r="F12" s="25" t="str">
        <f aca="false">IFERROR(IF(AND(B12="",ISNUMBER($C$7),ISNUMBER($G$7)),$C$7*(1+$G$7*0.85^MAX(0,($A12-$E$7)/91.25))^(($A12-$E$7)/365.25),""),"")</f>
        <v/>
      </c>
      <c r="J12" s="26" t="n">
        <v>2010</v>
      </c>
      <c r="K12" s="25" t="n">
        <f aca="false">IFERROR(SUMIFS($B$10:$B$101,$A$10:$A$101,"&gt;="&amp;DATE(J12,1,1),$A$10:$A$101,"&lt;="&amp;DATE(J12,12,31)),"")</f>
        <v>0</v>
      </c>
      <c r="L12" s="33" t="str">
        <f aca="false">IFERROR(K12/K11-1,"")</f>
        <v/>
      </c>
      <c r="M12" s="25" t="n">
        <f aca="false">IFERROR(SUMIFS($E$10:$E$101,$A$10:$A$101,"&gt;="&amp;DATE(J12,1,1),$A$10:$A$101,"&lt;="&amp;DATE(J12,12,31)),"")</f>
        <v>0</v>
      </c>
    </row>
    <row r="13" customFormat="false" ht="15" hidden="false" customHeight="false" outlineLevel="0" collapsed="false">
      <c r="A13" s="27" t="n">
        <v>39722</v>
      </c>
      <c r="B13" s="28" t="str">
        <f aca="true">IFERROR(IF(SUMIFS(INDIRECT(Index!$M$14),INDIRECT(Index!$L$14),"&gt;="&amp;$A13,INDIRECT(Index!$L$14),"&lt;"&amp;EDATE($A13,3))=0,"",SUMIFS(INDIRECT(Index!$M$14),INDIRECT(Index!$L$14),"&gt;="&amp;$A13,INDIRECT(Index!$L$14),"&lt;"&amp;EDATE($A13,3))),"")</f>
        <v/>
      </c>
      <c r="C13" s="29" t="str">
        <f aca="false">IFERROR(B13/B12-1,"")</f>
        <v/>
      </c>
      <c r="D13" s="30"/>
      <c r="E13" s="31" t="str">
        <f aca="false">IFERROR(IF(AND(B13="",ISNUMBER($C$7),ISNUMBER($G$7)),$C$7*(1+$G$7)^(($A13-$E$7)/365.25),""),"")</f>
        <v/>
      </c>
      <c r="F13" s="31" t="str">
        <f aca="false">IFERROR(IF(AND(B13="",ISNUMBER($C$7),ISNUMBER($G$7)),$C$7*(1+$G$7*0.85^MAX(0,($A13-$E$7)/91.25))^(($A13-$E$7)/365.25),""),"")</f>
        <v/>
      </c>
      <c r="J13" s="32" t="n">
        <v>2011</v>
      </c>
      <c r="K13" s="31" t="n">
        <f aca="false">IFERROR(SUMIFS($B$10:$B$101,$A$10:$A$101,"&gt;="&amp;DATE(J13,1,1),$A$10:$A$101,"&lt;="&amp;DATE(J13,12,31)),"")</f>
        <v>0</v>
      </c>
      <c r="L13" s="29" t="str">
        <f aca="false">IFERROR(K13/K12-1,"")</f>
        <v/>
      </c>
      <c r="M13" s="31" t="n">
        <f aca="false">IFERROR(SUMIFS($E$10:$E$101,$A$10:$A$101,"&gt;="&amp;DATE(J13,1,1),$A$10:$A$101,"&lt;="&amp;DATE(J13,12,31)),"")</f>
        <v>0</v>
      </c>
    </row>
    <row r="14" customFormat="false" ht="15" hidden="false" customHeight="false" outlineLevel="0" collapsed="false">
      <c r="A14" s="15" t="n">
        <v>39814</v>
      </c>
      <c r="B14" s="20" t="str">
        <f aca="true">IFERROR(IF(SUMIFS(INDIRECT(Index!$M$14),INDIRECT(Index!$L$14),"&gt;="&amp;$A14,INDIRECT(Index!$L$14),"&lt;"&amp;EDATE($A14,3))=0,"",SUMIFS(INDIRECT(Index!$M$14),INDIRECT(Index!$L$14),"&gt;="&amp;$A14,INDIRECT(Index!$L$14),"&lt;"&amp;EDATE($A14,3))),"")</f>
        <v/>
      </c>
      <c r="C14" s="33" t="str">
        <f aca="false">IFERROR(B14/B13-1,"")</f>
        <v/>
      </c>
      <c r="D14" s="33" t="str">
        <f aca="false">IFERROR(B14/B10-1,"")</f>
        <v/>
      </c>
      <c r="E14" s="25" t="str">
        <f aca="false">IFERROR(IF(AND(B14="",ISNUMBER($C$7),ISNUMBER($G$7)),$C$7*(1+$G$7)^(($A14-$E$7)/365.25),""),"")</f>
        <v/>
      </c>
      <c r="F14" s="25" t="str">
        <f aca="false">IFERROR(IF(AND(B14="",ISNUMBER($C$7),ISNUMBER($G$7)),$C$7*(1+$G$7*0.85^MAX(0,($A14-$E$7)/91.25))^(($A14-$E$7)/365.25),""),"")</f>
        <v/>
      </c>
      <c r="J14" s="26" t="n">
        <v>2012</v>
      </c>
      <c r="K14" s="25" t="n">
        <f aca="false">IFERROR(SUMIFS($B$10:$B$101,$A$10:$A$101,"&gt;="&amp;DATE(J14,1,1),$A$10:$A$101,"&lt;="&amp;DATE(J14,12,31)),"")</f>
        <v>0</v>
      </c>
      <c r="L14" s="33" t="str">
        <f aca="false">IFERROR(K14/K13-1,"")</f>
        <v/>
      </c>
      <c r="M14" s="25" t="n">
        <f aca="false">IFERROR(SUMIFS($E$10:$E$101,$A$10:$A$101,"&gt;="&amp;DATE(J14,1,1),$A$10:$A$101,"&lt;="&amp;DATE(J14,12,31)),"")</f>
        <v>0</v>
      </c>
    </row>
    <row r="15" customFormat="false" ht="15" hidden="false" customHeight="false" outlineLevel="0" collapsed="false">
      <c r="A15" s="27" t="n">
        <v>39904</v>
      </c>
      <c r="B15" s="28" t="str">
        <f aca="true">IFERROR(IF(SUMIFS(INDIRECT(Index!$M$14),INDIRECT(Index!$L$14),"&gt;="&amp;$A15,INDIRECT(Index!$L$14),"&lt;"&amp;EDATE($A15,3))=0,"",SUMIFS(INDIRECT(Index!$M$14),INDIRECT(Index!$L$14),"&gt;="&amp;$A15,INDIRECT(Index!$L$14),"&lt;"&amp;EDATE($A15,3))),"")</f>
        <v/>
      </c>
      <c r="C15" s="29" t="str">
        <f aca="false">IFERROR(B15/B14-1,"")</f>
        <v/>
      </c>
      <c r="D15" s="29" t="str">
        <f aca="false">IFERROR(B15/B11-1,"")</f>
        <v/>
      </c>
      <c r="E15" s="31" t="str">
        <f aca="false">IFERROR(IF(AND(B15="",ISNUMBER($C$7),ISNUMBER($G$7)),$C$7*(1+$G$7)^(($A15-$E$7)/365.25),""),"")</f>
        <v/>
      </c>
      <c r="F15" s="31" t="str">
        <f aca="false">IFERROR(IF(AND(B15="",ISNUMBER($C$7),ISNUMBER($G$7)),$C$7*(1+$G$7*0.85^MAX(0,($A15-$E$7)/91.25))^(($A15-$E$7)/365.25),""),"")</f>
        <v/>
      </c>
      <c r="J15" s="32" t="n">
        <v>2013</v>
      </c>
      <c r="K15" s="31" t="n">
        <f aca="false">IFERROR(SUMIFS($B$10:$B$101,$A$10:$A$101,"&gt;="&amp;DATE(J15,1,1),$A$10:$A$101,"&lt;="&amp;DATE(J15,12,31)),"")</f>
        <v>0</v>
      </c>
      <c r="L15" s="29" t="str">
        <f aca="false">IFERROR(K15/K14-1,"")</f>
        <v/>
      </c>
      <c r="M15" s="31" t="n">
        <f aca="false">IFERROR(SUMIFS($E$10:$E$101,$A$10:$A$101,"&gt;="&amp;DATE(J15,1,1),$A$10:$A$101,"&lt;="&amp;DATE(J15,12,31)),"")</f>
        <v>0</v>
      </c>
    </row>
    <row r="16" customFormat="false" ht="15" hidden="false" customHeight="false" outlineLevel="0" collapsed="false">
      <c r="A16" s="15" t="n">
        <v>39995</v>
      </c>
      <c r="B16" s="20" t="str">
        <f aca="true">IFERROR(IF(SUMIFS(INDIRECT(Index!$M$14),INDIRECT(Index!$L$14),"&gt;="&amp;$A16,INDIRECT(Index!$L$14),"&lt;"&amp;EDATE($A16,3))=0,"",SUMIFS(INDIRECT(Index!$M$14),INDIRECT(Index!$L$14),"&gt;="&amp;$A16,INDIRECT(Index!$L$14),"&lt;"&amp;EDATE($A16,3))),"")</f>
        <v/>
      </c>
      <c r="C16" s="33" t="str">
        <f aca="false">IFERROR(B16/B15-1,"")</f>
        <v/>
      </c>
      <c r="D16" s="33" t="str">
        <f aca="false">IFERROR(B16/B12-1,"")</f>
        <v/>
      </c>
      <c r="E16" s="25" t="str">
        <f aca="false">IFERROR(IF(AND(B16="",ISNUMBER($C$7),ISNUMBER($G$7)),$C$7*(1+$G$7)^(($A16-$E$7)/365.25),""),"")</f>
        <v/>
      </c>
      <c r="F16" s="25" t="str">
        <f aca="false">IFERROR(IF(AND(B16="",ISNUMBER($C$7),ISNUMBER($G$7)),$C$7*(1+$G$7*0.85^MAX(0,($A16-$E$7)/91.25))^(($A16-$E$7)/365.25),""),"")</f>
        <v/>
      </c>
      <c r="J16" s="26" t="n">
        <v>2014</v>
      </c>
      <c r="K16" s="25" t="n">
        <f aca="false">IFERROR(SUMIFS($B$10:$B$101,$A$10:$A$101,"&gt;="&amp;DATE(J16,1,1),$A$10:$A$101,"&lt;="&amp;DATE(J16,12,31)),"")</f>
        <v>0</v>
      </c>
      <c r="L16" s="33" t="str">
        <f aca="false">IFERROR(K16/K15-1,"")</f>
        <v/>
      </c>
      <c r="M16" s="25" t="n">
        <f aca="false">IFERROR(SUMIFS($E$10:$E$101,$A$10:$A$101,"&gt;="&amp;DATE(J16,1,1),$A$10:$A$101,"&lt;="&amp;DATE(J16,12,31)),"")</f>
        <v>0</v>
      </c>
    </row>
    <row r="17" customFormat="false" ht="15" hidden="false" customHeight="false" outlineLevel="0" collapsed="false">
      <c r="A17" s="27" t="n">
        <v>40087</v>
      </c>
      <c r="B17" s="28" t="str">
        <f aca="true">IFERROR(IF(SUMIFS(INDIRECT(Index!$M$14),INDIRECT(Index!$L$14),"&gt;="&amp;$A17,INDIRECT(Index!$L$14),"&lt;"&amp;EDATE($A17,3))=0,"",SUMIFS(INDIRECT(Index!$M$14),INDIRECT(Index!$L$14),"&gt;="&amp;$A17,INDIRECT(Index!$L$14),"&lt;"&amp;EDATE($A17,3))),"")</f>
        <v/>
      </c>
      <c r="C17" s="29" t="str">
        <f aca="false">IFERROR(B17/B16-1,"")</f>
        <v/>
      </c>
      <c r="D17" s="29" t="str">
        <f aca="false">IFERROR(B17/B13-1,"")</f>
        <v/>
      </c>
      <c r="E17" s="31" t="str">
        <f aca="false">IFERROR(IF(AND(B17="",ISNUMBER($C$7),ISNUMBER($G$7)),$C$7*(1+$G$7)^(($A17-$E$7)/365.25),""),"")</f>
        <v/>
      </c>
      <c r="F17" s="31" t="str">
        <f aca="false">IFERROR(IF(AND(B17="",ISNUMBER($C$7),ISNUMBER($G$7)),$C$7*(1+$G$7*0.85^MAX(0,($A17-$E$7)/91.25))^(($A17-$E$7)/365.25),""),"")</f>
        <v/>
      </c>
      <c r="J17" s="32" t="n">
        <v>2015</v>
      </c>
      <c r="K17" s="31" t="n">
        <f aca="false">IFERROR(SUMIFS($B$10:$B$101,$A$10:$A$101,"&gt;="&amp;DATE(J17,1,1),$A$10:$A$101,"&lt;="&amp;DATE(J17,12,31)),"")</f>
        <v>0</v>
      </c>
      <c r="L17" s="29" t="str">
        <f aca="false">IFERROR(K17/K16-1,"")</f>
        <v/>
      </c>
      <c r="M17" s="31" t="n">
        <f aca="false">IFERROR(SUMIFS($E$10:$E$101,$A$10:$A$101,"&gt;="&amp;DATE(J17,1,1),$A$10:$A$101,"&lt;="&amp;DATE(J17,12,31)),"")</f>
        <v>0</v>
      </c>
    </row>
    <row r="18" customFormat="false" ht="15" hidden="false" customHeight="false" outlineLevel="0" collapsed="false">
      <c r="A18" s="15" t="n">
        <v>40179</v>
      </c>
      <c r="B18" s="20" t="str">
        <f aca="true">IFERROR(IF(SUMIFS(INDIRECT(Index!$M$14),INDIRECT(Index!$L$14),"&gt;="&amp;$A18,INDIRECT(Index!$L$14),"&lt;"&amp;EDATE($A18,3))=0,"",SUMIFS(INDIRECT(Index!$M$14),INDIRECT(Index!$L$14),"&gt;="&amp;$A18,INDIRECT(Index!$L$14),"&lt;"&amp;EDATE($A18,3))),"")</f>
        <v/>
      </c>
      <c r="C18" s="33" t="str">
        <f aca="false">IFERROR(B18/B17-1,"")</f>
        <v/>
      </c>
      <c r="D18" s="33" t="str">
        <f aca="false">IFERROR(B18/B14-1,"")</f>
        <v/>
      </c>
      <c r="E18" s="25" t="str">
        <f aca="false">IFERROR(IF(AND(B18="",ISNUMBER($C$7),ISNUMBER($G$7)),$C$7*(1+$G$7)^(($A18-$E$7)/365.25),""),"")</f>
        <v/>
      </c>
      <c r="F18" s="25" t="str">
        <f aca="false">IFERROR(IF(AND(B18="",ISNUMBER($C$7),ISNUMBER($G$7)),$C$7*(1+$G$7*0.85^MAX(0,($A18-$E$7)/91.25))^(($A18-$E$7)/365.25),""),"")</f>
        <v/>
      </c>
      <c r="J18" s="26" t="n">
        <v>2016</v>
      </c>
      <c r="K18" s="25" t="n">
        <f aca="false">IFERROR(SUMIFS($B$10:$B$101,$A$10:$A$101,"&gt;="&amp;DATE(J18,1,1),$A$10:$A$101,"&lt;="&amp;DATE(J18,12,31)),"")</f>
        <v>0</v>
      </c>
      <c r="L18" s="33" t="str">
        <f aca="false">IFERROR(K18/K17-1,"")</f>
        <v/>
      </c>
      <c r="M18" s="25" t="n">
        <f aca="false">IFERROR(SUMIFS($E$10:$E$101,$A$10:$A$101,"&gt;="&amp;DATE(J18,1,1),$A$10:$A$101,"&lt;="&amp;DATE(J18,12,31)),"")</f>
        <v>0</v>
      </c>
    </row>
    <row r="19" customFormat="false" ht="15" hidden="false" customHeight="false" outlineLevel="0" collapsed="false">
      <c r="A19" s="27" t="n">
        <v>40269</v>
      </c>
      <c r="B19" s="28" t="str">
        <f aca="true">IFERROR(IF(SUMIFS(INDIRECT(Index!$M$14),INDIRECT(Index!$L$14),"&gt;="&amp;$A19,INDIRECT(Index!$L$14),"&lt;"&amp;EDATE($A19,3))=0,"",SUMIFS(INDIRECT(Index!$M$14),INDIRECT(Index!$L$14),"&gt;="&amp;$A19,INDIRECT(Index!$L$14),"&lt;"&amp;EDATE($A19,3))),"")</f>
        <v/>
      </c>
      <c r="C19" s="29" t="str">
        <f aca="false">IFERROR(B19/B18-1,"")</f>
        <v/>
      </c>
      <c r="D19" s="29" t="str">
        <f aca="false">IFERROR(B19/B15-1,"")</f>
        <v/>
      </c>
      <c r="E19" s="31" t="str">
        <f aca="false">IFERROR(IF(AND(B19="",ISNUMBER($C$7),ISNUMBER($G$7)),$C$7*(1+$G$7)^(($A19-$E$7)/365.25),""),"")</f>
        <v/>
      </c>
      <c r="F19" s="31" t="str">
        <f aca="false">IFERROR(IF(AND(B19="",ISNUMBER($C$7),ISNUMBER($G$7)),$C$7*(1+$G$7*0.85^MAX(0,($A19-$E$7)/91.25))^(($A19-$E$7)/365.25),""),"")</f>
        <v/>
      </c>
      <c r="J19" s="32" t="n">
        <v>2017</v>
      </c>
      <c r="K19" s="31" t="n">
        <f aca="false">IFERROR(SUMIFS($B$10:$B$101,$A$10:$A$101,"&gt;="&amp;DATE(J19,1,1),$A$10:$A$101,"&lt;="&amp;DATE(J19,12,31)),"")</f>
        <v>0</v>
      </c>
      <c r="L19" s="29" t="str">
        <f aca="false">IFERROR(K19/K18-1,"")</f>
        <v/>
      </c>
      <c r="M19" s="31" t="n">
        <f aca="false">IFERROR(SUMIFS($E$10:$E$101,$A$10:$A$101,"&gt;="&amp;DATE(J19,1,1),$A$10:$A$101,"&lt;="&amp;DATE(J19,12,31)),"")</f>
        <v>0</v>
      </c>
    </row>
    <row r="20" customFormat="false" ht="15" hidden="false" customHeight="false" outlineLevel="0" collapsed="false">
      <c r="A20" s="15" t="n">
        <v>40360</v>
      </c>
      <c r="B20" s="20" t="str">
        <f aca="true">IFERROR(IF(SUMIFS(INDIRECT(Index!$M$14),INDIRECT(Index!$L$14),"&gt;="&amp;$A20,INDIRECT(Index!$L$14),"&lt;"&amp;EDATE($A20,3))=0,"",SUMIFS(INDIRECT(Index!$M$14),INDIRECT(Index!$L$14),"&gt;="&amp;$A20,INDIRECT(Index!$L$14),"&lt;"&amp;EDATE($A20,3))),"")</f>
        <v/>
      </c>
      <c r="C20" s="33" t="str">
        <f aca="false">IFERROR(B20/B19-1,"")</f>
        <v/>
      </c>
      <c r="D20" s="33" t="str">
        <f aca="false">IFERROR(B20/B16-1,"")</f>
        <v/>
      </c>
      <c r="E20" s="25" t="str">
        <f aca="false">IFERROR(IF(AND(B20="",ISNUMBER($C$7),ISNUMBER($G$7)),$C$7*(1+$G$7)^(($A20-$E$7)/365.25),""),"")</f>
        <v/>
      </c>
      <c r="F20" s="25" t="str">
        <f aca="false">IFERROR(IF(AND(B20="",ISNUMBER($C$7),ISNUMBER($G$7)),$C$7*(1+$G$7*0.85^MAX(0,($A20-$E$7)/91.25))^(($A20-$E$7)/365.25),""),"")</f>
        <v/>
      </c>
      <c r="J20" s="26" t="n">
        <v>2018</v>
      </c>
      <c r="K20" s="25" t="n">
        <f aca="false">IFERROR(SUMIFS($B$10:$B$101,$A$10:$A$101,"&gt;="&amp;DATE(J20,1,1),$A$10:$A$101,"&lt;="&amp;DATE(J20,12,31)),"")</f>
        <v>0</v>
      </c>
      <c r="L20" s="33" t="str">
        <f aca="false">IFERROR(K20/K19-1,"")</f>
        <v/>
      </c>
      <c r="M20" s="25" t="n">
        <f aca="false">IFERROR(SUMIFS($E$10:$E$101,$A$10:$A$101,"&gt;="&amp;DATE(J20,1,1),$A$10:$A$101,"&lt;="&amp;DATE(J20,12,31)),"")</f>
        <v>0</v>
      </c>
    </row>
    <row r="21" customFormat="false" ht="15" hidden="false" customHeight="false" outlineLevel="0" collapsed="false">
      <c r="A21" s="27" t="n">
        <v>40452</v>
      </c>
      <c r="B21" s="28" t="str">
        <f aca="true">IFERROR(IF(SUMIFS(INDIRECT(Index!$M$14),INDIRECT(Index!$L$14),"&gt;="&amp;$A21,INDIRECT(Index!$L$14),"&lt;"&amp;EDATE($A21,3))=0,"",SUMIFS(INDIRECT(Index!$M$14),INDIRECT(Index!$L$14),"&gt;="&amp;$A21,INDIRECT(Index!$L$14),"&lt;"&amp;EDATE($A21,3))),"")</f>
        <v/>
      </c>
      <c r="C21" s="29" t="str">
        <f aca="false">IFERROR(B21/B20-1,"")</f>
        <v/>
      </c>
      <c r="D21" s="29" t="str">
        <f aca="false">IFERROR(B21/B17-1,"")</f>
        <v/>
      </c>
      <c r="E21" s="31" t="str">
        <f aca="false">IFERROR(IF(AND(B21="",ISNUMBER($C$7),ISNUMBER($G$7)),$C$7*(1+$G$7)^(($A21-$E$7)/365.25),""),"")</f>
        <v/>
      </c>
      <c r="F21" s="31" t="str">
        <f aca="false">IFERROR(IF(AND(B21="",ISNUMBER($C$7),ISNUMBER($G$7)),$C$7*(1+$G$7*0.85^MAX(0,($A21-$E$7)/91.25))^(($A21-$E$7)/365.25),""),"")</f>
        <v/>
      </c>
      <c r="J21" s="32" t="n">
        <v>2019</v>
      </c>
      <c r="K21" s="31" t="n">
        <f aca="false">IFERROR(SUMIFS($B$10:$B$101,$A$10:$A$101,"&gt;="&amp;DATE(J21,1,1),$A$10:$A$101,"&lt;="&amp;DATE(J21,12,31)),"")</f>
        <v>0</v>
      </c>
      <c r="L21" s="29" t="str">
        <f aca="false">IFERROR(K21/K20-1,"")</f>
        <v/>
      </c>
      <c r="M21" s="31" t="n">
        <f aca="false">IFERROR(SUMIFS($E$10:$E$101,$A$10:$A$101,"&gt;="&amp;DATE(J21,1,1),$A$10:$A$101,"&lt;="&amp;DATE(J21,12,31)),"")</f>
        <v>0</v>
      </c>
    </row>
    <row r="22" customFormat="false" ht="15" hidden="false" customHeight="false" outlineLevel="0" collapsed="false">
      <c r="A22" s="15" t="n">
        <v>40544</v>
      </c>
      <c r="B22" s="20" t="str">
        <f aca="true">IFERROR(IF(SUMIFS(INDIRECT(Index!$M$14),INDIRECT(Index!$L$14),"&gt;="&amp;$A22,INDIRECT(Index!$L$14),"&lt;"&amp;EDATE($A22,3))=0,"",SUMIFS(INDIRECT(Index!$M$14),INDIRECT(Index!$L$14),"&gt;="&amp;$A22,INDIRECT(Index!$L$14),"&lt;"&amp;EDATE($A22,3))),"")</f>
        <v/>
      </c>
      <c r="C22" s="33" t="str">
        <f aca="false">IFERROR(B22/B21-1,"")</f>
        <v/>
      </c>
      <c r="D22" s="33" t="str">
        <f aca="false">IFERROR(B22/B18-1,"")</f>
        <v/>
      </c>
      <c r="E22" s="25" t="str">
        <f aca="false">IFERROR(IF(AND(B22="",ISNUMBER($C$7),ISNUMBER($G$7)),$C$7*(1+$G$7)^(($A22-$E$7)/365.25),""),"")</f>
        <v/>
      </c>
      <c r="F22" s="25" t="str">
        <f aca="false">IFERROR(IF(AND(B22="",ISNUMBER($C$7),ISNUMBER($G$7)),$C$7*(1+$G$7*0.85^MAX(0,($A22-$E$7)/91.25))^(($A22-$E$7)/365.25),""),"")</f>
        <v/>
      </c>
      <c r="J22" s="26" t="n">
        <v>2020</v>
      </c>
      <c r="K22" s="25" t="n">
        <f aca="false">IFERROR(SUMIFS($B$10:$B$101,$A$10:$A$101,"&gt;="&amp;DATE(J22,1,1),$A$10:$A$101,"&lt;="&amp;DATE(J22,12,31)),"")</f>
        <v>0</v>
      </c>
      <c r="L22" s="33" t="str">
        <f aca="false">IFERROR(K22/K21-1,"")</f>
        <v/>
      </c>
      <c r="M22" s="25" t="n">
        <f aca="false">IFERROR(SUMIFS($E$10:$E$101,$A$10:$A$101,"&gt;="&amp;DATE(J22,1,1),$A$10:$A$101,"&lt;="&amp;DATE(J22,12,31)),"")</f>
        <v>0</v>
      </c>
    </row>
    <row r="23" customFormat="false" ht="15" hidden="false" customHeight="false" outlineLevel="0" collapsed="false">
      <c r="A23" s="27" t="n">
        <v>40634</v>
      </c>
      <c r="B23" s="28" t="str">
        <f aca="true">IFERROR(IF(SUMIFS(INDIRECT(Index!$M$14),INDIRECT(Index!$L$14),"&gt;="&amp;$A23,INDIRECT(Index!$L$14),"&lt;"&amp;EDATE($A23,3))=0,"",SUMIFS(INDIRECT(Index!$M$14),INDIRECT(Index!$L$14),"&gt;="&amp;$A23,INDIRECT(Index!$L$14),"&lt;"&amp;EDATE($A23,3))),"")</f>
        <v/>
      </c>
      <c r="C23" s="29" t="str">
        <f aca="false">IFERROR(B23/B22-1,"")</f>
        <v/>
      </c>
      <c r="D23" s="29" t="str">
        <f aca="false">IFERROR(B23/B19-1,"")</f>
        <v/>
      </c>
      <c r="E23" s="31" t="str">
        <f aca="false">IFERROR(IF(AND(B23="",ISNUMBER($C$7),ISNUMBER($G$7)),$C$7*(1+$G$7)^(($A23-$E$7)/365.25),""),"")</f>
        <v/>
      </c>
      <c r="F23" s="31" t="str">
        <f aca="false">IFERROR(IF(AND(B23="",ISNUMBER($C$7),ISNUMBER($G$7)),$C$7*(1+$G$7*0.85^MAX(0,($A23-$E$7)/91.25))^(($A23-$E$7)/365.25),""),"")</f>
        <v/>
      </c>
      <c r="J23" s="32" t="n">
        <v>2021</v>
      </c>
      <c r="K23" s="31" t="n">
        <f aca="false">IFERROR(SUMIFS($B$10:$B$101,$A$10:$A$101,"&gt;="&amp;DATE(J23,1,1),$A$10:$A$101,"&lt;="&amp;DATE(J23,12,31)),"")</f>
        <v>0</v>
      </c>
      <c r="L23" s="29" t="str">
        <f aca="false">IFERROR(K23/K22-1,"")</f>
        <v/>
      </c>
      <c r="M23" s="31" t="n">
        <f aca="false">IFERROR(SUMIFS($E$10:$E$101,$A$10:$A$101,"&gt;="&amp;DATE(J23,1,1),$A$10:$A$101,"&lt;="&amp;DATE(J23,12,31)),"")</f>
        <v>0</v>
      </c>
    </row>
    <row r="24" customFormat="false" ht="15" hidden="false" customHeight="false" outlineLevel="0" collapsed="false">
      <c r="A24" s="15" t="n">
        <v>40725</v>
      </c>
      <c r="B24" s="20" t="str">
        <f aca="true">IFERROR(IF(SUMIFS(INDIRECT(Index!$M$14),INDIRECT(Index!$L$14),"&gt;="&amp;$A24,INDIRECT(Index!$L$14),"&lt;"&amp;EDATE($A24,3))=0,"",SUMIFS(INDIRECT(Index!$M$14),INDIRECT(Index!$L$14),"&gt;="&amp;$A24,INDIRECT(Index!$L$14),"&lt;"&amp;EDATE($A24,3))),"")</f>
        <v/>
      </c>
      <c r="C24" s="33" t="str">
        <f aca="false">IFERROR(B24/B23-1,"")</f>
        <v/>
      </c>
      <c r="D24" s="33" t="str">
        <f aca="false">IFERROR(B24/B20-1,"")</f>
        <v/>
      </c>
      <c r="E24" s="25" t="str">
        <f aca="false">IFERROR(IF(AND(B24="",ISNUMBER($C$7),ISNUMBER($G$7)),$C$7*(1+$G$7)^(($A24-$E$7)/365.25),""),"")</f>
        <v/>
      </c>
      <c r="F24" s="25" t="str">
        <f aca="false">IFERROR(IF(AND(B24="",ISNUMBER($C$7),ISNUMBER($G$7)),$C$7*(1+$G$7*0.85^MAX(0,($A24-$E$7)/91.25))^(($A24-$E$7)/365.25),""),"")</f>
        <v/>
      </c>
      <c r="J24" s="26" t="n">
        <v>2022</v>
      </c>
      <c r="K24" s="25" t="n">
        <f aca="false">IFERROR(SUMIFS($B$10:$B$101,$A$10:$A$101,"&gt;="&amp;DATE(J24,1,1),$A$10:$A$101,"&lt;="&amp;DATE(J24,12,31)),"")</f>
        <v>0</v>
      </c>
      <c r="L24" s="33" t="str">
        <f aca="false">IFERROR(K24/K23-1,"")</f>
        <v/>
      </c>
      <c r="M24" s="25" t="n">
        <f aca="false">IFERROR(SUMIFS($E$10:$E$101,$A$10:$A$101,"&gt;="&amp;DATE(J24,1,1),$A$10:$A$101,"&lt;="&amp;DATE(J24,12,31)),"")</f>
        <v>0</v>
      </c>
    </row>
    <row r="25" customFormat="false" ht="15" hidden="false" customHeight="false" outlineLevel="0" collapsed="false">
      <c r="A25" s="27" t="n">
        <v>40817</v>
      </c>
      <c r="B25" s="28" t="str">
        <f aca="true">IFERROR(IF(SUMIFS(INDIRECT(Index!$M$14),INDIRECT(Index!$L$14),"&gt;="&amp;$A25,INDIRECT(Index!$L$14),"&lt;"&amp;EDATE($A25,3))=0,"",SUMIFS(INDIRECT(Index!$M$14),INDIRECT(Index!$L$14),"&gt;="&amp;$A25,INDIRECT(Index!$L$14),"&lt;"&amp;EDATE($A25,3))),"")</f>
        <v/>
      </c>
      <c r="C25" s="29" t="str">
        <f aca="false">IFERROR(B25/B24-1,"")</f>
        <v/>
      </c>
      <c r="D25" s="29" t="str">
        <f aca="false">IFERROR(B25/B21-1,"")</f>
        <v/>
      </c>
      <c r="E25" s="31" t="str">
        <f aca="false">IFERROR(IF(AND(B25="",ISNUMBER($C$7),ISNUMBER($G$7)),$C$7*(1+$G$7)^(($A25-$E$7)/365.25),""),"")</f>
        <v/>
      </c>
      <c r="F25" s="31" t="str">
        <f aca="false">IFERROR(IF(AND(B25="",ISNUMBER($C$7),ISNUMBER($G$7)),$C$7*(1+$G$7*0.85^MAX(0,($A25-$E$7)/91.25))^(($A25-$E$7)/365.25),""),"")</f>
        <v/>
      </c>
      <c r="J25" s="32" t="n">
        <v>2023</v>
      </c>
      <c r="K25" s="31" t="n">
        <f aca="false">IFERROR(SUMIFS($B$10:$B$101,$A$10:$A$101,"&gt;="&amp;DATE(J25,1,1),$A$10:$A$101,"&lt;="&amp;DATE(J25,12,31)),"")</f>
        <v>0</v>
      </c>
      <c r="L25" s="29" t="str">
        <f aca="false">IFERROR(K25/K24-1,"")</f>
        <v/>
      </c>
      <c r="M25" s="31" t="n">
        <f aca="false">IFERROR(SUMIFS($E$10:$E$101,$A$10:$A$101,"&gt;="&amp;DATE(J25,1,1),$A$10:$A$101,"&lt;="&amp;DATE(J25,12,31)),"")</f>
        <v>0</v>
      </c>
    </row>
    <row r="26" customFormat="false" ht="15" hidden="false" customHeight="false" outlineLevel="0" collapsed="false">
      <c r="A26" s="15" t="n">
        <v>40909</v>
      </c>
      <c r="B26" s="20" t="str">
        <f aca="true">IFERROR(IF(SUMIFS(INDIRECT(Index!$M$14),INDIRECT(Index!$L$14),"&gt;="&amp;$A26,INDIRECT(Index!$L$14),"&lt;"&amp;EDATE($A26,3))=0,"",SUMIFS(INDIRECT(Index!$M$14),INDIRECT(Index!$L$14),"&gt;="&amp;$A26,INDIRECT(Index!$L$14),"&lt;"&amp;EDATE($A26,3))),"")</f>
        <v/>
      </c>
      <c r="C26" s="33" t="str">
        <f aca="false">IFERROR(B26/B25-1,"")</f>
        <v/>
      </c>
      <c r="D26" s="33" t="str">
        <f aca="false">IFERROR(B26/B22-1,"")</f>
        <v/>
      </c>
      <c r="E26" s="25" t="str">
        <f aca="false">IFERROR(IF(AND(B26="",ISNUMBER($C$7),ISNUMBER($G$7)),$C$7*(1+$G$7)^(($A26-$E$7)/365.25),""),"")</f>
        <v/>
      </c>
      <c r="F26" s="25" t="str">
        <f aca="false">IFERROR(IF(AND(B26="",ISNUMBER($C$7),ISNUMBER($G$7)),$C$7*(1+$G$7*0.85^MAX(0,($A26-$E$7)/91.25))^(($A26-$E$7)/365.25),""),"")</f>
        <v/>
      </c>
      <c r="J26" s="26" t="n">
        <v>2024</v>
      </c>
      <c r="K26" s="25" t="n">
        <f aca="false">IFERROR(SUMIFS($B$10:$B$101,$A$10:$A$101,"&gt;="&amp;DATE(J26,1,1),$A$10:$A$101,"&lt;="&amp;DATE(J26,12,31)),"")</f>
        <v>0</v>
      </c>
      <c r="L26" s="33" t="str">
        <f aca="false">IFERROR(K26/K25-1,"")</f>
        <v/>
      </c>
      <c r="M26" s="25" t="n">
        <f aca="false">IFERROR(SUMIFS($E$10:$E$101,$A$10:$A$101,"&gt;="&amp;DATE(J26,1,1),$A$10:$A$101,"&lt;="&amp;DATE(J26,12,31)),"")</f>
        <v>0</v>
      </c>
    </row>
    <row r="27" customFormat="false" ht="15" hidden="false" customHeight="false" outlineLevel="0" collapsed="false">
      <c r="A27" s="27" t="n">
        <v>41000</v>
      </c>
      <c r="B27" s="28" t="str">
        <f aca="true">IFERROR(IF(SUMIFS(INDIRECT(Index!$M$14),INDIRECT(Index!$L$14),"&gt;="&amp;$A27,INDIRECT(Index!$L$14),"&lt;"&amp;EDATE($A27,3))=0,"",SUMIFS(INDIRECT(Index!$M$14),INDIRECT(Index!$L$14),"&gt;="&amp;$A27,INDIRECT(Index!$L$14),"&lt;"&amp;EDATE($A27,3))),"")</f>
        <v/>
      </c>
      <c r="C27" s="29" t="str">
        <f aca="false">IFERROR(B27/B26-1,"")</f>
        <v/>
      </c>
      <c r="D27" s="29" t="str">
        <f aca="false">IFERROR(B27/B23-1,"")</f>
        <v/>
      </c>
      <c r="E27" s="31" t="str">
        <f aca="false">IFERROR(IF(AND(B27="",ISNUMBER($C$7),ISNUMBER($G$7)),$C$7*(1+$G$7)^(($A27-$E$7)/365.25),""),"")</f>
        <v/>
      </c>
      <c r="F27" s="31" t="str">
        <f aca="false">IFERROR(IF(AND(B27="",ISNUMBER($C$7),ISNUMBER($G$7)),$C$7*(1+$G$7*0.85^MAX(0,($A27-$E$7)/91.25))^(($A27-$E$7)/365.25),""),"")</f>
        <v/>
      </c>
      <c r="J27" s="32" t="n">
        <v>2025</v>
      </c>
      <c r="K27" s="31" t="n">
        <f aca="false">IFERROR(SUMIFS($B$10:$B$101,$A$10:$A$101,"&gt;="&amp;DATE(J27,1,1),$A$10:$A$101,"&lt;="&amp;DATE(J27,12,31)),"")</f>
        <v>0</v>
      </c>
      <c r="L27" s="29" t="str">
        <f aca="false">IFERROR(K27/K26-1,"")</f>
        <v/>
      </c>
      <c r="M27" s="31" t="n">
        <f aca="false">IFERROR(SUMIFS($E$10:$E$101,$A$10:$A$101,"&gt;="&amp;DATE(J27,1,1),$A$10:$A$101,"&lt;="&amp;DATE(J27,12,31)),"")</f>
        <v>0</v>
      </c>
    </row>
    <row r="28" customFormat="false" ht="15" hidden="false" customHeight="false" outlineLevel="0" collapsed="false">
      <c r="A28" s="15" t="n">
        <v>41091</v>
      </c>
      <c r="B28" s="20" t="str">
        <f aca="true">IFERROR(IF(SUMIFS(INDIRECT(Index!$M$14),INDIRECT(Index!$L$14),"&gt;="&amp;$A28,INDIRECT(Index!$L$14),"&lt;"&amp;EDATE($A28,3))=0,"",SUMIFS(INDIRECT(Index!$M$14),INDIRECT(Index!$L$14),"&gt;="&amp;$A28,INDIRECT(Index!$L$14),"&lt;"&amp;EDATE($A28,3))),"")</f>
        <v/>
      </c>
      <c r="C28" s="33" t="str">
        <f aca="false">IFERROR(B28/B27-1,"")</f>
        <v/>
      </c>
      <c r="D28" s="33" t="str">
        <f aca="false">IFERROR(B28/B24-1,"")</f>
        <v/>
      </c>
      <c r="E28" s="25" t="str">
        <f aca="false">IFERROR(IF(AND(B28="",ISNUMBER($C$7),ISNUMBER($G$7)),$C$7*(1+$G$7)^(($A28-$E$7)/365.25),""),"")</f>
        <v/>
      </c>
      <c r="F28" s="25" t="str">
        <f aca="false">IFERROR(IF(AND(B28="",ISNUMBER($C$7),ISNUMBER($G$7)),$C$7*(1+$G$7*0.85^MAX(0,($A28-$E$7)/91.25))^(($A28-$E$7)/365.25),""),"")</f>
        <v/>
      </c>
      <c r="J28" s="26" t="n">
        <v>2026</v>
      </c>
      <c r="K28" s="25" t="n">
        <f aca="false">IFERROR(SUMIFS($B$10:$B$101,$A$10:$A$101,"&gt;="&amp;DATE(J28,1,1),$A$10:$A$101,"&lt;="&amp;DATE(J28,12,31)),"")</f>
        <v>0</v>
      </c>
      <c r="L28" s="33" t="str">
        <f aca="false">IFERROR(K28/K27-1,"")</f>
        <v/>
      </c>
      <c r="M28" s="25" t="n">
        <f aca="false">IFERROR(SUMIFS($E$10:$E$101,$A$10:$A$101,"&gt;="&amp;DATE(J28,1,1),$A$10:$A$101,"&lt;="&amp;DATE(J28,12,31)),"")</f>
        <v>0</v>
      </c>
    </row>
    <row r="29" customFormat="false" ht="15" hidden="false" customHeight="false" outlineLevel="0" collapsed="false">
      <c r="A29" s="27" t="n">
        <v>41183</v>
      </c>
      <c r="B29" s="28" t="str">
        <f aca="true">IFERROR(IF(SUMIFS(INDIRECT(Index!$M$14),INDIRECT(Index!$L$14),"&gt;="&amp;$A29,INDIRECT(Index!$L$14),"&lt;"&amp;EDATE($A29,3))=0,"",SUMIFS(INDIRECT(Index!$M$14),INDIRECT(Index!$L$14),"&gt;="&amp;$A29,INDIRECT(Index!$L$14),"&lt;"&amp;EDATE($A29,3))),"")</f>
        <v/>
      </c>
      <c r="C29" s="29" t="str">
        <f aca="false">IFERROR(B29/B28-1,"")</f>
        <v/>
      </c>
      <c r="D29" s="29" t="str">
        <f aca="false">IFERROR(B29/B25-1,"")</f>
        <v/>
      </c>
      <c r="E29" s="31" t="str">
        <f aca="false">IFERROR(IF(AND(B29="",ISNUMBER($C$7),ISNUMBER($G$7)),$C$7*(1+$G$7)^(($A29-$E$7)/365.25),""),"")</f>
        <v/>
      </c>
      <c r="F29" s="31" t="str">
        <f aca="false">IFERROR(IF(AND(B29="",ISNUMBER($C$7),ISNUMBER($G$7)),$C$7*(1+$G$7*0.85^MAX(0,($A29-$E$7)/91.25))^(($A29-$E$7)/365.25),""),"")</f>
        <v/>
      </c>
      <c r="J29" s="32" t="n">
        <v>2027</v>
      </c>
      <c r="K29" s="31" t="n">
        <f aca="false">IFERROR(SUMIFS($B$10:$B$101,$A$10:$A$101,"&gt;="&amp;DATE(J29,1,1),$A$10:$A$101,"&lt;="&amp;DATE(J29,12,31)),"")</f>
        <v>0</v>
      </c>
      <c r="L29" s="29" t="str">
        <f aca="false">IFERROR(K29/K28-1,"")</f>
        <v/>
      </c>
      <c r="M29" s="31" t="n">
        <f aca="false">IFERROR(SUMIFS($E$10:$E$101,$A$10:$A$101,"&gt;="&amp;DATE(J29,1,1),$A$10:$A$101,"&lt;="&amp;DATE(J29,12,31)),"")</f>
        <v>0</v>
      </c>
    </row>
    <row r="30" customFormat="false" ht="15" hidden="false" customHeight="false" outlineLevel="0" collapsed="false">
      <c r="A30" s="15" t="n">
        <v>41275</v>
      </c>
      <c r="B30" s="20" t="str">
        <f aca="true">IFERROR(IF(SUMIFS(INDIRECT(Index!$M$14),INDIRECT(Index!$L$14),"&gt;="&amp;$A30,INDIRECT(Index!$L$14),"&lt;"&amp;EDATE($A30,3))=0,"",SUMIFS(INDIRECT(Index!$M$14),INDIRECT(Index!$L$14),"&gt;="&amp;$A30,INDIRECT(Index!$L$14),"&lt;"&amp;EDATE($A30,3))),"")</f>
        <v/>
      </c>
      <c r="C30" s="33" t="str">
        <f aca="false">IFERROR(B30/B29-1,"")</f>
        <v/>
      </c>
      <c r="D30" s="33" t="str">
        <f aca="false">IFERROR(B30/B26-1,"")</f>
        <v/>
      </c>
      <c r="E30" s="25" t="str">
        <f aca="false">IFERROR(IF(AND(B30="",ISNUMBER($C$7),ISNUMBER($G$7)),$C$7*(1+$G$7)^(($A30-$E$7)/365.25),""),"")</f>
        <v/>
      </c>
      <c r="F30" s="25" t="str">
        <f aca="false">IFERROR(IF(AND(B30="",ISNUMBER($C$7),ISNUMBER($G$7)),$C$7*(1+$G$7*0.85^MAX(0,($A30-$E$7)/91.25))^(($A30-$E$7)/365.25),""),"")</f>
        <v/>
      </c>
      <c r="J30" s="26" t="n">
        <v>2028</v>
      </c>
      <c r="K30" s="25" t="n">
        <f aca="false">IFERROR(SUMIFS($B$10:$B$101,$A$10:$A$101,"&gt;="&amp;DATE(J30,1,1),$A$10:$A$101,"&lt;="&amp;DATE(J30,12,31)),"")</f>
        <v>0</v>
      </c>
      <c r="L30" s="33" t="str">
        <f aca="false">IFERROR(K30/K29-1,"")</f>
        <v/>
      </c>
      <c r="M30" s="25" t="n">
        <f aca="false">IFERROR(SUMIFS($E$10:$E$101,$A$10:$A$101,"&gt;="&amp;DATE(J30,1,1),$A$10:$A$101,"&lt;="&amp;DATE(J30,12,31)),"")</f>
        <v>0</v>
      </c>
    </row>
    <row r="31" customFormat="false" ht="15" hidden="false" customHeight="false" outlineLevel="0" collapsed="false">
      <c r="A31" s="27" t="n">
        <v>41365</v>
      </c>
      <c r="B31" s="28" t="str">
        <f aca="true">IFERROR(IF(SUMIFS(INDIRECT(Index!$M$14),INDIRECT(Index!$L$14),"&gt;="&amp;$A31,INDIRECT(Index!$L$14),"&lt;"&amp;EDATE($A31,3))=0,"",SUMIFS(INDIRECT(Index!$M$14),INDIRECT(Index!$L$14),"&gt;="&amp;$A31,INDIRECT(Index!$L$14),"&lt;"&amp;EDATE($A31,3))),"")</f>
        <v/>
      </c>
      <c r="C31" s="29" t="str">
        <f aca="false">IFERROR(B31/B30-1,"")</f>
        <v/>
      </c>
      <c r="D31" s="29" t="str">
        <f aca="false">IFERROR(B31/B27-1,"")</f>
        <v/>
      </c>
      <c r="E31" s="31" t="str">
        <f aca="false">IFERROR(IF(AND(B31="",ISNUMBER($C$7),ISNUMBER($G$7)),$C$7*(1+$G$7)^(($A31-$E$7)/365.25),""),"")</f>
        <v/>
      </c>
      <c r="F31" s="31" t="str">
        <f aca="false">IFERROR(IF(AND(B31="",ISNUMBER($C$7),ISNUMBER($G$7)),$C$7*(1+$G$7*0.85^MAX(0,($A31-$E$7)/91.25))^(($A31-$E$7)/365.25),""),"")</f>
        <v/>
      </c>
      <c r="J31" s="32" t="n">
        <v>2029</v>
      </c>
      <c r="K31" s="31" t="n">
        <f aca="false">IFERROR(SUMIFS($B$10:$B$101,$A$10:$A$101,"&gt;="&amp;DATE(J31,1,1),$A$10:$A$101,"&lt;="&amp;DATE(J31,12,31)),"")</f>
        <v>0</v>
      </c>
      <c r="L31" s="29" t="str">
        <f aca="false">IFERROR(K31/K30-1,"")</f>
        <v/>
      </c>
      <c r="M31" s="31" t="n">
        <f aca="false">IFERROR(SUMIFS($E$10:$E$101,$A$10:$A$101,"&gt;="&amp;DATE(J31,1,1),$A$10:$A$101,"&lt;="&amp;DATE(J31,12,31)),"")</f>
        <v>0</v>
      </c>
    </row>
    <row r="32" customFormat="false" ht="15" hidden="false" customHeight="false" outlineLevel="0" collapsed="false">
      <c r="A32" s="15" t="n">
        <v>41456</v>
      </c>
      <c r="B32" s="20" t="str">
        <f aca="true">IFERROR(IF(SUMIFS(INDIRECT(Index!$M$14),INDIRECT(Index!$L$14),"&gt;="&amp;$A32,INDIRECT(Index!$L$14),"&lt;"&amp;EDATE($A32,3))=0,"",SUMIFS(INDIRECT(Index!$M$14),INDIRECT(Index!$L$14),"&gt;="&amp;$A32,INDIRECT(Index!$L$14),"&lt;"&amp;EDATE($A32,3))),"")</f>
        <v/>
      </c>
      <c r="C32" s="33" t="str">
        <f aca="false">IFERROR(B32/B31-1,"")</f>
        <v/>
      </c>
      <c r="D32" s="33" t="str">
        <f aca="false">IFERROR(B32/B28-1,"")</f>
        <v/>
      </c>
      <c r="E32" s="25" t="str">
        <f aca="false">IFERROR(IF(AND(B32="",ISNUMBER($C$7),ISNUMBER($G$7)),$C$7*(1+$G$7)^(($A32-$E$7)/365.25),""),"")</f>
        <v/>
      </c>
      <c r="F32" s="25" t="str">
        <f aca="false">IFERROR(IF(AND(B32="",ISNUMBER($C$7),ISNUMBER($G$7)),$C$7*(1+$G$7*0.85^MAX(0,($A32-$E$7)/91.25))^(($A32-$E$7)/365.25),""),"")</f>
        <v/>
      </c>
      <c r="J32" s="26" t="n">
        <v>2030</v>
      </c>
      <c r="K32" s="25" t="n">
        <f aca="false">IFERROR(SUMIFS($B$10:$B$101,$A$10:$A$101,"&gt;="&amp;DATE(J32,1,1),$A$10:$A$101,"&lt;="&amp;DATE(J32,12,31)),"")</f>
        <v>0</v>
      </c>
      <c r="L32" s="33" t="str">
        <f aca="false">IFERROR(K32/K31-1,"")</f>
        <v/>
      </c>
      <c r="M32" s="25" t="n">
        <f aca="false">IFERROR(SUMIFS($E$10:$E$101,$A$10:$A$101,"&gt;="&amp;DATE(J32,1,1),$A$10:$A$101,"&lt;="&amp;DATE(J32,12,31)),"")</f>
        <v>0</v>
      </c>
    </row>
    <row r="33" customFormat="false" ht="15" hidden="false" customHeight="false" outlineLevel="0" collapsed="false">
      <c r="A33" s="27" t="n">
        <v>41548</v>
      </c>
      <c r="B33" s="28" t="str">
        <f aca="true">IFERROR(IF(SUMIFS(INDIRECT(Index!$M$14),INDIRECT(Index!$L$14),"&gt;="&amp;$A33,INDIRECT(Index!$L$14),"&lt;"&amp;EDATE($A33,3))=0,"",SUMIFS(INDIRECT(Index!$M$14),INDIRECT(Index!$L$14),"&gt;="&amp;$A33,INDIRECT(Index!$L$14),"&lt;"&amp;EDATE($A33,3))),"")</f>
        <v/>
      </c>
      <c r="C33" s="29" t="str">
        <f aca="false">IFERROR(B33/B32-1,"")</f>
        <v/>
      </c>
      <c r="D33" s="29" t="str">
        <f aca="false">IFERROR(B33/B29-1,"")</f>
        <v/>
      </c>
      <c r="E33" s="31" t="str">
        <f aca="false">IFERROR(IF(AND(B33="",ISNUMBER($C$7),ISNUMBER($G$7)),$C$7*(1+$G$7)^(($A33-$E$7)/365.25),""),"")</f>
        <v/>
      </c>
      <c r="F33" s="31" t="str">
        <f aca="false">IFERROR(IF(AND(B33="",ISNUMBER($C$7),ISNUMBER($G$7)),$C$7*(1+$G$7*0.85^MAX(0,($A33-$E$7)/91.25))^(($A33-$E$7)/365.25),""),"")</f>
        <v/>
      </c>
    </row>
    <row r="34" customFormat="false" ht="15" hidden="false" customHeight="false" outlineLevel="0" collapsed="false">
      <c r="A34" s="15" t="n">
        <v>41640</v>
      </c>
      <c r="B34" s="20" t="str">
        <f aca="true">IFERROR(IF(SUMIFS(INDIRECT(Index!$M$14),INDIRECT(Index!$L$14),"&gt;="&amp;$A34,INDIRECT(Index!$L$14),"&lt;"&amp;EDATE($A34,3))=0,"",SUMIFS(INDIRECT(Index!$M$14),INDIRECT(Index!$L$14),"&gt;="&amp;$A34,INDIRECT(Index!$L$14),"&lt;"&amp;EDATE($A34,3))),"")</f>
        <v/>
      </c>
      <c r="C34" s="33" t="str">
        <f aca="false">IFERROR(B34/B33-1,"")</f>
        <v/>
      </c>
      <c r="D34" s="33" t="str">
        <f aca="false">IFERROR(B34/B30-1,"")</f>
        <v/>
      </c>
      <c r="E34" s="25" t="str">
        <f aca="false">IFERROR(IF(AND(B34="",ISNUMBER($C$7),ISNUMBER($G$7)),$C$7*(1+$G$7)^(($A34-$E$7)/365.25),""),"")</f>
        <v/>
      </c>
      <c r="F34" s="25" t="str">
        <f aca="false">IFERROR(IF(AND(B34="",ISNUMBER($C$7),ISNUMBER($G$7)),$C$7*(1+$G$7*0.85^MAX(0,($A34-$E$7)/91.25))^(($A34-$E$7)/365.25),""),"")</f>
        <v/>
      </c>
    </row>
    <row r="35" customFormat="false" ht="15" hidden="false" customHeight="false" outlineLevel="0" collapsed="false">
      <c r="A35" s="27" t="n">
        <v>41730</v>
      </c>
      <c r="B35" s="28" t="str">
        <f aca="true">IFERROR(IF(SUMIFS(INDIRECT(Index!$M$14),INDIRECT(Index!$L$14),"&gt;="&amp;$A35,INDIRECT(Index!$L$14),"&lt;"&amp;EDATE($A35,3))=0,"",SUMIFS(INDIRECT(Index!$M$14),INDIRECT(Index!$L$14),"&gt;="&amp;$A35,INDIRECT(Index!$L$14),"&lt;"&amp;EDATE($A35,3))),"")</f>
        <v/>
      </c>
      <c r="C35" s="29" t="str">
        <f aca="false">IFERROR(B35/B34-1,"")</f>
        <v/>
      </c>
      <c r="D35" s="29" t="str">
        <f aca="false">IFERROR(B35/B31-1,"")</f>
        <v/>
      </c>
      <c r="E35" s="31" t="str">
        <f aca="false">IFERROR(IF(AND(B35="",ISNUMBER($C$7),ISNUMBER($G$7)),$C$7*(1+$G$7)^(($A35-$E$7)/365.25),""),"")</f>
        <v/>
      </c>
      <c r="F35" s="31" t="str">
        <f aca="false">IFERROR(IF(AND(B35="",ISNUMBER($C$7),ISNUMBER($G$7)),$C$7*(1+$G$7*0.85^MAX(0,($A35-$E$7)/91.25))^(($A35-$E$7)/365.25),""),"")</f>
        <v/>
      </c>
    </row>
    <row r="36" customFormat="false" ht="15" hidden="false" customHeight="false" outlineLevel="0" collapsed="false">
      <c r="A36" s="15" t="n">
        <v>41821</v>
      </c>
      <c r="B36" s="20" t="str">
        <f aca="true">IFERROR(IF(SUMIFS(INDIRECT(Index!$M$14),INDIRECT(Index!$L$14),"&gt;="&amp;$A36,INDIRECT(Index!$L$14),"&lt;"&amp;EDATE($A36,3))=0,"",SUMIFS(INDIRECT(Index!$M$14),INDIRECT(Index!$L$14),"&gt;="&amp;$A36,INDIRECT(Index!$L$14),"&lt;"&amp;EDATE($A36,3))),"")</f>
        <v/>
      </c>
      <c r="C36" s="33" t="str">
        <f aca="false">IFERROR(B36/B35-1,"")</f>
        <v/>
      </c>
      <c r="D36" s="33" t="str">
        <f aca="false">IFERROR(B36/B32-1,"")</f>
        <v/>
      </c>
      <c r="E36" s="25" t="str">
        <f aca="false">IFERROR(IF(AND(B36="",ISNUMBER($C$7),ISNUMBER($G$7)),$C$7*(1+$G$7)^(($A36-$E$7)/365.25),""),"")</f>
        <v/>
      </c>
      <c r="F36" s="25" t="str">
        <f aca="false">IFERROR(IF(AND(B36="",ISNUMBER($C$7),ISNUMBER($G$7)),$C$7*(1+$G$7*0.85^MAX(0,($A36-$E$7)/91.25))^(($A36-$E$7)/365.25),""),"")</f>
        <v/>
      </c>
    </row>
    <row r="37" customFormat="false" ht="15" hidden="false" customHeight="false" outlineLevel="0" collapsed="false">
      <c r="A37" s="27" t="n">
        <v>41913</v>
      </c>
      <c r="B37" s="28" t="str">
        <f aca="true">IFERROR(IF(SUMIFS(INDIRECT(Index!$M$14),INDIRECT(Index!$L$14),"&gt;="&amp;$A37,INDIRECT(Index!$L$14),"&lt;"&amp;EDATE($A37,3))=0,"",SUMIFS(INDIRECT(Index!$M$14),INDIRECT(Index!$L$14),"&gt;="&amp;$A37,INDIRECT(Index!$L$14),"&lt;"&amp;EDATE($A37,3))),"")</f>
        <v/>
      </c>
      <c r="C37" s="29" t="str">
        <f aca="false">IFERROR(B37/B36-1,"")</f>
        <v/>
      </c>
      <c r="D37" s="29" t="str">
        <f aca="false">IFERROR(B37/B33-1,"")</f>
        <v/>
      </c>
      <c r="E37" s="31" t="str">
        <f aca="false">IFERROR(IF(AND(B37="",ISNUMBER($C$7),ISNUMBER($G$7)),$C$7*(1+$G$7)^(($A37-$E$7)/365.25),""),"")</f>
        <v/>
      </c>
      <c r="F37" s="31" t="str">
        <f aca="false">IFERROR(IF(AND(B37="",ISNUMBER($C$7),ISNUMBER($G$7)),$C$7*(1+$G$7*0.85^MAX(0,($A37-$E$7)/91.25))^(($A37-$E$7)/365.25),""),"")</f>
        <v/>
      </c>
    </row>
    <row r="38" customFormat="false" ht="15" hidden="false" customHeight="false" outlineLevel="0" collapsed="false">
      <c r="A38" s="15" t="n">
        <v>42005</v>
      </c>
      <c r="B38" s="20" t="str">
        <f aca="true">IFERROR(IF(SUMIFS(INDIRECT(Index!$M$14),INDIRECT(Index!$L$14),"&gt;="&amp;$A38,INDIRECT(Index!$L$14),"&lt;"&amp;EDATE($A38,3))=0,"",SUMIFS(INDIRECT(Index!$M$14),INDIRECT(Index!$L$14),"&gt;="&amp;$A38,INDIRECT(Index!$L$14),"&lt;"&amp;EDATE($A38,3))),"")</f>
        <v/>
      </c>
      <c r="C38" s="33" t="str">
        <f aca="false">IFERROR(B38/B37-1,"")</f>
        <v/>
      </c>
      <c r="D38" s="33" t="str">
        <f aca="false">IFERROR(B38/B34-1,"")</f>
        <v/>
      </c>
      <c r="E38" s="25" t="str">
        <f aca="false">IFERROR(IF(AND(B38="",ISNUMBER($C$7),ISNUMBER($G$7)),$C$7*(1+$G$7)^(($A38-$E$7)/365.25),""),"")</f>
        <v/>
      </c>
      <c r="F38" s="25" t="str">
        <f aca="false">IFERROR(IF(AND(B38="",ISNUMBER($C$7),ISNUMBER($G$7)),$C$7*(1+$G$7*0.85^MAX(0,($A38-$E$7)/91.25))^(($A38-$E$7)/365.25),""),"")</f>
        <v/>
      </c>
    </row>
    <row r="39" customFormat="false" ht="15" hidden="false" customHeight="false" outlineLevel="0" collapsed="false">
      <c r="A39" s="27" t="n">
        <v>42095</v>
      </c>
      <c r="B39" s="28" t="str">
        <f aca="true">IFERROR(IF(SUMIFS(INDIRECT(Index!$M$14),INDIRECT(Index!$L$14),"&gt;="&amp;$A39,INDIRECT(Index!$L$14),"&lt;"&amp;EDATE($A39,3))=0,"",SUMIFS(INDIRECT(Index!$M$14),INDIRECT(Index!$L$14),"&gt;="&amp;$A39,INDIRECT(Index!$L$14),"&lt;"&amp;EDATE($A39,3))),"")</f>
        <v/>
      </c>
      <c r="C39" s="29" t="str">
        <f aca="false">IFERROR(B39/B38-1,"")</f>
        <v/>
      </c>
      <c r="D39" s="29" t="str">
        <f aca="false">IFERROR(B39/B35-1,"")</f>
        <v/>
      </c>
      <c r="E39" s="31" t="str">
        <f aca="false">IFERROR(IF(AND(B39="",ISNUMBER($C$7),ISNUMBER($G$7)),$C$7*(1+$G$7)^(($A39-$E$7)/365.25),""),"")</f>
        <v/>
      </c>
      <c r="F39" s="31" t="str">
        <f aca="false">IFERROR(IF(AND(B39="",ISNUMBER($C$7),ISNUMBER($G$7)),$C$7*(1+$G$7*0.85^MAX(0,($A39-$E$7)/91.25))^(($A39-$E$7)/365.25),""),"")</f>
        <v/>
      </c>
    </row>
    <row r="40" customFormat="false" ht="15" hidden="false" customHeight="false" outlineLevel="0" collapsed="false">
      <c r="A40" s="15" t="n">
        <v>42186</v>
      </c>
      <c r="B40" s="20" t="str">
        <f aca="true">IFERROR(IF(SUMIFS(INDIRECT(Index!$M$14),INDIRECT(Index!$L$14),"&gt;="&amp;$A40,INDIRECT(Index!$L$14),"&lt;"&amp;EDATE($A40,3))=0,"",SUMIFS(INDIRECT(Index!$M$14),INDIRECT(Index!$L$14),"&gt;="&amp;$A40,INDIRECT(Index!$L$14),"&lt;"&amp;EDATE($A40,3))),"")</f>
        <v/>
      </c>
      <c r="C40" s="33" t="str">
        <f aca="false">IFERROR(B40/B39-1,"")</f>
        <v/>
      </c>
      <c r="D40" s="33" t="str">
        <f aca="false">IFERROR(B40/B36-1,"")</f>
        <v/>
      </c>
      <c r="E40" s="25" t="str">
        <f aca="false">IFERROR(IF(AND(B40="",ISNUMBER($C$7),ISNUMBER($G$7)),$C$7*(1+$G$7)^(($A40-$E$7)/365.25),""),"")</f>
        <v/>
      </c>
      <c r="F40" s="25" t="str">
        <f aca="false">IFERROR(IF(AND(B40="",ISNUMBER($C$7),ISNUMBER($G$7)),$C$7*(1+$G$7*0.85^MAX(0,($A40-$E$7)/91.25))^(($A40-$E$7)/365.25),""),"")</f>
        <v/>
      </c>
    </row>
    <row r="41" customFormat="false" ht="15" hidden="false" customHeight="false" outlineLevel="0" collapsed="false">
      <c r="A41" s="27" t="n">
        <v>42278</v>
      </c>
      <c r="B41" s="28" t="str">
        <f aca="true">IFERROR(IF(SUMIFS(INDIRECT(Index!$M$14),INDIRECT(Index!$L$14),"&gt;="&amp;$A41,INDIRECT(Index!$L$14),"&lt;"&amp;EDATE($A41,3))=0,"",SUMIFS(INDIRECT(Index!$M$14),INDIRECT(Index!$L$14),"&gt;="&amp;$A41,INDIRECT(Index!$L$14),"&lt;"&amp;EDATE($A41,3))),"")</f>
        <v/>
      </c>
      <c r="C41" s="29" t="str">
        <f aca="false">IFERROR(B41/B40-1,"")</f>
        <v/>
      </c>
      <c r="D41" s="29" t="str">
        <f aca="false">IFERROR(B41/B37-1,"")</f>
        <v/>
      </c>
      <c r="E41" s="31" t="str">
        <f aca="false">IFERROR(IF(AND(B41="",ISNUMBER($C$7),ISNUMBER($G$7)),$C$7*(1+$G$7)^(($A41-$E$7)/365.25),""),"")</f>
        <v/>
      </c>
      <c r="F41" s="31" t="str">
        <f aca="false">IFERROR(IF(AND(B41="",ISNUMBER($C$7),ISNUMBER($G$7)),$C$7*(1+$G$7*0.85^MAX(0,($A41-$E$7)/91.25))^(($A41-$E$7)/365.25),""),"")</f>
        <v/>
      </c>
    </row>
    <row r="42" customFormat="false" ht="15" hidden="false" customHeight="false" outlineLevel="0" collapsed="false">
      <c r="A42" s="15" t="n">
        <v>42370</v>
      </c>
      <c r="B42" s="20" t="str">
        <f aca="true">IFERROR(IF(SUMIFS(INDIRECT(Index!$M$14),INDIRECT(Index!$L$14),"&gt;="&amp;$A42,INDIRECT(Index!$L$14),"&lt;"&amp;EDATE($A42,3))=0,"",SUMIFS(INDIRECT(Index!$M$14),INDIRECT(Index!$L$14),"&gt;="&amp;$A42,INDIRECT(Index!$L$14),"&lt;"&amp;EDATE($A42,3))),"")</f>
        <v/>
      </c>
      <c r="C42" s="33" t="str">
        <f aca="false">IFERROR(B42/B41-1,"")</f>
        <v/>
      </c>
      <c r="D42" s="33" t="str">
        <f aca="false">IFERROR(B42/B38-1,"")</f>
        <v/>
      </c>
      <c r="E42" s="25" t="str">
        <f aca="false">IFERROR(IF(AND(B42="",ISNUMBER($C$7),ISNUMBER($G$7)),$C$7*(1+$G$7)^(($A42-$E$7)/365.25),""),"")</f>
        <v/>
      </c>
      <c r="F42" s="25" t="str">
        <f aca="false">IFERROR(IF(AND(B42="",ISNUMBER($C$7),ISNUMBER($G$7)),$C$7*(1+$G$7*0.85^MAX(0,($A42-$E$7)/91.25))^(($A42-$E$7)/365.25),""),"")</f>
        <v/>
      </c>
    </row>
    <row r="43" customFormat="false" ht="15" hidden="false" customHeight="false" outlineLevel="0" collapsed="false">
      <c r="A43" s="27" t="n">
        <v>42461</v>
      </c>
      <c r="B43" s="28" t="str">
        <f aca="true">IFERROR(IF(SUMIFS(INDIRECT(Index!$M$14),INDIRECT(Index!$L$14),"&gt;="&amp;$A43,INDIRECT(Index!$L$14),"&lt;"&amp;EDATE($A43,3))=0,"",SUMIFS(INDIRECT(Index!$M$14),INDIRECT(Index!$L$14),"&gt;="&amp;$A43,INDIRECT(Index!$L$14),"&lt;"&amp;EDATE($A43,3))),"")</f>
        <v/>
      </c>
      <c r="C43" s="29" t="str">
        <f aca="false">IFERROR(B43/B42-1,"")</f>
        <v/>
      </c>
      <c r="D43" s="29" t="str">
        <f aca="false">IFERROR(B43/B39-1,"")</f>
        <v/>
      </c>
      <c r="E43" s="31" t="str">
        <f aca="false">IFERROR(IF(AND(B43="",ISNUMBER($C$7),ISNUMBER($G$7)),$C$7*(1+$G$7)^(($A43-$E$7)/365.25),""),"")</f>
        <v/>
      </c>
      <c r="F43" s="31" t="str">
        <f aca="false">IFERROR(IF(AND(B43="",ISNUMBER($C$7),ISNUMBER($G$7)),$C$7*(1+$G$7*0.85^MAX(0,($A43-$E$7)/91.25))^(($A43-$E$7)/365.25),""),"")</f>
        <v/>
      </c>
    </row>
    <row r="44" customFormat="false" ht="15" hidden="false" customHeight="false" outlineLevel="0" collapsed="false">
      <c r="A44" s="15" t="n">
        <v>42552</v>
      </c>
      <c r="B44" s="20" t="str">
        <f aca="true">IFERROR(IF(SUMIFS(INDIRECT(Index!$M$14),INDIRECT(Index!$L$14),"&gt;="&amp;$A44,INDIRECT(Index!$L$14),"&lt;"&amp;EDATE($A44,3))=0,"",SUMIFS(INDIRECT(Index!$M$14),INDIRECT(Index!$L$14),"&gt;="&amp;$A44,INDIRECT(Index!$L$14),"&lt;"&amp;EDATE($A44,3))),"")</f>
        <v/>
      </c>
      <c r="C44" s="33" t="str">
        <f aca="false">IFERROR(B44/B43-1,"")</f>
        <v/>
      </c>
      <c r="D44" s="33" t="str">
        <f aca="false">IFERROR(B44/B40-1,"")</f>
        <v/>
      </c>
      <c r="E44" s="25" t="str">
        <f aca="false">IFERROR(IF(AND(B44="",ISNUMBER($C$7),ISNUMBER($G$7)),$C$7*(1+$G$7)^(($A44-$E$7)/365.25),""),"")</f>
        <v/>
      </c>
      <c r="F44" s="25" t="str">
        <f aca="false">IFERROR(IF(AND(B44="",ISNUMBER($C$7),ISNUMBER($G$7)),$C$7*(1+$G$7*0.85^MAX(0,($A44-$E$7)/91.25))^(($A44-$E$7)/365.25),""),"")</f>
        <v/>
      </c>
    </row>
    <row r="45" customFormat="false" ht="15" hidden="false" customHeight="false" outlineLevel="0" collapsed="false">
      <c r="A45" s="27" t="n">
        <v>42644</v>
      </c>
      <c r="B45" s="28" t="str">
        <f aca="true">IFERROR(IF(SUMIFS(INDIRECT(Index!$M$14),INDIRECT(Index!$L$14),"&gt;="&amp;$A45,INDIRECT(Index!$L$14),"&lt;"&amp;EDATE($A45,3))=0,"",SUMIFS(INDIRECT(Index!$M$14),INDIRECT(Index!$L$14),"&gt;="&amp;$A45,INDIRECT(Index!$L$14),"&lt;"&amp;EDATE($A45,3))),"")</f>
        <v/>
      </c>
      <c r="C45" s="29" t="str">
        <f aca="false">IFERROR(B45/B44-1,"")</f>
        <v/>
      </c>
      <c r="D45" s="29" t="str">
        <f aca="false">IFERROR(B45/B41-1,"")</f>
        <v/>
      </c>
      <c r="E45" s="31" t="str">
        <f aca="false">IFERROR(IF(AND(B45="",ISNUMBER($C$7),ISNUMBER($G$7)),$C$7*(1+$G$7)^(($A45-$E$7)/365.25),""),"")</f>
        <v/>
      </c>
      <c r="F45" s="31" t="str">
        <f aca="false">IFERROR(IF(AND(B45="",ISNUMBER($C$7),ISNUMBER($G$7)),$C$7*(1+$G$7*0.85^MAX(0,($A45-$E$7)/91.25))^(($A45-$E$7)/365.25),""),"")</f>
        <v/>
      </c>
    </row>
    <row r="46" customFormat="false" ht="15" hidden="false" customHeight="false" outlineLevel="0" collapsed="false">
      <c r="A46" s="15" t="n">
        <v>42736</v>
      </c>
      <c r="B46" s="20" t="str">
        <f aca="true">IFERROR(IF(SUMIFS(INDIRECT(Index!$M$14),INDIRECT(Index!$L$14),"&gt;="&amp;$A46,INDIRECT(Index!$L$14),"&lt;"&amp;EDATE($A46,3))=0,"",SUMIFS(INDIRECT(Index!$M$14),INDIRECT(Index!$L$14),"&gt;="&amp;$A46,INDIRECT(Index!$L$14),"&lt;"&amp;EDATE($A46,3))),"")</f>
        <v/>
      </c>
      <c r="C46" s="33" t="str">
        <f aca="false">IFERROR(B46/B45-1,"")</f>
        <v/>
      </c>
      <c r="D46" s="33" t="str">
        <f aca="false">IFERROR(B46/B42-1,"")</f>
        <v/>
      </c>
      <c r="E46" s="25" t="str">
        <f aca="false">IFERROR(IF(AND(B46="",ISNUMBER($C$7),ISNUMBER($G$7)),$C$7*(1+$G$7)^(($A46-$E$7)/365.25),""),"")</f>
        <v/>
      </c>
      <c r="F46" s="25" t="str">
        <f aca="false">IFERROR(IF(AND(B46="",ISNUMBER($C$7),ISNUMBER($G$7)),$C$7*(1+$G$7*0.85^MAX(0,($A46-$E$7)/91.25))^(($A46-$E$7)/365.25),""),"")</f>
        <v/>
      </c>
    </row>
    <row r="47" customFormat="false" ht="15" hidden="false" customHeight="false" outlineLevel="0" collapsed="false">
      <c r="A47" s="27" t="n">
        <v>42826</v>
      </c>
      <c r="B47" s="28" t="str">
        <f aca="true">IFERROR(IF(SUMIFS(INDIRECT(Index!$M$14),INDIRECT(Index!$L$14),"&gt;="&amp;$A47,INDIRECT(Index!$L$14),"&lt;"&amp;EDATE($A47,3))=0,"",SUMIFS(INDIRECT(Index!$M$14),INDIRECT(Index!$L$14),"&gt;="&amp;$A47,INDIRECT(Index!$L$14),"&lt;"&amp;EDATE($A47,3))),"")</f>
        <v/>
      </c>
      <c r="C47" s="29" t="str">
        <f aca="false">IFERROR(B47/B46-1,"")</f>
        <v/>
      </c>
      <c r="D47" s="29" t="str">
        <f aca="false">IFERROR(B47/B43-1,"")</f>
        <v/>
      </c>
      <c r="E47" s="31" t="str">
        <f aca="false">IFERROR(IF(AND(B47="",ISNUMBER($C$7),ISNUMBER($G$7)),$C$7*(1+$G$7)^(($A47-$E$7)/365.25),""),"")</f>
        <v/>
      </c>
      <c r="F47" s="31" t="str">
        <f aca="false">IFERROR(IF(AND(B47="",ISNUMBER($C$7),ISNUMBER($G$7)),$C$7*(1+$G$7*0.85^MAX(0,($A47-$E$7)/91.25))^(($A47-$E$7)/365.25),""),"")</f>
        <v/>
      </c>
    </row>
    <row r="48" customFormat="false" ht="15" hidden="false" customHeight="false" outlineLevel="0" collapsed="false">
      <c r="A48" s="15" t="n">
        <v>42917</v>
      </c>
      <c r="B48" s="20" t="str">
        <f aca="true">IFERROR(IF(SUMIFS(INDIRECT(Index!$M$14),INDIRECT(Index!$L$14),"&gt;="&amp;$A48,INDIRECT(Index!$L$14),"&lt;"&amp;EDATE($A48,3))=0,"",SUMIFS(INDIRECT(Index!$M$14),INDIRECT(Index!$L$14),"&gt;="&amp;$A48,INDIRECT(Index!$L$14),"&lt;"&amp;EDATE($A48,3))),"")</f>
        <v/>
      </c>
      <c r="C48" s="33" t="str">
        <f aca="false">IFERROR(B48/B47-1,"")</f>
        <v/>
      </c>
      <c r="D48" s="33" t="str">
        <f aca="false">IFERROR(B48/B44-1,"")</f>
        <v/>
      </c>
      <c r="E48" s="25" t="str">
        <f aca="false">IFERROR(IF(AND(B48="",ISNUMBER($C$7),ISNUMBER($G$7)),$C$7*(1+$G$7)^(($A48-$E$7)/365.25),""),"")</f>
        <v/>
      </c>
      <c r="F48" s="25" t="str">
        <f aca="false">IFERROR(IF(AND(B48="",ISNUMBER($C$7),ISNUMBER($G$7)),$C$7*(1+$G$7*0.85^MAX(0,($A48-$E$7)/91.25))^(($A48-$E$7)/365.25),""),"")</f>
        <v/>
      </c>
    </row>
    <row r="49" customFormat="false" ht="15" hidden="false" customHeight="false" outlineLevel="0" collapsed="false">
      <c r="A49" s="27" t="n">
        <v>43009</v>
      </c>
      <c r="B49" s="28" t="str">
        <f aca="true">IFERROR(IF(SUMIFS(INDIRECT(Index!$M$14),INDIRECT(Index!$L$14),"&gt;="&amp;$A49,INDIRECT(Index!$L$14),"&lt;"&amp;EDATE($A49,3))=0,"",SUMIFS(INDIRECT(Index!$M$14),INDIRECT(Index!$L$14),"&gt;="&amp;$A49,INDIRECT(Index!$L$14),"&lt;"&amp;EDATE($A49,3))),"")</f>
        <v/>
      </c>
      <c r="C49" s="29" t="str">
        <f aca="false">IFERROR(B49/B48-1,"")</f>
        <v/>
      </c>
      <c r="D49" s="29" t="str">
        <f aca="false">IFERROR(B49/B45-1,"")</f>
        <v/>
      </c>
      <c r="E49" s="31" t="str">
        <f aca="false">IFERROR(IF(AND(B49="",ISNUMBER($C$7),ISNUMBER($G$7)),$C$7*(1+$G$7)^(($A49-$E$7)/365.25),""),"")</f>
        <v/>
      </c>
      <c r="F49" s="31" t="str">
        <f aca="false">IFERROR(IF(AND(B49="",ISNUMBER($C$7),ISNUMBER($G$7)),$C$7*(1+$G$7*0.85^MAX(0,($A49-$E$7)/91.25))^(($A49-$E$7)/365.25),""),"")</f>
        <v/>
      </c>
    </row>
    <row r="50" customFormat="false" ht="15" hidden="false" customHeight="false" outlineLevel="0" collapsed="false">
      <c r="A50" s="15" t="n">
        <v>43101</v>
      </c>
      <c r="B50" s="20" t="str">
        <f aca="true">IFERROR(IF(SUMIFS(INDIRECT(Index!$M$14),INDIRECT(Index!$L$14),"&gt;="&amp;$A50,INDIRECT(Index!$L$14),"&lt;"&amp;EDATE($A50,3))=0,"",SUMIFS(INDIRECT(Index!$M$14),INDIRECT(Index!$L$14),"&gt;="&amp;$A50,INDIRECT(Index!$L$14),"&lt;"&amp;EDATE($A50,3))),"")</f>
        <v/>
      </c>
      <c r="C50" s="33" t="str">
        <f aca="false">IFERROR(B50/B49-1,"")</f>
        <v/>
      </c>
      <c r="D50" s="33" t="str">
        <f aca="false">IFERROR(B50/B46-1,"")</f>
        <v/>
      </c>
      <c r="E50" s="25" t="str">
        <f aca="false">IFERROR(IF(AND(B50="",ISNUMBER($C$7),ISNUMBER($G$7)),$C$7*(1+$G$7)^(($A50-$E$7)/365.25),""),"")</f>
        <v/>
      </c>
      <c r="F50" s="25" t="str">
        <f aca="false">IFERROR(IF(AND(B50="",ISNUMBER($C$7),ISNUMBER($G$7)),$C$7*(1+$G$7*0.85^MAX(0,($A50-$E$7)/91.25))^(($A50-$E$7)/365.25),""),"")</f>
        <v/>
      </c>
    </row>
    <row r="51" customFormat="false" ht="15" hidden="false" customHeight="false" outlineLevel="0" collapsed="false">
      <c r="A51" s="27" t="n">
        <v>43191</v>
      </c>
      <c r="B51" s="28" t="str">
        <f aca="true">IFERROR(IF(SUMIFS(INDIRECT(Index!$M$14),INDIRECT(Index!$L$14),"&gt;="&amp;$A51,INDIRECT(Index!$L$14),"&lt;"&amp;EDATE($A51,3))=0,"",SUMIFS(INDIRECT(Index!$M$14),INDIRECT(Index!$L$14),"&gt;="&amp;$A51,INDIRECT(Index!$L$14),"&lt;"&amp;EDATE($A51,3))),"")</f>
        <v/>
      </c>
      <c r="C51" s="29" t="str">
        <f aca="false">IFERROR(B51/B50-1,"")</f>
        <v/>
      </c>
      <c r="D51" s="29" t="str">
        <f aca="false">IFERROR(B51/B47-1,"")</f>
        <v/>
      </c>
      <c r="E51" s="31" t="str">
        <f aca="false">IFERROR(IF(AND(B51="",ISNUMBER($C$7),ISNUMBER($G$7)),$C$7*(1+$G$7)^(($A51-$E$7)/365.25),""),"")</f>
        <v/>
      </c>
      <c r="F51" s="31" t="str">
        <f aca="false">IFERROR(IF(AND(B51="",ISNUMBER($C$7),ISNUMBER($G$7)),$C$7*(1+$G$7*0.85^MAX(0,($A51-$E$7)/91.25))^(($A51-$E$7)/365.25),""),"")</f>
        <v/>
      </c>
    </row>
    <row r="52" customFormat="false" ht="15" hidden="false" customHeight="false" outlineLevel="0" collapsed="false">
      <c r="A52" s="15" t="n">
        <v>43282</v>
      </c>
      <c r="B52" s="20" t="str">
        <f aca="true">IFERROR(IF(SUMIFS(INDIRECT(Index!$M$14),INDIRECT(Index!$L$14),"&gt;="&amp;$A52,INDIRECT(Index!$L$14),"&lt;"&amp;EDATE($A52,3))=0,"",SUMIFS(INDIRECT(Index!$M$14),INDIRECT(Index!$L$14),"&gt;="&amp;$A52,INDIRECT(Index!$L$14),"&lt;"&amp;EDATE($A52,3))),"")</f>
        <v/>
      </c>
      <c r="C52" s="33" t="str">
        <f aca="false">IFERROR(B52/B51-1,"")</f>
        <v/>
      </c>
      <c r="D52" s="33" t="str">
        <f aca="false">IFERROR(B52/B48-1,"")</f>
        <v/>
      </c>
      <c r="E52" s="25" t="str">
        <f aca="false">IFERROR(IF(AND(B52="",ISNUMBER($C$7),ISNUMBER($G$7)),$C$7*(1+$G$7)^(($A52-$E$7)/365.25),""),"")</f>
        <v/>
      </c>
      <c r="F52" s="25" t="str">
        <f aca="false">IFERROR(IF(AND(B52="",ISNUMBER($C$7),ISNUMBER($G$7)),$C$7*(1+$G$7*0.85^MAX(0,($A52-$E$7)/91.25))^(($A52-$E$7)/365.25),""),"")</f>
        <v/>
      </c>
    </row>
    <row r="53" customFormat="false" ht="15" hidden="false" customHeight="false" outlineLevel="0" collapsed="false">
      <c r="A53" s="27" t="n">
        <v>43374</v>
      </c>
      <c r="B53" s="28" t="str">
        <f aca="true">IFERROR(IF(SUMIFS(INDIRECT(Index!$M$14),INDIRECT(Index!$L$14),"&gt;="&amp;$A53,INDIRECT(Index!$L$14),"&lt;"&amp;EDATE($A53,3))=0,"",SUMIFS(INDIRECT(Index!$M$14),INDIRECT(Index!$L$14),"&gt;="&amp;$A53,INDIRECT(Index!$L$14),"&lt;"&amp;EDATE($A53,3))),"")</f>
        <v/>
      </c>
      <c r="C53" s="29" t="str">
        <f aca="false">IFERROR(B53/B52-1,"")</f>
        <v/>
      </c>
      <c r="D53" s="29" t="str">
        <f aca="false">IFERROR(B53/B49-1,"")</f>
        <v/>
      </c>
      <c r="E53" s="31" t="str">
        <f aca="false">IFERROR(IF(AND(B53="",ISNUMBER($C$7),ISNUMBER($G$7)),$C$7*(1+$G$7)^(($A53-$E$7)/365.25),""),"")</f>
        <v/>
      </c>
      <c r="F53" s="31" t="str">
        <f aca="false">IFERROR(IF(AND(B53="",ISNUMBER($C$7),ISNUMBER($G$7)),$C$7*(1+$G$7*0.85^MAX(0,($A53-$E$7)/91.25))^(($A53-$E$7)/365.25),""),"")</f>
        <v/>
      </c>
    </row>
    <row r="54" customFormat="false" ht="15" hidden="false" customHeight="false" outlineLevel="0" collapsed="false">
      <c r="A54" s="15" t="n">
        <v>43466</v>
      </c>
      <c r="B54" s="20" t="str">
        <f aca="true">IFERROR(IF(SUMIFS(INDIRECT(Index!$M$14),INDIRECT(Index!$L$14),"&gt;="&amp;$A54,INDIRECT(Index!$L$14),"&lt;"&amp;EDATE($A54,3))=0,"",SUMIFS(INDIRECT(Index!$M$14),INDIRECT(Index!$L$14),"&gt;="&amp;$A54,INDIRECT(Index!$L$14),"&lt;"&amp;EDATE($A54,3))),"")</f>
        <v/>
      </c>
      <c r="C54" s="33" t="str">
        <f aca="false">IFERROR(B54/B53-1,"")</f>
        <v/>
      </c>
      <c r="D54" s="33" t="str">
        <f aca="false">IFERROR(B54/B50-1,"")</f>
        <v/>
      </c>
      <c r="E54" s="25" t="str">
        <f aca="false">IFERROR(IF(AND(B54="",ISNUMBER($C$7),ISNUMBER($G$7)),$C$7*(1+$G$7)^(($A54-$E$7)/365.25),""),"")</f>
        <v/>
      </c>
      <c r="F54" s="25" t="str">
        <f aca="false">IFERROR(IF(AND(B54="",ISNUMBER($C$7),ISNUMBER($G$7)),$C$7*(1+$G$7*0.85^MAX(0,($A54-$E$7)/91.25))^(($A54-$E$7)/365.25),""),"")</f>
        <v/>
      </c>
    </row>
    <row r="55" customFormat="false" ht="15" hidden="false" customHeight="false" outlineLevel="0" collapsed="false">
      <c r="A55" s="27" t="n">
        <v>43556</v>
      </c>
      <c r="B55" s="28" t="str">
        <f aca="true">IFERROR(IF(SUMIFS(INDIRECT(Index!$M$14),INDIRECT(Index!$L$14),"&gt;="&amp;$A55,INDIRECT(Index!$L$14),"&lt;"&amp;EDATE($A55,3))=0,"",SUMIFS(INDIRECT(Index!$M$14),INDIRECT(Index!$L$14),"&gt;="&amp;$A55,INDIRECT(Index!$L$14),"&lt;"&amp;EDATE($A55,3))),"")</f>
        <v/>
      </c>
      <c r="C55" s="29" t="str">
        <f aca="false">IFERROR(B55/B54-1,"")</f>
        <v/>
      </c>
      <c r="D55" s="29" t="str">
        <f aca="false">IFERROR(B55/B51-1,"")</f>
        <v/>
      </c>
      <c r="E55" s="31" t="str">
        <f aca="false">IFERROR(IF(AND(B55="",ISNUMBER($C$7),ISNUMBER($G$7)),$C$7*(1+$G$7)^(($A55-$E$7)/365.25),""),"")</f>
        <v/>
      </c>
      <c r="F55" s="31" t="str">
        <f aca="false">IFERROR(IF(AND(B55="",ISNUMBER($C$7),ISNUMBER($G$7)),$C$7*(1+$G$7*0.85^MAX(0,($A55-$E$7)/91.25))^(($A55-$E$7)/365.25),""),"")</f>
        <v/>
      </c>
    </row>
    <row r="56" customFormat="false" ht="15" hidden="false" customHeight="false" outlineLevel="0" collapsed="false">
      <c r="A56" s="15" t="n">
        <v>43647</v>
      </c>
      <c r="B56" s="20" t="str">
        <f aca="true">IFERROR(IF(SUMIFS(INDIRECT(Index!$M$14),INDIRECT(Index!$L$14),"&gt;="&amp;$A56,INDIRECT(Index!$L$14),"&lt;"&amp;EDATE($A56,3))=0,"",SUMIFS(INDIRECT(Index!$M$14),INDIRECT(Index!$L$14),"&gt;="&amp;$A56,INDIRECT(Index!$L$14),"&lt;"&amp;EDATE($A56,3))),"")</f>
        <v/>
      </c>
      <c r="C56" s="33" t="str">
        <f aca="false">IFERROR(B56/B55-1,"")</f>
        <v/>
      </c>
      <c r="D56" s="33" t="str">
        <f aca="false">IFERROR(B56/B52-1,"")</f>
        <v/>
      </c>
      <c r="E56" s="25" t="str">
        <f aca="false">IFERROR(IF(AND(B56="",ISNUMBER($C$7),ISNUMBER($G$7)),$C$7*(1+$G$7)^(($A56-$E$7)/365.25),""),"")</f>
        <v/>
      </c>
      <c r="F56" s="25" t="str">
        <f aca="false">IFERROR(IF(AND(B56="",ISNUMBER($C$7),ISNUMBER($G$7)),$C$7*(1+$G$7*0.85^MAX(0,($A56-$E$7)/91.25))^(($A56-$E$7)/365.25),""),"")</f>
        <v/>
      </c>
    </row>
    <row r="57" customFormat="false" ht="15" hidden="false" customHeight="false" outlineLevel="0" collapsed="false">
      <c r="A57" s="27" t="n">
        <v>43739</v>
      </c>
      <c r="B57" s="28" t="str">
        <f aca="true">IFERROR(IF(SUMIFS(INDIRECT(Index!$M$14),INDIRECT(Index!$L$14),"&gt;="&amp;$A57,INDIRECT(Index!$L$14),"&lt;"&amp;EDATE($A57,3))=0,"",SUMIFS(INDIRECT(Index!$M$14),INDIRECT(Index!$L$14),"&gt;="&amp;$A57,INDIRECT(Index!$L$14),"&lt;"&amp;EDATE($A57,3))),"")</f>
        <v/>
      </c>
      <c r="C57" s="29" t="str">
        <f aca="false">IFERROR(B57/B56-1,"")</f>
        <v/>
      </c>
      <c r="D57" s="29" t="str">
        <f aca="false">IFERROR(B57/B53-1,"")</f>
        <v/>
      </c>
      <c r="E57" s="31" t="str">
        <f aca="false">IFERROR(IF(AND(B57="",ISNUMBER($C$7),ISNUMBER($G$7)),$C$7*(1+$G$7)^(($A57-$E$7)/365.25),""),"")</f>
        <v/>
      </c>
      <c r="F57" s="31" t="str">
        <f aca="false">IFERROR(IF(AND(B57="",ISNUMBER($C$7),ISNUMBER($G$7)),$C$7*(1+$G$7*0.85^MAX(0,($A57-$E$7)/91.25))^(($A57-$E$7)/365.25),""),"")</f>
        <v/>
      </c>
    </row>
    <row r="58" customFormat="false" ht="15" hidden="false" customHeight="false" outlineLevel="0" collapsed="false">
      <c r="A58" s="15" t="n">
        <v>43831</v>
      </c>
      <c r="B58" s="20" t="str">
        <f aca="true">IFERROR(IF(SUMIFS(INDIRECT(Index!$M$14),INDIRECT(Index!$L$14),"&gt;="&amp;$A58,INDIRECT(Index!$L$14),"&lt;"&amp;EDATE($A58,3))=0,"",SUMIFS(INDIRECT(Index!$M$14),INDIRECT(Index!$L$14),"&gt;="&amp;$A58,INDIRECT(Index!$L$14),"&lt;"&amp;EDATE($A58,3))),"")</f>
        <v/>
      </c>
      <c r="C58" s="33" t="str">
        <f aca="false">IFERROR(B58/B57-1,"")</f>
        <v/>
      </c>
      <c r="D58" s="33" t="str">
        <f aca="false">IFERROR(B58/B54-1,"")</f>
        <v/>
      </c>
      <c r="E58" s="25" t="str">
        <f aca="false">IFERROR(IF(AND(B58="",ISNUMBER($C$7),ISNUMBER($G$7)),$C$7*(1+$G$7)^(($A58-$E$7)/365.25),""),"")</f>
        <v/>
      </c>
      <c r="F58" s="25" t="str">
        <f aca="false">IFERROR(IF(AND(B58="",ISNUMBER($C$7),ISNUMBER($G$7)),$C$7*(1+$G$7*0.85^MAX(0,($A58-$E$7)/91.25))^(($A58-$E$7)/365.25),""),"")</f>
        <v/>
      </c>
    </row>
    <row r="59" customFormat="false" ht="15" hidden="false" customHeight="false" outlineLevel="0" collapsed="false">
      <c r="A59" s="27" t="n">
        <v>43922</v>
      </c>
      <c r="B59" s="28" t="str">
        <f aca="true">IFERROR(IF(SUMIFS(INDIRECT(Index!$M$14),INDIRECT(Index!$L$14),"&gt;="&amp;$A59,INDIRECT(Index!$L$14),"&lt;"&amp;EDATE($A59,3))=0,"",SUMIFS(INDIRECT(Index!$M$14),INDIRECT(Index!$L$14),"&gt;="&amp;$A59,INDIRECT(Index!$L$14),"&lt;"&amp;EDATE($A59,3))),"")</f>
        <v/>
      </c>
      <c r="C59" s="29" t="str">
        <f aca="false">IFERROR(B59/B58-1,"")</f>
        <v/>
      </c>
      <c r="D59" s="29" t="str">
        <f aca="false">IFERROR(B59/B55-1,"")</f>
        <v/>
      </c>
      <c r="E59" s="31" t="str">
        <f aca="false">IFERROR(IF(AND(B59="",ISNUMBER($C$7),ISNUMBER($G$7)),$C$7*(1+$G$7)^(($A59-$E$7)/365.25),""),"")</f>
        <v/>
      </c>
      <c r="F59" s="31" t="str">
        <f aca="false">IFERROR(IF(AND(B59="",ISNUMBER($C$7),ISNUMBER($G$7)),$C$7*(1+$G$7*0.85^MAX(0,($A59-$E$7)/91.25))^(($A59-$E$7)/365.25),""),"")</f>
        <v/>
      </c>
    </row>
    <row r="60" customFormat="false" ht="15" hidden="false" customHeight="false" outlineLevel="0" collapsed="false">
      <c r="A60" s="15" t="n">
        <v>44013</v>
      </c>
      <c r="B60" s="20" t="str">
        <f aca="true">IFERROR(IF(SUMIFS(INDIRECT(Index!$M$14),INDIRECT(Index!$L$14),"&gt;="&amp;$A60,INDIRECT(Index!$L$14),"&lt;"&amp;EDATE($A60,3))=0,"",SUMIFS(INDIRECT(Index!$M$14),INDIRECT(Index!$L$14),"&gt;="&amp;$A60,INDIRECT(Index!$L$14),"&lt;"&amp;EDATE($A60,3))),"")</f>
        <v/>
      </c>
      <c r="C60" s="33" t="str">
        <f aca="false">IFERROR(B60/B59-1,"")</f>
        <v/>
      </c>
      <c r="D60" s="33" t="str">
        <f aca="false">IFERROR(B60/B56-1,"")</f>
        <v/>
      </c>
      <c r="E60" s="25" t="str">
        <f aca="false">IFERROR(IF(AND(B60="",ISNUMBER($C$7),ISNUMBER($G$7)),$C$7*(1+$G$7)^(($A60-$E$7)/365.25),""),"")</f>
        <v/>
      </c>
      <c r="F60" s="25" t="str">
        <f aca="false">IFERROR(IF(AND(B60="",ISNUMBER($C$7),ISNUMBER($G$7)),$C$7*(1+$G$7*0.85^MAX(0,($A60-$E$7)/91.25))^(($A60-$E$7)/365.25),""),"")</f>
        <v/>
      </c>
    </row>
    <row r="61" customFormat="false" ht="15" hidden="false" customHeight="false" outlineLevel="0" collapsed="false">
      <c r="A61" s="27" t="n">
        <v>44105</v>
      </c>
      <c r="B61" s="28" t="str">
        <f aca="true">IFERROR(IF(SUMIFS(INDIRECT(Index!$M$14),INDIRECT(Index!$L$14),"&gt;="&amp;$A61,INDIRECT(Index!$L$14),"&lt;"&amp;EDATE($A61,3))=0,"",SUMIFS(INDIRECT(Index!$M$14),INDIRECT(Index!$L$14),"&gt;="&amp;$A61,INDIRECT(Index!$L$14),"&lt;"&amp;EDATE($A61,3))),"")</f>
        <v/>
      </c>
      <c r="C61" s="29" t="str">
        <f aca="false">IFERROR(B61/B60-1,"")</f>
        <v/>
      </c>
      <c r="D61" s="29" t="str">
        <f aca="false">IFERROR(B61/B57-1,"")</f>
        <v/>
      </c>
      <c r="E61" s="31" t="str">
        <f aca="false">IFERROR(IF(AND(B61="",ISNUMBER($C$7),ISNUMBER($G$7)),$C$7*(1+$G$7)^(($A61-$E$7)/365.25),""),"")</f>
        <v/>
      </c>
      <c r="F61" s="31" t="str">
        <f aca="false">IFERROR(IF(AND(B61="",ISNUMBER($C$7),ISNUMBER($G$7)),$C$7*(1+$G$7*0.85^MAX(0,($A61-$E$7)/91.25))^(($A61-$E$7)/365.25),""),"")</f>
        <v/>
      </c>
    </row>
    <row r="62" customFormat="false" ht="15" hidden="false" customHeight="false" outlineLevel="0" collapsed="false">
      <c r="A62" s="15" t="n">
        <v>44197</v>
      </c>
      <c r="B62" s="20" t="str">
        <f aca="true">IFERROR(IF(SUMIFS(INDIRECT(Index!$M$14),INDIRECT(Index!$L$14),"&gt;="&amp;$A62,INDIRECT(Index!$L$14),"&lt;"&amp;EDATE($A62,3))=0,"",SUMIFS(INDIRECT(Index!$M$14),INDIRECT(Index!$L$14),"&gt;="&amp;$A62,INDIRECT(Index!$L$14),"&lt;"&amp;EDATE($A62,3))),"")</f>
        <v/>
      </c>
      <c r="C62" s="33" t="str">
        <f aca="false">IFERROR(B62/B61-1,"")</f>
        <v/>
      </c>
      <c r="D62" s="33" t="str">
        <f aca="false">IFERROR(B62/B58-1,"")</f>
        <v/>
      </c>
      <c r="E62" s="25" t="str">
        <f aca="false">IFERROR(IF(AND(B62="",ISNUMBER($C$7),ISNUMBER($G$7)),$C$7*(1+$G$7)^(($A62-$E$7)/365.25),""),"")</f>
        <v/>
      </c>
      <c r="F62" s="25" t="str">
        <f aca="false">IFERROR(IF(AND(B62="",ISNUMBER($C$7),ISNUMBER($G$7)),$C$7*(1+$G$7*0.85^MAX(0,($A62-$E$7)/91.25))^(($A62-$E$7)/365.25),""),"")</f>
        <v/>
      </c>
    </row>
    <row r="63" customFormat="false" ht="15" hidden="false" customHeight="false" outlineLevel="0" collapsed="false">
      <c r="A63" s="27" t="n">
        <v>44287</v>
      </c>
      <c r="B63" s="28" t="str">
        <f aca="true">IFERROR(IF(SUMIFS(INDIRECT(Index!$M$14),INDIRECT(Index!$L$14),"&gt;="&amp;$A63,INDIRECT(Index!$L$14),"&lt;"&amp;EDATE($A63,3))=0,"",SUMIFS(INDIRECT(Index!$M$14),INDIRECT(Index!$L$14),"&gt;="&amp;$A63,INDIRECT(Index!$L$14),"&lt;"&amp;EDATE($A63,3))),"")</f>
        <v/>
      </c>
      <c r="C63" s="29" t="str">
        <f aca="false">IFERROR(B63/B62-1,"")</f>
        <v/>
      </c>
      <c r="D63" s="29" t="str">
        <f aca="false">IFERROR(B63/B59-1,"")</f>
        <v/>
      </c>
      <c r="E63" s="31" t="str">
        <f aca="false">IFERROR(IF(AND(B63="",ISNUMBER($C$7),ISNUMBER($G$7)),$C$7*(1+$G$7)^(($A63-$E$7)/365.25),""),"")</f>
        <v/>
      </c>
      <c r="F63" s="31" t="str">
        <f aca="false">IFERROR(IF(AND(B63="",ISNUMBER($C$7),ISNUMBER($G$7)),$C$7*(1+$G$7*0.85^MAX(0,($A63-$E$7)/91.25))^(($A63-$E$7)/365.25),""),"")</f>
        <v/>
      </c>
    </row>
    <row r="64" customFormat="false" ht="15" hidden="false" customHeight="false" outlineLevel="0" collapsed="false">
      <c r="A64" s="15" t="n">
        <v>44378</v>
      </c>
      <c r="B64" s="20" t="str">
        <f aca="true">IFERROR(IF(SUMIFS(INDIRECT(Index!$M$14),INDIRECT(Index!$L$14),"&gt;="&amp;$A64,INDIRECT(Index!$L$14),"&lt;"&amp;EDATE($A64,3))=0,"",SUMIFS(INDIRECT(Index!$M$14),INDIRECT(Index!$L$14),"&gt;="&amp;$A64,INDIRECT(Index!$L$14),"&lt;"&amp;EDATE($A64,3))),"")</f>
        <v/>
      </c>
      <c r="C64" s="33" t="str">
        <f aca="false">IFERROR(B64/B63-1,"")</f>
        <v/>
      </c>
      <c r="D64" s="33" t="str">
        <f aca="false">IFERROR(B64/B60-1,"")</f>
        <v/>
      </c>
      <c r="E64" s="25" t="str">
        <f aca="false">IFERROR(IF(AND(B64="",ISNUMBER($C$7),ISNUMBER($G$7)),$C$7*(1+$G$7)^(($A64-$E$7)/365.25),""),"")</f>
        <v/>
      </c>
      <c r="F64" s="25" t="str">
        <f aca="false">IFERROR(IF(AND(B64="",ISNUMBER($C$7),ISNUMBER($G$7)),$C$7*(1+$G$7*0.85^MAX(0,($A64-$E$7)/91.25))^(($A64-$E$7)/365.25),""),"")</f>
        <v/>
      </c>
    </row>
    <row r="65" customFormat="false" ht="15" hidden="false" customHeight="false" outlineLevel="0" collapsed="false">
      <c r="A65" s="27" t="n">
        <v>44470</v>
      </c>
      <c r="B65" s="28" t="str">
        <f aca="true">IFERROR(IF(SUMIFS(INDIRECT(Index!$M$14),INDIRECT(Index!$L$14),"&gt;="&amp;$A65,INDIRECT(Index!$L$14),"&lt;"&amp;EDATE($A65,3))=0,"",SUMIFS(INDIRECT(Index!$M$14),INDIRECT(Index!$L$14),"&gt;="&amp;$A65,INDIRECT(Index!$L$14),"&lt;"&amp;EDATE($A65,3))),"")</f>
        <v/>
      </c>
      <c r="C65" s="29" t="str">
        <f aca="false">IFERROR(B65/B64-1,"")</f>
        <v/>
      </c>
      <c r="D65" s="29" t="str">
        <f aca="false">IFERROR(B65/B61-1,"")</f>
        <v/>
      </c>
      <c r="E65" s="31" t="str">
        <f aca="false">IFERROR(IF(AND(B65="",ISNUMBER($C$7),ISNUMBER($G$7)),$C$7*(1+$G$7)^(($A65-$E$7)/365.25),""),"")</f>
        <v/>
      </c>
      <c r="F65" s="31" t="str">
        <f aca="false">IFERROR(IF(AND(B65="",ISNUMBER($C$7),ISNUMBER($G$7)),$C$7*(1+$G$7*0.85^MAX(0,($A65-$E$7)/91.25))^(($A65-$E$7)/365.25),""),"")</f>
        <v/>
      </c>
    </row>
    <row r="66" customFormat="false" ht="15" hidden="false" customHeight="false" outlineLevel="0" collapsed="false">
      <c r="A66" s="15" t="n">
        <v>44562</v>
      </c>
      <c r="B66" s="20" t="str">
        <f aca="true">IFERROR(IF(SUMIFS(INDIRECT(Index!$M$14),INDIRECT(Index!$L$14),"&gt;="&amp;$A66,INDIRECT(Index!$L$14),"&lt;"&amp;EDATE($A66,3))=0,"",SUMIFS(INDIRECT(Index!$M$14),INDIRECT(Index!$L$14),"&gt;="&amp;$A66,INDIRECT(Index!$L$14),"&lt;"&amp;EDATE($A66,3))),"")</f>
        <v/>
      </c>
      <c r="C66" s="33" t="str">
        <f aca="false">IFERROR(B66/B65-1,"")</f>
        <v/>
      </c>
      <c r="D66" s="33" t="str">
        <f aca="false">IFERROR(B66/B62-1,"")</f>
        <v/>
      </c>
      <c r="E66" s="25" t="str">
        <f aca="false">IFERROR(IF(AND(B66="",ISNUMBER($C$7),ISNUMBER($G$7)),$C$7*(1+$G$7)^(($A66-$E$7)/365.25),""),"")</f>
        <v/>
      </c>
      <c r="F66" s="25" t="str">
        <f aca="false">IFERROR(IF(AND(B66="",ISNUMBER($C$7),ISNUMBER($G$7)),$C$7*(1+$G$7*0.85^MAX(0,($A66-$E$7)/91.25))^(($A66-$E$7)/365.25),""),"")</f>
        <v/>
      </c>
    </row>
    <row r="67" customFormat="false" ht="15" hidden="false" customHeight="false" outlineLevel="0" collapsed="false">
      <c r="A67" s="27" t="n">
        <v>44652</v>
      </c>
      <c r="B67" s="28" t="str">
        <f aca="true">IFERROR(IF(SUMIFS(INDIRECT(Index!$M$14),INDIRECT(Index!$L$14),"&gt;="&amp;$A67,INDIRECT(Index!$L$14),"&lt;"&amp;EDATE($A67,3))=0,"",SUMIFS(INDIRECT(Index!$M$14),INDIRECT(Index!$L$14),"&gt;="&amp;$A67,INDIRECT(Index!$L$14),"&lt;"&amp;EDATE($A67,3))),"")</f>
        <v/>
      </c>
      <c r="C67" s="29" t="str">
        <f aca="false">IFERROR(B67/B66-1,"")</f>
        <v/>
      </c>
      <c r="D67" s="29" t="str">
        <f aca="false">IFERROR(B67/B63-1,"")</f>
        <v/>
      </c>
      <c r="E67" s="31" t="str">
        <f aca="false">IFERROR(IF(AND(B67="",ISNUMBER($C$7),ISNUMBER($G$7)),$C$7*(1+$G$7)^(($A67-$E$7)/365.25),""),"")</f>
        <v/>
      </c>
      <c r="F67" s="31" t="str">
        <f aca="false">IFERROR(IF(AND(B67="",ISNUMBER($C$7),ISNUMBER($G$7)),$C$7*(1+$G$7*0.85^MAX(0,($A67-$E$7)/91.25))^(($A67-$E$7)/365.25),""),"")</f>
        <v/>
      </c>
    </row>
    <row r="68" customFormat="false" ht="15" hidden="false" customHeight="false" outlineLevel="0" collapsed="false">
      <c r="A68" s="15" t="n">
        <v>44743</v>
      </c>
      <c r="B68" s="20" t="str">
        <f aca="true">IFERROR(IF(SUMIFS(INDIRECT(Index!$M$14),INDIRECT(Index!$L$14),"&gt;="&amp;$A68,INDIRECT(Index!$L$14),"&lt;"&amp;EDATE($A68,3))=0,"",SUMIFS(INDIRECT(Index!$M$14),INDIRECT(Index!$L$14),"&gt;="&amp;$A68,INDIRECT(Index!$L$14),"&lt;"&amp;EDATE($A68,3))),"")</f>
        <v/>
      </c>
      <c r="C68" s="33" t="str">
        <f aca="false">IFERROR(B68/B67-1,"")</f>
        <v/>
      </c>
      <c r="D68" s="33" t="str">
        <f aca="false">IFERROR(B68/B64-1,"")</f>
        <v/>
      </c>
      <c r="E68" s="25" t="str">
        <f aca="false">IFERROR(IF(AND(B68="",ISNUMBER($C$7),ISNUMBER($G$7)),$C$7*(1+$G$7)^(($A68-$E$7)/365.25),""),"")</f>
        <v/>
      </c>
      <c r="F68" s="25" t="str">
        <f aca="false">IFERROR(IF(AND(B68="",ISNUMBER($C$7),ISNUMBER($G$7)),$C$7*(1+$G$7*0.85^MAX(0,($A68-$E$7)/91.25))^(($A68-$E$7)/365.25),""),"")</f>
        <v/>
      </c>
    </row>
    <row r="69" customFormat="false" ht="15" hidden="false" customHeight="false" outlineLevel="0" collapsed="false">
      <c r="A69" s="27" t="n">
        <v>44835</v>
      </c>
      <c r="B69" s="28" t="str">
        <f aca="true">IFERROR(IF(SUMIFS(INDIRECT(Index!$M$14),INDIRECT(Index!$L$14),"&gt;="&amp;$A69,INDIRECT(Index!$L$14),"&lt;"&amp;EDATE($A69,3))=0,"",SUMIFS(INDIRECT(Index!$M$14),INDIRECT(Index!$L$14),"&gt;="&amp;$A69,INDIRECT(Index!$L$14),"&lt;"&amp;EDATE($A69,3))),"")</f>
        <v/>
      </c>
      <c r="C69" s="29" t="str">
        <f aca="false">IFERROR(B69/B68-1,"")</f>
        <v/>
      </c>
      <c r="D69" s="29" t="str">
        <f aca="false">IFERROR(B69/B65-1,"")</f>
        <v/>
      </c>
      <c r="E69" s="31" t="str">
        <f aca="false">IFERROR(IF(AND(B69="",ISNUMBER($C$7),ISNUMBER($G$7)),$C$7*(1+$G$7)^(($A69-$E$7)/365.25),""),"")</f>
        <v/>
      </c>
      <c r="F69" s="31" t="str">
        <f aca="false">IFERROR(IF(AND(B69="",ISNUMBER($C$7),ISNUMBER($G$7)),$C$7*(1+$G$7*0.85^MAX(0,($A69-$E$7)/91.25))^(($A69-$E$7)/365.25),""),"")</f>
        <v/>
      </c>
    </row>
    <row r="70" customFormat="false" ht="15" hidden="false" customHeight="false" outlineLevel="0" collapsed="false">
      <c r="A70" s="15" t="n">
        <v>44927</v>
      </c>
      <c r="B70" s="20" t="str">
        <f aca="true">IFERROR(IF(SUMIFS(INDIRECT(Index!$M$14),INDIRECT(Index!$L$14),"&gt;="&amp;$A70,INDIRECT(Index!$L$14),"&lt;"&amp;EDATE($A70,3))=0,"",SUMIFS(INDIRECT(Index!$M$14),INDIRECT(Index!$L$14),"&gt;="&amp;$A70,INDIRECT(Index!$L$14),"&lt;"&amp;EDATE($A70,3))),"")</f>
        <v/>
      </c>
      <c r="C70" s="33" t="str">
        <f aca="false">IFERROR(B70/B69-1,"")</f>
        <v/>
      </c>
      <c r="D70" s="33" t="str">
        <f aca="false">IFERROR(B70/B66-1,"")</f>
        <v/>
      </c>
      <c r="E70" s="25" t="str">
        <f aca="false">IFERROR(IF(AND(B70="",ISNUMBER($C$7),ISNUMBER($G$7)),$C$7*(1+$G$7)^(($A70-$E$7)/365.25),""),"")</f>
        <v/>
      </c>
      <c r="F70" s="25" t="str">
        <f aca="false">IFERROR(IF(AND(B70="",ISNUMBER($C$7),ISNUMBER($G$7)),$C$7*(1+$G$7*0.85^MAX(0,($A70-$E$7)/91.25))^(($A70-$E$7)/365.25),""),"")</f>
        <v/>
      </c>
    </row>
    <row r="71" customFormat="false" ht="15" hidden="false" customHeight="false" outlineLevel="0" collapsed="false">
      <c r="A71" s="27" t="n">
        <v>45017</v>
      </c>
      <c r="B71" s="28" t="str">
        <f aca="true">IFERROR(IF(SUMIFS(INDIRECT(Index!$M$14),INDIRECT(Index!$L$14),"&gt;="&amp;$A71,INDIRECT(Index!$L$14),"&lt;"&amp;EDATE($A71,3))=0,"",SUMIFS(INDIRECT(Index!$M$14),INDIRECT(Index!$L$14),"&gt;="&amp;$A71,INDIRECT(Index!$L$14),"&lt;"&amp;EDATE($A71,3))),"")</f>
        <v/>
      </c>
      <c r="C71" s="29" t="str">
        <f aca="false">IFERROR(B71/B70-1,"")</f>
        <v/>
      </c>
      <c r="D71" s="29" t="str">
        <f aca="false">IFERROR(B71/B67-1,"")</f>
        <v/>
      </c>
      <c r="E71" s="31" t="str">
        <f aca="false">IFERROR(IF(AND(B71="",ISNUMBER($C$7),ISNUMBER($G$7)),$C$7*(1+$G$7)^(($A71-$E$7)/365.25),""),"")</f>
        <v/>
      </c>
      <c r="F71" s="31" t="str">
        <f aca="false">IFERROR(IF(AND(B71="",ISNUMBER($C$7),ISNUMBER($G$7)),$C$7*(1+$G$7*0.85^MAX(0,($A71-$E$7)/91.25))^(($A71-$E$7)/365.25),""),"")</f>
        <v/>
      </c>
    </row>
    <row r="72" customFormat="false" ht="15" hidden="false" customHeight="false" outlineLevel="0" collapsed="false">
      <c r="A72" s="15" t="n">
        <v>45108</v>
      </c>
      <c r="B72" s="20" t="str">
        <f aca="true">IFERROR(IF(SUMIFS(INDIRECT(Index!$M$14),INDIRECT(Index!$L$14),"&gt;="&amp;$A72,INDIRECT(Index!$L$14),"&lt;"&amp;EDATE($A72,3))=0,"",SUMIFS(INDIRECT(Index!$M$14),INDIRECT(Index!$L$14),"&gt;="&amp;$A72,INDIRECT(Index!$L$14),"&lt;"&amp;EDATE($A72,3))),"")</f>
        <v/>
      </c>
      <c r="C72" s="33" t="str">
        <f aca="false">IFERROR(B72/B71-1,"")</f>
        <v/>
      </c>
      <c r="D72" s="33" t="str">
        <f aca="false">IFERROR(B72/B68-1,"")</f>
        <v/>
      </c>
      <c r="E72" s="25" t="str">
        <f aca="false">IFERROR(IF(AND(B72="",ISNUMBER($C$7),ISNUMBER($G$7)),$C$7*(1+$G$7)^(($A72-$E$7)/365.25),""),"")</f>
        <v/>
      </c>
      <c r="F72" s="25" t="str">
        <f aca="false">IFERROR(IF(AND(B72="",ISNUMBER($C$7),ISNUMBER($G$7)),$C$7*(1+$G$7*0.85^MAX(0,($A72-$E$7)/91.25))^(($A72-$E$7)/365.25),""),"")</f>
        <v/>
      </c>
    </row>
    <row r="73" customFormat="false" ht="15" hidden="false" customHeight="false" outlineLevel="0" collapsed="false">
      <c r="A73" s="27" t="n">
        <v>45200</v>
      </c>
      <c r="B73" s="28" t="str">
        <f aca="true">IFERROR(IF(SUMIFS(INDIRECT(Index!$M$14),INDIRECT(Index!$L$14),"&gt;="&amp;$A73,INDIRECT(Index!$L$14),"&lt;"&amp;EDATE($A73,3))=0,"",SUMIFS(INDIRECT(Index!$M$14),INDIRECT(Index!$L$14),"&gt;="&amp;$A73,INDIRECT(Index!$L$14),"&lt;"&amp;EDATE($A73,3))),"")</f>
        <v/>
      </c>
      <c r="C73" s="29" t="str">
        <f aca="false">IFERROR(B73/B72-1,"")</f>
        <v/>
      </c>
      <c r="D73" s="29" t="str">
        <f aca="false">IFERROR(B73/B69-1,"")</f>
        <v/>
      </c>
      <c r="E73" s="31" t="str">
        <f aca="false">IFERROR(IF(AND(B73="",ISNUMBER($C$7),ISNUMBER($G$7)),$C$7*(1+$G$7)^(($A73-$E$7)/365.25),""),"")</f>
        <v/>
      </c>
      <c r="F73" s="31" t="str">
        <f aca="false">IFERROR(IF(AND(B73="",ISNUMBER($C$7),ISNUMBER($G$7)),$C$7*(1+$G$7*0.85^MAX(0,($A73-$E$7)/91.25))^(($A73-$E$7)/365.25),""),"")</f>
        <v/>
      </c>
    </row>
    <row r="74" customFormat="false" ht="15" hidden="false" customHeight="false" outlineLevel="0" collapsed="false">
      <c r="A74" s="15" t="n">
        <v>45292</v>
      </c>
      <c r="B74" s="20" t="str">
        <f aca="true">IFERROR(IF(SUMIFS(INDIRECT(Index!$M$14),INDIRECT(Index!$L$14),"&gt;="&amp;$A74,INDIRECT(Index!$L$14),"&lt;"&amp;EDATE($A74,3))=0,"",SUMIFS(INDIRECT(Index!$M$14),INDIRECT(Index!$L$14),"&gt;="&amp;$A74,INDIRECT(Index!$L$14),"&lt;"&amp;EDATE($A74,3))),"")</f>
        <v/>
      </c>
      <c r="C74" s="33" t="str">
        <f aca="false">IFERROR(B74/B73-1,"")</f>
        <v/>
      </c>
      <c r="D74" s="33" t="str">
        <f aca="false">IFERROR(B74/B70-1,"")</f>
        <v/>
      </c>
      <c r="E74" s="25" t="str">
        <f aca="false">IFERROR(IF(AND(B74="",ISNUMBER($C$7),ISNUMBER($G$7)),$C$7*(1+$G$7)^(($A74-$E$7)/365.25),""),"")</f>
        <v/>
      </c>
      <c r="F74" s="25" t="str">
        <f aca="false">IFERROR(IF(AND(B74="",ISNUMBER($C$7),ISNUMBER($G$7)),$C$7*(1+$G$7*0.85^MAX(0,($A74-$E$7)/91.25))^(($A74-$E$7)/365.25),""),"")</f>
        <v/>
      </c>
    </row>
    <row r="75" customFormat="false" ht="15" hidden="false" customHeight="false" outlineLevel="0" collapsed="false">
      <c r="A75" s="27" t="n">
        <v>45383</v>
      </c>
      <c r="B75" s="28" t="str">
        <f aca="true">IFERROR(IF(SUMIFS(INDIRECT(Index!$M$14),INDIRECT(Index!$L$14),"&gt;="&amp;$A75,INDIRECT(Index!$L$14),"&lt;"&amp;EDATE($A75,3))=0,"",SUMIFS(INDIRECT(Index!$M$14),INDIRECT(Index!$L$14),"&gt;="&amp;$A75,INDIRECT(Index!$L$14),"&lt;"&amp;EDATE($A75,3))),"")</f>
        <v/>
      </c>
      <c r="C75" s="29" t="str">
        <f aca="false">IFERROR(B75/B74-1,"")</f>
        <v/>
      </c>
      <c r="D75" s="29" t="str">
        <f aca="false">IFERROR(B75/B71-1,"")</f>
        <v/>
      </c>
      <c r="E75" s="31" t="str">
        <f aca="false">IFERROR(IF(AND(B75="",ISNUMBER($C$7),ISNUMBER($G$7)),$C$7*(1+$G$7)^(($A75-$E$7)/365.25),""),"")</f>
        <v/>
      </c>
      <c r="F75" s="31" t="str">
        <f aca="false">IFERROR(IF(AND(B75="",ISNUMBER($C$7),ISNUMBER($G$7)),$C$7*(1+$G$7*0.85^MAX(0,($A75-$E$7)/91.25))^(($A75-$E$7)/365.25),""),"")</f>
        <v/>
      </c>
    </row>
    <row r="76" customFormat="false" ht="15" hidden="false" customHeight="false" outlineLevel="0" collapsed="false">
      <c r="A76" s="15" t="n">
        <v>45474</v>
      </c>
      <c r="B76" s="20" t="str">
        <f aca="true">IFERROR(IF(SUMIFS(INDIRECT(Index!$M$14),INDIRECT(Index!$L$14),"&gt;="&amp;$A76,INDIRECT(Index!$L$14),"&lt;"&amp;EDATE($A76,3))=0,"",SUMIFS(INDIRECT(Index!$M$14),INDIRECT(Index!$L$14),"&gt;="&amp;$A76,INDIRECT(Index!$L$14),"&lt;"&amp;EDATE($A76,3))),"")</f>
        <v/>
      </c>
      <c r="C76" s="33" t="str">
        <f aca="false">IFERROR(B76/B75-1,"")</f>
        <v/>
      </c>
      <c r="D76" s="33" t="str">
        <f aca="false">IFERROR(B76/B72-1,"")</f>
        <v/>
      </c>
      <c r="E76" s="25" t="str">
        <f aca="false">IFERROR(IF(AND(B76="",ISNUMBER($C$7),ISNUMBER($G$7)),$C$7*(1+$G$7)^(($A76-$E$7)/365.25),""),"")</f>
        <v/>
      </c>
      <c r="F76" s="25" t="str">
        <f aca="false">IFERROR(IF(AND(B76="",ISNUMBER($C$7),ISNUMBER($G$7)),$C$7*(1+$G$7*0.85^MAX(0,($A76-$E$7)/91.25))^(($A76-$E$7)/365.25),""),"")</f>
        <v/>
      </c>
    </row>
    <row r="77" customFormat="false" ht="15" hidden="false" customHeight="false" outlineLevel="0" collapsed="false">
      <c r="A77" s="27" t="n">
        <v>45566</v>
      </c>
      <c r="B77" s="28" t="str">
        <f aca="true">IFERROR(IF(SUMIFS(INDIRECT(Index!$M$14),INDIRECT(Index!$L$14),"&gt;="&amp;$A77,INDIRECT(Index!$L$14),"&lt;"&amp;EDATE($A77,3))=0,"",SUMIFS(INDIRECT(Index!$M$14),INDIRECT(Index!$L$14),"&gt;="&amp;$A77,INDIRECT(Index!$L$14),"&lt;"&amp;EDATE($A77,3))),"")</f>
        <v/>
      </c>
      <c r="C77" s="29" t="str">
        <f aca="false">IFERROR(B77/B76-1,"")</f>
        <v/>
      </c>
      <c r="D77" s="29" t="str">
        <f aca="false">IFERROR(B77/B73-1,"")</f>
        <v/>
      </c>
      <c r="E77" s="31" t="str">
        <f aca="false">IFERROR(IF(AND(B77="",ISNUMBER($C$7),ISNUMBER($G$7)),$C$7*(1+$G$7)^(($A77-$E$7)/365.25),""),"")</f>
        <v/>
      </c>
      <c r="F77" s="31" t="str">
        <f aca="false">IFERROR(IF(AND(B77="",ISNUMBER($C$7),ISNUMBER($G$7)),$C$7*(1+$G$7*0.85^MAX(0,($A77-$E$7)/91.25))^(($A77-$E$7)/365.25),""),"")</f>
        <v/>
      </c>
    </row>
    <row r="78" customFormat="false" ht="15" hidden="false" customHeight="false" outlineLevel="0" collapsed="false">
      <c r="A78" s="15" t="n">
        <v>45658</v>
      </c>
      <c r="B78" s="20" t="str">
        <f aca="true">IFERROR(IF(SUMIFS(INDIRECT(Index!$M$14),INDIRECT(Index!$L$14),"&gt;="&amp;$A78,INDIRECT(Index!$L$14),"&lt;"&amp;EDATE($A78,3))=0,"",SUMIFS(INDIRECT(Index!$M$14),INDIRECT(Index!$L$14),"&gt;="&amp;$A78,INDIRECT(Index!$L$14),"&lt;"&amp;EDATE($A78,3))),"")</f>
        <v/>
      </c>
      <c r="C78" s="33" t="str">
        <f aca="false">IFERROR(B78/B77-1,"")</f>
        <v/>
      </c>
      <c r="D78" s="33" t="str">
        <f aca="false">IFERROR(B78/B74-1,"")</f>
        <v/>
      </c>
      <c r="E78" s="25" t="str">
        <f aca="false">IFERROR(IF(AND(B78="",ISNUMBER($C$7),ISNUMBER($G$7)),$C$7*(1+$G$7)^(($A78-$E$7)/365.25),""),"")</f>
        <v/>
      </c>
      <c r="F78" s="25" t="str">
        <f aca="false">IFERROR(IF(AND(B78="",ISNUMBER($C$7),ISNUMBER($G$7)),$C$7*(1+$G$7*0.85^MAX(0,($A78-$E$7)/91.25))^(($A78-$E$7)/365.25),""),"")</f>
        <v/>
      </c>
    </row>
    <row r="79" customFormat="false" ht="15" hidden="false" customHeight="false" outlineLevel="0" collapsed="false">
      <c r="A79" s="27" t="n">
        <v>45748</v>
      </c>
      <c r="B79" s="28" t="str">
        <f aca="true">IFERROR(IF(SUMIFS(INDIRECT(Index!$M$14),INDIRECT(Index!$L$14),"&gt;="&amp;$A79,INDIRECT(Index!$L$14),"&lt;"&amp;EDATE($A79,3))=0,"",SUMIFS(INDIRECT(Index!$M$14),INDIRECT(Index!$L$14),"&gt;="&amp;$A79,INDIRECT(Index!$L$14),"&lt;"&amp;EDATE($A79,3))),"")</f>
        <v/>
      </c>
      <c r="C79" s="29" t="str">
        <f aca="false">IFERROR(B79/B78-1,"")</f>
        <v/>
      </c>
      <c r="D79" s="29" t="str">
        <f aca="false">IFERROR(B79/B75-1,"")</f>
        <v/>
      </c>
      <c r="E79" s="31" t="str">
        <f aca="false">IFERROR(IF(AND(B79="",ISNUMBER($C$7),ISNUMBER($G$7)),$C$7*(1+$G$7)^(($A79-$E$7)/365.25),""),"")</f>
        <v/>
      </c>
      <c r="F79" s="31" t="str">
        <f aca="false">IFERROR(IF(AND(B79="",ISNUMBER($C$7),ISNUMBER($G$7)),$C$7*(1+$G$7*0.85^MAX(0,($A79-$E$7)/91.25))^(($A79-$E$7)/365.25),""),"")</f>
        <v/>
      </c>
    </row>
    <row r="80" customFormat="false" ht="15" hidden="false" customHeight="false" outlineLevel="0" collapsed="false">
      <c r="A80" s="15" t="n">
        <v>45839</v>
      </c>
      <c r="B80" s="20" t="str">
        <f aca="true">IFERROR(IF(SUMIFS(INDIRECT(Index!$M$14),INDIRECT(Index!$L$14),"&gt;="&amp;$A80,INDIRECT(Index!$L$14),"&lt;"&amp;EDATE($A80,3))=0,"",SUMIFS(INDIRECT(Index!$M$14),INDIRECT(Index!$L$14),"&gt;="&amp;$A80,INDIRECT(Index!$L$14),"&lt;"&amp;EDATE($A80,3))),"")</f>
        <v/>
      </c>
      <c r="C80" s="33" t="str">
        <f aca="false">IFERROR(B80/B79-1,"")</f>
        <v/>
      </c>
      <c r="D80" s="33" t="str">
        <f aca="false">IFERROR(B80/B76-1,"")</f>
        <v/>
      </c>
      <c r="E80" s="25" t="str">
        <f aca="false">IFERROR(IF(AND(B80="",ISNUMBER($C$7),ISNUMBER($G$7)),$C$7*(1+$G$7)^(($A80-$E$7)/365.25),""),"")</f>
        <v/>
      </c>
      <c r="F80" s="25" t="str">
        <f aca="false">IFERROR(IF(AND(B80="",ISNUMBER($C$7),ISNUMBER($G$7)),$C$7*(1+$G$7*0.85^MAX(0,($A80-$E$7)/91.25))^(($A80-$E$7)/365.25),""),"")</f>
        <v/>
      </c>
    </row>
    <row r="81" customFormat="false" ht="15" hidden="false" customHeight="false" outlineLevel="0" collapsed="false">
      <c r="A81" s="27" t="n">
        <v>45931</v>
      </c>
      <c r="B81" s="28" t="str">
        <f aca="true">IFERROR(IF(SUMIFS(INDIRECT(Index!$M$14),INDIRECT(Index!$L$14),"&gt;="&amp;$A81,INDIRECT(Index!$L$14),"&lt;"&amp;EDATE($A81,3))=0,"",SUMIFS(INDIRECT(Index!$M$14),INDIRECT(Index!$L$14),"&gt;="&amp;$A81,INDIRECT(Index!$L$14),"&lt;"&amp;EDATE($A81,3))),"")</f>
        <v/>
      </c>
      <c r="C81" s="29" t="str">
        <f aca="false">IFERROR(B81/B80-1,"")</f>
        <v/>
      </c>
      <c r="D81" s="29" t="str">
        <f aca="false">IFERROR(B81/B77-1,"")</f>
        <v/>
      </c>
      <c r="E81" s="31" t="str">
        <f aca="false">IFERROR(IF(AND(B81="",ISNUMBER($C$7),ISNUMBER($G$7)),$C$7*(1+$G$7)^(($A81-$E$7)/365.25),""),"")</f>
        <v/>
      </c>
      <c r="F81" s="31" t="str">
        <f aca="false">IFERROR(IF(AND(B81="",ISNUMBER($C$7),ISNUMBER($G$7)),$C$7*(1+$G$7*0.85^MAX(0,($A81-$E$7)/91.25))^(($A81-$E$7)/365.25),""),"")</f>
        <v/>
      </c>
    </row>
    <row r="82" customFormat="false" ht="15" hidden="false" customHeight="false" outlineLevel="0" collapsed="false">
      <c r="A82" s="15" t="n">
        <v>46023</v>
      </c>
      <c r="B82" s="20" t="str">
        <f aca="true">IFERROR(IF(SUMIFS(INDIRECT(Index!$M$14),INDIRECT(Index!$L$14),"&gt;="&amp;$A82,INDIRECT(Index!$L$14),"&lt;"&amp;EDATE($A82,3))=0,"",SUMIFS(INDIRECT(Index!$M$14),INDIRECT(Index!$L$14),"&gt;="&amp;$A82,INDIRECT(Index!$L$14),"&lt;"&amp;EDATE($A82,3))),"")</f>
        <v/>
      </c>
      <c r="C82" s="33" t="str">
        <f aca="false">IFERROR(B82/B81-1,"")</f>
        <v/>
      </c>
      <c r="D82" s="33" t="str">
        <f aca="false">IFERROR(B82/B78-1,"")</f>
        <v/>
      </c>
      <c r="E82" s="25" t="str">
        <f aca="false">IFERROR(IF(AND(B82="",ISNUMBER($C$7),ISNUMBER($G$7)),$C$7*(1+$G$7)^(($A82-$E$7)/365.25),""),"")</f>
        <v/>
      </c>
      <c r="F82" s="25" t="str">
        <f aca="false">IFERROR(IF(AND(B82="",ISNUMBER($C$7),ISNUMBER($G$7)),$C$7*(1+$G$7*0.85^MAX(0,($A82-$E$7)/91.25))^(($A82-$E$7)/365.25),""),"")</f>
        <v/>
      </c>
    </row>
    <row r="83" customFormat="false" ht="15" hidden="false" customHeight="false" outlineLevel="0" collapsed="false">
      <c r="A83" s="27" t="n">
        <v>46113</v>
      </c>
      <c r="B83" s="28" t="str">
        <f aca="true">IFERROR(IF(SUMIFS(INDIRECT(Index!$M$14),INDIRECT(Index!$L$14),"&gt;="&amp;$A83,INDIRECT(Index!$L$14),"&lt;"&amp;EDATE($A83,3))=0,"",SUMIFS(INDIRECT(Index!$M$14),INDIRECT(Index!$L$14),"&gt;="&amp;$A83,INDIRECT(Index!$L$14),"&lt;"&amp;EDATE($A83,3))),"")</f>
        <v/>
      </c>
      <c r="C83" s="29" t="str">
        <f aca="false">IFERROR(B83/B82-1,"")</f>
        <v/>
      </c>
      <c r="D83" s="29" t="str">
        <f aca="false">IFERROR(B83/B79-1,"")</f>
        <v/>
      </c>
      <c r="E83" s="31" t="str">
        <f aca="false">IFERROR(IF(AND(B83="",ISNUMBER($C$7),ISNUMBER($G$7)),$C$7*(1+$G$7)^(($A83-$E$7)/365.25),""),"")</f>
        <v/>
      </c>
      <c r="F83" s="31" t="str">
        <f aca="false">IFERROR(IF(AND(B83="",ISNUMBER($C$7),ISNUMBER($G$7)),$C$7*(1+$G$7*0.85^MAX(0,($A83-$E$7)/91.25))^(($A83-$E$7)/365.25),""),"")</f>
        <v/>
      </c>
    </row>
    <row r="84" customFormat="false" ht="15" hidden="false" customHeight="false" outlineLevel="0" collapsed="false">
      <c r="A84" s="15" t="n">
        <v>46204</v>
      </c>
      <c r="B84" s="20" t="str">
        <f aca="true">IFERROR(IF(SUMIFS(INDIRECT(Index!$M$14),INDIRECT(Index!$L$14),"&gt;="&amp;$A84,INDIRECT(Index!$L$14),"&lt;"&amp;EDATE($A84,3))=0,"",SUMIFS(INDIRECT(Index!$M$14),INDIRECT(Index!$L$14),"&gt;="&amp;$A84,INDIRECT(Index!$L$14),"&lt;"&amp;EDATE($A84,3))),"")</f>
        <v/>
      </c>
      <c r="C84" s="33" t="str">
        <f aca="false">IFERROR(B84/B83-1,"")</f>
        <v/>
      </c>
      <c r="D84" s="33" t="str">
        <f aca="false">IFERROR(B84/B80-1,"")</f>
        <v/>
      </c>
      <c r="E84" s="25" t="str">
        <f aca="false">IFERROR(IF(AND(B84="",ISNUMBER($C$7),ISNUMBER($G$7)),$C$7*(1+$G$7)^(($A84-$E$7)/365.25),""),"")</f>
        <v/>
      </c>
      <c r="F84" s="25" t="str">
        <f aca="false">IFERROR(IF(AND(B84="",ISNUMBER($C$7),ISNUMBER($G$7)),$C$7*(1+$G$7*0.85^MAX(0,($A84-$E$7)/91.25))^(($A84-$E$7)/365.25),""),"")</f>
        <v/>
      </c>
    </row>
    <row r="85" customFormat="false" ht="15" hidden="false" customHeight="false" outlineLevel="0" collapsed="false">
      <c r="A85" s="27" t="n">
        <v>46296</v>
      </c>
      <c r="B85" s="28" t="str">
        <f aca="true">IFERROR(IF(SUMIFS(INDIRECT(Index!$M$14),INDIRECT(Index!$L$14),"&gt;="&amp;$A85,INDIRECT(Index!$L$14),"&lt;"&amp;EDATE($A85,3))=0,"",SUMIFS(INDIRECT(Index!$M$14),INDIRECT(Index!$L$14),"&gt;="&amp;$A85,INDIRECT(Index!$L$14),"&lt;"&amp;EDATE($A85,3))),"")</f>
        <v/>
      </c>
      <c r="C85" s="29" t="str">
        <f aca="false">IFERROR(B85/B84-1,"")</f>
        <v/>
      </c>
      <c r="D85" s="29" t="str">
        <f aca="false">IFERROR(B85/B81-1,"")</f>
        <v/>
      </c>
      <c r="E85" s="31" t="str">
        <f aca="false">IFERROR(IF(AND(B85="",ISNUMBER($C$7),ISNUMBER($G$7)),$C$7*(1+$G$7)^(($A85-$E$7)/365.25),""),"")</f>
        <v/>
      </c>
      <c r="F85" s="31" t="str">
        <f aca="false">IFERROR(IF(AND(B85="",ISNUMBER($C$7),ISNUMBER($G$7)),$C$7*(1+$G$7*0.85^MAX(0,($A85-$E$7)/91.25))^(($A85-$E$7)/365.25),""),"")</f>
        <v/>
      </c>
    </row>
    <row r="86" customFormat="false" ht="15" hidden="false" customHeight="false" outlineLevel="0" collapsed="false">
      <c r="A86" s="15" t="n">
        <v>46388</v>
      </c>
      <c r="B86" s="20" t="str">
        <f aca="true">IFERROR(IF(SUMIFS(INDIRECT(Index!$M$14),INDIRECT(Index!$L$14),"&gt;="&amp;$A86,INDIRECT(Index!$L$14),"&lt;"&amp;EDATE($A86,3))=0,"",SUMIFS(INDIRECT(Index!$M$14),INDIRECT(Index!$L$14),"&gt;="&amp;$A86,INDIRECT(Index!$L$14),"&lt;"&amp;EDATE($A86,3))),"")</f>
        <v/>
      </c>
      <c r="C86" s="33" t="str">
        <f aca="false">IFERROR(B86/B85-1,"")</f>
        <v/>
      </c>
      <c r="D86" s="33" t="str">
        <f aca="false">IFERROR(B86/B82-1,"")</f>
        <v/>
      </c>
      <c r="E86" s="25" t="str">
        <f aca="false">IFERROR(IF(AND(B86="",ISNUMBER($C$7),ISNUMBER($G$7)),$C$7*(1+$G$7)^(($A86-$E$7)/365.25),""),"")</f>
        <v/>
      </c>
      <c r="F86" s="25" t="str">
        <f aca="false">IFERROR(IF(AND(B86="",ISNUMBER($C$7),ISNUMBER($G$7)),$C$7*(1+$G$7*0.85^MAX(0,($A86-$E$7)/91.25))^(($A86-$E$7)/365.25),""),"")</f>
        <v/>
      </c>
    </row>
    <row r="87" customFormat="false" ht="15" hidden="false" customHeight="false" outlineLevel="0" collapsed="false">
      <c r="A87" s="27" t="n">
        <v>46478</v>
      </c>
      <c r="B87" s="28" t="str">
        <f aca="true">IFERROR(IF(SUMIFS(INDIRECT(Index!$M$14),INDIRECT(Index!$L$14),"&gt;="&amp;$A87,INDIRECT(Index!$L$14),"&lt;"&amp;EDATE($A87,3))=0,"",SUMIFS(INDIRECT(Index!$M$14),INDIRECT(Index!$L$14),"&gt;="&amp;$A87,INDIRECT(Index!$L$14),"&lt;"&amp;EDATE($A87,3))),"")</f>
        <v/>
      </c>
      <c r="C87" s="29" t="str">
        <f aca="false">IFERROR(B87/B86-1,"")</f>
        <v/>
      </c>
      <c r="D87" s="29" t="str">
        <f aca="false">IFERROR(B87/B83-1,"")</f>
        <v/>
      </c>
      <c r="E87" s="31" t="str">
        <f aca="false">IFERROR(IF(AND(B87="",ISNUMBER($C$7),ISNUMBER($G$7)),$C$7*(1+$G$7)^(($A87-$E$7)/365.25),""),"")</f>
        <v/>
      </c>
      <c r="F87" s="31" t="str">
        <f aca="false">IFERROR(IF(AND(B87="",ISNUMBER($C$7),ISNUMBER($G$7)),$C$7*(1+$G$7*0.85^MAX(0,($A87-$E$7)/91.25))^(($A87-$E$7)/365.25),""),"")</f>
        <v/>
      </c>
    </row>
    <row r="88" customFormat="false" ht="15" hidden="false" customHeight="false" outlineLevel="0" collapsed="false">
      <c r="A88" s="15" t="n">
        <v>46569</v>
      </c>
      <c r="B88" s="20" t="str">
        <f aca="true">IFERROR(IF(SUMIFS(INDIRECT(Index!$M$14),INDIRECT(Index!$L$14),"&gt;="&amp;$A88,INDIRECT(Index!$L$14),"&lt;"&amp;EDATE($A88,3))=0,"",SUMIFS(INDIRECT(Index!$M$14),INDIRECT(Index!$L$14),"&gt;="&amp;$A88,INDIRECT(Index!$L$14),"&lt;"&amp;EDATE($A88,3))),"")</f>
        <v/>
      </c>
      <c r="C88" s="33" t="str">
        <f aca="false">IFERROR(B88/B87-1,"")</f>
        <v/>
      </c>
      <c r="D88" s="33" t="str">
        <f aca="false">IFERROR(B88/B84-1,"")</f>
        <v/>
      </c>
      <c r="E88" s="25" t="str">
        <f aca="false">IFERROR(IF(AND(B88="",ISNUMBER($C$7),ISNUMBER($G$7)),$C$7*(1+$G$7)^(($A88-$E$7)/365.25),""),"")</f>
        <v/>
      </c>
      <c r="F88" s="25" t="str">
        <f aca="false">IFERROR(IF(AND(B88="",ISNUMBER($C$7),ISNUMBER($G$7)),$C$7*(1+$G$7*0.85^MAX(0,($A88-$E$7)/91.25))^(($A88-$E$7)/365.25),""),"")</f>
        <v/>
      </c>
    </row>
    <row r="89" customFormat="false" ht="15" hidden="false" customHeight="false" outlineLevel="0" collapsed="false">
      <c r="A89" s="27" t="n">
        <v>46661</v>
      </c>
      <c r="B89" s="28" t="str">
        <f aca="true">IFERROR(IF(SUMIFS(INDIRECT(Index!$M$14),INDIRECT(Index!$L$14),"&gt;="&amp;$A89,INDIRECT(Index!$L$14),"&lt;"&amp;EDATE($A89,3))=0,"",SUMIFS(INDIRECT(Index!$M$14),INDIRECT(Index!$L$14),"&gt;="&amp;$A89,INDIRECT(Index!$L$14),"&lt;"&amp;EDATE($A89,3))),"")</f>
        <v/>
      </c>
      <c r="C89" s="29" t="str">
        <f aca="false">IFERROR(B89/B88-1,"")</f>
        <v/>
      </c>
      <c r="D89" s="29" t="str">
        <f aca="false">IFERROR(B89/B85-1,"")</f>
        <v/>
      </c>
      <c r="E89" s="31" t="str">
        <f aca="false">IFERROR(IF(AND(B89="",ISNUMBER($C$7),ISNUMBER($G$7)),$C$7*(1+$G$7)^(($A89-$E$7)/365.25),""),"")</f>
        <v/>
      </c>
      <c r="F89" s="31" t="str">
        <f aca="false">IFERROR(IF(AND(B89="",ISNUMBER($C$7),ISNUMBER($G$7)),$C$7*(1+$G$7*0.85^MAX(0,($A89-$E$7)/91.25))^(($A89-$E$7)/365.25),""),"")</f>
        <v/>
      </c>
    </row>
    <row r="90" customFormat="false" ht="15" hidden="false" customHeight="false" outlineLevel="0" collapsed="false">
      <c r="A90" s="15" t="n">
        <v>46753</v>
      </c>
      <c r="B90" s="20" t="str">
        <f aca="true">IFERROR(IF(SUMIFS(INDIRECT(Index!$M$14),INDIRECT(Index!$L$14),"&gt;="&amp;$A90,INDIRECT(Index!$L$14),"&lt;"&amp;EDATE($A90,3))=0,"",SUMIFS(INDIRECT(Index!$M$14),INDIRECT(Index!$L$14),"&gt;="&amp;$A90,INDIRECT(Index!$L$14),"&lt;"&amp;EDATE($A90,3))),"")</f>
        <v/>
      </c>
      <c r="C90" s="33" t="str">
        <f aca="false">IFERROR(B90/B89-1,"")</f>
        <v/>
      </c>
      <c r="D90" s="33" t="str">
        <f aca="false">IFERROR(B90/B86-1,"")</f>
        <v/>
      </c>
      <c r="E90" s="25" t="str">
        <f aca="false">IFERROR(IF(AND(B90="",ISNUMBER($C$7),ISNUMBER($G$7)),$C$7*(1+$G$7)^(($A90-$E$7)/365.25),""),"")</f>
        <v/>
      </c>
      <c r="F90" s="25" t="str">
        <f aca="false">IFERROR(IF(AND(B90="",ISNUMBER($C$7),ISNUMBER($G$7)),$C$7*(1+$G$7*0.85^MAX(0,($A90-$E$7)/91.25))^(($A90-$E$7)/365.25),""),"")</f>
        <v/>
      </c>
    </row>
    <row r="91" customFormat="false" ht="15" hidden="false" customHeight="false" outlineLevel="0" collapsed="false">
      <c r="A91" s="27" t="n">
        <v>46844</v>
      </c>
      <c r="B91" s="28" t="str">
        <f aca="true">IFERROR(IF(SUMIFS(INDIRECT(Index!$M$14),INDIRECT(Index!$L$14),"&gt;="&amp;$A91,INDIRECT(Index!$L$14),"&lt;"&amp;EDATE($A91,3))=0,"",SUMIFS(INDIRECT(Index!$M$14),INDIRECT(Index!$L$14),"&gt;="&amp;$A91,INDIRECT(Index!$L$14),"&lt;"&amp;EDATE($A91,3))),"")</f>
        <v/>
      </c>
      <c r="C91" s="29" t="str">
        <f aca="false">IFERROR(B91/B90-1,"")</f>
        <v/>
      </c>
      <c r="D91" s="29" t="str">
        <f aca="false">IFERROR(B91/B87-1,"")</f>
        <v/>
      </c>
      <c r="E91" s="31" t="str">
        <f aca="false">IFERROR(IF(AND(B91="",ISNUMBER($C$7),ISNUMBER($G$7)),$C$7*(1+$G$7)^(($A91-$E$7)/365.25),""),"")</f>
        <v/>
      </c>
      <c r="F91" s="31" t="str">
        <f aca="false">IFERROR(IF(AND(B91="",ISNUMBER($C$7),ISNUMBER($G$7)),$C$7*(1+$G$7*0.85^MAX(0,($A91-$E$7)/91.25))^(($A91-$E$7)/365.25),""),"")</f>
        <v/>
      </c>
    </row>
    <row r="92" customFormat="false" ht="15" hidden="false" customHeight="false" outlineLevel="0" collapsed="false">
      <c r="A92" s="15" t="n">
        <v>46935</v>
      </c>
      <c r="B92" s="20" t="str">
        <f aca="true">IFERROR(IF(SUMIFS(INDIRECT(Index!$M$14),INDIRECT(Index!$L$14),"&gt;="&amp;$A92,INDIRECT(Index!$L$14),"&lt;"&amp;EDATE($A92,3))=0,"",SUMIFS(INDIRECT(Index!$M$14),INDIRECT(Index!$L$14),"&gt;="&amp;$A92,INDIRECT(Index!$L$14),"&lt;"&amp;EDATE($A92,3))),"")</f>
        <v/>
      </c>
      <c r="C92" s="33" t="str">
        <f aca="false">IFERROR(B92/B91-1,"")</f>
        <v/>
      </c>
      <c r="D92" s="33" t="str">
        <f aca="false">IFERROR(B92/B88-1,"")</f>
        <v/>
      </c>
      <c r="E92" s="25" t="str">
        <f aca="false">IFERROR(IF(AND(B92="",ISNUMBER($C$7),ISNUMBER($G$7)),$C$7*(1+$G$7)^(($A92-$E$7)/365.25),""),"")</f>
        <v/>
      </c>
      <c r="F92" s="25" t="str">
        <f aca="false">IFERROR(IF(AND(B92="",ISNUMBER($C$7),ISNUMBER($G$7)),$C$7*(1+$G$7*0.85^MAX(0,($A92-$E$7)/91.25))^(($A92-$E$7)/365.25),""),"")</f>
        <v/>
      </c>
    </row>
    <row r="93" customFormat="false" ht="15" hidden="false" customHeight="false" outlineLevel="0" collapsed="false">
      <c r="A93" s="27" t="n">
        <v>47027</v>
      </c>
      <c r="B93" s="28" t="str">
        <f aca="true">IFERROR(IF(SUMIFS(INDIRECT(Index!$M$14),INDIRECT(Index!$L$14),"&gt;="&amp;$A93,INDIRECT(Index!$L$14),"&lt;"&amp;EDATE($A93,3))=0,"",SUMIFS(INDIRECT(Index!$M$14),INDIRECT(Index!$L$14),"&gt;="&amp;$A93,INDIRECT(Index!$L$14),"&lt;"&amp;EDATE($A93,3))),"")</f>
        <v/>
      </c>
      <c r="C93" s="29" t="str">
        <f aca="false">IFERROR(B93/B92-1,"")</f>
        <v/>
      </c>
      <c r="D93" s="29" t="str">
        <f aca="false">IFERROR(B93/B89-1,"")</f>
        <v/>
      </c>
      <c r="E93" s="31" t="str">
        <f aca="false">IFERROR(IF(AND(B93="",ISNUMBER($C$7),ISNUMBER($G$7)),$C$7*(1+$G$7)^(($A93-$E$7)/365.25),""),"")</f>
        <v/>
      </c>
      <c r="F93" s="31" t="str">
        <f aca="false">IFERROR(IF(AND(B93="",ISNUMBER($C$7),ISNUMBER($G$7)),$C$7*(1+$G$7*0.85^MAX(0,($A93-$E$7)/91.25))^(($A93-$E$7)/365.25),""),"")</f>
        <v/>
      </c>
    </row>
    <row r="94" customFormat="false" ht="15" hidden="false" customHeight="false" outlineLevel="0" collapsed="false">
      <c r="A94" s="15" t="n">
        <v>47119</v>
      </c>
      <c r="B94" s="20" t="str">
        <f aca="true">IFERROR(IF(SUMIFS(INDIRECT(Index!$M$14),INDIRECT(Index!$L$14),"&gt;="&amp;$A94,INDIRECT(Index!$L$14),"&lt;"&amp;EDATE($A94,3))=0,"",SUMIFS(INDIRECT(Index!$M$14),INDIRECT(Index!$L$14),"&gt;="&amp;$A94,INDIRECT(Index!$L$14),"&lt;"&amp;EDATE($A94,3))),"")</f>
        <v/>
      </c>
      <c r="C94" s="33" t="str">
        <f aca="false">IFERROR(B94/B93-1,"")</f>
        <v/>
      </c>
      <c r="D94" s="33" t="str">
        <f aca="false">IFERROR(B94/B90-1,"")</f>
        <v/>
      </c>
      <c r="E94" s="25" t="str">
        <f aca="false">IFERROR(IF(AND(B94="",ISNUMBER($C$7),ISNUMBER($G$7)),$C$7*(1+$G$7)^(($A94-$E$7)/365.25),""),"")</f>
        <v/>
      </c>
      <c r="F94" s="25" t="str">
        <f aca="false">IFERROR(IF(AND(B94="",ISNUMBER($C$7),ISNUMBER($G$7)),$C$7*(1+$G$7*0.85^MAX(0,($A94-$E$7)/91.25))^(($A94-$E$7)/365.25),""),"")</f>
        <v/>
      </c>
    </row>
    <row r="95" customFormat="false" ht="15" hidden="false" customHeight="false" outlineLevel="0" collapsed="false">
      <c r="A95" s="27" t="n">
        <v>47209</v>
      </c>
      <c r="B95" s="28" t="str">
        <f aca="true">IFERROR(IF(SUMIFS(INDIRECT(Index!$M$14),INDIRECT(Index!$L$14),"&gt;="&amp;$A95,INDIRECT(Index!$L$14),"&lt;"&amp;EDATE($A95,3))=0,"",SUMIFS(INDIRECT(Index!$M$14),INDIRECT(Index!$L$14),"&gt;="&amp;$A95,INDIRECT(Index!$L$14),"&lt;"&amp;EDATE($A95,3))),"")</f>
        <v/>
      </c>
      <c r="C95" s="29" t="str">
        <f aca="false">IFERROR(B95/B94-1,"")</f>
        <v/>
      </c>
      <c r="D95" s="29" t="str">
        <f aca="false">IFERROR(B95/B91-1,"")</f>
        <v/>
      </c>
      <c r="E95" s="31" t="str">
        <f aca="false">IFERROR(IF(AND(B95="",ISNUMBER($C$7),ISNUMBER($G$7)),$C$7*(1+$G$7)^(($A95-$E$7)/365.25),""),"")</f>
        <v/>
      </c>
      <c r="F95" s="31" t="str">
        <f aca="false">IFERROR(IF(AND(B95="",ISNUMBER($C$7),ISNUMBER($G$7)),$C$7*(1+$G$7*0.85^MAX(0,($A95-$E$7)/91.25))^(($A95-$E$7)/365.25),""),"")</f>
        <v/>
      </c>
    </row>
    <row r="96" customFormat="false" ht="15" hidden="false" customHeight="false" outlineLevel="0" collapsed="false">
      <c r="A96" s="15" t="n">
        <v>47300</v>
      </c>
      <c r="B96" s="20" t="str">
        <f aca="true">IFERROR(IF(SUMIFS(INDIRECT(Index!$M$14),INDIRECT(Index!$L$14),"&gt;="&amp;$A96,INDIRECT(Index!$L$14),"&lt;"&amp;EDATE($A96,3))=0,"",SUMIFS(INDIRECT(Index!$M$14),INDIRECT(Index!$L$14),"&gt;="&amp;$A96,INDIRECT(Index!$L$14),"&lt;"&amp;EDATE($A96,3))),"")</f>
        <v/>
      </c>
      <c r="C96" s="33" t="str">
        <f aca="false">IFERROR(B96/B95-1,"")</f>
        <v/>
      </c>
      <c r="D96" s="33" t="str">
        <f aca="false">IFERROR(B96/B92-1,"")</f>
        <v/>
      </c>
      <c r="E96" s="25" t="str">
        <f aca="false">IFERROR(IF(AND(B96="",ISNUMBER($C$7),ISNUMBER($G$7)),$C$7*(1+$G$7)^(($A96-$E$7)/365.25),""),"")</f>
        <v/>
      </c>
      <c r="F96" s="25" t="str">
        <f aca="false">IFERROR(IF(AND(B96="",ISNUMBER($C$7),ISNUMBER($G$7)),$C$7*(1+$G$7*0.85^MAX(0,($A96-$E$7)/91.25))^(($A96-$E$7)/365.25),""),"")</f>
        <v/>
      </c>
    </row>
    <row r="97" customFormat="false" ht="15" hidden="false" customHeight="false" outlineLevel="0" collapsed="false">
      <c r="A97" s="27" t="n">
        <v>47392</v>
      </c>
      <c r="B97" s="28" t="str">
        <f aca="true">IFERROR(IF(SUMIFS(INDIRECT(Index!$M$14),INDIRECT(Index!$L$14),"&gt;="&amp;$A97,INDIRECT(Index!$L$14),"&lt;"&amp;EDATE($A97,3))=0,"",SUMIFS(INDIRECT(Index!$M$14),INDIRECT(Index!$L$14),"&gt;="&amp;$A97,INDIRECT(Index!$L$14),"&lt;"&amp;EDATE($A97,3))),"")</f>
        <v/>
      </c>
      <c r="C97" s="29" t="str">
        <f aca="false">IFERROR(B97/B96-1,"")</f>
        <v/>
      </c>
      <c r="D97" s="29" t="str">
        <f aca="false">IFERROR(B97/B93-1,"")</f>
        <v/>
      </c>
      <c r="E97" s="31" t="str">
        <f aca="false">IFERROR(IF(AND(B97="",ISNUMBER($C$7),ISNUMBER($G$7)),$C$7*(1+$G$7)^(($A97-$E$7)/365.25),""),"")</f>
        <v/>
      </c>
      <c r="F97" s="31" t="str">
        <f aca="false">IFERROR(IF(AND(B97="",ISNUMBER($C$7),ISNUMBER($G$7)),$C$7*(1+$G$7*0.85^MAX(0,($A97-$E$7)/91.25))^(($A97-$E$7)/365.25),""),"")</f>
        <v/>
      </c>
    </row>
    <row r="98" customFormat="false" ht="15" hidden="false" customHeight="false" outlineLevel="0" collapsed="false">
      <c r="A98" s="15" t="n">
        <v>47484</v>
      </c>
      <c r="B98" s="20" t="str">
        <f aca="true">IFERROR(IF(SUMIFS(INDIRECT(Index!$M$14),INDIRECT(Index!$L$14),"&gt;="&amp;$A98,INDIRECT(Index!$L$14),"&lt;"&amp;EDATE($A98,3))=0,"",SUMIFS(INDIRECT(Index!$M$14),INDIRECT(Index!$L$14),"&gt;="&amp;$A98,INDIRECT(Index!$L$14),"&lt;"&amp;EDATE($A98,3))),"")</f>
        <v/>
      </c>
      <c r="C98" s="33" t="str">
        <f aca="false">IFERROR(B98/B97-1,"")</f>
        <v/>
      </c>
      <c r="D98" s="33" t="str">
        <f aca="false">IFERROR(B98/B94-1,"")</f>
        <v/>
      </c>
      <c r="E98" s="25" t="str">
        <f aca="false">IFERROR(IF(AND(B98="",ISNUMBER($C$7),ISNUMBER($G$7)),$C$7*(1+$G$7)^(($A98-$E$7)/365.25),""),"")</f>
        <v/>
      </c>
      <c r="F98" s="25" t="str">
        <f aca="false">IFERROR(IF(AND(B98="",ISNUMBER($C$7),ISNUMBER($G$7)),$C$7*(1+$G$7*0.85^MAX(0,($A98-$E$7)/91.25))^(($A98-$E$7)/365.25),""),"")</f>
        <v/>
      </c>
    </row>
    <row r="99" customFormat="false" ht="15" hidden="false" customHeight="false" outlineLevel="0" collapsed="false">
      <c r="A99" s="27" t="n">
        <v>47574</v>
      </c>
      <c r="B99" s="28" t="str">
        <f aca="true">IFERROR(IF(SUMIFS(INDIRECT(Index!$M$14),INDIRECT(Index!$L$14),"&gt;="&amp;$A99,INDIRECT(Index!$L$14),"&lt;"&amp;EDATE($A99,3))=0,"",SUMIFS(INDIRECT(Index!$M$14),INDIRECT(Index!$L$14),"&gt;="&amp;$A99,INDIRECT(Index!$L$14),"&lt;"&amp;EDATE($A99,3))),"")</f>
        <v/>
      </c>
      <c r="C99" s="29" t="str">
        <f aca="false">IFERROR(B99/B98-1,"")</f>
        <v/>
      </c>
      <c r="D99" s="29" t="str">
        <f aca="false">IFERROR(B99/B95-1,"")</f>
        <v/>
      </c>
      <c r="E99" s="31" t="str">
        <f aca="false">IFERROR(IF(AND(B99="",ISNUMBER($C$7),ISNUMBER($G$7)),$C$7*(1+$G$7)^(($A99-$E$7)/365.25),""),"")</f>
        <v/>
      </c>
      <c r="F99" s="31" t="str">
        <f aca="false">IFERROR(IF(AND(B99="",ISNUMBER($C$7),ISNUMBER($G$7)),$C$7*(1+$G$7*0.85^MAX(0,($A99-$E$7)/91.25))^(($A99-$E$7)/365.25),""),"")</f>
        <v/>
      </c>
    </row>
    <row r="100" customFormat="false" ht="15" hidden="false" customHeight="false" outlineLevel="0" collapsed="false">
      <c r="A100" s="15" t="n">
        <v>47665</v>
      </c>
      <c r="B100" s="20" t="str">
        <f aca="true">IFERROR(IF(SUMIFS(INDIRECT(Index!$M$14),INDIRECT(Index!$L$14),"&gt;="&amp;$A100,INDIRECT(Index!$L$14),"&lt;"&amp;EDATE($A100,3))=0,"",SUMIFS(INDIRECT(Index!$M$14),INDIRECT(Index!$L$14),"&gt;="&amp;$A100,INDIRECT(Index!$L$14),"&lt;"&amp;EDATE($A100,3))),"")</f>
        <v/>
      </c>
      <c r="C100" s="33" t="str">
        <f aca="false">IFERROR(B100/B99-1,"")</f>
        <v/>
      </c>
      <c r="D100" s="33" t="str">
        <f aca="false">IFERROR(B100/B96-1,"")</f>
        <v/>
      </c>
      <c r="E100" s="25" t="str">
        <f aca="false">IFERROR(IF(AND(B100="",ISNUMBER($C$7),ISNUMBER($G$7)),$C$7*(1+$G$7)^(($A100-$E$7)/365.25),""),"")</f>
        <v/>
      </c>
      <c r="F100" s="25" t="str">
        <f aca="false">IFERROR(IF(AND(B100="",ISNUMBER($C$7),ISNUMBER($G$7)),$C$7*(1+$G$7*0.85^MAX(0,($A100-$E$7)/91.25))^(($A100-$E$7)/365.25),""),"")</f>
        <v/>
      </c>
    </row>
    <row r="101" customFormat="false" ht="15" hidden="false" customHeight="false" outlineLevel="0" collapsed="false">
      <c r="A101" s="27" t="n">
        <v>47757</v>
      </c>
      <c r="B101" s="28" t="str">
        <f aca="true">IFERROR(IF(SUMIFS(INDIRECT(Index!$M$14),INDIRECT(Index!$L$14),"&gt;="&amp;$A101,INDIRECT(Index!$L$14),"&lt;"&amp;EDATE($A101,3))=0,"",SUMIFS(INDIRECT(Index!$M$14),INDIRECT(Index!$L$14),"&gt;="&amp;$A101,INDIRECT(Index!$L$14),"&lt;"&amp;EDATE($A101,3))),"")</f>
        <v/>
      </c>
      <c r="C101" s="29" t="str">
        <f aca="false">IFERROR(B101/B100-1,"")</f>
        <v/>
      </c>
      <c r="D101" s="29" t="str">
        <f aca="false">IFERROR(B101/B97-1,"")</f>
        <v/>
      </c>
      <c r="E101" s="31" t="str">
        <f aca="false">IFERROR(IF(AND(B101="",ISNUMBER($C$7),ISNUMBER($G$7)),$C$7*(1+$G$7)^(($A101-$E$7)/365.25),""),"")</f>
        <v/>
      </c>
      <c r="F101" s="31" t="str">
        <f aca="false">IFERROR(IF(AND(B101="",ISNUMBER($C$7),ISNUMBER($G$7)),$C$7*(1+$G$7*0.85^MAX(0,($A101-$E$7)/91.25))^(($A101-$E$7)/365.25),""),"")</f>
        <v/>
      </c>
    </row>
    <row r="105" customFormat="false" ht="21.75" hidden="false" customHeight="true" outlineLevel="0" collapsed="false">
      <c r="A105" s="17" t="str">
        <f aca="false">Index!$A$15&amp;"   ("&amp;Index!$I$15&amp;")"</f>
        <v>Trade Balance   (USD Mn)</v>
      </c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</row>
    <row r="106" customFormat="false" ht="15" hidden="false" customHeight="false" outlineLevel="0" collapsed="false">
      <c r="A106" s="4" t="s">
        <v>106</v>
      </c>
      <c r="B106" s="18" t="str">
        <f aca="false">Index!$J$15</f>
        <v>sum</v>
      </c>
      <c r="C106" s="4" t="s">
        <v>107</v>
      </c>
      <c r="D106" s="19" t="str">
        <f aca="false">Index!$D$15&amp;" ["&amp;Index!$F$15&amp;Index!$G$15&amp;":"&amp;Index!$F$15&amp;Index!$H$15&amp;"]"</f>
        <v>Data_Monthly [H2:H400]</v>
      </c>
      <c r="E106" s="19"/>
      <c r="F106" s="19"/>
      <c r="G106" s="19"/>
      <c r="H106" s="19"/>
    </row>
    <row r="107" customFormat="false" ht="15" hidden="false" customHeight="false" outlineLevel="0" collapsed="false">
      <c r="A107" s="4" t="s">
        <v>108</v>
      </c>
      <c r="B107" s="6" t="str">
        <f aca="false">IF(Index!$K$15="","",Index!$K$15)</f>
        <v>Exports - imports.</v>
      </c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</row>
    <row r="108" customFormat="false" ht="15" hidden="false" customHeight="false" outlineLevel="0" collapsed="false">
      <c r="A108" s="4" t="s">
        <v>109</v>
      </c>
      <c r="B108" s="4" t="s">
        <v>110</v>
      </c>
      <c r="C108" s="20" t="str">
        <f aca="false">IFERROR(LOOKUP(2,1/($B$111:$B$202&lt;&gt;""),$B$111:$B$202),"")</f>
        <v/>
      </c>
      <c r="D108" s="4" t="s">
        <v>111</v>
      </c>
      <c r="E108" s="21" t="str">
        <f aca="false">IFERROR(LOOKUP(2,1/($B$111:$B$202&lt;&gt;""),$A$111:$A$202),"")</f>
        <v/>
      </c>
      <c r="F108" s="4" t="s">
        <v>112</v>
      </c>
      <c r="G108" s="22" t="str">
        <f aca="false">IFERROR(C108/INDEX($B$111:$B$202,MATCH(EDATE(E108,-12),$A$111:$A$202,0))-1,"")</f>
        <v/>
      </c>
    </row>
    <row r="109" customFormat="false" ht="18" hidden="false" customHeight="true" outlineLevel="0" collapsed="false">
      <c r="A109" s="23" t="s">
        <v>113</v>
      </c>
      <c r="B109" s="23"/>
      <c r="C109" s="23"/>
      <c r="D109" s="23"/>
      <c r="E109" s="23"/>
      <c r="F109" s="23"/>
      <c r="J109" s="23" t="s">
        <v>114</v>
      </c>
      <c r="K109" s="23"/>
      <c r="L109" s="23"/>
      <c r="M109" s="23"/>
    </row>
    <row r="110" customFormat="false" ht="15" hidden="false" customHeight="false" outlineLevel="0" collapsed="false">
      <c r="A110" s="7" t="s">
        <v>95</v>
      </c>
      <c r="B110" s="7" t="s">
        <v>115</v>
      </c>
      <c r="C110" s="7" t="s">
        <v>116</v>
      </c>
      <c r="D110" s="7" t="s">
        <v>117</v>
      </c>
      <c r="E110" s="7" t="s">
        <v>118</v>
      </c>
      <c r="F110" s="7" t="s">
        <v>119</v>
      </c>
      <c r="J110" s="7" t="s">
        <v>120</v>
      </c>
      <c r="K110" s="7" t="s">
        <v>115</v>
      </c>
      <c r="L110" s="7" t="s">
        <v>117</v>
      </c>
      <c r="M110" s="7" t="s">
        <v>121</v>
      </c>
    </row>
    <row r="111" customFormat="false" ht="15" hidden="false" customHeight="false" outlineLevel="0" collapsed="false">
      <c r="A111" s="15" t="n">
        <v>39448</v>
      </c>
      <c r="B111" s="20" t="str">
        <f aca="true">IFERROR(IF(SUMIFS(INDIRECT(Index!$M$15),INDIRECT(Index!$L$15),"&gt;="&amp;$A111,INDIRECT(Index!$L$15),"&lt;"&amp;EDATE($A111,3))=0,"",SUMIFS(INDIRECT(Index!$M$15),INDIRECT(Index!$L$15),"&gt;="&amp;$A111,INDIRECT(Index!$L$15),"&lt;"&amp;EDATE($A111,3))),"")</f>
        <v/>
      </c>
      <c r="C111" s="24"/>
      <c r="D111" s="24"/>
      <c r="E111" s="25" t="str">
        <f aca="false">IFERROR(IF(AND(B111="",ISNUMBER($C$108),ISNUMBER($G$108)),$C$108*(1+$G$108)^(($A111-$E$108)/365.25),""),"")</f>
        <v/>
      </c>
      <c r="F111" s="25" t="str">
        <f aca="false">IFERROR(IF(AND(B111="",ISNUMBER($C$108),ISNUMBER($G$108)),$C$108*(1+$G$108*0.85^MAX(0,($A111-$E$108)/91.25))^(($A111-$E$108)/365.25),""),"")</f>
        <v/>
      </c>
      <c r="J111" s="26" t="n">
        <v>2008</v>
      </c>
      <c r="K111" s="25" t="n">
        <f aca="false">IFERROR(SUMIFS($B$111:$B$202,$A$111:$A$202,"&gt;="&amp;DATE(J111,1,1),$A$111:$A$202,"&lt;="&amp;DATE(J111,12,31)),"")</f>
        <v>0</v>
      </c>
      <c r="L111" s="24"/>
      <c r="M111" s="25" t="n">
        <f aca="false">IFERROR(SUMIFS($E$111:$E$202,$A$111:$A$202,"&gt;="&amp;DATE(J111,1,1),$A$111:$A$202,"&lt;="&amp;DATE(J111,12,31)),"")</f>
        <v>0</v>
      </c>
    </row>
    <row r="112" customFormat="false" ht="15" hidden="false" customHeight="false" outlineLevel="0" collapsed="false">
      <c r="A112" s="27" t="n">
        <v>39539</v>
      </c>
      <c r="B112" s="28" t="str">
        <f aca="true">IFERROR(IF(SUMIFS(INDIRECT(Index!$M$15),INDIRECT(Index!$L$15),"&gt;="&amp;$A112,INDIRECT(Index!$L$15),"&lt;"&amp;EDATE($A112,3))=0,"",SUMIFS(INDIRECT(Index!$M$15),INDIRECT(Index!$L$15),"&gt;="&amp;$A112,INDIRECT(Index!$L$15),"&lt;"&amp;EDATE($A112,3))),"")</f>
        <v/>
      </c>
      <c r="C112" s="29" t="str">
        <f aca="false">IFERROR(B112/B111-1,"")</f>
        <v/>
      </c>
      <c r="D112" s="30"/>
      <c r="E112" s="31" t="str">
        <f aca="false">IFERROR(IF(AND(B112="",ISNUMBER($C$108),ISNUMBER($G$108)),$C$108*(1+$G$108)^(($A112-$E$108)/365.25),""),"")</f>
        <v/>
      </c>
      <c r="F112" s="31" t="str">
        <f aca="false">IFERROR(IF(AND(B112="",ISNUMBER($C$108),ISNUMBER($G$108)),$C$108*(1+$G$108*0.85^MAX(0,($A112-$E$108)/91.25))^(($A112-$E$108)/365.25),""),"")</f>
        <v/>
      </c>
      <c r="J112" s="32" t="n">
        <v>2009</v>
      </c>
      <c r="K112" s="31" t="n">
        <f aca="false">IFERROR(SUMIFS($B$111:$B$202,$A$111:$A$202,"&gt;="&amp;DATE(J112,1,1),$A$111:$A$202,"&lt;="&amp;DATE(J112,12,31)),"")</f>
        <v>0</v>
      </c>
      <c r="L112" s="29" t="str">
        <f aca="false">IFERROR(K112/K111-1,"")</f>
        <v/>
      </c>
      <c r="M112" s="31" t="n">
        <f aca="false">IFERROR(SUMIFS($E$111:$E$202,$A$111:$A$202,"&gt;="&amp;DATE(J112,1,1),$A$111:$A$202,"&lt;="&amp;DATE(J112,12,31)),"")</f>
        <v>0</v>
      </c>
    </row>
    <row r="113" customFormat="false" ht="15" hidden="false" customHeight="false" outlineLevel="0" collapsed="false">
      <c r="A113" s="15" t="n">
        <v>39630</v>
      </c>
      <c r="B113" s="20" t="str">
        <f aca="true">IFERROR(IF(SUMIFS(INDIRECT(Index!$M$15),INDIRECT(Index!$L$15),"&gt;="&amp;$A113,INDIRECT(Index!$L$15),"&lt;"&amp;EDATE($A113,3))=0,"",SUMIFS(INDIRECT(Index!$M$15),INDIRECT(Index!$L$15),"&gt;="&amp;$A113,INDIRECT(Index!$L$15),"&lt;"&amp;EDATE($A113,3))),"")</f>
        <v/>
      </c>
      <c r="C113" s="33" t="str">
        <f aca="false">IFERROR(B113/B112-1,"")</f>
        <v/>
      </c>
      <c r="D113" s="24"/>
      <c r="E113" s="25" t="str">
        <f aca="false">IFERROR(IF(AND(B113="",ISNUMBER($C$108),ISNUMBER($G$108)),$C$108*(1+$G$108)^(($A113-$E$108)/365.25),""),"")</f>
        <v/>
      </c>
      <c r="F113" s="25" t="str">
        <f aca="false">IFERROR(IF(AND(B113="",ISNUMBER($C$108),ISNUMBER($G$108)),$C$108*(1+$G$108*0.85^MAX(0,($A113-$E$108)/91.25))^(($A113-$E$108)/365.25),""),"")</f>
        <v/>
      </c>
      <c r="J113" s="26" t="n">
        <v>2010</v>
      </c>
      <c r="K113" s="25" t="n">
        <f aca="false">IFERROR(SUMIFS($B$111:$B$202,$A$111:$A$202,"&gt;="&amp;DATE(J113,1,1),$A$111:$A$202,"&lt;="&amp;DATE(J113,12,31)),"")</f>
        <v>0</v>
      </c>
      <c r="L113" s="33" t="str">
        <f aca="false">IFERROR(K113/K112-1,"")</f>
        <v/>
      </c>
      <c r="M113" s="25" t="n">
        <f aca="false">IFERROR(SUMIFS($E$111:$E$202,$A$111:$A$202,"&gt;="&amp;DATE(J113,1,1),$A$111:$A$202,"&lt;="&amp;DATE(J113,12,31)),"")</f>
        <v>0</v>
      </c>
    </row>
    <row r="114" customFormat="false" ht="15" hidden="false" customHeight="false" outlineLevel="0" collapsed="false">
      <c r="A114" s="27" t="n">
        <v>39722</v>
      </c>
      <c r="B114" s="28" t="str">
        <f aca="true">IFERROR(IF(SUMIFS(INDIRECT(Index!$M$15),INDIRECT(Index!$L$15),"&gt;="&amp;$A114,INDIRECT(Index!$L$15),"&lt;"&amp;EDATE($A114,3))=0,"",SUMIFS(INDIRECT(Index!$M$15),INDIRECT(Index!$L$15),"&gt;="&amp;$A114,INDIRECT(Index!$L$15),"&lt;"&amp;EDATE($A114,3))),"")</f>
        <v/>
      </c>
      <c r="C114" s="29" t="str">
        <f aca="false">IFERROR(B114/B113-1,"")</f>
        <v/>
      </c>
      <c r="D114" s="30"/>
      <c r="E114" s="31" t="str">
        <f aca="false">IFERROR(IF(AND(B114="",ISNUMBER($C$108),ISNUMBER($G$108)),$C$108*(1+$G$108)^(($A114-$E$108)/365.25),""),"")</f>
        <v/>
      </c>
      <c r="F114" s="31" t="str">
        <f aca="false">IFERROR(IF(AND(B114="",ISNUMBER($C$108),ISNUMBER($G$108)),$C$108*(1+$G$108*0.85^MAX(0,($A114-$E$108)/91.25))^(($A114-$E$108)/365.25),""),"")</f>
        <v/>
      </c>
      <c r="J114" s="32" t="n">
        <v>2011</v>
      </c>
      <c r="K114" s="31" t="n">
        <f aca="false">IFERROR(SUMIFS($B$111:$B$202,$A$111:$A$202,"&gt;="&amp;DATE(J114,1,1),$A$111:$A$202,"&lt;="&amp;DATE(J114,12,31)),"")</f>
        <v>0</v>
      </c>
      <c r="L114" s="29" t="str">
        <f aca="false">IFERROR(K114/K113-1,"")</f>
        <v/>
      </c>
      <c r="M114" s="31" t="n">
        <f aca="false">IFERROR(SUMIFS($E$111:$E$202,$A$111:$A$202,"&gt;="&amp;DATE(J114,1,1),$A$111:$A$202,"&lt;="&amp;DATE(J114,12,31)),"")</f>
        <v>0</v>
      </c>
    </row>
    <row r="115" customFormat="false" ht="15" hidden="false" customHeight="false" outlineLevel="0" collapsed="false">
      <c r="A115" s="15" t="n">
        <v>39814</v>
      </c>
      <c r="B115" s="20" t="str">
        <f aca="true">IFERROR(IF(SUMIFS(INDIRECT(Index!$M$15),INDIRECT(Index!$L$15),"&gt;="&amp;$A115,INDIRECT(Index!$L$15),"&lt;"&amp;EDATE($A115,3))=0,"",SUMIFS(INDIRECT(Index!$M$15),INDIRECT(Index!$L$15),"&gt;="&amp;$A115,INDIRECT(Index!$L$15),"&lt;"&amp;EDATE($A115,3))),"")</f>
        <v/>
      </c>
      <c r="C115" s="33" t="str">
        <f aca="false">IFERROR(B115/B114-1,"")</f>
        <v/>
      </c>
      <c r="D115" s="33" t="str">
        <f aca="false">IFERROR(B115/B111-1,"")</f>
        <v/>
      </c>
      <c r="E115" s="25" t="str">
        <f aca="false">IFERROR(IF(AND(B115="",ISNUMBER($C$108),ISNUMBER($G$108)),$C$108*(1+$G$108)^(($A115-$E$108)/365.25),""),"")</f>
        <v/>
      </c>
      <c r="F115" s="25" t="str">
        <f aca="false">IFERROR(IF(AND(B115="",ISNUMBER($C$108),ISNUMBER($G$108)),$C$108*(1+$G$108*0.85^MAX(0,($A115-$E$108)/91.25))^(($A115-$E$108)/365.25),""),"")</f>
        <v/>
      </c>
      <c r="J115" s="26" t="n">
        <v>2012</v>
      </c>
      <c r="K115" s="25" t="n">
        <f aca="false">IFERROR(SUMIFS($B$111:$B$202,$A$111:$A$202,"&gt;="&amp;DATE(J115,1,1),$A$111:$A$202,"&lt;="&amp;DATE(J115,12,31)),"")</f>
        <v>0</v>
      </c>
      <c r="L115" s="33" t="str">
        <f aca="false">IFERROR(K115/K114-1,"")</f>
        <v/>
      </c>
      <c r="M115" s="25" t="n">
        <f aca="false">IFERROR(SUMIFS($E$111:$E$202,$A$111:$A$202,"&gt;="&amp;DATE(J115,1,1),$A$111:$A$202,"&lt;="&amp;DATE(J115,12,31)),"")</f>
        <v>0</v>
      </c>
    </row>
    <row r="116" customFormat="false" ht="15" hidden="false" customHeight="false" outlineLevel="0" collapsed="false">
      <c r="A116" s="27" t="n">
        <v>39904</v>
      </c>
      <c r="B116" s="28" t="str">
        <f aca="true">IFERROR(IF(SUMIFS(INDIRECT(Index!$M$15),INDIRECT(Index!$L$15),"&gt;="&amp;$A116,INDIRECT(Index!$L$15),"&lt;"&amp;EDATE($A116,3))=0,"",SUMIFS(INDIRECT(Index!$M$15),INDIRECT(Index!$L$15),"&gt;="&amp;$A116,INDIRECT(Index!$L$15),"&lt;"&amp;EDATE($A116,3))),"")</f>
        <v/>
      </c>
      <c r="C116" s="29" t="str">
        <f aca="false">IFERROR(B116/B115-1,"")</f>
        <v/>
      </c>
      <c r="D116" s="29" t="str">
        <f aca="false">IFERROR(B116/B112-1,"")</f>
        <v/>
      </c>
      <c r="E116" s="31" t="str">
        <f aca="false">IFERROR(IF(AND(B116="",ISNUMBER($C$108),ISNUMBER($G$108)),$C$108*(1+$G$108)^(($A116-$E$108)/365.25),""),"")</f>
        <v/>
      </c>
      <c r="F116" s="31" t="str">
        <f aca="false">IFERROR(IF(AND(B116="",ISNUMBER($C$108),ISNUMBER($G$108)),$C$108*(1+$G$108*0.85^MAX(0,($A116-$E$108)/91.25))^(($A116-$E$108)/365.25),""),"")</f>
        <v/>
      </c>
      <c r="J116" s="32" t="n">
        <v>2013</v>
      </c>
      <c r="K116" s="31" t="n">
        <f aca="false">IFERROR(SUMIFS($B$111:$B$202,$A$111:$A$202,"&gt;="&amp;DATE(J116,1,1),$A$111:$A$202,"&lt;="&amp;DATE(J116,12,31)),"")</f>
        <v>0</v>
      </c>
      <c r="L116" s="29" t="str">
        <f aca="false">IFERROR(K116/K115-1,"")</f>
        <v/>
      </c>
      <c r="M116" s="31" t="n">
        <f aca="false">IFERROR(SUMIFS($E$111:$E$202,$A$111:$A$202,"&gt;="&amp;DATE(J116,1,1),$A$111:$A$202,"&lt;="&amp;DATE(J116,12,31)),"")</f>
        <v>0</v>
      </c>
    </row>
    <row r="117" customFormat="false" ht="15" hidden="false" customHeight="false" outlineLevel="0" collapsed="false">
      <c r="A117" s="15" t="n">
        <v>39995</v>
      </c>
      <c r="B117" s="20" t="str">
        <f aca="true">IFERROR(IF(SUMIFS(INDIRECT(Index!$M$15),INDIRECT(Index!$L$15),"&gt;="&amp;$A117,INDIRECT(Index!$L$15),"&lt;"&amp;EDATE($A117,3))=0,"",SUMIFS(INDIRECT(Index!$M$15),INDIRECT(Index!$L$15),"&gt;="&amp;$A117,INDIRECT(Index!$L$15),"&lt;"&amp;EDATE($A117,3))),"")</f>
        <v/>
      </c>
      <c r="C117" s="33" t="str">
        <f aca="false">IFERROR(B117/B116-1,"")</f>
        <v/>
      </c>
      <c r="D117" s="33" t="str">
        <f aca="false">IFERROR(B117/B113-1,"")</f>
        <v/>
      </c>
      <c r="E117" s="25" t="str">
        <f aca="false">IFERROR(IF(AND(B117="",ISNUMBER($C$108),ISNUMBER($G$108)),$C$108*(1+$G$108)^(($A117-$E$108)/365.25),""),"")</f>
        <v/>
      </c>
      <c r="F117" s="25" t="str">
        <f aca="false">IFERROR(IF(AND(B117="",ISNUMBER($C$108),ISNUMBER($G$108)),$C$108*(1+$G$108*0.85^MAX(0,($A117-$E$108)/91.25))^(($A117-$E$108)/365.25),""),"")</f>
        <v/>
      </c>
      <c r="J117" s="26" t="n">
        <v>2014</v>
      </c>
      <c r="K117" s="25" t="n">
        <f aca="false">IFERROR(SUMIFS($B$111:$B$202,$A$111:$A$202,"&gt;="&amp;DATE(J117,1,1),$A$111:$A$202,"&lt;="&amp;DATE(J117,12,31)),"")</f>
        <v>0</v>
      </c>
      <c r="L117" s="33" t="str">
        <f aca="false">IFERROR(K117/K116-1,"")</f>
        <v/>
      </c>
      <c r="M117" s="25" t="n">
        <f aca="false">IFERROR(SUMIFS($E$111:$E$202,$A$111:$A$202,"&gt;="&amp;DATE(J117,1,1),$A$111:$A$202,"&lt;="&amp;DATE(J117,12,31)),"")</f>
        <v>0</v>
      </c>
    </row>
    <row r="118" customFormat="false" ht="15" hidden="false" customHeight="false" outlineLevel="0" collapsed="false">
      <c r="A118" s="27" t="n">
        <v>40087</v>
      </c>
      <c r="B118" s="28" t="str">
        <f aca="true">IFERROR(IF(SUMIFS(INDIRECT(Index!$M$15),INDIRECT(Index!$L$15),"&gt;="&amp;$A118,INDIRECT(Index!$L$15),"&lt;"&amp;EDATE($A118,3))=0,"",SUMIFS(INDIRECT(Index!$M$15),INDIRECT(Index!$L$15),"&gt;="&amp;$A118,INDIRECT(Index!$L$15),"&lt;"&amp;EDATE($A118,3))),"")</f>
        <v/>
      </c>
      <c r="C118" s="29" t="str">
        <f aca="false">IFERROR(B118/B117-1,"")</f>
        <v/>
      </c>
      <c r="D118" s="29" t="str">
        <f aca="false">IFERROR(B118/B114-1,"")</f>
        <v/>
      </c>
      <c r="E118" s="31" t="str">
        <f aca="false">IFERROR(IF(AND(B118="",ISNUMBER($C$108),ISNUMBER($G$108)),$C$108*(1+$G$108)^(($A118-$E$108)/365.25),""),"")</f>
        <v/>
      </c>
      <c r="F118" s="31" t="str">
        <f aca="false">IFERROR(IF(AND(B118="",ISNUMBER($C$108),ISNUMBER($G$108)),$C$108*(1+$G$108*0.85^MAX(0,($A118-$E$108)/91.25))^(($A118-$E$108)/365.25),""),"")</f>
        <v/>
      </c>
      <c r="J118" s="32" t="n">
        <v>2015</v>
      </c>
      <c r="K118" s="31" t="n">
        <f aca="false">IFERROR(SUMIFS($B$111:$B$202,$A$111:$A$202,"&gt;="&amp;DATE(J118,1,1),$A$111:$A$202,"&lt;="&amp;DATE(J118,12,31)),"")</f>
        <v>0</v>
      </c>
      <c r="L118" s="29" t="str">
        <f aca="false">IFERROR(K118/K117-1,"")</f>
        <v/>
      </c>
      <c r="M118" s="31" t="n">
        <f aca="false">IFERROR(SUMIFS($E$111:$E$202,$A$111:$A$202,"&gt;="&amp;DATE(J118,1,1),$A$111:$A$202,"&lt;="&amp;DATE(J118,12,31)),"")</f>
        <v>0</v>
      </c>
    </row>
    <row r="119" customFormat="false" ht="15" hidden="false" customHeight="false" outlineLevel="0" collapsed="false">
      <c r="A119" s="15" t="n">
        <v>40179</v>
      </c>
      <c r="B119" s="20" t="str">
        <f aca="true">IFERROR(IF(SUMIFS(INDIRECT(Index!$M$15),INDIRECT(Index!$L$15),"&gt;="&amp;$A119,INDIRECT(Index!$L$15),"&lt;"&amp;EDATE($A119,3))=0,"",SUMIFS(INDIRECT(Index!$M$15),INDIRECT(Index!$L$15),"&gt;="&amp;$A119,INDIRECT(Index!$L$15),"&lt;"&amp;EDATE($A119,3))),"")</f>
        <v/>
      </c>
      <c r="C119" s="33" t="str">
        <f aca="false">IFERROR(B119/B118-1,"")</f>
        <v/>
      </c>
      <c r="D119" s="33" t="str">
        <f aca="false">IFERROR(B119/B115-1,"")</f>
        <v/>
      </c>
      <c r="E119" s="25" t="str">
        <f aca="false">IFERROR(IF(AND(B119="",ISNUMBER($C$108),ISNUMBER($G$108)),$C$108*(1+$G$108)^(($A119-$E$108)/365.25),""),"")</f>
        <v/>
      </c>
      <c r="F119" s="25" t="str">
        <f aca="false">IFERROR(IF(AND(B119="",ISNUMBER($C$108),ISNUMBER($G$108)),$C$108*(1+$G$108*0.85^MAX(0,($A119-$E$108)/91.25))^(($A119-$E$108)/365.25),""),"")</f>
        <v/>
      </c>
      <c r="J119" s="26" t="n">
        <v>2016</v>
      </c>
      <c r="K119" s="25" t="n">
        <f aca="false">IFERROR(SUMIFS($B$111:$B$202,$A$111:$A$202,"&gt;="&amp;DATE(J119,1,1),$A$111:$A$202,"&lt;="&amp;DATE(J119,12,31)),"")</f>
        <v>0</v>
      </c>
      <c r="L119" s="33" t="str">
        <f aca="false">IFERROR(K119/K118-1,"")</f>
        <v/>
      </c>
      <c r="M119" s="25" t="n">
        <f aca="false">IFERROR(SUMIFS($E$111:$E$202,$A$111:$A$202,"&gt;="&amp;DATE(J119,1,1),$A$111:$A$202,"&lt;="&amp;DATE(J119,12,31)),"")</f>
        <v>0</v>
      </c>
    </row>
    <row r="120" customFormat="false" ht="15" hidden="false" customHeight="false" outlineLevel="0" collapsed="false">
      <c r="A120" s="27" t="n">
        <v>40269</v>
      </c>
      <c r="B120" s="28" t="str">
        <f aca="true">IFERROR(IF(SUMIFS(INDIRECT(Index!$M$15),INDIRECT(Index!$L$15),"&gt;="&amp;$A120,INDIRECT(Index!$L$15),"&lt;"&amp;EDATE($A120,3))=0,"",SUMIFS(INDIRECT(Index!$M$15),INDIRECT(Index!$L$15),"&gt;="&amp;$A120,INDIRECT(Index!$L$15),"&lt;"&amp;EDATE($A120,3))),"")</f>
        <v/>
      </c>
      <c r="C120" s="29" t="str">
        <f aca="false">IFERROR(B120/B119-1,"")</f>
        <v/>
      </c>
      <c r="D120" s="29" t="str">
        <f aca="false">IFERROR(B120/B116-1,"")</f>
        <v/>
      </c>
      <c r="E120" s="31" t="str">
        <f aca="false">IFERROR(IF(AND(B120="",ISNUMBER($C$108),ISNUMBER($G$108)),$C$108*(1+$G$108)^(($A120-$E$108)/365.25),""),"")</f>
        <v/>
      </c>
      <c r="F120" s="31" t="str">
        <f aca="false">IFERROR(IF(AND(B120="",ISNUMBER($C$108),ISNUMBER($G$108)),$C$108*(1+$G$108*0.85^MAX(0,($A120-$E$108)/91.25))^(($A120-$E$108)/365.25),""),"")</f>
        <v/>
      </c>
      <c r="J120" s="32" t="n">
        <v>2017</v>
      </c>
      <c r="K120" s="31" t="n">
        <f aca="false">IFERROR(SUMIFS($B$111:$B$202,$A$111:$A$202,"&gt;="&amp;DATE(J120,1,1),$A$111:$A$202,"&lt;="&amp;DATE(J120,12,31)),"")</f>
        <v>0</v>
      </c>
      <c r="L120" s="29" t="str">
        <f aca="false">IFERROR(K120/K119-1,"")</f>
        <v/>
      </c>
      <c r="M120" s="31" t="n">
        <f aca="false">IFERROR(SUMIFS($E$111:$E$202,$A$111:$A$202,"&gt;="&amp;DATE(J120,1,1),$A$111:$A$202,"&lt;="&amp;DATE(J120,12,31)),"")</f>
        <v>0</v>
      </c>
    </row>
    <row r="121" customFormat="false" ht="15" hidden="false" customHeight="false" outlineLevel="0" collapsed="false">
      <c r="A121" s="15" t="n">
        <v>40360</v>
      </c>
      <c r="B121" s="20" t="str">
        <f aca="true">IFERROR(IF(SUMIFS(INDIRECT(Index!$M$15),INDIRECT(Index!$L$15),"&gt;="&amp;$A121,INDIRECT(Index!$L$15),"&lt;"&amp;EDATE($A121,3))=0,"",SUMIFS(INDIRECT(Index!$M$15),INDIRECT(Index!$L$15),"&gt;="&amp;$A121,INDIRECT(Index!$L$15),"&lt;"&amp;EDATE($A121,3))),"")</f>
        <v/>
      </c>
      <c r="C121" s="33" t="str">
        <f aca="false">IFERROR(B121/B120-1,"")</f>
        <v/>
      </c>
      <c r="D121" s="33" t="str">
        <f aca="false">IFERROR(B121/B117-1,"")</f>
        <v/>
      </c>
      <c r="E121" s="25" t="str">
        <f aca="false">IFERROR(IF(AND(B121="",ISNUMBER($C$108),ISNUMBER($G$108)),$C$108*(1+$G$108)^(($A121-$E$108)/365.25),""),"")</f>
        <v/>
      </c>
      <c r="F121" s="25" t="str">
        <f aca="false">IFERROR(IF(AND(B121="",ISNUMBER($C$108),ISNUMBER($G$108)),$C$108*(1+$G$108*0.85^MAX(0,($A121-$E$108)/91.25))^(($A121-$E$108)/365.25),""),"")</f>
        <v/>
      </c>
      <c r="J121" s="26" t="n">
        <v>2018</v>
      </c>
      <c r="K121" s="25" t="n">
        <f aca="false">IFERROR(SUMIFS($B$111:$B$202,$A$111:$A$202,"&gt;="&amp;DATE(J121,1,1),$A$111:$A$202,"&lt;="&amp;DATE(J121,12,31)),"")</f>
        <v>0</v>
      </c>
      <c r="L121" s="33" t="str">
        <f aca="false">IFERROR(K121/K120-1,"")</f>
        <v/>
      </c>
      <c r="M121" s="25" t="n">
        <f aca="false">IFERROR(SUMIFS($E$111:$E$202,$A$111:$A$202,"&gt;="&amp;DATE(J121,1,1),$A$111:$A$202,"&lt;="&amp;DATE(J121,12,31)),"")</f>
        <v>0</v>
      </c>
    </row>
    <row r="122" customFormat="false" ht="15" hidden="false" customHeight="false" outlineLevel="0" collapsed="false">
      <c r="A122" s="27" t="n">
        <v>40452</v>
      </c>
      <c r="B122" s="28" t="str">
        <f aca="true">IFERROR(IF(SUMIFS(INDIRECT(Index!$M$15),INDIRECT(Index!$L$15),"&gt;="&amp;$A122,INDIRECT(Index!$L$15),"&lt;"&amp;EDATE($A122,3))=0,"",SUMIFS(INDIRECT(Index!$M$15),INDIRECT(Index!$L$15),"&gt;="&amp;$A122,INDIRECT(Index!$L$15),"&lt;"&amp;EDATE($A122,3))),"")</f>
        <v/>
      </c>
      <c r="C122" s="29" t="str">
        <f aca="false">IFERROR(B122/B121-1,"")</f>
        <v/>
      </c>
      <c r="D122" s="29" t="str">
        <f aca="false">IFERROR(B122/B118-1,"")</f>
        <v/>
      </c>
      <c r="E122" s="31" t="str">
        <f aca="false">IFERROR(IF(AND(B122="",ISNUMBER($C$108),ISNUMBER($G$108)),$C$108*(1+$G$108)^(($A122-$E$108)/365.25),""),"")</f>
        <v/>
      </c>
      <c r="F122" s="31" t="str">
        <f aca="false">IFERROR(IF(AND(B122="",ISNUMBER($C$108),ISNUMBER($G$108)),$C$108*(1+$G$108*0.85^MAX(0,($A122-$E$108)/91.25))^(($A122-$E$108)/365.25),""),"")</f>
        <v/>
      </c>
      <c r="J122" s="32" t="n">
        <v>2019</v>
      </c>
      <c r="K122" s="31" t="n">
        <f aca="false">IFERROR(SUMIFS($B$111:$B$202,$A$111:$A$202,"&gt;="&amp;DATE(J122,1,1),$A$111:$A$202,"&lt;="&amp;DATE(J122,12,31)),"")</f>
        <v>0</v>
      </c>
      <c r="L122" s="29" t="str">
        <f aca="false">IFERROR(K122/K121-1,"")</f>
        <v/>
      </c>
      <c r="M122" s="31" t="n">
        <f aca="false">IFERROR(SUMIFS($E$111:$E$202,$A$111:$A$202,"&gt;="&amp;DATE(J122,1,1),$A$111:$A$202,"&lt;="&amp;DATE(J122,12,31)),"")</f>
        <v>0</v>
      </c>
    </row>
    <row r="123" customFormat="false" ht="15" hidden="false" customHeight="false" outlineLevel="0" collapsed="false">
      <c r="A123" s="15" t="n">
        <v>40544</v>
      </c>
      <c r="B123" s="20" t="str">
        <f aca="true">IFERROR(IF(SUMIFS(INDIRECT(Index!$M$15),INDIRECT(Index!$L$15),"&gt;="&amp;$A123,INDIRECT(Index!$L$15),"&lt;"&amp;EDATE($A123,3))=0,"",SUMIFS(INDIRECT(Index!$M$15),INDIRECT(Index!$L$15),"&gt;="&amp;$A123,INDIRECT(Index!$L$15),"&lt;"&amp;EDATE($A123,3))),"")</f>
        <v/>
      </c>
      <c r="C123" s="33" t="str">
        <f aca="false">IFERROR(B123/B122-1,"")</f>
        <v/>
      </c>
      <c r="D123" s="33" t="str">
        <f aca="false">IFERROR(B123/B119-1,"")</f>
        <v/>
      </c>
      <c r="E123" s="25" t="str">
        <f aca="false">IFERROR(IF(AND(B123="",ISNUMBER($C$108),ISNUMBER($G$108)),$C$108*(1+$G$108)^(($A123-$E$108)/365.25),""),"")</f>
        <v/>
      </c>
      <c r="F123" s="25" t="str">
        <f aca="false">IFERROR(IF(AND(B123="",ISNUMBER($C$108),ISNUMBER($G$108)),$C$108*(1+$G$108*0.85^MAX(0,($A123-$E$108)/91.25))^(($A123-$E$108)/365.25),""),"")</f>
        <v/>
      </c>
      <c r="J123" s="26" t="n">
        <v>2020</v>
      </c>
      <c r="K123" s="25" t="n">
        <f aca="false">IFERROR(SUMIFS($B$111:$B$202,$A$111:$A$202,"&gt;="&amp;DATE(J123,1,1),$A$111:$A$202,"&lt;="&amp;DATE(J123,12,31)),"")</f>
        <v>0</v>
      </c>
      <c r="L123" s="33" t="str">
        <f aca="false">IFERROR(K123/K122-1,"")</f>
        <v/>
      </c>
      <c r="M123" s="25" t="n">
        <f aca="false">IFERROR(SUMIFS($E$111:$E$202,$A$111:$A$202,"&gt;="&amp;DATE(J123,1,1),$A$111:$A$202,"&lt;="&amp;DATE(J123,12,31)),"")</f>
        <v>0</v>
      </c>
    </row>
    <row r="124" customFormat="false" ht="15" hidden="false" customHeight="false" outlineLevel="0" collapsed="false">
      <c r="A124" s="27" t="n">
        <v>40634</v>
      </c>
      <c r="B124" s="28" t="str">
        <f aca="true">IFERROR(IF(SUMIFS(INDIRECT(Index!$M$15),INDIRECT(Index!$L$15),"&gt;="&amp;$A124,INDIRECT(Index!$L$15),"&lt;"&amp;EDATE($A124,3))=0,"",SUMIFS(INDIRECT(Index!$M$15),INDIRECT(Index!$L$15),"&gt;="&amp;$A124,INDIRECT(Index!$L$15),"&lt;"&amp;EDATE($A124,3))),"")</f>
        <v/>
      </c>
      <c r="C124" s="29" t="str">
        <f aca="false">IFERROR(B124/B123-1,"")</f>
        <v/>
      </c>
      <c r="D124" s="29" t="str">
        <f aca="false">IFERROR(B124/B120-1,"")</f>
        <v/>
      </c>
      <c r="E124" s="31" t="str">
        <f aca="false">IFERROR(IF(AND(B124="",ISNUMBER($C$108),ISNUMBER($G$108)),$C$108*(1+$G$108)^(($A124-$E$108)/365.25),""),"")</f>
        <v/>
      </c>
      <c r="F124" s="31" t="str">
        <f aca="false">IFERROR(IF(AND(B124="",ISNUMBER($C$108),ISNUMBER($G$108)),$C$108*(1+$G$108*0.85^MAX(0,($A124-$E$108)/91.25))^(($A124-$E$108)/365.25),""),"")</f>
        <v/>
      </c>
      <c r="J124" s="32" t="n">
        <v>2021</v>
      </c>
      <c r="K124" s="31" t="n">
        <f aca="false">IFERROR(SUMIFS($B$111:$B$202,$A$111:$A$202,"&gt;="&amp;DATE(J124,1,1),$A$111:$A$202,"&lt;="&amp;DATE(J124,12,31)),"")</f>
        <v>0</v>
      </c>
      <c r="L124" s="29" t="str">
        <f aca="false">IFERROR(K124/K123-1,"")</f>
        <v/>
      </c>
      <c r="M124" s="31" t="n">
        <f aca="false">IFERROR(SUMIFS($E$111:$E$202,$A$111:$A$202,"&gt;="&amp;DATE(J124,1,1),$A$111:$A$202,"&lt;="&amp;DATE(J124,12,31)),"")</f>
        <v>0</v>
      </c>
    </row>
    <row r="125" customFormat="false" ht="15" hidden="false" customHeight="false" outlineLevel="0" collapsed="false">
      <c r="A125" s="15" t="n">
        <v>40725</v>
      </c>
      <c r="B125" s="20" t="str">
        <f aca="true">IFERROR(IF(SUMIFS(INDIRECT(Index!$M$15),INDIRECT(Index!$L$15),"&gt;="&amp;$A125,INDIRECT(Index!$L$15),"&lt;"&amp;EDATE($A125,3))=0,"",SUMIFS(INDIRECT(Index!$M$15),INDIRECT(Index!$L$15),"&gt;="&amp;$A125,INDIRECT(Index!$L$15),"&lt;"&amp;EDATE($A125,3))),"")</f>
        <v/>
      </c>
      <c r="C125" s="33" t="str">
        <f aca="false">IFERROR(B125/B124-1,"")</f>
        <v/>
      </c>
      <c r="D125" s="33" t="str">
        <f aca="false">IFERROR(B125/B121-1,"")</f>
        <v/>
      </c>
      <c r="E125" s="25" t="str">
        <f aca="false">IFERROR(IF(AND(B125="",ISNUMBER($C$108),ISNUMBER($G$108)),$C$108*(1+$G$108)^(($A125-$E$108)/365.25),""),"")</f>
        <v/>
      </c>
      <c r="F125" s="25" t="str">
        <f aca="false">IFERROR(IF(AND(B125="",ISNUMBER($C$108),ISNUMBER($G$108)),$C$108*(1+$G$108*0.85^MAX(0,($A125-$E$108)/91.25))^(($A125-$E$108)/365.25),""),"")</f>
        <v/>
      </c>
      <c r="J125" s="26" t="n">
        <v>2022</v>
      </c>
      <c r="K125" s="25" t="n">
        <f aca="false">IFERROR(SUMIFS($B$111:$B$202,$A$111:$A$202,"&gt;="&amp;DATE(J125,1,1),$A$111:$A$202,"&lt;="&amp;DATE(J125,12,31)),"")</f>
        <v>0</v>
      </c>
      <c r="L125" s="33" t="str">
        <f aca="false">IFERROR(K125/K124-1,"")</f>
        <v/>
      </c>
      <c r="M125" s="25" t="n">
        <f aca="false">IFERROR(SUMIFS($E$111:$E$202,$A$111:$A$202,"&gt;="&amp;DATE(J125,1,1),$A$111:$A$202,"&lt;="&amp;DATE(J125,12,31)),"")</f>
        <v>0</v>
      </c>
    </row>
    <row r="126" customFormat="false" ht="15" hidden="false" customHeight="false" outlineLevel="0" collapsed="false">
      <c r="A126" s="27" t="n">
        <v>40817</v>
      </c>
      <c r="B126" s="28" t="str">
        <f aca="true">IFERROR(IF(SUMIFS(INDIRECT(Index!$M$15),INDIRECT(Index!$L$15),"&gt;="&amp;$A126,INDIRECT(Index!$L$15),"&lt;"&amp;EDATE($A126,3))=0,"",SUMIFS(INDIRECT(Index!$M$15),INDIRECT(Index!$L$15),"&gt;="&amp;$A126,INDIRECT(Index!$L$15),"&lt;"&amp;EDATE($A126,3))),"")</f>
        <v/>
      </c>
      <c r="C126" s="29" t="str">
        <f aca="false">IFERROR(B126/B125-1,"")</f>
        <v/>
      </c>
      <c r="D126" s="29" t="str">
        <f aca="false">IFERROR(B126/B122-1,"")</f>
        <v/>
      </c>
      <c r="E126" s="31" t="str">
        <f aca="false">IFERROR(IF(AND(B126="",ISNUMBER($C$108),ISNUMBER($G$108)),$C$108*(1+$G$108)^(($A126-$E$108)/365.25),""),"")</f>
        <v/>
      </c>
      <c r="F126" s="31" t="str">
        <f aca="false">IFERROR(IF(AND(B126="",ISNUMBER($C$108),ISNUMBER($G$108)),$C$108*(1+$G$108*0.85^MAX(0,($A126-$E$108)/91.25))^(($A126-$E$108)/365.25),""),"")</f>
        <v/>
      </c>
      <c r="J126" s="32" t="n">
        <v>2023</v>
      </c>
      <c r="K126" s="31" t="n">
        <f aca="false">IFERROR(SUMIFS($B$111:$B$202,$A$111:$A$202,"&gt;="&amp;DATE(J126,1,1),$A$111:$A$202,"&lt;="&amp;DATE(J126,12,31)),"")</f>
        <v>0</v>
      </c>
      <c r="L126" s="29" t="str">
        <f aca="false">IFERROR(K126/K125-1,"")</f>
        <v/>
      </c>
      <c r="M126" s="31" t="n">
        <f aca="false">IFERROR(SUMIFS($E$111:$E$202,$A$111:$A$202,"&gt;="&amp;DATE(J126,1,1),$A$111:$A$202,"&lt;="&amp;DATE(J126,12,31)),"")</f>
        <v>0</v>
      </c>
    </row>
    <row r="127" customFormat="false" ht="15" hidden="false" customHeight="false" outlineLevel="0" collapsed="false">
      <c r="A127" s="15" t="n">
        <v>40909</v>
      </c>
      <c r="B127" s="20" t="str">
        <f aca="true">IFERROR(IF(SUMIFS(INDIRECT(Index!$M$15),INDIRECT(Index!$L$15),"&gt;="&amp;$A127,INDIRECT(Index!$L$15),"&lt;"&amp;EDATE($A127,3))=0,"",SUMIFS(INDIRECT(Index!$M$15),INDIRECT(Index!$L$15),"&gt;="&amp;$A127,INDIRECT(Index!$L$15),"&lt;"&amp;EDATE($A127,3))),"")</f>
        <v/>
      </c>
      <c r="C127" s="33" t="str">
        <f aca="false">IFERROR(B127/B126-1,"")</f>
        <v/>
      </c>
      <c r="D127" s="33" t="str">
        <f aca="false">IFERROR(B127/B123-1,"")</f>
        <v/>
      </c>
      <c r="E127" s="25" t="str">
        <f aca="false">IFERROR(IF(AND(B127="",ISNUMBER($C$108),ISNUMBER($G$108)),$C$108*(1+$G$108)^(($A127-$E$108)/365.25),""),"")</f>
        <v/>
      </c>
      <c r="F127" s="25" t="str">
        <f aca="false">IFERROR(IF(AND(B127="",ISNUMBER($C$108),ISNUMBER($G$108)),$C$108*(1+$G$108*0.85^MAX(0,($A127-$E$108)/91.25))^(($A127-$E$108)/365.25),""),"")</f>
        <v/>
      </c>
      <c r="J127" s="26" t="n">
        <v>2024</v>
      </c>
      <c r="K127" s="25" t="n">
        <f aca="false">IFERROR(SUMIFS($B$111:$B$202,$A$111:$A$202,"&gt;="&amp;DATE(J127,1,1),$A$111:$A$202,"&lt;="&amp;DATE(J127,12,31)),"")</f>
        <v>0</v>
      </c>
      <c r="L127" s="33" t="str">
        <f aca="false">IFERROR(K127/K126-1,"")</f>
        <v/>
      </c>
      <c r="M127" s="25" t="n">
        <f aca="false">IFERROR(SUMIFS($E$111:$E$202,$A$111:$A$202,"&gt;="&amp;DATE(J127,1,1),$A$111:$A$202,"&lt;="&amp;DATE(J127,12,31)),"")</f>
        <v>0</v>
      </c>
    </row>
    <row r="128" customFormat="false" ht="15" hidden="false" customHeight="false" outlineLevel="0" collapsed="false">
      <c r="A128" s="27" t="n">
        <v>41000</v>
      </c>
      <c r="B128" s="28" t="str">
        <f aca="true">IFERROR(IF(SUMIFS(INDIRECT(Index!$M$15),INDIRECT(Index!$L$15),"&gt;="&amp;$A128,INDIRECT(Index!$L$15),"&lt;"&amp;EDATE($A128,3))=0,"",SUMIFS(INDIRECT(Index!$M$15),INDIRECT(Index!$L$15),"&gt;="&amp;$A128,INDIRECT(Index!$L$15),"&lt;"&amp;EDATE($A128,3))),"")</f>
        <v/>
      </c>
      <c r="C128" s="29" t="str">
        <f aca="false">IFERROR(B128/B127-1,"")</f>
        <v/>
      </c>
      <c r="D128" s="29" t="str">
        <f aca="false">IFERROR(B128/B124-1,"")</f>
        <v/>
      </c>
      <c r="E128" s="31" t="str">
        <f aca="false">IFERROR(IF(AND(B128="",ISNUMBER($C$108),ISNUMBER($G$108)),$C$108*(1+$G$108)^(($A128-$E$108)/365.25),""),"")</f>
        <v/>
      </c>
      <c r="F128" s="31" t="str">
        <f aca="false">IFERROR(IF(AND(B128="",ISNUMBER($C$108),ISNUMBER($G$108)),$C$108*(1+$G$108*0.85^MAX(0,($A128-$E$108)/91.25))^(($A128-$E$108)/365.25),""),"")</f>
        <v/>
      </c>
      <c r="J128" s="32" t="n">
        <v>2025</v>
      </c>
      <c r="K128" s="31" t="n">
        <f aca="false">IFERROR(SUMIFS($B$111:$B$202,$A$111:$A$202,"&gt;="&amp;DATE(J128,1,1),$A$111:$A$202,"&lt;="&amp;DATE(J128,12,31)),"")</f>
        <v>0</v>
      </c>
      <c r="L128" s="29" t="str">
        <f aca="false">IFERROR(K128/K127-1,"")</f>
        <v/>
      </c>
      <c r="M128" s="31" t="n">
        <f aca="false">IFERROR(SUMIFS($E$111:$E$202,$A$111:$A$202,"&gt;="&amp;DATE(J128,1,1),$A$111:$A$202,"&lt;="&amp;DATE(J128,12,31)),"")</f>
        <v>0</v>
      </c>
    </row>
    <row r="129" customFormat="false" ht="15" hidden="false" customHeight="false" outlineLevel="0" collapsed="false">
      <c r="A129" s="15" t="n">
        <v>41091</v>
      </c>
      <c r="B129" s="20" t="str">
        <f aca="true">IFERROR(IF(SUMIFS(INDIRECT(Index!$M$15),INDIRECT(Index!$L$15),"&gt;="&amp;$A129,INDIRECT(Index!$L$15),"&lt;"&amp;EDATE($A129,3))=0,"",SUMIFS(INDIRECT(Index!$M$15),INDIRECT(Index!$L$15),"&gt;="&amp;$A129,INDIRECT(Index!$L$15),"&lt;"&amp;EDATE($A129,3))),"")</f>
        <v/>
      </c>
      <c r="C129" s="33" t="str">
        <f aca="false">IFERROR(B129/B128-1,"")</f>
        <v/>
      </c>
      <c r="D129" s="33" t="str">
        <f aca="false">IFERROR(B129/B125-1,"")</f>
        <v/>
      </c>
      <c r="E129" s="25" t="str">
        <f aca="false">IFERROR(IF(AND(B129="",ISNUMBER($C$108),ISNUMBER($G$108)),$C$108*(1+$G$108)^(($A129-$E$108)/365.25),""),"")</f>
        <v/>
      </c>
      <c r="F129" s="25" t="str">
        <f aca="false">IFERROR(IF(AND(B129="",ISNUMBER($C$108),ISNUMBER($G$108)),$C$108*(1+$G$108*0.85^MAX(0,($A129-$E$108)/91.25))^(($A129-$E$108)/365.25),""),"")</f>
        <v/>
      </c>
      <c r="J129" s="26" t="n">
        <v>2026</v>
      </c>
      <c r="K129" s="25" t="n">
        <f aca="false">IFERROR(SUMIFS($B$111:$B$202,$A$111:$A$202,"&gt;="&amp;DATE(J129,1,1),$A$111:$A$202,"&lt;="&amp;DATE(J129,12,31)),"")</f>
        <v>0</v>
      </c>
      <c r="L129" s="33" t="str">
        <f aca="false">IFERROR(K129/K128-1,"")</f>
        <v/>
      </c>
      <c r="M129" s="25" t="n">
        <f aca="false">IFERROR(SUMIFS($E$111:$E$202,$A$111:$A$202,"&gt;="&amp;DATE(J129,1,1),$A$111:$A$202,"&lt;="&amp;DATE(J129,12,31)),"")</f>
        <v>0</v>
      </c>
    </row>
    <row r="130" customFormat="false" ht="15" hidden="false" customHeight="false" outlineLevel="0" collapsed="false">
      <c r="A130" s="27" t="n">
        <v>41183</v>
      </c>
      <c r="B130" s="28" t="str">
        <f aca="true">IFERROR(IF(SUMIFS(INDIRECT(Index!$M$15),INDIRECT(Index!$L$15),"&gt;="&amp;$A130,INDIRECT(Index!$L$15),"&lt;"&amp;EDATE($A130,3))=0,"",SUMIFS(INDIRECT(Index!$M$15),INDIRECT(Index!$L$15),"&gt;="&amp;$A130,INDIRECT(Index!$L$15),"&lt;"&amp;EDATE($A130,3))),"")</f>
        <v/>
      </c>
      <c r="C130" s="29" t="str">
        <f aca="false">IFERROR(B130/B129-1,"")</f>
        <v/>
      </c>
      <c r="D130" s="29" t="str">
        <f aca="false">IFERROR(B130/B126-1,"")</f>
        <v/>
      </c>
      <c r="E130" s="31" t="str">
        <f aca="false">IFERROR(IF(AND(B130="",ISNUMBER($C$108),ISNUMBER($G$108)),$C$108*(1+$G$108)^(($A130-$E$108)/365.25),""),"")</f>
        <v/>
      </c>
      <c r="F130" s="31" t="str">
        <f aca="false">IFERROR(IF(AND(B130="",ISNUMBER($C$108),ISNUMBER($G$108)),$C$108*(1+$G$108*0.85^MAX(0,($A130-$E$108)/91.25))^(($A130-$E$108)/365.25),""),"")</f>
        <v/>
      </c>
      <c r="J130" s="32" t="n">
        <v>2027</v>
      </c>
      <c r="K130" s="31" t="n">
        <f aca="false">IFERROR(SUMIFS($B$111:$B$202,$A$111:$A$202,"&gt;="&amp;DATE(J130,1,1),$A$111:$A$202,"&lt;="&amp;DATE(J130,12,31)),"")</f>
        <v>0</v>
      </c>
      <c r="L130" s="29" t="str">
        <f aca="false">IFERROR(K130/K129-1,"")</f>
        <v/>
      </c>
      <c r="M130" s="31" t="n">
        <f aca="false">IFERROR(SUMIFS($E$111:$E$202,$A$111:$A$202,"&gt;="&amp;DATE(J130,1,1),$A$111:$A$202,"&lt;="&amp;DATE(J130,12,31)),"")</f>
        <v>0</v>
      </c>
    </row>
    <row r="131" customFormat="false" ht="15" hidden="false" customHeight="false" outlineLevel="0" collapsed="false">
      <c r="A131" s="15" t="n">
        <v>41275</v>
      </c>
      <c r="B131" s="20" t="str">
        <f aca="true">IFERROR(IF(SUMIFS(INDIRECT(Index!$M$15),INDIRECT(Index!$L$15),"&gt;="&amp;$A131,INDIRECT(Index!$L$15),"&lt;"&amp;EDATE($A131,3))=0,"",SUMIFS(INDIRECT(Index!$M$15),INDIRECT(Index!$L$15),"&gt;="&amp;$A131,INDIRECT(Index!$L$15),"&lt;"&amp;EDATE($A131,3))),"")</f>
        <v/>
      </c>
      <c r="C131" s="33" t="str">
        <f aca="false">IFERROR(B131/B130-1,"")</f>
        <v/>
      </c>
      <c r="D131" s="33" t="str">
        <f aca="false">IFERROR(B131/B127-1,"")</f>
        <v/>
      </c>
      <c r="E131" s="25" t="str">
        <f aca="false">IFERROR(IF(AND(B131="",ISNUMBER($C$108),ISNUMBER($G$108)),$C$108*(1+$G$108)^(($A131-$E$108)/365.25),""),"")</f>
        <v/>
      </c>
      <c r="F131" s="25" t="str">
        <f aca="false">IFERROR(IF(AND(B131="",ISNUMBER($C$108),ISNUMBER($G$108)),$C$108*(1+$G$108*0.85^MAX(0,($A131-$E$108)/91.25))^(($A131-$E$108)/365.25),""),"")</f>
        <v/>
      </c>
      <c r="J131" s="26" t="n">
        <v>2028</v>
      </c>
      <c r="K131" s="25" t="n">
        <f aca="false">IFERROR(SUMIFS($B$111:$B$202,$A$111:$A$202,"&gt;="&amp;DATE(J131,1,1),$A$111:$A$202,"&lt;="&amp;DATE(J131,12,31)),"")</f>
        <v>0</v>
      </c>
      <c r="L131" s="33" t="str">
        <f aca="false">IFERROR(K131/K130-1,"")</f>
        <v/>
      </c>
      <c r="M131" s="25" t="n">
        <f aca="false">IFERROR(SUMIFS($E$111:$E$202,$A$111:$A$202,"&gt;="&amp;DATE(J131,1,1),$A$111:$A$202,"&lt;="&amp;DATE(J131,12,31)),"")</f>
        <v>0</v>
      </c>
    </row>
    <row r="132" customFormat="false" ht="15" hidden="false" customHeight="false" outlineLevel="0" collapsed="false">
      <c r="A132" s="27" t="n">
        <v>41365</v>
      </c>
      <c r="B132" s="28" t="str">
        <f aca="true">IFERROR(IF(SUMIFS(INDIRECT(Index!$M$15),INDIRECT(Index!$L$15),"&gt;="&amp;$A132,INDIRECT(Index!$L$15),"&lt;"&amp;EDATE($A132,3))=0,"",SUMIFS(INDIRECT(Index!$M$15),INDIRECT(Index!$L$15),"&gt;="&amp;$A132,INDIRECT(Index!$L$15),"&lt;"&amp;EDATE($A132,3))),"")</f>
        <v/>
      </c>
      <c r="C132" s="29" t="str">
        <f aca="false">IFERROR(B132/B131-1,"")</f>
        <v/>
      </c>
      <c r="D132" s="29" t="str">
        <f aca="false">IFERROR(B132/B128-1,"")</f>
        <v/>
      </c>
      <c r="E132" s="31" t="str">
        <f aca="false">IFERROR(IF(AND(B132="",ISNUMBER($C$108),ISNUMBER($G$108)),$C$108*(1+$G$108)^(($A132-$E$108)/365.25),""),"")</f>
        <v/>
      </c>
      <c r="F132" s="31" t="str">
        <f aca="false">IFERROR(IF(AND(B132="",ISNUMBER($C$108),ISNUMBER($G$108)),$C$108*(1+$G$108*0.85^MAX(0,($A132-$E$108)/91.25))^(($A132-$E$108)/365.25),""),"")</f>
        <v/>
      </c>
      <c r="J132" s="32" t="n">
        <v>2029</v>
      </c>
      <c r="K132" s="31" t="n">
        <f aca="false">IFERROR(SUMIFS($B$111:$B$202,$A$111:$A$202,"&gt;="&amp;DATE(J132,1,1),$A$111:$A$202,"&lt;="&amp;DATE(J132,12,31)),"")</f>
        <v>0</v>
      </c>
      <c r="L132" s="29" t="str">
        <f aca="false">IFERROR(K132/K131-1,"")</f>
        <v/>
      </c>
      <c r="M132" s="31" t="n">
        <f aca="false">IFERROR(SUMIFS($E$111:$E$202,$A$111:$A$202,"&gt;="&amp;DATE(J132,1,1),$A$111:$A$202,"&lt;="&amp;DATE(J132,12,31)),"")</f>
        <v>0</v>
      </c>
    </row>
    <row r="133" customFormat="false" ht="15" hidden="false" customHeight="false" outlineLevel="0" collapsed="false">
      <c r="A133" s="15" t="n">
        <v>41456</v>
      </c>
      <c r="B133" s="20" t="str">
        <f aca="true">IFERROR(IF(SUMIFS(INDIRECT(Index!$M$15),INDIRECT(Index!$L$15),"&gt;="&amp;$A133,INDIRECT(Index!$L$15),"&lt;"&amp;EDATE($A133,3))=0,"",SUMIFS(INDIRECT(Index!$M$15),INDIRECT(Index!$L$15),"&gt;="&amp;$A133,INDIRECT(Index!$L$15),"&lt;"&amp;EDATE($A133,3))),"")</f>
        <v/>
      </c>
      <c r="C133" s="33" t="str">
        <f aca="false">IFERROR(B133/B132-1,"")</f>
        <v/>
      </c>
      <c r="D133" s="33" t="str">
        <f aca="false">IFERROR(B133/B129-1,"")</f>
        <v/>
      </c>
      <c r="E133" s="25" t="str">
        <f aca="false">IFERROR(IF(AND(B133="",ISNUMBER($C$108),ISNUMBER($G$108)),$C$108*(1+$G$108)^(($A133-$E$108)/365.25),""),"")</f>
        <v/>
      </c>
      <c r="F133" s="25" t="str">
        <f aca="false">IFERROR(IF(AND(B133="",ISNUMBER($C$108),ISNUMBER($G$108)),$C$108*(1+$G$108*0.85^MAX(0,($A133-$E$108)/91.25))^(($A133-$E$108)/365.25),""),"")</f>
        <v/>
      </c>
      <c r="J133" s="26" t="n">
        <v>2030</v>
      </c>
      <c r="K133" s="25" t="n">
        <f aca="false">IFERROR(SUMIFS($B$111:$B$202,$A$111:$A$202,"&gt;="&amp;DATE(J133,1,1),$A$111:$A$202,"&lt;="&amp;DATE(J133,12,31)),"")</f>
        <v>0</v>
      </c>
      <c r="L133" s="33" t="str">
        <f aca="false">IFERROR(K133/K132-1,"")</f>
        <v/>
      </c>
      <c r="M133" s="25" t="n">
        <f aca="false">IFERROR(SUMIFS($E$111:$E$202,$A$111:$A$202,"&gt;="&amp;DATE(J133,1,1),$A$111:$A$202,"&lt;="&amp;DATE(J133,12,31)),"")</f>
        <v>0</v>
      </c>
    </row>
    <row r="134" customFormat="false" ht="15" hidden="false" customHeight="false" outlineLevel="0" collapsed="false">
      <c r="A134" s="27" t="n">
        <v>41548</v>
      </c>
      <c r="B134" s="28" t="str">
        <f aca="true">IFERROR(IF(SUMIFS(INDIRECT(Index!$M$15),INDIRECT(Index!$L$15),"&gt;="&amp;$A134,INDIRECT(Index!$L$15),"&lt;"&amp;EDATE($A134,3))=0,"",SUMIFS(INDIRECT(Index!$M$15),INDIRECT(Index!$L$15),"&gt;="&amp;$A134,INDIRECT(Index!$L$15),"&lt;"&amp;EDATE($A134,3))),"")</f>
        <v/>
      </c>
      <c r="C134" s="29" t="str">
        <f aca="false">IFERROR(B134/B133-1,"")</f>
        <v/>
      </c>
      <c r="D134" s="29" t="str">
        <f aca="false">IFERROR(B134/B130-1,"")</f>
        <v/>
      </c>
      <c r="E134" s="31" t="str">
        <f aca="false">IFERROR(IF(AND(B134="",ISNUMBER($C$108),ISNUMBER($G$108)),$C$108*(1+$G$108)^(($A134-$E$108)/365.25),""),"")</f>
        <v/>
      </c>
      <c r="F134" s="31" t="str">
        <f aca="false">IFERROR(IF(AND(B134="",ISNUMBER($C$108),ISNUMBER($G$108)),$C$108*(1+$G$108*0.85^MAX(0,($A134-$E$108)/91.25))^(($A134-$E$108)/365.25),""),"")</f>
        <v/>
      </c>
    </row>
    <row r="135" customFormat="false" ht="15" hidden="false" customHeight="false" outlineLevel="0" collapsed="false">
      <c r="A135" s="15" t="n">
        <v>41640</v>
      </c>
      <c r="B135" s="20" t="str">
        <f aca="true">IFERROR(IF(SUMIFS(INDIRECT(Index!$M$15),INDIRECT(Index!$L$15),"&gt;="&amp;$A135,INDIRECT(Index!$L$15),"&lt;"&amp;EDATE($A135,3))=0,"",SUMIFS(INDIRECT(Index!$M$15),INDIRECT(Index!$L$15),"&gt;="&amp;$A135,INDIRECT(Index!$L$15),"&lt;"&amp;EDATE($A135,3))),"")</f>
        <v/>
      </c>
      <c r="C135" s="33" t="str">
        <f aca="false">IFERROR(B135/B134-1,"")</f>
        <v/>
      </c>
      <c r="D135" s="33" t="str">
        <f aca="false">IFERROR(B135/B131-1,"")</f>
        <v/>
      </c>
      <c r="E135" s="25" t="str">
        <f aca="false">IFERROR(IF(AND(B135="",ISNUMBER($C$108),ISNUMBER($G$108)),$C$108*(1+$G$108)^(($A135-$E$108)/365.25),""),"")</f>
        <v/>
      </c>
      <c r="F135" s="25" t="str">
        <f aca="false">IFERROR(IF(AND(B135="",ISNUMBER($C$108),ISNUMBER($G$108)),$C$108*(1+$G$108*0.85^MAX(0,($A135-$E$108)/91.25))^(($A135-$E$108)/365.25),""),"")</f>
        <v/>
      </c>
    </row>
    <row r="136" customFormat="false" ht="15" hidden="false" customHeight="false" outlineLevel="0" collapsed="false">
      <c r="A136" s="27" t="n">
        <v>41730</v>
      </c>
      <c r="B136" s="28" t="str">
        <f aca="true">IFERROR(IF(SUMIFS(INDIRECT(Index!$M$15),INDIRECT(Index!$L$15),"&gt;="&amp;$A136,INDIRECT(Index!$L$15),"&lt;"&amp;EDATE($A136,3))=0,"",SUMIFS(INDIRECT(Index!$M$15),INDIRECT(Index!$L$15),"&gt;="&amp;$A136,INDIRECT(Index!$L$15),"&lt;"&amp;EDATE($A136,3))),"")</f>
        <v/>
      </c>
      <c r="C136" s="29" t="str">
        <f aca="false">IFERROR(B136/B135-1,"")</f>
        <v/>
      </c>
      <c r="D136" s="29" t="str">
        <f aca="false">IFERROR(B136/B132-1,"")</f>
        <v/>
      </c>
      <c r="E136" s="31" t="str">
        <f aca="false">IFERROR(IF(AND(B136="",ISNUMBER($C$108),ISNUMBER($G$108)),$C$108*(1+$G$108)^(($A136-$E$108)/365.25),""),"")</f>
        <v/>
      </c>
      <c r="F136" s="31" t="str">
        <f aca="false">IFERROR(IF(AND(B136="",ISNUMBER($C$108),ISNUMBER($G$108)),$C$108*(1+$G$108*0.85^MAX(0,($A136-$E$108)/91.25))^(($A136-$E$108)/365.25),""),"")</f>
        <v/>
      </c>
    </row>
    <row r="137" customFormat="false" ht="15" hidden="false" customHeight="false" outlineLevel="0" collapsed="false">
      <c r="A137" s="15" t="n">
        <v>41821</v>
      </c>
      <c r="B137" s="20" t="str">
        <f aca="true">IFERROR(IF(SUMIFS(INDIRECT(Index!$M$15),INDIRECT(Index!$L$15),"&gt;="&amp;$A137,INDIRECT(Index!$L$15),"&lt;"&amp;EDATE($A137,3))=0,"",SUMIFS(INDIRECT(Index!$M$15),INDIRECT(Index!$L$15),"&gt;="&amp;$A137,INDIRECT(Index!$L$15),"&lt;"&amp;EDATE($A137,3))),"")</f>
        <v/>
      </c>
      <c r="C137" s="33" t="str">
        <f aca="false">IFERROR(B137/B136-1,"")</f>
        <v/>
      </c>
      <c r="D137" s="33" t="str">
        <f aca="false">IFERROR(B137/B133-1,"")</f>
        <v/>
      </c>
      <c r="E137" s="25" t="str">
        <f aca="false">IFERROR(IF(AND(B137="",ISNUMBER($C$108),ISNUMBER($G$108)),$C$108*(1+$G$108)^(($A137-$E$108)/365.25),""),"")</f>
        <v/>
      </c>
      <c r="F137" s="25" t="str">
        <f aca="false">IFERROR(IF(AND(B137="",ISNUMBER($C$108),ISNUMBER($G$108)),$C$108*(1+$G$108*0.85^MAX(0,($A137-$E$108)/91.25))^(($A137-$E$108)/365.25),""),"")</f>
        <v/>
      </c>
    </row>
    <row r="138" customFormat="false" ht="15" hidden="false" customHeight="false" outlineLevel="0" collapsed="false">
      <c r="A138" s="27" t="n">
        <v>41913</v>
      </c>
      <c r="B138" s="28" t="str">
        <f aca="true">IFERROR(IF(SUMIFS(INDIRECT(Index!$M$15),INDIRECT(Index!$L$15),"&gt;="&amp;$A138,INDIRECT(Index!$L$15),"&lt;"&amp;EDATE($A138,3))=0,"",SUMIFS(INDIRECT(Index!$M$15),INDIRECT(Index!$L$15),"&gt;="&amp;$A138,INDIRECT(Index!$L$15),"&lt;"&amp;EDATE($A138,3))),"")</f>
        <v/>
      </c>
      <c r="C138" s="29" t="str">
        <f aca="false">IFERROR(B138/B137-1,"")</f>
        <v/>
      </c>
      <c r="D138" s="29" t="str">
        <f aca="false">IFERROR(B138/B134-1,"")</f>
        <v/>
      </c>
      <c r="E138" s="31" t="str">
        <f aca="false">IFERROR(IF(AND(B138="",ISNUMBER($C$108),ISNUMBER($G$108)),$C$108*(1+$G$108)^(($A138-$E$108)/365.25),""),"")</f>
        <v/>
      </c>
      <c r="F138" s="31" t="str">
        <f aca="false">IFERROR(IF(AND(B138="",ISNUMBER($C$108),ISNUMBER($G$108)),$C$108*(1+$G$108*0.85^MAX(0,($A138-$E$108)/91.25))^(($A138-$E$108)/365.25),""),"")</f>
        <v/>
      </c>
    </row>
    <row r="139" customFormat="false" ht="15" hidden="false" customHeight="false" outlineLevel="0" collapsed="false">
      <c r="A139" s="15" t="n">
        <v>42005</v>
      </c>
      <c r="B139" s="20" t="str">
        <f aca="true">IFERROR(IF(SUMIFS(INDIRECT(Index!$M$15),INDIRECT(Index!$L$15),"&gt;="&amp;$A139,INDIRECT(Index!$L$15),"&lt;"&amp;EDATE($A139,3))=0,"",SUMIFS(INDIRECT(Index!$M$15),INDIRECT(Index!$L$15),"&gt;="&amp;$A139,INDIRECT(Index!$L$15),"&lt;"&amp;EDATE($A139,3))),"")</f>
        <v/>
      </c>
      <c r="C139" s="33" t="str">
        <f aca="false">IFERROR(B139/B138-1,"")</f>
        <v/>
      </c>
      <c r="D139" s="33" t="str">
        <f aca="false">IFERROR(B139/B135-1,"")</f>
        <v/>
      </c>
      <c r="E139" s="25" t="str">
        <f aca="false">IFERROR(IF(AND(B139="",ISNUMBER($C$108),ISNUMBER($G$108)),$C$108*(1+$G$108)^(($A139-$E$108)/365.25),""),"")</f>
        <v/>
      </c>
      <c r="F139" s="25" t="str">
        <f aca="false">IFERROR(IF(AND(B139="",ISNUMBER($C$108),ISNUMBER($G$108)),$C$108*(1+$G$108*0.85^MAX(0,($A139-$E$108)/91.25))^(($A139-$E$108)/365.25),""),"")</f>
        <v/>
      </c>
    </row>
    <row r="140" customFormat="false" ht="15" hidden="false" customHeight="false" outlineLevel="0" collapsed="false">
      <c r="A140" s="27" t="n">
        <v>42095</v>
      </c>
      <c r="B140" s="28" t="str">
        <f aca="true">IFERROR(IF(SUMIFS(INDIRECT(Index!$M$15),INDIRECT(Index!$L$15),"&gt;="&amp;$A140,INDIRECT(Index!$L$15),"&lt;"&amp;EDATE($A140,3))=0,"",SUMIFS(INDIRECT(Index!$M$15),INDIRECT(Index!$L$15),"&gt;="&amp;$A140,INDIRECT(Index!$L$15),"&lt;"&amp;EDATE($A140,3))),"")</f>
        <v/>
      </c>
      <c r="C140" s="29" t="str">
        <f aca="false">IFERROR(B140/B139-1,"")</f>
        <v/>
      </c>
      <c r="D140" s="29" t="str">
        <f aca="false">IFERROR(B140/B136-1,"")</f>
        <v/>
      </c>
      <c r="E140" s="31" t="str">
        <f aca="false">IFERROR(IF(AND(B140="",ISNUMBER($C$108),ISNUMBER($G$108)),$C$108*(1+$G$108)^(($A140-$E$108)/365.25),""),"")</f>
        <v/>
      </c>
      <c r="F140" s="31" t="str">
        <f aca="false">IFERROR(IF(AND(B140="",ISNUMBER($C$108),ISNUMBER($G$108)),$C$108*(1+$G$108*0.85^MAX(0,($A140-$E$108)/91.25))^(($A140-$E$108)/365.25),""),"")</f>
        <v/>
      </c>
    </row>
    <row r="141" customFormat="false" ht="15" hidden="false" customHeight="false" outlineLevel="0" collapsed="false">
      <c r="A141" s="15" t="n">
        <v>42186</v>
      </c>
      <c r="B141" s="20" t="str">
        <f aca="true">IFERROR(IF(SUMIFS(INDIRECT(Index!$M$15),INDIRECT(Index!$L$15),"&gt;="&amp;$A141,INDIRECT(Index!$L$15),"&lt;"&amp;EDATE($A141,3))=0,"",SUMIFS(INDIRECT(Index!$M$15),INDIRECT(Index!$L$15),"&gt;="&amp;$A141,INDIRECT(Index!$L$15),"&lt;"&amp;EDATE($A141,3))),"")</f>
        <v/>
      </c>
      <c r="C141" s="33" t="str">
        <f aca="false">IFERROR(B141/B140-1,"")</f>
        <v/>
      </c>
      <c r="D141" s="33" t="str">
        <f aca="false">IFERROR(B141/B137-1,"")</f>
        <v/>
      </c>
      <c r="E141" s="25" t="str">
        <f aca="false">IFERROR(IF(AND(B141="",ISNUMBER($C$108),ISNUMBER($G$108)),$C$108*(1+$G$108)^(($A141-$E$108)/365.25),""),"")</f>
        <v/>
      </c>
      <c r="F141" s="25" t="str">
        <f aca="false">IFERROR(IF(AND(B141="",ISNUMBER($C$108),ISNUMBER($G$108)),$C$108*(1+$G$108*0.85^MAX(0,($A141-$E$108)/91.25))^(($A141-$E$108)/365.25),""),"")</f>
        <v/>
      </c>
    </row>
    <row r="142" customFormat="false" ht="15" hidden="false" customHeight="false" outlineLevel="0" collapsed="false">
      <c r="A142" s="27" t="n">
        <v>42278</v>
      </c>
      <c r="B142" s="28" t="str">
        <f aca="true">IFERROR(IF(SUMIFS(INDIRECT(Index!$M$15),INDIRECT(Index!$L$15),"&gt;="&amp;$A142,INDIRECT(Index!$L$15),"&lt;"&amp;EDATE($A142,3))=0,"",SUMIFS(INDIRECT(Index!$M$15),INDIRECT(Index!$L$15),"&gt;="&amp;$A142,INDIRECT(Index!$L$15),"&lt;"&amp;EDATE($A142,3))),"")</f>
        <v/>
      </c>
      <c r="C142" s="29" t="str">
        <f aca="false">IFERROR(B142/B141-1,"")</f>
        <v/>
      </c>
      <c r="D142" s="29" t="str">
        <f aca="false">IFERROR(B142/B138-1,"")</f>
        <v/>
      </c>
      <c r="E142" s="31" t="str">
        <f aca="false">IFERROR(IF(AND(B142="",ISNUMBER($C$108),ISNUMBER($G$108)),$C$108*(1+$G$108)^(($A142-$E$108)/365.25),""),"")</f>
        <v/>
      </c>
      <c r="F142" s="31" t="str">
        <f aca="false">IFERROR(IF(AND(B142="",ISNUMBER($C$108),ISNUMBER($G$108)),$C$108*(1+$G$108*0.85^MAX(0,($A142-$E$108)/91.25))^(($A142-$E$108)/365.25),""),"")</f>
        <v/>
      </c>
    </row>
    <row r="143" customFormat="false" ht="15" hidden="false" customHeight="false" outlineLevel="0" collapsed="false">
      <c r="A143" s="15" t="n">
        <v>42370</v>
      </c>
      <c r="B143" s="20" t="str">
        <f aca="true">IFERROR(IF(SUMIFS(INDIRECT(Index!$M$15),INDIRECT(Index!$L$15),"&gt;="&amp;$A143,INDIRECT(Index!$L$15),"&lt;"&amp;EDATE($A143,3))=0,"",SUMIFS(INDIRECT(Index!$M$15),INDIRECT(Index!$L$15),"&gt;="&amp;$A143,INDIRECT(Index!$L$15),"&lt;"&amp;EDATE($A143,3))),"")</f>
        <v/>
      </c>
      <c r="C143" s="33" t="str">
        <f aca="false">IFERROR(B143/B142-1,"")</f>
        <v/>
      </c>
      <c r="D143" s="33" t="str">
        <f aca="false">IFERROR(B143/B139-1,"")</f>
        <v/>
      </c>
      <c r="E143" s="25" t="str">
        <f aca="false">IFERROR(IF(AND(B143="",ISNUMBER($C$108),ISNUMBER($G$108)),$C$108*(1+$G$108)^(($A143-$E$108)/365.25),""),"")</f>
        <v/>
      </c>
      <c r="F143" s="25" t="str">
        <f aca="false">IFERROR(IF(AND(B143="",ISNUMBER($C$108),ISNUMBER($G$108)),$C$108*(1+$G$108*0.85^MAX(0,($A143-$E$108)/91.25))^(($A143-$E$108)/365.25),""),"")</f>
        <v/>
      </c>
    </row>
    <row r="144" customFormat="false" ht="15" hidden="false" customHeight="false" outlineLevel="0" collapsed="false">
      <c r="A144" s="27" t="n">
        <v>42461</v>
      </c>
      <c r="B144" s="28" t="str">
        <f aca="true">IFERROR(IF(SUMIFS(INDIRECT(Index!$M$15),INDIRECT(Index!$L$15),"&gt;="&amp;$A144,INDIRECT(Index!$L$15),"&lt;"&amp;EDATE($A144,3))=0,"",SUMIFS(INDIRECT(Index!$M$15),INDIRECT(Index!$L$15),"&gt;="&amp;$A144,INDIRECT(Index!$L$15),"&lt;"&amp;EDATE($A144,3))),"")</f>
        <v/>
      </c>
      <c r="C144" s="29" t="str">
        <f aca="false">IFERROR(B144/B143-1,"")</f>
        <v/>
      </c>
      <c r="D144" s="29" t="str">
        <f aca="false">IFERROR(B144/B140-1,"")</f>
        <v/>
      </c>
      <c r="E144" s="31" t="str">
        <f aca="false">IFERROR(IF(AND(B144="",ISNUMBER($C$108),ISNUMBER($G$108)),$C$108*(1+$G$108)^(($A144-$E$108)/365.25),""),"")</f>
        <v/>
      </c>
      <c r="F144" s="31" t="str">
        <f aca="false">IFERROR(IF(AND(B144="",ISNUMBER($C$108),ISNUMBER($G$108)),$C$108*(1+$G$108*0.85^MAX(0,($A144-$E$108)/91.25))^(($A144-$E$108)/365.25),""),"")</f>
        <v/>
      </c>
    </row>
    <row r="145" customFormat="false" ht="15" hidden="false" customHeight="false" outlineLevel="0" collapsed="false">
      <c r="A145" s="15" t="n">
        <v>42552</v>
      </c>
      <c r="B145" s="20" t="str">
        <f aca="true">IFERROR(IF(SUMIFS(INDIRECT(Index!$M$15),INDIRECT(Index!$L$15),"&gt;="&amp;$A145,INDIRECT(Index!$L$15),"&lt;"&amp;EDATE($A145,3))=0,"",SUMIFS(INDIRECT(Index!$M$15),INDIRECT(Index!$L$15),"&gt;="&amp;$A145,INDIRECT(Index!$L$15),"&lt;"&amp;EDATE($A145,3))),"")</f>
        <v/>
      </c>
      <c r="C145" s="33" t="str">
        <f aca="false">IFERROR(B145/B144-1,"")</f>
        <v/>
      </c>
      <c r="D145" s="33" t="str">
        <f aca="false">IFERROR(B145/B141-1,"")</f>
        <v/>
      </c>
      <c r="E145" s="25" t="str">
        <f aca="false">IFERROR(IF(AND(B145="",ISNUMBER($C$108),ISNUMBER($G$108)),$C$108*(1+$G$108)^(($A145-$E$108)/365.25),""),"")</f>
        <v/>
      </c>
      <c r="F145" s="25" t="str">
        <f aca="false">IFERROR(IF(AND(B145="",ISNUMBER($C$108),ISNUMBER($G$108)),$C$108*(1+$G$108*0.85^MAX(0,($A145-$E$108)/91.25))^(($A145-$E$108)/365.25),""),"")</f>
        <v/>
      </c>
    </row>
    <row r="146" customFormat="false" ht="15" hidden="false" customHeight="false" outlineLevel="0" collapsed="false">
      <c r="A146" s="27" t="n">
        <v>42644</v>
      </c>
      <c r="B146" s="28" t="str">
        <f aca="true">IFERROR(IF(SUMIFS(INDIRECT(Index!$M$15),INDIRECT(Index!$L$15),"&gt;="&amp;$A146,INDIRECT(Index!$L$15),"&lt;"&amp;EDATE($A146,3))=0,"",SUMIFS(INDIRECT(Index!$M$15),INDIRECT(Index!$L$15),"&gt;="&amp;$A146,INDIRECT(Index!$L$15),"&lt;"&amp;EDATE($A146,3))),"")</f>
        <v/>
      </c>
      <c r="C146" s="29" t="str">
        <f aca="false">IFERROR(B146/B145-1,"")</f>
        <v/>
      </c>
      <c r="D146" s="29" t="str">
        <f aca="false">IFERROR(B146/B142-1,"")</f>
        <v/>
      </c>
      <c r="E146" s="31" t="str">
        <f aca="false">IFERROR(IF(AND(B146="",ISNUMBER($C$108),ISNUMBER($G$108)),$C$108*(1+$G$108)^(($A146-$E$108)/365.25),""),"")</f>
        <v/>
      </c>
      <c r="F146" s="31" t="str">
        <f aca="false">IFERROR(IF(AND(B146="",ISNUMBER($C$108),ISNUMBER($G$108)),$C$108*(1+$G$108*0.85^MAX(0,($A146-$E$108)/91.25))^(($A146-$E$108)/365.25),""),"")</f>
        <v/>
      </c>
    </row>
    <row r="147" customFormat="false" ht="15" hidden="false" customHeight="false" outlineLevel="0" collapsed="false">
      <c r="A147" s="15" t="n">
        <v>42736</v>
      </c>
      <c r="B147" s="20" t="str">
        <f aca="true">IFERROR(IF(SUMIFS(INDIRECT(Index!$M$15),INDIRECT(Index!$L$15),"&gt;="&amp;$A147,INDIRECT(Index!$L$15),"&lt;"&amp;EDATE($A147,3))=0,"",SUMIFS(INDIRECT(Index!$M$15),INDIRECT(Index!$L$15),"&gt;="&amp;$A147,INDIRECT(Index!$L$15),"&lt;"&amp;EDATE($A147,3))),"")</f>
        <v/>
      </c>
      <c r="C147" s="33" t="str">
        <f aca="false">IFERROR(B147/B146-1,"")</f>
        <v/>
      </c>
      <c r="D147" s="33" t="str">
        <f aca="false">IFERROR(B147/B143-1,"")</f>
        <v/>
      </c>
      <c r="E147" s="25" t="str">
        <f aca="false">IFERROR(IF(AND(B147="",ISNUMBER($C$108),ISNUMBER($G$108)),$C$108*(1+$G$108)^(($A147-$E$108)/365.25),""),"")</f>
        <v/>
      </c>
      <c r="F147" s="25" t="str">
        <f aca="false">IFERROR(IF(AND(B147="",ISNUMBER($C$108),ISNUMBER($G$108)),$C$108*(1+$G$108*0.85^MAX(0,($A147-$E$108)/91.25))^(($A147-$E$108)/365.25),""),"")</f>
        <v/>
      </c>
    </row>
    <row r="148" customFormat="false" ht="15" hidden="false" customHeight="false" outlineLevel="0" collapsed="false">
      <c r="A148" s="27" t="n">
        <v>42826</v>
      </c>
      <c r="B148" s="28" t="str">
        <f aca="true">IFERROR(IF(SUMIFS(INDIRECT(Index!$M$15),INDIRECT(Index!$L$15),"&gt;="&amp;$A148,INDIRECT(Index!$L$15),"&lt;"&amp;EDATE($A148,3))=0,"",SUMIFS(INDIRECT(Index!$M$15),INDIRECT(Index!$L$15),"&gt;="&amp;$A148,INDIRECT(Index!$L$15),"&lt;"&amp;EDATE($A148,3))),"")</f>
        <v/>
      </c>
      <c r="C148" s="29" t="str">
        <f aca="false">IFERROR(B148/B147-1,"")</f>
        <v/>
      </c>
      <c r="D148" s="29" t="str">
        <f aca="false">IFERROR(B148/B144-1,"")</f>
        <v/>
      </c>
      <c r="E148" s="31" t="str">
        <f aca="false">IFERROR(IF(AND(B148="",ISNUMBER($C$108),ISNUMBER($G$108)),$C$108*(1+$G$108)^(($A148-$E$108)/365.25),""),"")</f>
        <v/>
      </c>
      <c r="F148" s="31" t="str">
        <f aca="false">IFERROR(IF(AND(B148="",ISNUMBER($C$108),ISNUMBER($G$108)),$C$108*(1+$G$108*0.85^MAX(0,($A148-$E$108)/91.25))^(($A148-$E$108)/365.25),""),"")</f>
        <v/>
      </c>
    </row>
    <row r="149" customFormat="false" ht="15" hidden="false" customHeight="false" outlineLevel="0" collapsed="false">
      <c r="A149" s="15" t="n">
        <v>42917</v>
      </c>
      <c r="B149" s="20" t="str">
        <f aca="true">IFERROR(IF(SUMIFS(INDIRECT(Index!$M$15),INDIRECT(Index!$L$15),"&gt;="&amp;$A149,INDIRECT(Index!$L$15),"&lt;"&amp;EDATE($A149,3))=0,"",SUMIFS(INDIRECT(Index!$M$15),INDIRECT(Index!$L$15),"&gt;="&amp;$A149,INDIRECT(Index!$L$15),"&lt;"&amp;EDATE($A149,3))),"")</f>
        <v/>
      </c>
      <c r="C149" s="33" t="str">
        <f aca="false">IFERROR(B149/B148-1,"")</f>
        <v/>
      </c>
      <c r="D149" s="33" t="str">
        <f aca="false">IFERROR(B149/B145-1,"")</f>
        <v/>
      </c>
      <c r="E149" s="25" t="str">
        <f aca="false">IFERROR(IF(AND(B149="",ISNUMBER($C$108),ISNUMBER($G$108)),$C$108*(1+$G$108)^(($A149-$E$108)/365.25),""),"")</f>
        <v/>
      </c>
      <c r="F149" s="25" t="str">
        <f aca="false">IFERROR(IF(AND(B149="",ISNUMBER($C$108),ISNUMBER($G$108)),$C$108*(1+$G$108*0.85^MAX(0,($A149-$E$108)/91.25))^(($A149-$E$108)/365.25),""),"")</f>
        <v/>
      </c>
    </row>
    <row r="150" customFormat="false" ht="15" hidden="false" customHeight="false" outlineLevel="0" collapsed="false">
      <c r="A150" s="27" t="n">
        <v>43009</v>
      </c>
      <c r="B150" s="28" t="str">
        <f aca="true">IFERROR(IF(SUMIFS(INDIRECT(Index!$M$15),INDIRECT(Index!$L$15),"&gt;="&amp;$A150,INDIRECT(Index!$L$15),"&lt;"&amp;EDATE($A150,3))=0,"",SUMIFS(INDIRECT(Index!$M$15),INDIRECT(Index!$L$15),"&gt;="&amp;$A150,INDIRECT(Index!$L$15),"&lt;"&amp;EDATE($A150,3))),"")</f>
        <v/>
      </c>
      <c r="C150" s="29" t="str">
        <f aca="false">IFERROR(B150/B149-1,"")</f>
        <v/>
      </c>
      <c r="D150" s="29" t="str">
        <f aca="false">IFERROR(B150/B146-1,"")</f>
        <v/>
      </c>
      <c r="E150" s="31" t="str">
        <f aca="false">IFERROR(IF(AND(B150="",ISNUMBER($C$108),ISNUMBER($G$108)),$C$108*(1+$G$108)^(($A150-$E$108)/365.25),""),"")</f>
        <v/>
      </c>
      <c r="F150" s="31" t="str">
        <f aca="false">IFERROR(IF(AND(B150="",ISNUMBER($C$108),ISNUMBER($G$108)),$C$108*(1+$G$108*0.85^MAX(0,($A150-$E$108)/91.25))^(($A150-$E$108)/365.25),""),"")</f>
        <v/>
      </c>
    </row>
    <row r="151" customFormat="false" ht="15" hidden="false" customHeight="false" outlineLevel="0" collapsed="false">
      <c r="A151" s="15" t="n">
        <v>43101</v>
      </c>
      <c r="B151" s="20" t="str">
        <f aca="true">IFERROR(IF(SUMIFS(INDIRECT(Index!$M$15),INDIRECT(Index!$L$15),"&gt;="&amp;$A151,INDIRECT(Index!$L$15),"&lt;"&amp;EDATE($A151,3))=0,"",SUMIFS(INDIRECT(Index!$M$15),INDIRECT(Index!$L$15),"&gt;="&amp;$A151,INDIRECT(Index!$L$15),"&lt;"&amp;EDATE($A151,3))),"")</f>
        <v/>
      </c>
      <c r="C151" s="33" t="str">
        <f aca="false">IFERROR(B151/B150-1,"")</f>
        <v/>
      </c>
      <c r="D151" s="33" t="str">
        <f aca="false">IFERROR(B151/B147-1,"")</f>
        <v/>
      </c>
      <c r="E151" s="25" t="str">
        <f aca="false">IFERROR(IF(AND(B151="",ISNUMBER($C$108),ISNUMBER($G$108)),$C$108*(1+$G$108)^(($A151-$E$108)/365.25),""),"")</f>
        <v/>
      </c>
      <c r="F151" s="25" t="str">
        <f aca="false">IFERROR(IF(AND(B151="",ISNUMBER($C$108),ISNUMBER($G$108)),$C$108*(1+$G$108*0.85^MAX(0,($A151-$E$108)/91.25))^(($A151-$E$108)/365.25),""),"")</f>
        <v/>
      </c>
    </row>
    <row r="152" customFormat="false" ht="15" hidden="false" customHeight="false" outlineLevel="0" collapsed="false">
      <c r="A152" s="27" t="n">
        <v>43191</v>
      </c>
      <c r="B152" s="28" t="str">
        <f aca="true">IFERROR(IF(SUMIFS(INDIRECT(Index!$M$15),INDIRECT(Index!$L$15),"&gt;="&amp;$A152,INDIRECT(Index!$L$15),"&lt;"&amp;EDATE($A152,3))=0,"",SUMIFS(INDIRECT(Index!$M$15),INDIRECT(Index!$L$15),"&gt;="&amp;$A152,INDIRECT(Index!$L$15),"&lt;"&amp;EDATE($A152,3))),"")</f>
        <v/>
      </c>
      <c r="C152" s="29" t="str">
        <f aca="false">IFERROR(B152/B151-1,"")</f>
        <v/>
      </c>
      <c r="D152" s="29" t="str">
        <f aca="false">IFERROR(B152/B148-1,"")</f>
        <v/>
      </c>
      <c r="E152" s="31" t="str">
        <f aca="false">IFERROR(IF(AND(B152="",ISNUMBER($C$108),ISNUMBER($G$108)),$C$108*(1+$G$108)^(($A152-$E$108)/365.25),""),"")</f>
        <v/>
      </c>
      <c r="F152" s="31" t="str">
        <f aca="false">IFERROR(IF(AND(B152="",ISNUMBER($C$108),ISNUMBER($G$108)),$C$108*(1+$G$108*0.85^MAX(0,($A152-$E$108)/91.25))^(($A152-$E$108)/365.25),""),"")</f>
        <v/>
      </c>
    </row>
    <row r="153" customFormat="false" ht="15" hidden="false" customHeight="false" outlineLevel="0" collapsed="false">
      <c r="A153" s="15" t="n">
        <v>43282</v>
      </c>
      <c r="B153" s="20" t="str">
        <f aca="true">IFERROR(IF(SUMIFS(INDIRECT(Index!$M$15),INDIRECT(Index!$L$15),"&gt;="&amp;$A153,INDIRECT(Index!$L$15),"&lt;"&amp;EDATE($A153,3))=0,"",SUMIFS(INDIRECT(Index!$M$15),INDIRECT(Index!$L$15),"&gt;="&amp;$A153,INDIRECT(Index!$L$15),"&lt;"&amp;EDATE($A153,3))),"")</f>
        <v/>
      </c>
      <c r="C153" s="33" t="str">
        <f aca="false">IFERROR(B153/B152-1,"")</f>
        <v/>
      </c>
      <c r="D153" s="33" t="str">
        <f aca="false">IFERROR(B153/B149-1,"")</f>
        <v/>
      </c>
      <c r="E153" s="25" t="str">
        <f aca="false">IFERROR(IF(AND(B153="",ISNUMBER($C$108),ISNUMBER($G$108)),$C$108*(1+$G$108)^(($A153-$E$108)/365.25),""),"")</f>
        <v/>
      </c>
      <c r="F153" s="25" t="str">
        <f aca="false">IFERROR(IF(AND(B153="",ISNUMBER($C$108),ISNUMBER($G$108)),$C$108*(1+$G$108*0.85^MAX(0,($A153-$E$108)/91.25))^(($A153-$E$108)/365.25),""),"")</f>
        <v/>
      </c>
    </row>
    <row r="154" customFormat="false" ht="15" hidden="false" customHeight="false" outlineLevel="0" collapsed="false">
      <c r="A154" s="27" t="n">
        <v>43374</v>
      </c>
      <c r="B154" s="28" t="str">
        <f aca="true">IFERROR(IF(SUMIFS(INDIRECT(Index!$M$15),INDIRECT(Index!$L$15),"&gt;="&amp;$A154,INDIRECT(Index!$L$15),"&lt;"&amp;EDATE($A154,3))=0,"",SUMIFS(INDIRECT(Index!$M$15),INDIRECT(Index!$L$15),"&gt;="&amp;$A154,INDIRECT(Index!$L$15),"&lt;"&amp;EDATE($A154,3))),"")</f>
        <v/>
      </c>
      <c r="C154" s="29" t="str">
        <f aca="false">IFERROR(B154/B153-1,"")</f>
        <v/>
      </c>
      <c r="D154" s="29" t="str">
        <f aca="false">IFERROR(B154/B150-1,"")</f>
        <v/>
      </c>
      <c r="E154" s="31" t="str">
        <f aca="false">IFERROR(IF(AND(B154="",ISNUMBER($C$108),ISNUMBER($G$108)),$C$108*(1+$G$108)^(($A154-$E$108)/365.25),""),"")</f>
        <v/>
      </c>
      <c r="F154" s="31" t="str">
        <f aca="false">IFERROR(IF(AND(B154="",ISNUMBER($C$108),ISNUMBER($G$108)),$C$108*(1+$G$108*0.85^MAX(0,($A154-$E$108)/91.25))^(($A154-$E$108)/365.25),""),"")</f>
        <v/>
      </c>
    </row>
    <row r="155" customFormat="false" ht="15" hidden="false" customHeight="false" outlineLevel="0" collapsed="false">
      <c r="A155" s="15" t="n">
        <v>43466</v>
      </c>
      <c r="B155" s="20" t="str">
        <f aca="true">IFERROR(IF(SUMIFS(INDIRECT(Index!$M$15),INDIRECT(Index!$L$15),"&gt;="&amp;$A155,INDIRECT(Index!$L$15),"&lt;"&amp;EDATE($A155,3))=0,"",SUMIFS(INDIRECT(Index!$M$15),INDIRECT(Index!$L$15),"&gt;="&amp;$A155,INDIRECT(Index!$L$15),"&lt;"&amp;EDATE($A155,3))),"")</f>
        <v/>
      </c>
      <c r="C155" s="33" t="str">
        <f aca="false">IFERROR(B155/B154-1,"")</f>
        <v/>
      </c>
      <c r="D155" s="33" t="str">
        <f aca="false">IFERROR(B155/B151-1,"")</f>
        <v/>
      </c>
      <c r="E155" s="25" t="str">
        <f aca="false">IFERROR(IF(AND(B155="",ISNUMBER($C$108),ISNUMBER($G$108)),$C$108*(1+$G$108)^(($A155-$E$108)/365.25),""),"")</f>
        <v/>
      </c>
      <c r="F155" s="25" t="str">
        <f aca="false">IFERROR(IF(AND(B155="",ISNUMBER($C$108),ISNUMBER($G$108)),$C$108*(1+$G$108*0.85^MAX(0,($A155-$E$108)/91.25))^(($A155-$E$108)/365.25),""),"")</f>
        <v/>
      </c>
    </row>
    <row r="156" customFormat="false" ht="15" hidden="false" customHeight="false" outlineLevel="0" collapsed="false">
      <c r="A156" s="27" t="n">
        <v>43556</v>
      </c>
      <c r="B156" s="28" t="str">
        <f aca="true">IFERROR(IF(SUMIFS(INDIRECT(Index!$M$15),INDIRECT(Index!$L$15),"&gt;="&amp;$A156,INDIRECT(Index!$L$15),"&lt;"&amp;EDATE($A156,3))=0,"",SUMIFS(INDIRECT(Index!$M$15),INDIRECT(Index!$L$15),"&gt;="&amp;$A156,INDIRECT(Index!$L$15),"&lt;"&amp;EDATE($A156,3))),"")</f>
        <v/>
      </c>
      <c r="C156" s="29" t="str">
        <f aca="false">IFERROR(B156/B155-1,"")</f>
        <v/>
      </c>
      <c r="D156" s="29" t="str">
        <f aca="false">IFERROR(B156/B152-1,"")</f>
        <v/>
      </c>
      <c r="E156" s="31" t="str">
        <f aca="false">IFERROR(IF(AND(B156="",ISNUMBER($C$108),ISNUMBER($G$108)),$C$108*(1+$G$108)^(($A156-$E$108)/365.25),""),"")</f>
        <v/>
      </c>
      <c r="F156" s="31" t="str">
        <f aca="false">IFERROR(IF(AND(B156="",ISNUMBER($C$108),ISNUMBER($G$108)),$C$108*(1+$G$108*0.85^MAX(0,($A156-$E$108)/91.25))^(($A156-$E$108)/365.25),""),"")</f>
        <v/>
      </c>
    </row>
    <row r="157" customFormat="false" ht="15" hidden="false" customHeight="false" outlineLevel="0" collapsed="false">
      <c r="A157" s="15" t="n">
        <v>43647</v>
      </c>
      <c r="B157" s="20" t="str">
        <f aca="true">IFERROR(IF(SUMIFS(INDIRECT(Index!$M$15),INDIRECT(Index!$L$15),"&gt;="&amp;$A157,INDIRECT(Index!$L$15),"&lt;"&amp;EDATE($A157,3))=0,"",SUMIFS(INDIRECT(Index!$M$15),INDIRECT(Index!$L$15),"&gt;="&amp;$A157,INDIRECT(Index!$L$15),"&lt;"&amp;EDATE($A157,3))),"")</f>
        <v/>
      </c>
      <c r="C157" s="33" t="str">
        <f aca="false">IFERROR(B157/B156-1,"")</f>
        <v/>
      </c>
      <c r="D157" s="33" t="str">
        <f aca="false">IFERROR(B157/B153-1,"")</f>
        <v/>
      </c>
      <c r="E157" s="25" t="str">
        <f aca="false">IFERROR(IF(AND(B157="",ISNUMBER($C$108),ISNUMBER($G$108)),$C$108*(1+$G$108)^(($A157-$E$108)/365.25),""),"")</f>
        <v/>
      </c>
      <c r="F157" s="25" t="str">
        <f aca="false">IFERROR(IF(AND(B157="",ISNUMBER($C$108),ISNUMBER($G$108)),$C$108*(1+$G$108*0.85^MAX(0,($A157-$E$108)/91.25))^(($A157-$E$108)/365.25),""),"")</f>
        <v/>
      </c>
    </row>
    <row r="158" customFormat="false" ht="15" hidden="false" customHeight="false" outlineLevel="0" collapsed="false">
      <c r="A158" s="27" t="n">
        <v>43739</v>
      </c>
      <c r="B158" s="28" t="str">
        <f aca="true">IFERROR(IF(SUMIFS(INDIRECT(Index!$M$15),INDIRECT(Index!$L$15),"&gt;="&amp;$A158,INDIRECT(Index!$L$15),"&lt;"&amp;EDATE($A158,3))=0,"",SUMIFS(INDIRECT(Index!$M$15),INDIRECT(Index!$L$15),"&gt;="&amp;$A158,INDIRECT(Index!$L$15),"&lt;"&amp;EDATE($A158,3))),"")</f>
        <v/>
      </c>
      <c r="C158" s="29" t="str">
        <f aca="false">IFERROR(B158/B157-1,"")</f>
        <v/>
      </c>
      <c r="D158" s="29" t="str">
        <f aca="false">IFERROR(B158/B154-1,"")</f>
        <v/>
      </c>
      <c r="E158" s="31" t="str">
        <f aca="false">IFERROR(IF(AND(B158="",ISNUMBER($C$108),ISNUMBER($G$108)),$C$108*(1+$G$108)^(($A158-$E$108)/365.25),""),"")</f>
        <v/>
      </c>
      <c r="F158" s="31" t="str">
        <f aca="false">IFERROR(IF(AND(B158="",ISNUMBER($C$108),ISNUMBER($G$108)),$C$108*(1+$G$108*0.85^MAX(0,($A158-$E$108)/91.25))^(($A158-$E$108)/365.25),""),"")</f>
        <v/>
      </c>
    </row>
    <row r="159" customFormat="false" ht="15" hidden="false" customHeight="false" outlineLevel="0" collapsed="false">
      <c r="A159" s="15" t="n">
        <v>43831</v>
      </c>
      <c r="B159" s="20" t="str">
        <f aca="true">IFERROR(IF(SUMIFS(INDIRECT(Index!$M$15),INDIRECT(Index!$L$15),"&gt;="&amp;$A159,INDIRECT(Index!$L$15),"&lt;"&amp;EDATE($A159,3))=0,"",SUMIFS(INDIRECT(Index!$M$15),INDIRECT(Index!$L$15),"&gt;="&amp;$A159,INDIRECT(Index!$L$15),"&lt;"&amp;EDATE($A159,3))),"")</f>
        <v/>
      </c>
      <c r="C159" s="33" t="str">
        <f aca="false">IFERROR(B159/B158-1,"")</f>
        <v/>
      </c>
      <c r="D159" s="33" t="str">
        <f aca="false">IFERROR(B159/B155-1,"")</f>
        <v/>
      </c>
      <c r="E159" s="25" t="str">
        <f aca="false">IFERROR(IF(AND(B159="",ISNUMBER($C$108),ISNUMBER($G$108)),$C$108*(1+$G$108)^(($A159-$E$108)/365.25),""),"")</f>
        <v/>
      </c>
      <c r="F159" s="25" t="str">
        <f aca="false">IFERROR(IF(AND(B159="",ISNUMBER($C$108),ISNUMBER($G$108)),$C$108*(1+$G$108*0.85^MAX(0,($A159-$E$108)/91.25))^(($A159-$E$108)/365.25),""),"")</f>
        <v/>
      </c>
    </row>
    <row r="160" customFormat="false" ht="15" hidden="false" customHeight="false" outlineLevel="0" collapsed="false">
      <c r="A160" s="27" t="n">
        <v>43922</v>
      </c>
      <c r="B160" s="28" t="str">
        <f aca="true">IFERROR(IF(SUMIFS(INDIRECT(Index!$M$15),INDIRECT(Index!$L$15),"&gt;="&amp;$A160,INDIRECT(Index!$L$15),"&lt;"&amp;EDATE($A160,3))=0,"",SUMIFS(INDIRECT(Index!$M$15),INDIRECT(Index!$L$15),"&gt;="&amp;$A160,INDIRECT(Index!$L$15),"&lt;"&amp;EDATE($A160,3))),"")</f>
        <v/>
      </c>
      <c r="C160" s="29" t="str">
        <f aca="false">IFERROR(B160/B159-1,"")</f>
        <v/>
      </c>
      <c r="D160" s="29" t="str">
        <f aca="false">IFERROR(B160/B156-1,"")</f>
        <v/>
      </c>
      <c r="E160" s="31" t="str">
        <f aca="false">IFERROR(IF(AND(B160="",ISNUMBER($C$108),ISNUMBER($G$108)),$C$108*(1+$G$108)^(($A160-$E$108)/365.25),""),"")</f>
        <v/>
      </c>
      <c r="F160" s="31" t="str">
        <f aca="false">IFERROR(IF(AND(B160="",ISNUMBER($C$108),ISNUMBER($G$108)),$C$108*(1+$G$108*0.85^MAX(0,($A160-$E$108)/91.25))^(($A160-$E$108)/365.25),""),"")</f>
        <v/>
      </c>
    </row>
    <row r="161" customFormat="false" ht="15" hidden="false" customHeight="false" outlineLevel="0" collapsed="false">
      <c r="A161" s="15" t="n">
        <v>44013</v>
      </c>
      <c r="B161" s="20" t="str">
        <f aca="true">IFERROR(IF(SUMIFS(INDIRECT(Index!$M$15),INDIRECT(Index!$L$15),"&gt;="&amp;$A161,INDIRECT(Index!$L$15),"&lt;"&amp;EDATE($A161,3))=0,"",SUMIFS(INDIRECT(Index!$M$15),INDIRECT(Index!$L$15),"&gt;="&amp;$A161,INDIRECT(Index!$L$15),"&lt;"&amp;EDATE($A161,3))),"")</f>
        <v/>
      </c>
      <c r="C161" s="33" t="str">
        <f aca="false">IFERROR(B161/B160-1,"")</f>
        <v/>
      </c>
      <c r="D161" s="33" t="str">
        <f aca="false">IFERROR(B161/B157-1,"")</f>
        <v/>
      </c>
      <c r="E161" s="25" t="str">
        <f aca="false">IFERROR(IF(AND(B161="",ISNUMBER($C$108),ISNUMBER($G$108)),$C$108*(1+$G$108)^(($A161-$E$108)/365.25),""),"")</f>
        <v/>
      </c>
      <c r="F161" s="25" t="str">
        <f aca="false">IFERROR(IF(AND(B161="",ISNUMBER($C$108),ISNUMBER($G$108)),$C$108*(1+$G$108*0.85^MAX(0,($A161-$E$108)/91.25))^(($A161-$E$108)/365.25),""),"")</f>
        <v/>
      </c>
    </row>
    <row r="162" customFormat="false" ht="15" hidden="false" customHeight="false" outlineLevel="0" collapsed="false">
      <c r="A162" s="27" t="n">
        <v>44105</v>
      </c>
      <c r="B162" s="28" t="str">
        <f aca="true">IFERROR(IF(SUMIFS(INDIRECT(Index!$M$15),INDIRECT(Index!$L$15),"&gt;="&amp;$A162,INDIRECT(Index!$L$15),"&lt;"&amp;EDATE($A162,3))=0,"",SUMIFS(INDIRECT(Index!$M$15),INDIRECT(Index!$L$15),"&gt;="&amp;$A162,INDIRECT(Index!$L$15),"&lt;"&amp;EDATE($A162,3))),"")</f>
        <v/>
      </c>
      <c r="C162" s="29" t="str">
        <f aca="false">IFERROR(B162/B161-1,"")</f>
        <v/>
      </c>
      <c r="D162" s="29" t="str">
        <f aca="false">IFERROR(B162/B158-1,"")</f>
        <v/>
      </c>
      <c r="E162" s="31" t="str">
        <f aca="false">IFERROR(IF(AND(B162="",ISNUMBER($C$108),ISNUMBER($G$108)),$C$108*(1+$G$108)^(($A162-$E$108)/365.25),""),"")</f>
        <v/>
      </c>
      <c r="F162" s="31" t="str">
        <f aca="false">IFERROR(IF(AND(B162="",ISNUMBER($C$108),ISNUMBER($G$108)),$C$108*(1+$G$108*0.85^MAX(0,($A162-$E$108)/91.25))^(($A162-$E$108)/365.25),""),"")</f>
        <v/>
      </c>
    </row>
    <row r="163" customFormat="false" ht="15" hidden="false" customHeight="false" outlineLevel="0" collapsed="false">
      <c r="A163" s="15" t="n">
        <v>44197</v>
      </c>
      <c r="B163" s="20" t="str">
        <f aca="true">IFERROR(IF(SUMIFS(INDIRECT(Index!$M$15),INDIRECT(Index!$L$15),"&gt;="&amp;$A163,INDIRECT(Index!$L$15),"&lt;"&amp;EDATE($A163,3))=0,"",SUMIFS(INDIRECT(Index!$M$15),INDIRECT(Index!$L$15),"&gt;="&amp;$A163,INDIRECT(Index!$L$15),"&lt;"&amp;EDATE($A163,3))),"")</f>
        <v/>
      </c>
      <c r="C163" s="33" t="str">
        <f aca="false">IFERROR(B163/B162-1,"")</f>
        <v/>
      </c>
      <c r="D163" s="33" t="str">
        <f aca="false">IFERROR(B163/B159-1,"")</f>
        <v/>
      </c>
      <c r="E163" s="25" t="str">
        <f aca="false">IFERROR(IF(AND(B163="",ISNUMBER($C$108),ISNUMBER($G$108)),$C$108*(1+$G$108)^(($A163-$E$108)/365.25),""),"")</f>
        <v/>
      </c>
      <c r="F163" s="25" t="str">
        <f aca="false">IFERROR(IF(AND(B163="",ISNUMBER($C$108),ISNUMBER($G$108)),$C$108*(1+$G$108*0.85^MAX(0,($A163-$E$108)/91.25))^(($A163-$E$108)/365.25),""),"")</f>
        <v/>
      </c>
    </row>
    <row r="164" customFormat="false" ht="15" hidden="false" customHeight="false" outlineLevel="0" collapsed="false">
      <c r="A164" s="27" t="n">
        <v>44287</v>
      </c>
      <c r="B164" s="28" t="str">
        <f aca="true">IFERROR(IF(SUMIFS(INDIRECT(Index!$M$15),INDIRECT(Index!$L$15),"&gt;="&amp;$A164,INDIRECT(Index!$L$15),"&lt;"&amp;EDATE($A164,3))=0,"",SUMIFS(INDIRECT(Index!$M$15),INDIRECT(Index!$L$15),"&gt;="&amp;$A164,INDIRECT(Index!$L$15),"&lt;"&amp;EDATE($A164,3))),"")</f>
        <v/>
      </c>
      <c r="C164" s="29" t="str">
        <f aca="false">IFERROR(B164/B163-1,"")</f>
        <v/>
      </c>
      <c r="D164" s="29" t="str">
        <f aca="false">IFERROR(B164/B160-1,"")</f>
        <v/>
      </c>
      <c r="E164" s="31" t="str">
        <f aca="false">IFERROR(IF(AND(B164="",ISNUMBER($C$108),ISNUMBER($G$108)),$C$108*(1+$G$108)^(($A164-$E$108)/365.25),""),"")</f>
        <v/>
      </c>
      <c r="F164" s="31" t="str">
        <f aca="false">IFERROR(IF(AND(B164="",ISNUMBER($C$108),ISNUMBER($G$108)),$C$108*(1+$G$108*0.85^MAX(0,($A164-$E$108)/91.25))^(($A164-$E$108)/365.25),""),"")</f>
        <v/>
      </c>
    </row>
    <row r="165" customFormat="false" ht="15" hidden="false" customHeight="false" outlineLevel="0" collapsed="false">
      <c r="A165" s="15" t="n">
        <v>44378</v>
      </c>
      <c r="B165" s="20" t="str">
        <f aca="true">IFERROR(IF(SUMIFS(INDIRECT(Index!$M$15),INDIRECT(Index!$L$15),"&gt;="&amp;$A165,INDIRECT(Index!$L$15),"&lt;"&amp;EDATE($A165,3))=0,"",SUMIFS(INDIRECT(Index!$M$15),INDIRECT(Index!$L$15),"&gt;="&amp;$A165,INDIRECT(Index!$L$15),"&lt;"&amp;EDATE($A165,3))),"")</f>
        <v/>
      </c>
      <c r="C165" s="33" t="str">
        <f aca="false">IFERROR(B165/B164-1,"")</f>
        <v/>
      </c>
      <c r="D165" s="33" t="str">
        <f aca="false">IFERROR(B165/B161-1,"")</f>
        <v/>
      </c>
      <c r="E165" s="25" t="str">
        <f aca="false">IFERROR(IF(AND(B165="",ISNUMBER($C$108),ISNUMBER($G$108)),$C$108*(1+$G$108)^(($A165-$E$108)/365.25),""),"")</f>
        <v/>
      </c>
      <c r="F165" s="25" t="str">
        <f aca="false">IFERROR(IF(AND(B165="",ISNUMBER($C$108),ISNUMBER($G$108)),$C$108*(1+$G$108*0.85^MAX(0,($A165-$E$108)/91.25))^(($A165-$E$108)/365.25),""),"")</f>
        <v/>
      </c>
    </row>
    <row r="166" customFormat="false" ht="15" hidden="false" customHeight="false" outlineLevel="0" collapsed="false">
      <c r="A166" s="27" t="n">
        <v>44470</v>
      </c>
      <c r="B166" s="28" t="str">
        <f aca="true">IFERROR(IF(SUMIFS(INDIRECT(Index!$M$15),INDIRECT(Index!$L$15),"&gt;="&amp;$A166,INDIRECT(Index!$L$15),"&lt;"&amp;EDATE($A166,3))=0,"",SUMIFS(INDIRECT(Index!$M$15),INDIRECT(Index!$L$15),"&gt;="&amp;$A166,INDIRECT(Index!$L$15),"&lt;"&amp;EDATE($A166,3))),"")</f>
        <v/>
      </c>
      <c r="C166" s="29" t="str">
        <f aca="false">IFERROR(B166/B165-1,"")</f>
        <v/>
      </c>
      <c r="D166" s="29" t="str">
        <f aca="false">IFERROR(B166/B162-1,"")</f>
        <v/>
      </c>
      <c r="E166" s="31" t="str">
        <f aca="false">IFERROR(IF(AND(B166="",ISNUMBER($C$108),ISNUMBER($G$108)),$C$108*(1+$G$108)^(($A166-$E$108)/365.25),""),"")</f>
        <v/>
      </c>
      <c r="F166" s="31" t="str">
        <f aca="false">IFERROR(IF(AND(B166="",ISNUMBER($C$108),ISNUMBER($G$108)),$C$108*(1+$G$108*0.85^MAX(0,($A166-$E$108)/91.25))^(($A166-$E$108)/365.25),""),"")</f>
        <v/>
      </c>
    </row>
    <row r="167" customFormat="false" ht="15" hidden="false" customHeight="false" outlineLevel="0" collapsed="false">
      <c r="A167" s="15" t="n">
        <v>44562</v>
      </c>
      <c r="B167" s="20" t="str">
        <f aca="true">IFERROR(IF(SUMIFS(INDIRECT(Index!$M$15),INDIRECT(Index!$L$15),"&gt;="&amp;$A167,INDIRECT(Index!$L$15),"&lt;"&amp;EDATE($A167,3))=0,"",SUMIFS(INDIRECT(Index!$M$15),INDIRECT(Index!$L$15),"&gt;="&amp;$A167,INDIRECT(Index!$L$15),"&lt;"&amp;EDATE($A167,3))),"")</f>
        <v/>
      </c>
      <c r="C167" s="33" t="str">
        <f aca="false">IFERROR(B167/B166-1,"")</f>
        <v/>
      </c>
      <c r="D167" s="33" t="str">
        <f aca="false">IFERROR(B167/B163-1,"")</f>
        <v/>
      </c>
      <c r="E167" s="25" t="str">
        <f aca="false">IFERROR(IF(AND(B167="",ISNUMBER($C$108),ISNUMBER($G$108)),$C$108*(1+$G$108)^(($A167-$E$108)/365.25),""),"")</f>
        <v/>
      </c>
      <c r="F167" s="25" t="str">
        <f aca="false">IFERROR(IF(AND(B167="",ISNUMBER($C$108),ISNUMBER($G$108)),$C$108*(1+$G$108*0.85^MAX(0,($A167-$E$108)/91.25))^(($A167-$E$108)/365.25),""),"")</f>
        <v/>
      </c>
    </row>
    <row r="168" customFormat="false" ht="15" hidden="false" customHeight="false" outlineLevel="0" collapsed="false">
      <c r="A168" s="27" t="n">
        <v>44652</v>
      </c>
      <c r="B168" s="28" t="str">
        <f aca="true">IFERROR(IF(SUMIFS(INDIRECT(Index!$M$15),INDIRECT(Index!$L$15),"&gt;="&amp;$A168,INDIRECT(Index!$L$15),"&lt;"&amp;EDATE($A168,3))=0,"",SUMIFS(INDIRECT(Index!$M$15),INDIRECT(Index!$L$15),"&gt;="&amp;$A168,INDIRECT(Index!$L$15),"&lt;"&amp;EDATE($A168,3))),"")</f>
        <v/>
      </c>
      <c r="C168" s="29" t="str">
        <f aca="false">IFERROR(B168/B167-1,"")</f>
        <v/>
      </c>
      <c r="D168" s="29" t="str">
        <f aca="false">IFERROR(B168/B164-1,"")</f>
        <v/>
      </c>
      <c r="E168" s="31" t="str">
        <f aca="false">IFERROR(IF(AND(B168="",ISNUMBER($C$108),ISNUMBER($G$108)),$C$108*(1+$G$108)^(($A168-$E$108)/365.25),""),"")</f>
        <v/>
      </c>
      <c r="F168" s="31" t="str">
        <f aca="false">IFERROR(IF(AND(B168="",ISNUMBER($C$108),ISNUMBER($G$108)),$C$108*(1+$G$108*0.85^MAX(0,($A168-$E$108)/91.25))^(($A168-$E$108)/365.25),""),"")</f>
        <v/>
      </c>
    </row>
    <row r="169" customFormat="false" ht="15" hidden="false" customHeight="false" outlineLevel="0" collapsed="false">
      <c r="A169" s="15" t="n">
        <v>44743</v>
      </c>
      <c r="B169" s="20" t="str">
        <f aca="true">IFERROR(IF(SUMIFS(INDIRECT(Index!$M$15),INDIRECT(Index!$L$15),"&gt;="&amp;$A169,INDIRECT(Index!$L$15),"&lt;"&amp;EDATE($A169,3))=0,"",SUMIFS(INDIRECT(Index!$M$15),INDIRECT(Index!$L$15),"&gt;="&amp;$A169,INDIRECT(Index!$L$15),"&lt;"&amp;EDATE($A169,3))),"")</f>
        <v/>
      </c>
      <c r="C169" s="33" t="str">
        <f aca="false">IFERROR(B169/B168-1,"")</f>
        <v/>
      </c>
      <c r="D169" s="33" t="str">
        <f aca="false">IFERROR(B169/B165-1,"")</f>
        <v/>
      </c>
      <c r="E169" s="25" t="str">
        <f aca="false">IFERROR(IF(AND(B169="",ISNUMBER($C$108),ISNUMBER($G$108)),$C$108*(1+$G$108)^(($A169-$E$108)/365.25),""),"")</f>
        <v/>
      </c>
      <c r="F169" s="25" t="str">
        <f aca="false">IFERROR(IF(AND(B169="",ISNUMBER($C$108),ISNUMBER($G$108)),$C$108*(1+$G$108*0.85^MAX(0,($A169-$E$108)/91.25))^(($A169-$E$108)/365.25),""),"")</f>
        <v/>
      </c>
    </row>
    <row r="170" customFormat="false" ht="15" hidden="false" customHeight="false" outlineLevel="0" collapsed="false">
      <c r="A170" s="27" t="n">
        <v>44835</v>
      </c>
      <c r="B170" s="28" t="str">
        <f aca="true">IFERROR(IF(SUMIFS(INDIRECT(Index!$M$15),INDIRECT(Index!$L$15),"&gt;="&amp;$A170,INDIRECT(Index!$L$15),"&lt;"&amp;EDATE($A170,3))=0,"",SUMIFS(INDIRECT(Index!$M$15),INDIRECT(Index!$L$15),"&gt;="&amp;$A170,INDIRECT(Index!$L$15),"&lt;"&amp;EDATE($A170,3))),"")</f>
        <v/>
      </c>
      <c r="C170" s="29" t="str">
        <f aca="false">IFERROR(B170/B169-1,"")</f>
        <v/>
      </c>
      <c r="D170" s="29" t="str">
        <f aca="false">IFERROR(B170/B166-1,"")</f>
        <v/>
      </c>
      <c r="E170" s="31" t="str">
        <f aca="false">IFERROR(IF(AND(B170="",ISNUMBER($C$108),ISNUMBER($G$108)),$C$108*(1+$G$108)^(($A170-$E$108)/365.25),""),"")</f>
        <v/>
      </c>
      <c r="F170" s="31" t="str">
        <f aca="false">IFERROR(IF(AND(B170="",ISNUMBER($C$108),ISNUMBER($G$108)),$C$108*(1+$G$108*0.85^MAX(0,($A170-$E$108)/91.25))^(($A170-$E$108)/365.25),""),"")</f>
        <v/>
      </c>
    </row>
    <row r="171" customFormat="false" ht="15" hidden="false" customHeight="false" outlineLevel="0" collapsed="false">
      <c r="A171" s="15" t="n">
        <v>44927</v>
      </c>
      <c r="B171" s="20" t="str">
        <f aca="true">IFERROR(IF(SUMIFS(INDIRECT(Index!$M$15),INDIRECT(Index!$L$15),"&gt;="&amp;$A171,INDIRECT(Index!$L$15),"&lt;"&amp;EDATE($A171,3))=0,"",SUMIFS(INDIRECT(Index!$M$15),INDIRECT(Index!$L$15),"&gt;="&amp;$A171,INDIRECT(Index!$L$15),"&lt;"&amp;EDATE($A171,3))),"")</f>
        <v/>
      </c>
      <c r="C171" s="33" t="str">
        <f aca="false">IFERROR(B171/B170-1,"")</f>
        <v/>
      </c>
      <c r="D171" s="33" t="str">
        <f aca="false">IFERROR(B171/B167-1,"")</f>
        <v/>
      </c>
      <c r="E171" s="25" t="str">
        <f aca="false">IFERROR(IF(AND(B171="",ISNUMBER($C$108),ISNUMBER($G$108)),$C$108*(1+$G$108)^(($A171-$E$108)/365.25),""),"")</f>
        <v/>
      </c>
      <c r="F171" s="25" t="str">
        <f aca="false">IFERROR(IF(AND(B171="",ISNUMBER($C$108),ISNUMBER($G$108)),$C$108*(1+$G$108*0.85^MAX(0,($A171-$E$108)/91.25))^(($A171-$E$108)/365.25),""),"")</f>
        <v/>
      </c>
    </row>
    <row r="172" customFormat="false" ht="15" hidden="false" customHeight="false" outlineLevel="0" collapsed="false">
      <c r="A172" s="27" t="n">
        <v>45017</v>
      </c>
      <c r="B172" s="28" t="str">
        <f aca="true">IFERROR(IF(SUMIFS(INDIRECT(Index!$M$15),INDIRECT(Index!$L$15),"&gt;="&amp;$A172,INDIRECT(Index!$L$15),"&lt;"&amp;EDATE($A172,3))=0,"",SUMIFS(INDIRECT(Index!$M$15),INDIRECT(Index!$L$15),"&gt;="&amp;$A172,INDIRECT(Index!$L$15),"&lt;"&amp;EDATE($A172,3))),"")</f>
        <v/>
      </c>
      <c r="C172" s="29" t="str">
        <f aca="false">IFERROR(B172/B171-1,"")</f>
        <v/>
      </c>
      <c r="D172" s="29" t="str">
        <f aca="false">IFERROR(B172/B168-1,"")</f>
        <v/>
      </c>
      <c r="E172" s="31" t="str">
        <f aca="false">IFERROR(IF(AND(B172="",ISNUMBER($C$108),ISNUMBER($G$108)),$C$108*(1+$G$108)^(($A172-$E$108)/365.25),""),"")</f>
        <v/>
      </c>
      <c r="F172" s="31" t="str">
        <f aca="false">IFERROR(IF(AND(B172="",ISNUMBER($C$108),ISNUMBER($G$108)),$C$108*(1+$G$108*0.85^MAX(0,($A172-$E$108)/91.25))^(($A172-$E$108)/365.25),""),"")</f>
        <v/>
      </c>
    </row>
    <row r="173" customFormat="false" ht="15" hidden="false" customHeight="false" outlineLevel="0" collapsed="false">
      <c r="A173" s="15" t="n">
        <v>45108</v>
      </c>
      <c r="B173" s="20" t="str">
        <f aca="true">IFERROR(IF(SUMIFS(INDIRECT(Index!$M$15),INDIRECT(Index!$L$15),"&gt;="&amp;$A173,INDIRECT(Index!$L$15),"&lt;"&amp;EDATE($A173,3))=0,"",SUMIFS(INDIRECT(Index!$M$15),INDIRECT(Index!$L$15),"&gt;="&amp;$A173,INDIRECT(Index!$L$15),"&lt;"&amp;EDATE($A173,3))),"")</f>
        <v/>
      </c>
      <c r="C173" s="33" t="str">
        <f aca="false">IFERROR(B173/B172-1,"")</f>
        <v/>
      </c>
      <c r="D173" s="33" t="str">
        <f aca="false">IFERROR(B173/B169-1,"")</f>
        <v/>
      </c>
      <c r="E173" s="25" t="str">
        <f aca="false">IFERROR(IF(AND(B173="",ISNUMBER($C$108),ISNUMBER($G$108)),$C$108*(1+$G$108)^(($A173-$E$108)/365.25),""),"")</f>
        <v/>
      </c>
      <c r="F173" s="25" t="str">
        <f aca="false">IFERROR(IF(AND(B173="",ISNUMBER($C$108),ISNUMBER($G$108)),$C$108*(1+$G$108*0.85^MAX(0,($A173-$E$108)/91.25))^(($A173-$E$108)/365.25),""),"")</f>
        <v/>
      </c>
    </row>
    <row r="174" customFormat="false" ht="15" hidden="false" customHeight="false" outlineLevel="0" collapsed="false">
      <c r="A174" s="27" t="n">
        <v>45200</v>
      </c>
      <c r="B174" s="28" t="str">
        <f aca="true">IFERROR(IF(SUMIFS(INDIRECT(Index!$M$15),INDIRECT(Index!$L$15),"&gt;="&amp;$A174,INDIRECT(Index!$L$15),"&lt;"&amp;EDATE($A174,3))=0,"",SUMIFS(INDIRECT(Index!$M$15),INDIRECT(Index!$L$15),"&gt;="&amp;$A174,INDIRECT(Index!$L$15),"&lt;"&amp;EDATE($A174,3))),"")</f>
        <v/>
      </c>
      <c r="C174" s="29" t="str">
        <f aca="false">IFERROR(B174/B173-1,"")</f>
        <v/>
      </c>
      <c r="D174" s="29" t="str">
        <f aca="false">IFERROR(B174/B170-1,"")</f>
        <v/>
      </c>
      <c r="E174" s="31" t="str">
        <f aca="false">IFERROR(IF(AND(B174="",ISNUMBER($C$108),ISNUMBER($G$108)),$C$108*(1+$G$108)^(($A174-$E$108)/365.25),""),"")</f>
        <v/>
      </c>
      <c r="F174" s="31" t="str">
        <f aca="false">IFERROR(IF(AND(B174="",ISNUMBER($C$108),ISNUMBER($G$108)),$C$108*(1+$G$108*0.85^MAX(0,($A174-$E$108)/91.25))^(($A174-$E$108)/365.25),""),"")</f>
        <v/>
      </c>
    </row>
    <row r="175" customFormat="false" ht="15" hidden="false" customHeight="false" outlineLevel="0" collapsed="false">
      <c r="A175" s="15" t="n">
        <v>45292</v>
      </c>
      <c r="B175" s="20" t="str">
        <f aca="true">IFERROR(IF(SUMIFS(INDIRECT(Index!$M$15),INDIRECT(Index!$L$15),"&gt;="&amp;$A175,INDIRECT(Index!$L$15),"&lt;"&amp;EDATE($A175,3))=0,"",SUMIFS(INDIRECT(Index!$M$15),INDIRECT(Index!$L$15),"&gt;="&amp;$A175,INDIRECT(Index!$L$15),"&lt;"&amp;EDATE($A175,3))),"")</f>
        <v/>
      </c>
      <c r="C175" s="33" t="str">
        <f aca="false">IFERROR(B175/B174-1,"")</f>
        <v/>
      </c>
      <c r="D175" s="33" t="str">
        <f aca="false">IFERROR(B175/B171-1,"")</f>
        <v/>
      </c>
      <c r="E175" s="25" t="str">
        <f aca="false">IFERROR(IF(AND(B175="",ISNUMBER($C$108),ISNUMBER($G$108)),$C$108*(1+$G$108)^(($A175-$E$108)/365.25),""),"")</f>
        <v/>
      </c>
      <c r="F175" s="25" t="str">
        <f aca="false">IFERROR(IF(AND(B175="",ISNUMBER($C$108),ISNUMBER($G$108)),$C$108*(1+$G$108*0.85^MAX(0,($A175-$E$108)/91.25))^(($A175-$E$108)/365.25),""),"")</f>
        <v/>
      </c>
    </row>
    <row r="176" customFormat="false" ht="15" hidden="false" customHeight="false" outlineLevel="0" collapsed="false">
      <c r="A176" s="27" t="n">
        <v>45383</v>
      </c>
      <c r="B176" s="28" t="str">
        <f aca="true">IFERROR(IF(SUMIFS(INDIRECT(Index!$M$15),INDIRECT(Index!$L$15),"&gt;="&amp;$A176,INDIRECT(Index!$L$15),"&lt;"&amp;EDATE($A176,3))=0,"",SUMIFS(INDIRECT(Index!$M$15),INDIRECT(Index!$L$15),"&gt;="&amp;$A176,INDIRECT(Index!$L$15),"&lt;"&amp;EDATE($A176,3))),"")</f>
        <v/>
      </c>
      <c r="C176" s="29" t="str">
        <f aca="false">IFERROR(B176/B175-1,"")</f>
        <v/>
      </c>
      <c r="D176" s="29" t="str">
        <f aca="false">IFERROR(B176/B172-1,"")</f>
        <v/>
      </c>
      <c r="E176" s="31" t="str">
        <f aca="false">IFERROR(IF(AND(B176="",ISNUMBER($C$108),ISNUMBER($G$108)),$C$108*(1+$G$108)^(($A176-$E$108)/365.25),""),"")</f>
        <v/>
      </c>
      <c r="F176" s="31" t="str">
        <f aca="false">IFERROR(IF(AND(B176="",ISNUMBER($C$108),ISNUMBER($G$108)),$C$108*(1+$G$108*0.85^MAX(0,($A176-$E$108)/91.25))^(($A176-$E$108)/365.25),""),"")</f>
        <v/>
      </c>
    </row>
    <row r="177" customFormat="false" ht="15" hidden="false" customHeight="false" outlineLevel="0" collapsed="false">
      <c r="A177" s="15" t="n">
        <v>45474</v>
      </c>
      <c r="B177" s="20" t="str">
        <f aca="true">IFERROR(IF(SUMIFS(INDIRECT(Index!$M$15),INDIRECT(Index!$L$15),"&gt;="&amp;$A177,INDIRECT(Index!$L$15),"&lt;"&amp;EDATE($A177,3))=0,"",SUMIFS(INDIRECT(Index!$M$15),INDIRECT(Index!$L$15),"&gt;="&amp;$A177,INDIRECT(Index!$L$15),"&lt;"&amp;EDATE($A177,3))),"")</f>
        <v/>
      </c>
      <c r="C177" s="33" t="str">
        <f aca="false">IFERROR(B177/B176-1,"")</f>
        <v/>
      </c>
      <c r="D177" s="33" t="str">
        <f aca="false">IFERROR(B177/B173-1,"")</f>
        <v/>
      </c>
      <c r="E177" s="25" t="str">
        <f aca="false">IFERROR(IF(AND(B177="",ISNUMBER($C$108),ISNUMBER($G$108)),$C$108*(1+$G$108)^(($A177-$E$108)/365.25),""),"")</f>
        <v/>
      </c>
      <c r="F177" s="25" t="str">
        <f aca="false">IFERROR(IF(AND(B177="",ISNUMBER($C$108),ISNUMBER($G$108)),$C$108*(1+$G$108*0.85^MAX(0,($A177-$E$108)/91.25))^(($A177-$E$108)/365.25),""),"")</f>
        <v/>
      </c>
    </row>
    <row r="178" customFormat="false" ht="15" hidden="false" customHeight="false" outlineLevel="0" collapsed="false">
      <c r="A178" s="27" t="n">
        <v>45566</v>
      </c>
      <c r="B178" s="28" t="str">
        <f aca="true">IFERROR(IF(SUMIFS(INDIRECT(Index!$M$15),INDIRECT(Index!$L$15),"&gt;="&amp;$A178,INDIRECT(Index!$L$15),"&lt;"&amp;EDATE($A178,3))=0,"",SUMIFS(INDIRECT(Index!$M$15),INDIRECT(Index!$L$15),"&gt;="&amp;$A178,INDIRECT(Index!$L$15),"&lt;"&amp;EDATE($A178,3))),"")</f>
        <v/>
      </c>
      <c r="C178" s="29" t="str">
        <f aca="false">IFERROR(B178/B177-1,"")</f>
        <v/>
      </c>
      <c r="D178" s="29" t="str">
        <f aca="false">IFERROR(B178/B174-1,"")</f>
        <v/>
      </c>
      <c r="E178" s="31" t="str">
        <f aca="false">IFERROR(IF(AND(B178="",ISNUMBER($C$108),ISNUMBER($G$108)),$C$108*(1+$G$108)^(($A178-$E$108)/365.25),""),"")</f>
        <v/>
      </c>
      <c r="F178" s="31" t="str">
        <f aca="false">IFERROR(IF(AND(B178="",ISNUMBER($C$108),ISNUMBER($G$108)),$C$108*(1+$G$108*0.85^MAX(0,($A178-$E$108)/91.25))^(($A178-$E$108)/365.25),""),"")</f>
        <v/>
      </c>
    </row>
    <row r="179" customFormat="false" ht="15" hidden="false" customHeight="false" outlineLevel="0" collapsed="false">
      <c r="A179" s="15" t="n">
        <v>45658</v>
      </c>
      <c r="B179" s="20" t="str">
        <f aca="true">IFERROR(IF(SUMIFS(INDIRECT(Index!$M$15),INDIRECT(Index!$L$15),"&gt;="&amp;$A179,INDIRECT(Index!$L$15),"&lt;"&amp;EDATE($A179,3))=0,"",SUMIFS(INDIRECT(Index!$M$15),INDIRECT(Index!$L$15),"&gt;="&amp;$A179,INDIRECT(Index!$L$15),"&lt;"&amp;EDATE($A179,3))),"")</f>
        <v/>
      </c>
      <c r="C179" s="33" t="str">
        <f aca="false">IFERROR(B179/B178-1,"")</f>
        <v/>
      </c>
      <c r="D179" s="33" t="str">
        <f aca="false">IFERROR(B179/B175-1,"")</f>
        <v/>
      </c>
      <c r="E179" s="25" t="str">
        <f aca="false">IFERROR(IF(AND(B179="",ISNUMBER($C$108),ISNUMBER($G$108)),$C$108*(1+$G$108)^(($A179-$E$108)/365.25),""),"")</f>
        <v/>
      </c>
      <c r="F179" s="25" t="str">
        <f aca="false">IFERROR(IF(AND(B179="",ISNUMBER($C$108),ISNUMBER($G$108)),$C$108*(1+$G$108*0.85^MAX(0,($A179-$E$108)/91.25))^(($A179-$E$108)/365.25),""),"")</f>
        <v/>
      </c>
    </row>
    <row r="180" customFormat="false" ht="15" hidden="false" customHeight="false" outlineLevel="0" collapsed="false">
      <c r="A180" s="27" t="n">
        <v>45748</v>
      </c>
      <c r="B180" s="28" t="str">
        <f aca="true">IFERROR(IF(SUMIFS(INDIRECT(Index!$M$15),INDIRECT(Index!$L$15),"&gt;="&amp;$A180,INDIRECT(Index!$L$15),"&lt;"&amp;EDATE($A180,3))=0,"",SUMIFS(INDIRECT(Index!$M$15),INDIRECT(Index!$L$15),"&gt;="&amp;$A180,INDIRECT(Index!$L$15),"&lt;"&amp;EDATE($A180,3))),"")</f>
        <v/>
      </c>
      <c r="C180" s="29" t="str">
        <f aca="false">IFERROR(B180/B179-1,"")</f>
        <v/>
      </c>
      <c r="D180" s="29" t="str">
        <f aca="false">IFERROR(B180/B176-1,"")</f>
        <v/>
      </c>
      <c r="E180" s="31" t="str">
        <f aca="false">IFERROR(IF(AND(B180="",ISNUMBER($C$108),ISNUMBER($G$108)),$C$108*(1+$G$108)^(($A180-$E$108)/365.25),""),"")</f>
        <v/>
      </c>
      <c r="F180" s="31" t="str">
        <f aca="false">IFERROR(IF(AND(B180="",ISNUMBER($C$108),ISNUMBER($G$108)),$C$108*(1+$G$108*0.85^MAX(0,($A180-$E$108)/91.25))^(($A180-$E$108)/365.25),""),"")</f>
        <v/>
      </c>
    </row>
    <row r="181" customFormat="false" ht="15" hidden="false" customHeight="false" outlineLevel="0" collapsed="false">
      <c r="A181" s="15" t="n">
        <v>45839</v>
      </c>
      <c r="B181" s="20" t="str">
        <f aca="true">IFERROR(IF(SUMIFS(INDIRECT(Index!$M$15),INDIRECT(Index!$L$15),"&gt;="&amp;$A181,INDIRECT(Index!$L$15),"&lt;"&amp;EDATE($A181,3))=0,"",SUMIFS(INDIRECT(Index!$M$15),INDIRECT(Index!$L$15),"&gt;="&amp;$A181,INDIRECT(Index!$L$15),"&lt;"&amp;EDATE($A181,3))),"")</f>
        <v/>
      </c>
      <c r="C181" s="33" t="str">
        <f aca="false">IFERROR(B181/B180-1,"")</f>
        <v/>
      </c>
      <c r="D181" s="33" t="str">
        <f aca="false">IFERROR(B181/B177-1,"")</f>
        <v/>
      </c>
      <c r="E181" s="25" t="str">
        <f aca="false">IFERROR(IF(AND(B181="",ISNUMBER($C$108),ISNUMBER($G$108)),$C$108*(1+$G$108)^(($A181-$E$108)/365.25),""),"")</f>
        <v/>
      </c>
      <c r="F181" s="25" t="str">
        <f aca="false">IFERROR(IF(AND(B181="",ISNUMBER($C$108),ISNUMBER($G$108)),$C$108*(1+$G$108*0.85^MAX(0,($A181-$E$108)/91.25))^(($A181-$E$108)/365.25),""),"")</f>
        <v/>
      </c>
    </row>
    <row r="182" customFormat="false" ht="15" hidden="false" customHeight="false" outlineLevel="0" collapsed="false">
      <c r="A182" s="27" t="n">
        <v>45931</v>
      </c>
      <c r="B182" s="28" t="str">
        <f aca="true">IFERROR(IF(SUMIFS(INDIRECT(Index!$M$15),INDIRECT(Index!$L$15),"&gt;="&amp;$A182,INDIRECT(Index!$L$15),"&lt;"&amp;EDATE($A182,3))=0,"",SUMIFS(INDIRECT(Index!$M$15),INDIRECT(Index!$L$15),"&gt;="&amp;$A182,INDIRECT(Index!$L$15),"&lt;"&amp;EDATE($A182,3))),"")</f>
        <v/>
      </c>
      <c r="C182" s="29" t="str">
        <f aca="false">IFERROR(B182/B181-1,"")</f>
        <v/>
      </c>
      <c r="D182" s="29" t="str">
        <f aca="false">IFERROR(B182/B178-1,"")</f>
        <v/>
      </c>
      <c r="E182" s="31" t="str">
        <f aca="false">IFERROR(IF(AND(B182="",ISNUMBER($C$108),ISNUMBER($G$108)),$C$108*(1+$G$108)^(($A182-$E$108)/365.25),""),"")</f>
        <v/>
      </c>
      <c r="F182" s="31" t="str">
        <f aca="false">IFERROR(IF(AND(B182="",ISNUMBER($C$108),ISNUMBER($G$108)),$C$108*(1+$G$108*0.85^MAX(0,($A182-$E$108)/91.25))^(($A182-$E$108)/365.25),""),"")</f>
        <v/>
      </c>
    </row>
    <row r="183" customFormat="false" ht="15" hidden="false" customHeight="false" outlineLevel="0" collapsed="false">
      <c r="A183" s="15" t="n">
        <v>46023</v>
      </c>
      <c r="B183" s="20" t="str">
        <f aca="true">IFERROR(IF(SUMIFS(INDIRECT(Index!$M$15),INDIRECT(Index!$L$15),"&gt;="&amp;$A183,INDIRECT(Index!$L$15),"&lt;"&amp;EDATE($A183,3))=0,"",SUMIFS(INDIRECT(Index!$M$15),INDIRECT(Index!$L$15),"&gt;="&amp;$A183,INDIRECT(Index!$L$15),"&lt;"&amp;EDATE($A183,3))),"")</f>
        <v/>
      </c>
      <c r="C183" s="33" t="str">
        <f aca="false">IFERROR(B183/B182-1,"")</f>
        <v/>
      </c>
      <c r="D183" s="33" t="str">
        <f aca="false">IFERROR(B183/B179-1,"")</f>
        <v/>
      </c>
      <c r="E183" s="25" t="str">
        <f aca="false">IFERROR(IF(AND(B183="",ISNUMBER($C$108),ISNUMBER($G$108)),$C$108*(1+$G$108)^(($A183-$E$108)/365.25),""),"")</f>
        <v/>
      </c>
      <c r="F183" s="25" t="str">
        <f aca="false">IFERROR(IF(AND(B183="",ISNUMBER($C$108),ISNUMBER($G$108)),$C$108*(1+$G$108*0.85^MAX(0,($A183-$E$108)/91.25))^(($A183-$E$108)/365.25),""),"")</f>
        <v/>
      </c>
    </row>
    <row r="184" customFormat="false" ht="15" hidden="false" customHeight="false" outlineLevel="0" collapsed="false">
      <c r="A184" s="27" t="n">
        <v>46113</v>
      </c>
      <c r="B184" s="28" t="str">
        <f aca="true">IFERROR(IF(SUMIFS(INDIRECT(Index!$M$15),INDIRECT(Index!$L$15),"&gt;="&amp;$A184,INDIRECT(Index!$L$15),"&lt;"&amp;EDATE($A184,3))=0,"",SUMIFS(INDIRECT(Index!$M$15),INDIRECT(Index!$L$15),"&gt;="&amp;$A184,INDIRECT(Index!$L$15),"&lt;"&amp;EDATE($A184,3))),"")</f>
        <v/>
      </c>
      <c r="C184" s="29" t="str">
        <f aca="false">IFERROR(B184/B183-1,"")</f>
        <v/>
      </c>
      <c r="D184" s="29" t="str">
        <f aca="false">IFERROR(B184/B180-1,"")</f>
        <v/>
      </c>
      <c r="E184" s="31" t="str">
        <f aca="false">IFERROR(IF(AND(B184="",ISNUMBER($C$108),ISNUMBER($G$108)),$C$108*(1+$G$108)^(($A184-$E$108)/365.25),""),"")</f>
        <v/>
      </c>
      <c r="F184" s="31" t="str">
        <f aca="false">IFERROR(IF(AND(B184="",ISNUMBER($C$108),ISNUMBER($G$108)),$C$108*(1+$G$108*0.85^MAX(0,($A184-$E$108)/91.25))^(($A184-$E$108)/365.25),""),"")</f>
        <v/>
      </c>
    </row>
    <row r="185" customFormat="false" ht="15" hidden="false" customHeight="false" outlineLevel="0" collapsed="false">
      <c r="A185" s="15" t="n">
        <v>46204</v>
      </c>
      <c r="B185" s="20" t="str">
        <f aca="true">IFERROR(IF(SUMIFS(INDIRECT(Index!$M$15),INDIRECT(Index!$L$15),"&gt;="&amp;$A185,INDIRECT(Index!$L$15),"&lt;"&amp;EDATE($A185,3))=0,"",SUMIFS(INDIRECT(Index!$M$15),INDIRECT(Index!$L$15),"&gt;="&amp;$A185,INDIRECT(Index!$L$15),"&lt;"&amp;EDATE($A185,3))),"")</f>
        <v/>
      </c>
      <c r="C185" s="33" t="str">
        <f aca="false">IFERROR(B185/B184-1,"")</f>
        <v/>
      </c>
      <c r="D185" s="33" t="str">
        <f aca="false">IFERROR(B185/B181-1,"")</f>
        <v/>
      </c>
      <c r="E185" s="25" t="str">
        <f aca="false">IFERROR(IF(AND(B185="",ISNUMBER($C$108),ISNUMBER($G$108)),$C$108*(1+$G$108)^(($A185-$E$108)/365.25),""),"")</f>
        <v/>
      </c>
      <c r="F185" s="25" t="str">
        <f aca="false">IFERROR(IF(AND(B185="",ISNUMBER($C$108),ISNUMBER($G$108)),$C$108*(1+$G$108*0.85^MAX(0,($A185-$E$108)/91.25))^(($A185-$E$108)/365.25),""),"")</f>
        <v/>
      </c>
    </row>
    <row r="186" customFormat="false" ht="15" hidden="false" customHeight="false" outlineLevel="0" collapsed="false">
      <c r="A186" s="27" t="n">
        <v>46296</v>
      </c>
      <c r="B186" s="28" t="str">
        <f aca="true">IFERROR(IF(SUMIFS(INDIRECT(Index!$M$15),INDIRECT(Index!$L$15),"&gt;="&amp;$A186,INDIRECT(Index!$L$15),"&lt;"&amp;EDATE($A186,3))=0,"",SUMIFS(INDIRECT(Index!$M$15),INDIRECT(Index!$L$15),"&gt;="&amp;$A186,INDIRECT(Index!$L$15),"&lt;"&amp;EDATE($A186,3))),"")</f>
        <v/>
      </c>
      <c r="C186" s="29" t="str">
        <f aca="false">IFERROR(B186/B185-1,"")</f>
        <v/>
      </c>
      <c r="D186" s="29" t="str">
        <f aca="false">IFERROR(B186/B182-1,"")</f>
        <v/>
      </c>
      <c r="E186" s="31" t="str">
        <f aca="false">IFERROR(IF(AND(B186="",ISNUMBER($C$108),ISNUMBER($G$108)),$C$108*(1+$G$108)^(($A186-$E$108)/365.25),""),"")</f>
        <v/>
      </c>
      <c r="F186" s="31" t="str">
        <f aca="false">IFERROR(IF(AND(B186="",ISNUMBER($C$108),ISNUMBER($G$108)),$C$108*(1+$G$108*0.85^MAX(0,($A186-$E$108)/91.25))^(($A186-$E$108)/365.25),""),"")</f>
        <v/>
      </c>
    </row>
    <row r="187" customFormat="false" ht="15" hidden="false" customHeight="false" outlineLevel="0" collapsed="false">
      <c r="A187" s="15" t="n">
        <v>46388</v>
      </c>
      <c r="B187" s="20" t="str">
        <f aca="true">IFERROR(IF(SUMIFS(INDIRECT(Index!$M$15),INDIRECT(Index!$L$15),"&gt;="&amp;$A187,INDIRECT(Index!$L$15),"&lt;"&amp;EDATE($A187,3))=0,"",SUMIFS(INDIRECT(Index!$M$15),INDIRECT(Index!$L$15),"&gt;="&amp;$A187,INDIRECT(Index!$L$15),"&lt;"&amp;EDATE($A187,3))),"")</f>
        <v/>
      </c>
      <c r="C187" s="33" t="str">
        <f aca="false">IFERROR(B187/B186-1,"")</f>
        <v/>
      </c>
      <c r="D187" s="33" t="str">
        <f aca="false">IFERROR(B187/B183-1,"")</f>
        <v/>
      </c>
      <c r="E187" s="25" t="str">
        <f aca="false">IFERROR(IF(AND(B187="",ISNUMBER($C$108),ISNUMBER($G$108)),$C$108*(1+$G$108)^(($A187-$E$108)/365.25),""),"")</f>
        <v/>
      </c>
      <c r="F187" s="25" t="str">
        <f aca="false">IFERROR(IF(AND(B187="",ISNUMBER($C$108),ISNUMBER($G$108)),$C$108*(1+$G$108*0.85^MAX(0,($A187-$E$108)/91.25))^(($A187-$E$108)/365.25),""),"")</f>
        <v/>
      </c>
    </row>
    <row r="188" customFormat="false" ht="15" hidden="false" customHeight="false" outlineLevel="0" collapsed="false">
      <c r="A188" s="27" t="n">
        <v>46478</v>
      </c>
      <c r="B188" s="28" t="str">
        <f aca="true">IFERROR(IF(SUMIFS(INDIRECT(Index!$M$15),INDIRECT(Index!$L$15),"&gt;="&amp;$A188,INDIRECT(Index!$L$15),"&lt;"&amp;EDATE($A188,3))=0,"",SUMIFS(INDIRECT(Index!$M$15),INDIRECT(Index!$L$15),"&gt;="&amp;$A188,INDIRECT(Index!$L$15),"&lt;"&amp;EDATE($A188,3))),"")</f>
        <v/>
      </c>
      <c r="C188" s="29" t="str">
        <f aca="false">IFERROR(B188/B187-1,"")</f>
        <v/>
      </c>
      <c r="D188" s="29" t="str">
        <f aca="false">IFERROR(B188/B184-1,"")</f>
        <v/>
      </c>
      <c r="E188" s="31" t="str">
        <f aca="false">IFERROR(IF(AND(B188="",ISNUMBER($C$108),ISNUMBER($G$108)),$C$108*(1+$G$108)^(($A188-$E$108)/365.25),""),"")</f>
        <v/>
      </c>
      <c r="F188" s="31" t="str">
        <f aca="false">IFERROR(IF(AND(B188="",ISNUMBER($C$108),ISNUMBER($G$108)),$C$108*(1+$G$108*0.85^MAX(0,($A188-$E$108)/91.25))^(($A188-$E$108)/365.25),""),"")</f>
        <v/>
      </c>
    </row>
    <row r="189" customFormat="false" ht="15" hidden="false" customHeight="false" outlineLevel="0" collapsed="false">
      <c r="A189" s="15" t="n">
        <v>46569</v>
      </c>
      <c r="B189" s="20" t="str">
        <f aca="true">IFERROR(IF(SUMIFS(INDIRECT(Index!$M$15),INDIRECT(Index!$L$15),"&gt;="&amp;$A189,INDIRECT(Index!$L$15),"&lt;"&amp;EDATE($A189,3))=0,"",SUMIFS(INDIRECT(Index!$M$15),INDIRECT(Index!$L$15),"&gt;="&amp;$A189,INDIRECT(Index!$L$15),"&lt;"&amp;EDATE($A189,3))),"")</f>
        <v/>
      </c>
      <c r="C189" s="33" t="str">
        <f aca="false">IFERROR(B189/B188-1,"")</f>
        <v/>
      </c>
      <c r="D189" s="33" t="str">
        <f aca="false">IFERROR(B189/B185-1,"")</f>
        <v/>
      </c>
      <c r="E189" s="25" t="str">
        <f aca="false">IFERROR(IF(AND(B189="",ISNUMBER($C$108),ISNUMBER($G$108)),$C$108*(1+$G$108)^(($A189-$E$108)/365.25),""),"")</f>
        <v/>
      </c>
      <c r="F189" s="25" t="str">
        <f aca="false">IFERROR(IF(AND(B189="",ISNUMBER($C$108),ISNUMBER($G$108)),$C$108*(1+$G$108*0.85^MAX(0,($A189-$E$108)/91.25))^(($A189-$E$108)/365.25),""),"")</f>
        <v/>
      </c>
    </row>
    <row r="190" customFormat="false" ht="15" hidden="false" customHeight="false" outlineLevel="0" collapsed="false">
      <c r="A190" s="27" t="n">
        <v>46661</v>
      </c>
      <c r="B190" s="28" t="str">
        <f aca="true">IFERROR(IF(SUMIFS(INDIRECT(Index!$M$15),INDIRECT(Index!$L$15),"&gt;="&amp;$A190,INDIRECT(Index!$L$15),"&lt;"&amp;EDATE($A190,3))=0,"",SUMIFS(INDIRECT(Index!$M$15),INDIRECT(Index!$L$15),"&gt;="&amp;$A190,INDIRECT(Index!$L$15),"&lt;"&amp;EDATE($A190,3))),"")</f>
        <v/>
      </c>
      <c r="C190" s="29" t="str">
        <f aca="false">IFERROR(B190/B189-1,"")</f>
        <v/>
      </c>
      <c r="D190" s="29" t="str">
        <f aca="false">IFERROR(B190/B186-1,"")</f>
        <v/>
      </c>
      <c r="E190" s="31" t="str">
        <f aca="false">IFERROR(IF(AND(B190="",ISNUMBER($C$108),ISNUMBER($G$108)),$C$108*(1+$G$108)^(($A190-$E$108)/365.25),""),"")</f>
        <v/>
      </c>
      <c r="F190" s="31" t="str">
        <f aca="false">IFERROR(IF(AND(B190="",ISNUMBER($C$108),ISNUMBER($G$108)),$C$108*(1+$G$108*0.85^MAX(0,($A190-$E$108)/91.25))^(($A190-$E$108)/365.25),""),"")</f>
        <v/>
      </c>
    </row>
    <row r="191" customFormat="false" ht="15" hidden="false" customHeight="false" outlineLevel="0" collapsed="false">
      <c r="A191" s="15" t="n">
        <v>46753</v>
      </c>
      <c r="B191" s="20" t="str">
        <f aca="true">IFERROR(IF(SUMIFS(INDIRECT(Index!$M$15),INDIRECT(Index!$L$15),"&gt;="&amp;$A191,INDIRECT(Index!$L$15),"&lt;"&amp;EDATE($A191,3))=0,"",SUMIFS(INDIRECT(Index!$M$15),INDIRECT(Index!$L$15),"&gt;="&amp;$A191,INDIRECT(Index!$L$15),"&lt;"&amp;EDATE($A191,3))),"")</f>
        <v/>
      </c>
      <c r="C191" s="33" t="str">
        <f aca="false">IFERROR(B191/B190-1,"")</f>
        <v/>
      </c>
      <c r="D191" s="33" t="str">
        <f aca="false">IFERROR(B191/B187-1,"")</f>
        <v/>
      </c>
      <c r="E191" s="25" t="str">
        <f aca="false">IFERROR(IF(AND(B191="",ISNUMBER($C$108),ISNUMBER($G$108)),$C$108*(1+$G$108)^(($A191-$E$108)/365.25),""),"")</f>
        <v/>
      </c>
      <c r="F191" s="25" t="str">
        <f aca="false">IFERROR(IF(AND(B191="",ISNUMBER($C$108),ISNUMBER($G$108)),$C$108*(1+$G$108*0.85^MAX(0,($A191-$E$108)/91.25))^(($A191-$E$108)/365.25),""),"")</f>
        <v/>
      </c>
    </row>
    <row r="192" customFormat="false" ht="15" hidden="false" customHeight="false" outlineLevel="0" collapsed="false">
      <c r="A192" s="27" t="n">
        <v>46844</v>
      </c>
      <c r="B192" s="28" t="str">
        <f aca="true">IFERROR(IF(SUMIFS(INDIRECT(Index!$M$15),INDIRECT(Index!$L$15),"&gt;="&amp;$A192,INDIRECT(Index!$L$15),"&lt;"&amp;EDATE($A192,3))=0,"",SUMIFS(INDIRECT(Index!$M$15),INDIRECT(Index!$L$15),"&gt;="&amp;$A192,INDIRECT(Index!$L$15),"&lt;"&amp;EDATE($A192,3))),"")</f>
        <v/>
      </c>
      <c r="C192" s="29" t="str">
        <f aca="false">IFERROR(B192/B191-1,"")</f>
        <v/>
      </c>
      <c r="D192" s="29" t="str">
        <f aca="false">IFERROR(B192/B188-1,"")</f>
        <v/>
      </c>
      <c r="E192" s="31" t="str">
        <f aca="false">IFERROR(IF(AND(B192="",ISNUMBER($C$108),ISNUMBER($G$108)),$C$108*(1+$G$108)^(($A192-$E$108)/365.25),""),"")</f>
        <v/>
      </c>
      <c r="F192" s="31" t="str">
        <f aca="false">IFERROR(IF(AND(B192="",ISNUMBER($C$108),ISNUMBER($G$108)),$C$108*(1+$G$108*0.85^MAX(0,($A192-$E$108)/91.25))^(($A192-$E$108)/365.25),""),"")</f>
        <v/>
      </c>
    </row>
    <row r="193" customFormat="false" ht="15" hidden="false" customHeight="false" outlineLevel="0" collapsed="false">
      <c r="A193" s="15" t="n">
        <v>46935</v>
      </c>
      <c r="B193" s="20" t="str">
        <f aca="true">IFERROR(IF(SUMIFS(INDIRECT(Index!$M$15),INDIRECT(Index!$L$15),"&gt;="&amp;$A193,INDIRECT(Index!$L$15),"&lt;"&amp;EDATE($A193,3))=0,"",SUMIFS(INDIRECT(Index!$M$15),INDIRECT(Index!$L$15),"&gt;="&amp;$A193,INDIRECT(Index!$L$15),"&lt;"&amp;EDATE($A193,3))),"")</f>
        <v/>
      </c>
      <c r="C193" s="33" t="str">
        <f aca="false">IFERROR(B193/B192-1,"")</f>
        <v/>
      </c>
      <c r="D193" s="33" t="str">
        <f aca="false">IFERROR(B193/B189-1,"")</f>
        <v/>
      </c>
      <c r="E193" s="25" t="str">
        <f aca="false">IFERROR(IF(AND(B193="",ISNUMBER($C$108),ISNUMBER($G$108)),$C$108*(1+$G$108)^(($A193-$E$108)/365.25),""),"")</f>
        <v/>
      </c>
      <c r="F193" s="25" t="str">
        <f aca="false">IFERROR(IF(AND(B193="",ISNUMBER($C$108),ISNUMBER($G$108)),$C$108*(1+$G$108*0.85^MAX(0,($A193-$E$108)/91.25))^(($A193-$E$108)/365.25),""),"")</f>
        <v/>
      </c>
    </row>
    <row r="194" customFormat="false" ht="15" hidden="false" customHeight="false" outlineLevel="0" collapsed="false">
      <c r="A194" s="27" t="n">
        <v>47027</v>
      </c>
      <c r="B194" s="28" t="str">
        <f aca="true">IFERROR(IF(SUMIFS(INDIRECT(Index!$M$15),INDIRECT(Index!$L$15),"&gt;="&amp;$A194,INDIRECT(Index!$L$15),"&lt;"&amp;EDATE($A194,3))=0,"",SUMIFS(INDIRECT(Index!$M$15),INDIRECT(Index!$L$15),"&gt;="&amp;$A194,INDIRECT(Index!$L$15),"&lt;"&amp;EDATE($A194,3))),"")</f>
        <v/>
      </c>
      <c r="C194" s="29" t="str">
        <f aca="false">IFERROR(B194/B193-1,"")</f>
        <v/>
      </c>
      <c r="D194" s="29" t="str">
        <f aca="false">IFERROR(B194/B190-1,"")</f>
        <v/>
      </c>
      <c r="E194" s="31" t="str">
        <f aca="false">IFERROR(IF(AND(B194="",ISNUMBER($C$108),ISNUMBER($G$108)),$C$108*(1+$G$108)^(($A194-$E$108)/365.25),""),"")</f>
        <v/>
      </c>
      <c r="F194" s="31" t="str">
        <f aca="false">IFERROR(IF(AND(B194="",ISNUMBER($C$108),ISNUMBER($G$108)),$C$108*(1+$G$108*0.85^MAX(0,($A194-$E$108)/91.25))^(($A194-$E$108)/365.25),""),"")</f>
        <v/>
      </c>
    </row>
    <row r="195" customFormat="false" ht="15" hidden="false" customHeight="false" outlineLevel="0" collapsed="false">
      <c r="A195" s="15" t="n">
        <v>47119</v>
      </c>
      <c r="B195" s="20" t="str">
        <f aca="true">IFERROR(IF(SUMIFS(INDIRECT(Index!$M$15),INDIRECT(Index!$L$15),"&gt;="&amp;$A195,INDIRECT(Index!$L$15),"&lt;"&amp;EDATE($A195,3))=0,"",SUMIFS(INDIRECT(Index!$M$15),INDIRECT(Index!$L$15),"&gt;="&amp;$A195,INDIRECT(Index!$L$15),"&lt;"&amp;EDATE($A195,3))),"")</f>
        <v/>
      </c>
      <c r="C195" s="33" t="str">
        <f aca="false">IFERROR(B195/B194-1,"")</f>
        <v/>
      </c>
      <c r="D195" s="33" t="str">
        <f aca="false">IFERROR(B195/B191-1,"")</f>
        <v/>
      </c>
      <c r="E195" s="25" t="str">
        <f aca="false">IFERROR(IF(AND(B195="",ISNUMBER($C$108),ISNUMBER($G$108)),$C$108*(1+$G$108)^(($A195-$E$108)/365.25),""),"")</f>
        <v/>
      </c>
      <c r="F195" s="25" t="str">
        <f aca="false">IFERROR(IF(AND(B195="",ISNUMBER($C$108),ISNUMBER($G$108)),$C$108*(1+$G$108*0.85^MAX(0,($A195-$E$108)/91.25))^(($A195-$E$108)/365.25),""),"")</f>
        <v/>
      </c>
    </row>
    <row r="196" customFormat="false" ht="15" hidden="false" customHeight="false" outlineLevel="0" collapsed="false">
      <c r="A196" s="27" t="n">
        <v>47209</v>
      </c>
      <c r="B196" s="28" t="str">
        <f aca="true">IFERROR(IF(SUMIFS(INDIRECT(Index!$M$15),INDIRECT(Index!$L$15),"&gt;="&amp;$A196,INDIRECT(Index!$L$15),"&lt;"&amp;EDATE($A196,3))=0,"",SUMIFS(INDIRECT(Index!$M$15),INDIRECT(Index!$L$15),"&gt;="&amp;$A196,INDIRECT(Index!$L$15),"&lt;"&amp;EDATE($A196,3))),"")</f>
        <v/>
      </c>
      <c r="C196" s="29" t="str">
        <f aca="false">IFERROR(B196/B195-1,"")</f>
        <v/>
      </c>
      <c r="D196" s="29" t="str">
        <f aca="false">IFERROR(B196/B192-1,"")</f>
        <v/>
      </c>
      <c r="E196" s="31" t="str">
        <f aca="false">IFERROR(IF(AND(B196="",ISNUMBER($C$108),ISNUMBER($G$108)),$C$108*(1+$G$108)^(($A196-$E$108)/365.25),""),"")</f>
        <v/>
      </c>
      <c r="F196" s="31" t="str">
        <f aca="false">IFERROR(IF(AND(B196="",ISNUMBER($C$108),ISNUMBER($G$108)),$C$108*(1+$G$108*0.85^MAX(0,($A196-$E$108)/91.25))^(($A196-$E$108)/365.25),""),"")</f>
        <v/>
      </c>
    </row>
    <row r="197" customFormat="false" ht="15" hidden="false" customHeight="false" outlineLevel="0" collapsed="false">
      <c r="A197" s="15" t="n">
        <v>47300</v>
      </c>
      <c r="B197" s="20" t="str">
        <f aca="true">IFERROR(IF(SUMIFS(INDIRECT(Index!$M$15),INDIRECT(Index!$L$15),"&gt;="&amp;$A197,INDIRECT(Index!$L$15),"&lt;"&amp;EDATE($A197,3))=0,"",SUMIFS(INDIRECT(Index!$M$15),INDIRECT(Index!$L$15),"&gt;="&amp;$A197,INDIRECT(Index!$L$15),"&lt;"&amp;EDATE($A197,3))),"")</f>
        <v/>
      </c>
      <c r="C197" s="33" t="str">
        <f aca="false">IFERROR(B197/B196-1,"")</f>
        <v/>
      </c>
      <c r="D197" s="33" t="str">
        <f aca="false">IFERROR(B197/B193-1,"")</f>
        <v/>
      </c>
      <c r="E197" s="25" t="str">
        <f aca="false">IFERROR(IF(AND(B197="",ISNUMBER($C$108),ISNUMBER($G$108)),$C$108*(1+$G$108)^(($A197-$E$108)/365.25),""),"")</f>
        <v/>
      </c>
      <c r="F197" s="25" t="str">
        <f aca="false">IFERROR(IF(AND(B197="",ISNUMBER($C$108),ISNUMBER($G$108)),$C$108*(1+$G$108*0.85^MAX(0,($A197-$E$108)/91.25))^(($A197-$E$108)/365.25),""),"")</f>
        <v/>
      </c>
    </row>
    <row r="198" customFormat="false" ht="15" hidden="false" customHeight="false" outlineLevel="0" collapsed="false">
      <c r="A198" s="27" t="n">
        <v>47392</v>
      </c>
      <c r="B198" s="28" t="str">
        <f aca="true">IFERROR(IF(SUMIFS(INDIRECT(Index!$M$15),INDIRECT(Index!$L$15),"&gt;="&amp;$A198,INDIRECT(Index!$L$15),"&lt;"&amp;EDATE($A198,3))=0,"",SUMIFS(INDIRECT(Index!$M$15),INDIRECT(Index!$L$15),"&gt;="&amp;$A198,INDIRECT(Index!$L$15),"&lt;"&amp;EDATE($A198,3))),"")</f>
        <v/>
      </c>
      <c r="C198" s="29" t="str">
        <f aca="false">IFERROR(B198/B197-1,"")</f>
        <v/>
      </c>
      <c r="D198" s="29" t="str">
        <f aca="false">IFERROR(B198/B194-1,"")</f>
        <v/>
      </c>
      <c r="E198" s="31" t="str">
        <f aca="false">IFERROR(IF(AND(B198="",ISNUMBER($C$108),ISNUMBER($G$108)),$C$108*(1+$G$108)^(($A198-$E$108)/365.25),""),"")</f>
        <v/>
      </c>
      <c r="F198" s="31" t="str">
        <f aca="false">IFERROR(IF(AND(B198="",ISNUMBER($C$108),ISNUMBER($G$108)),$C$108*(1+$G$108*0.85^MAX(0,($A198-$E$108)/91.25))^(($A198-$E$108)/365.25),""),"")</f>
        <v/>
      </c>
    </row>
    <row r="199" customFormat="false" ht="15" hidden="false" customHeight="false" outlineLevel="0" collapsed="false">
      <c r="A199" s="15" t="n">
        <v>47484</v>
      </c>
      <c r="B199" s="20" t="str">
        <f aca="true">IFERROR(IF(SUMIFS(INDIRECT(Index!$M$15),INDIRECT(Index!$L$15),"&gt;="&amp;$A199,INDIRECT(Index!$L$15),"&lt;"&amp;EDATE($A199,3))=0,"",SUMIFS(INDIRECT(Index!$M$15),INDIRECT(Index!$L$15),"&gt;="&amp;$A199,INDIRECT(Index!$L$15),"&lt;"&amp;EDATE($A199,3))),"")</f>
        <v/>
      </c>
      <c r="C199" s="33" t="str">
        <f aca="false">IFERROR(B199/B198-1,"")</f>
        <v/>
      </c>
      <c r="D199" s="33" t="str">
        <f aca="false">IFERROR(B199/B195-1,"")</f>
        <v/>
      </c>
      <c r="E199" s="25" t="str">
        <f aca="false">IFERROR(IF(AND(B199="",ISNUMBER($C$108),ISNUMBER($G$108)),$C$108*(1+$G$108)^(($A199-$E$108)/365.25),""),"")</f>
        <v/>
      </c>
      <c r="F199" s="25" t="str">
        <f aca="false">IFERROR(IF(AND(B199="",ISNUMBER($C$108),ISNUMBER($G$108)),$C$108*(1+$G$108*0.85^MAX(0,($A199-$E$108)/91.25))^(($A199-$E$108)/365.25),""),"")</f>
        <v/>
      </c>
    </row>
    <row r="200" customFormat="false" ht="15" hidden="false" customHeight="false" outlineLevel="0" collapsed="false">
      <c r="A200" s="27" t="n">
        <v>47574</v>
      </c>
      <c r="B200" s="28" t="str">
        <f aca="true">IFERROR(IF(SUMIFS(INDIRECT(Index!$M$15),INDIRECT(Index!$L$15),"&gt;="&amp;$A200,INDIRECT(Index!$L$15),"&lt;"&amp;EDATE($A200,3))=0,"",SUMIFS(INDIRECT(Index!$M$15),INDIRECT(Index!$L$15),"&gt;="&amp;$A200,INDIRECT(Index!$L$15),"&lt;"&amp;EDATE($A200,3))),"")</f>
        <v/>
      </c>
      <c r="C200" s="29" t="str">
        <f aca="false">IFERROR(B200/B199-1,"")</f>
        <v/>
      </c>
      <c r="D200" s="29" t="str">
        <f aca="false">IFERROR(B200/B196-1,"")</f>
        <v/>
      </c>
      <c r="E200" s="31" t="str">
        <f aca="false">IFERROR(IF(AND(B200="",ISNUMBER($C$108),ISNUMBER($G$108)),$C$108*(1+$G$108)^(($A200-$E$108)/365.25),""),"")</f>
        <v/>
      </c>
      <c r="F200" s="31" t="str">
        <f aca="false">IFERROR(IF(AND(B200="",ISNUMBER($C$108),ISNUMBER($G$108)),$C$108*(1+$G$108*0.85^MAX(0,($A200-$E$108)/91.25))^(($A200-$E$108)/365.25),""),"")</f>
        <v/>
      </c>
    </row>
    <row r="201" customFormat="false" ht="15" hidden="false" customHeight="false" outlineLevel="0" collapsed="false">
      <c r="A201" s="15" t="n">
        <v>47665</v>
      </c>
      <c r="B201" s="20" t="str">
        <f aca="true">IFERROR(IF(SUMIFS(INDIRECT(Index!$M$15),INDIRECT(Index!$L$15),"&gt;="&amp;$A201,INDIRECT(Index!$L$15),"&lt;"&amp;EDATE($A201,3))=0,"",SUMIFS(INDIRECT(Index!$M$15),INDIRECT(Index!$L$15),"&gt;="&amp;$A201,INDIRECT(Index!$L$15),"&lt;"&amp;EDATE($A201,3))),"")</f>
        <v/>
      </c>
      <c r="C201" s="33" t="str">
        <f aca="false">IFERROR(B201/B200-1,"")</f>
        <v/>
      </c>
      <c r="D201" s="33" t="str">
        <f aca="false">IFERROR(B201/B197-1,"")</f>
        <v/>
      </c>
      <c r="E201" s="25" t="str">
        <f aca="false">IFERROR(IF(AND(B201="",ISNUMBER($C$108),ISNUMBER($G$108)),$C$108*(1+$G$108)^(($A201-$E$108)/365.25),""),"")</f>
        <v/>
      </c>
      <c r="F201" s="25" t="str">
        <f aca="false">IFERROR(IF(AND(B201="",ISNUMBER($C$108),ISNUMBER($G$108)),$C$108*(1+$G$108*0.85^MAX(0,($A201-$E$108)/91.25))^(($A201-$E$108)/365.25),""),"")</f>
        <v/>
      </c>
    </row>
    <row r="202" customFormat="false" ht="15" hidden="false" customHeight="false" outlineLevel="0" collapsed="false">
      <c r="A202" s="27" t="n">
        <v>47757</v>
      </c>
      <c r="B202" s="28" t="str">
        <f aca="true">IFERROR(IF(SUMIFS(INDIRECT(Index!$M$15),INDIRECT(Index!$L$15),"&gt;="&amp;$A202,INDIRECT(Index!$L$15),"&lt;"&amp;EDATE($A202,3))=0,"",SUMIFS(INDIRECT(Index!$M$15),INDIRECT(Index!$L$15),"&gt;="&amp;$A202,INDIRECT(Index!$L$15),"&lt;"&amp;EDATE($A202,3))),"")</f>
        <v/>
      </c>
      <c r="C202" s="29" t="str">
        <f aca="false">IFERROR(B202/B201-1,"")</f>
        <v/>
      </c>
      <c r="D202" s="29" t="str">
        <f aca="false">IFERROR(B202/B198-1,"")</f>
        <v/>
      </c>
      <c r="E202" s="31" t="str">
        <f aca="false">IFERROR(IF(AND(B202="",ISNUMBER($C$108),ISNUMBER($G$108)),$C$108*(1+$G$108)^(($A202-$E$108)/365.25),""),"")</f>
        <v/>
      </c>
      <c r="F202" s="31" t="str">
        <f aca="false">IFERROR(IF(AND(B202="",ISNUMBER($C$108),ISNUMBER($G$108)),$C$108*(1+$G$108*0.85^MAX(0,($A202-$E$108)/91.25))^(($A202-$E$108)/365.25),""),"")</f>
        <v/>
      </c>
    </row>
    <row r="206" customFormat="false" ht="21.75" hidden="false" customHeight="true" outlineLevel="0" collapsed="false">
      <c r="A206" s="17" t="str">
        <f aca="false">Index!$A$16&amp;"   ("&amp;Index!$I$16&amp;")"</f>
        <v>Foreign Direct Investment   (USD Mn)</v>
      </c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</row>
    <row r="207" customFormat="false" ht="15" hidden="false" customHeight="false" outlineLevel="0" collapsed="false">
      <c r="A207" s="4" t="s">
        <v>106</v>
      </c>
      <c r="B207" s="18" t="str">
        <f aca="false">Index!$J$16</f>
        <v>sum</v>
      </c>
      <c r="C207" s="4" t="s">
        <v>107</v>
      </c>
      <c r="D207" s="19" t="str">
        <f aca="false">Index!$D$16&amp;" ["&amp;Index!$F$16&amp;Index!$G$16&amp;":"&amp;Index!$F$16&amp;Index!$H$16&amp;"]"</f>
        <v>Data_Quarterly [F2:F200]</v>
      </c>
      <c r="E207" s="19"/>
      <c r="F207" s="19"/>
      <c r="G207" s="19"/>
      <c r="H207" s="19"/>
    </row>
    <row r="208" customFormat="false" ht="15" hidden="false" customHeight="false" outlineLevel="0" collapsed="false">
      <c r="A208" s="4" t="s">
        <v>108</v>
      </c>
      <c r="B208" s="6" t="str">
        <f aca="false">IF(Index!$K$16="","",Index!$K$16)</f>
        <v/>
      </c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</row>
    <row r="209" customFormat="false" ht="15" hidden="false" customHeight="false" outlineLevel="0" collapsed="false">
      <c r="A209" s="4" t="s">
        <v>109</v>
      </c>
      <c r="B209" s="4" t="s">
        <v>110</v>
      </c>
      <c r="C209" s="20" t="str">
        <f aca="false">IFERROR(LOOKUP(2,1/($B$212:$B$303&lt;&gt;""),$B$212:$B$303),"")</f>
        <v/>
      </c>
      <c r="D209" s="4" t="s">
        <v>111</v>
      </c>
      <c r="E209" s="21" t="str">
        <f aca="false">IFERROR(LOOKUP(2,1/($B$212:$B$303&lt;&gt;""),$A$212:$A$303),"")</f>
        <v/>
      </c>
      <c r="F209" s="4" t="s">
        <v>112</v>
      </c>
      <c r="G209" s="22" t="str">
        <f aca="false">IFERROR(C209/INDEX($B$212:$B$303,MATCH(EDATE(E209,-12),$A$212:$A$303,0))-1,"")</f>
        <v/>
      </c>
    </row>
    <row r="210" customFormat="false" ht="18" hidden="false" customHeight="true" outlineLevel="0" collapsed="false">
      <c r="A210" s="23" t="s">
        <v>113</v>
      </c>
      <c r="B210" s="23"/>
      <c r="C210" s="23"/>
      <c r="D210" s="23"/>
      <c r="E210" s="23"/>
      <c r="F210" s="23"/>
      <c r="J210" s="23" t="s">
        <v>114</v>
      </c>
      <c r="K210" s="23"/>
      <c r="L210" s="23"/>
      <c r="M210" s="23"/>
    </row>
    <row r="211" customFormat="false" ht="15" hidden="false" customHeight="false" outlineLevel="0" collapsed="false">
      <c r="A211" s="7" t="s">
        <v>95</v>
      </c>
      <c r="B211" s="7" t="s">
        <v>115</v>
      </c>
      <c r="C211" s="7" t="s">
        <v>116</v>
      </c>
      <c r="D211" s="7" t="s">
        <v>117</v>
      </c>
      <c r="E211" s="7" t="s">
        <v>118</v>
      </c>
      <c r="F211" s="7" t="s">
        <v>119</v>
      </c>
      <c r="J211" s="7" t="s">
        <v>120</v>
      </c>
      <c r="K211" s="7" t="s">
        <v>115</v>
      </c>
      <c r="L211" s="7" t="s">
        <v>117</v>
      </c>
      <c r="M211" s="7" t="s">
        <v>121</v>
      </c>
    </row>
    <row r="212" customFormat="false" ht="15" hidden="false" customHeight="false" outlineLevel="0" collapsed="false">
      <c r="A212" s="15" t="n">
        <v>39448</v>
      </c>
      <c r="B212" s="20" t="str">
        <f aca="true">IFERROR(IF(SUMIFS(INDIRECT(Index!$M$16),INDIRECT(Index!$L$16),"&gt;="&amp;$A212,INDIRECT(Index!$L$16),"&lt;"&amp;EDATE($A212,3))=0,"",SUMIFS(INDIRECT(Index!$M$16),INDIRECT(Index!$L$16),"&gt;="&amp;$A212,INDIRECT(Index!$L$16),"&lt;"&amp;EDATE($A212,3))),"")</f>
        <v/>
      </c>
      <c r="C212" s="24"/>
      <c r="D212" s="24"/>
      <c r="E212" s="25" t="str">
        <f aca="false">IFERROR(IF(AND(B212="",ISNUMBER($C$209),ISNUMBER($G$209)),$C$209*(1+$G$209)^(($A212-$E$209)/365.25),""),"")</f>
        <v/>
      </c>
      <c r="F212" s="25" t="str">
        <f aca="false">IFERROR(IF(AND(B212="",ISNUMBER($C$209),ISNUMBER($G$209)),$C$209*(1+$G$209*0.85^MAX(0,($A212-$E$209)/91.25))^(($A212-$E$209)/365.25),""),"")</f>
        <v/>
      </c>
      <c r="J212" s="26" t="n">
        <v>2008</v>
      </c>
      <c r="K212" s="25" t="n">
        <f aca="false">IFERROR(SUMIFS($B$212:$B$303,$A$212:$A$303,"&gt;="&amp;DATE(J212,1,1),$A$212:$A$303,"&lt;="&amp;DATE(J212,12,31)),"")</f>
        <v>0</v>
      </c>
      <c r="L212" s="24"/>
      <c r="M212" s="25" t="n">
        <f aca="false">IFERROR(SUMIFS($E$212:$E$303,$A$212:$A$303,"&gt;="&amp;DATE(J212,1,1),$A$212:$A$303,"&lt;="&amp;DATE(J212,12,31)),"")</f>
        <v>0</v>
      </c>
    </row>
    <row r="213" customFormat="false" ht="15" hidden="false" customHeight="false" outlineLevel="0" collapsed="false">
      <c r="A213" s="27" t="n">
        <v>39539</v>
      </c>
      <c r="B213" s="28" t="str">
        <f aca="true">IFERROR(IF(SUMIFS(INDIRECT(Index!$M$16),INDIRECT(Index!$L$16),"&gt;="&amp;$A213,INDIRECT(Index!$L$16),"&lt;"&amp;EDATE($A213,3))=0,"",SUMIFS(INDIRECT(Index!$M$16),INDIRECT(Index!$L$16),"&gt;="&amp;$A213,INDIRECT(Index!$L$16),"&lt;"&amp;EDATE($A213,3))),"")</f>
        <v/>
      </c>
      <c r="C213" s="29" t="str">
        <f aca="false">IFERROR(B213/B212-1,"")</f>
        <v/>
      </c>
      <c r="D213" s="30"/>
      <c r="E213" s="31" t="str">
        <f aca="false">IFERROR(IF(AND(B213="",ISNUMBER($C$209),ISNUMBER($G$209)),$C$209*(1+$G$209)^(($A213-$E$209)/365.25),""),"")</f>
        <v/>
      </c>
      <c r="F213" s="31" t="str">
        <f aca="false">IFERROR(IF(AND(B213="",ISNUMBER($C$209),ISNUMBER($G$209)),$C$209*(1+$G$209*0.85^MAX(0,($A213-$E$209)/91.25))^(($A213-$E$209)/365.25),""),"")</f>
        <v/>
      </c>
      <c r="J213" s="32" t="n">
        <v>2009</v>
      </c>
      <c r="K213" s="31" t="n">
        <f aca="false">IFERROR(SUMIFS($B$212:$B$303,$A$212:$A$303,"&gt;="&amp;DATE(J213,1,1),$A$212:$A$303,"&lt;="&amp;DATE(J213,12,31)),"")</f>
        <v>0</v>
      </c>
      <c r="L213" s="29" t="str">
        <f aca="false">IFERROR(K213/K212-1,"")</f>
        <v/>
      </c>
      <c r="M213" s="31" t="n">
        <f aca="false">IFERROR(SUMIFS($E$212:$E$303,$A$212:$A$303,"&gt;="&amp;DATE(J213,1,1),$A$212:$A$303,"&lt;="&amp;DATE(J213,12,31)),"")</f>
        <v>0</v>
      </c>
    </row>
    <row r="214" customFormat="false" ht="15" hidden="false" customHeight="false" outlineLevel="0" collapsed="false">
      <c r="A214" s="15" t="n">
        <v>39630</v>
      </c>
      <c r="B214" s="20" t="str">
        <f aca="true">IFERROR(IF(SUMIFS(INDIRECT(Index!$M$16),INDIRECT(Index!$L$16),"&gt;="&amp;$A214,INDIRECT(Index!$L$16),"&lt;"&amp;EDATE($A214,3))=0,"",SUMIFS(INDIRECT(Index!$M$16),INDIRECT(Index!$L$16),"&gt;="&amp;$A214,INDIRECT(Index!$L$16),"&lt;"&amp;EDATE($A214,3))),"")</f>
        <v/>
      </c>
      <c r="C214" s="33" t="str">
        <f aca="false">IFERROR(B214/B213-1,"")</f>
        <v/>
      </c>
      <c r="D214" s="24"/>
      <c r="E214" s="25" t="str">
        <f aca="false">IFERROR(IF(AND(B214="",ISNUMBER($C$209),ISNUMBER($G$209)),$C$209*(1+$G$209)^(($A214-$E$209)/365.25),""),"")</f>
        <v/>
      </c>
      <c r="F214" s="25" t="str">
        <f aca="false">IFERROR(IF(AND(B214="",ISNUMBER($C$209),ISNUMBER($G$209)),$C$209*(1+$G$209*0.85^MAX(0,($A214-$E$209)/91.25))^(($A214-$E$209)/365.25),""),"")</f>
        <v/>
      </c>
      <c r="J214" s="26" t="n">
        <v>2010</v>
      </c>
      <c r="K214" s="25" t="n">
        <f aca="false">IFERROR(SUMIFS($B$212:$B$303,$A$212:$A$303,"&gt;="&amp;DATE(J214,1,1),$A$212:$A$303,"&lt;="&amp;DATE(J214,12,31)),"")</f>
        <v>0</v>
      </c>
      <c r="L214" s="33" t="str">
        <f aca="false">IFERROR(K214/K213-1,"")</f>
        <v/>
      </c>
      <c r="M214" s="25" t="n">
        <f aca="false">IFERROR(SUMIFS($E$212:$E$303,$A$212:$A$303,"&gt;="&amp;DATE(J214,1,1),$A$212:$A$303,"&lt;="&amp;DATE(J214,12,31)),"")</f>
        <v>0</v>
      </c>
    </row>
    <row r="215" customFormat="false" ht="15" hidden="false" customHeight="false" outlineLevel="0" collapsed="false">
      <c r="A215" s="27" t="n">
        <v>39722</v>
      </c>
      <c r="B215" s="28" t="str">
        <f aca="true">IFERROR(IF(SUMIFS(INDIRECT(Index!$M$16),INDIRECT(Index!$L$16),"&gt;="&amp;$A215,INDIRECT(Index!$L$16),"&lt;"&amp;EDATE($A215,3))=0,"",SUMIFS(INDIRECT(Index!$M$16),INDIRECT(Index!$L$16),"&gt;="&amp;$A215,INDIRECT(Index!$L$16),"&lt;"&amp;EDATE($A215,3))),"")</f>
        <v/>
      </c>
      <c r="C215" s="29" t="str">
        <f aca="false">IFERROR(B215/B214-1,"")</f>
        <v/>
      </c>
      <c r="D215" s="30"/>
      <c r="E215" s="31" t="str">
        <f aca="false">IFERROR(IF(AND(B215="",ISNUMBER($C$209),ISNUMBER($G$209)),$C$209*(1+$G$209)^(($A215-$E$209)/365.25),""),"")</f>
        <v/>
      </c>
      <c r="F215" s="31" t="str">
        <f aca="false">IFERROR(IF(AND(B215="",ISNUMBER($C$209),ISNUMBER($G$209)),$C$209*(1+$G$209*0.85^MAX(0,($A215-$E$209)/91.25))^(($A215-$E$209)/365.25),""),"")</f>
        <v/>
      </c>
      <c r="J215" s="32" t="n">
        <v>2011</v>
      </c>
      <c r="K215" s="31" t="n">
        <f aca="false">IFERROR(SUMIFS($B$212:$B$303,$A$212:$A$303,"&gt;="&amp;DATE(J215,1,1),$A$212:$A$303,"&lt;="&amp;DATE(J215,12,31)),"")</f>
        <v>0</v>
      </c>
      <c r="L215" s="29" t="str">
        <f aca="false">IFERROR(K215/K214-1,"")</f>
        <v/>
      </c>
      <c r="M215" s="31" t="n">
        <f aca="false">IFERROR(SUMIFS($E$212:$E$303,$A$212:$A$303,"&gt;="&amp;DATE(J215,1,1),$A$212:$A$303,"&lt;="&amp;DATE(J215,12,31)),"")</f>
        <v>0</v>
      </c>
    </row>
    <row r="216" customFormat="false" ht="15" hidden="false" customHeight="false" outlineLevel="0" collapsed="false">
      <c r="A216" s="15" t="n">
        <v>39814</v>
      </c>
      <c r="B216" s="20" t="str">
        <f aca="true">IFERROR(IF(SUMIFS(INDIRECT(Index!$M$16),INDIRECT(Index!$L$16),"&gt;="&amp;$A216,INDIRECT(Index!$L$16),"&lt;"&amp;EDATE($A216,3))=0,"",SUMIFS(INDIRECT(Index!$M$16),INDIRECT(Index!$L$16),"&gt;="&amp;$A216,INDIRECT(Index!$L$16),"&lt;"&amp;EDATE($A216,3))),"")</f>
        <v/>
      </c>
      <c r="C216" s="33" t="str">
        <f aca="false">IFERROR(B216/B215-1,"")</f>
        <v/>
      </c>
      <c r="D216" s="33" t="str">
        <f aca="false">IFERROR(B216/B212-1,"")</f>
        <v/>
      </c>
      <c r="E216" s="25" t="str">
        <f aca="false">IFERROR(IF(AND(B216="",ISNUMBER($C$209),ISNUMBER($G$209)),$C$209*(1+$G$209)^(($A216-$E$209)/365.25),""),"")</f>
        <v/>
      </c>
      <c r="F216" s="25" t="str">
        <f aca="false">IFERROR(IF(AND(B216="",ISNUMBER($C$209),ISNUMBER($G$209)),$C$209*(1+$G$209*0.85^MAX(0,($A216-$E$209)/91.25))^(($A216-$E$209)/365.25),""),"")</f>
        <v/>
      </c>
      <c r="J216" s="26" t="n">
        <v>2012</v>
      </c>
      <c r="K216" s="25" t="n">
        <f aca="false">IFERROR(SUMIFS($B$212:$B$303,$A$212:$A$303,"&gt;="&amp;DATE(J216,1,1),$A$212:$A$303,"&lt;="&amp;DATE(J216,12,31)),"")</f>
        <v>0</v>
      </c>
      <c r="L216" s="33" t="str">
        <f aca="false">IFERROR(K216/K215-1,"")</f>
        <v/>
      </c>
      <c r="M216" s="25" t="n">
        <f aca="false">IFERROR(SUMIFS($E$212:$E$303,$A$212:$A$303,"&gt;="&amp;DATE(J216,1,1),$A$212:$A$303,"&lt;="&amp;DATE(J216,12,31)),"")</f>
        <v>0</v>
      </c>
    </row>
    <row r="217" customFormat="false" ht="15" hidden="false" customHeight="false" outlineLevel="0" collapsed="false">
      <c r="A217" s="27" t="n">
        <v>39904</v>
      </c>
      <c r="B217" s="28" t="str">
        <f aca="true">IFERROR(IF(SUMIFS(INDIRECT(Index!$M$16),INDIRECT(Index!$L$16),"&gt;="&amp;$A217,INDIRECT(Index!$L$16),"&lt;"&amp;EDATE($A217,3))=0,"",SUMIFS(INDIRECT(Index!$M$16),INDIRECT(Index!$L$16),"&gt;="&amp;$A217,INDIRECT(Index!$L$16),"&lt;"&amp;EDATE($A217,3))),"")</f>
        <v/>
      </c>
      <c r="C217" s="29" t="str">
        <f aca="false">IFERROR(B217/B216-1,"")</f>
        <v/>
      </c>
      <c r="D217" s="29" t="str">
        <f aca="false">IFERROR(B217/B213-1,"")</f>
        <v/>
      </c>
      <c r="E217" s="31" t="str">
        <f aca="false">IFERROR(IF(AND(B217="",ISNUMBER($C$209),ISNUMBER($G$209)),$C$209*(1+$G$209)^(($A217-$E$209)/365.25),""),"")</f>
        <v/>
      </c>
      <c r="F217" s="31" t="str">
        <f aca="false">IFERROR(IF(AND(B217="",ISNUMBER($C$209),ISNUMBER($G$209)),$C$209*(1+$G$209*0.85^MAX(0,($A217-$E$209)/91.25))^(($A217-$E$209)/365.25),""),"")</f>
        <v/>
      </c>
      <c r="J217" s="32" t="n">
        <v>2013</v>
      </c>
      <c r="K217" s="31" t="n">
        <f aca="false">IFERROR(SUMIFS($B$212:$B$303,$A$212:$A$303,"&gt;="&amp;DATE(J217,1,1),$A$212:$A$303,"&lt;="&amp;DATE(J217,12,31)),"")</f>
        <v>0</v>
      </c>
      <c r="L217" s="29" t="str">
        <f aca="false">IFERROR(K217/K216-1,"")</f>
        <v/>
      </c>
      <c r="M217" s="31" t="n">
        <f aca="false">IFERROR(SUMIFS($E$212:$E$303,$A$212:$A$303,"&gt;="&amp;DATE(J217,1,1),$A$212:$A$303,"&lt;="&amp;DATE(J217,12,31)),"")</f>
        <v>0</v>
      </c>
    </row>
    <row r="218" customFormat="false" ht="15" hidden="false" customHeight="false" outlineLevel="0" collapsed="false">
      <c r="A218" s="15" t="n">
        <v>39995</v>
      </c>
      <c r="B218" s="20" t="str">
        <f aca="true">IFERROR(IF(SUMIFS(INDIRECT(Index!$M$16),INDIRECT(Index!$L$16),"&gt;="&amp;$A218,INDIRECT(Index!$L$16),"&lt;"&amp;EDATE($A218,3))=0,"",SUMIFS(INDIRECT(Index!$M$16),INDIRECT(Index!$L$16),"&gt;="&amp;$A218,INDIRECT(Index!$L$16),"&lt;"&amp;EDATE($A218,3))),"")</f>
        <v/>
      </c>
      <c r="C218" s="33" t="str">
        <f aca="false">IFERROR(B218/B217-1,"")</f>
        <v/>
      </c>
      <c r="D218" s="33" t="str">
        <f aca="false">IFERROR(B218/B214-1,"")</f>
        <v/>
      </c>
      <c r="E218" s="25" t="str">
        <f aca="false">IFERROR(IF(AND(B218="",ISNUMBER($C$209),ISNUMBER($G$209)),$C$209*(1+$G$209)^(($A218-$E$209)/365.25),""),"")</f>
        <v/>
      </c>
      <c r="F218" s="25" t="str">
        <f aca="false">IFERROR(IF(AND(B218="",ISNUMBER($C$209),ISNUMBER($G$209)),$C$209*(1+$G$209*0.85^MAX(0,($A218-$E$209)/91.25))^(($A218-$E$209)/365.25),""),"")</f>
        <v/>
      </c>
      <c r="J218" s="26" t="n">
        <v>2014</v>
      </c>
      <c r="K218" s="25" t="n">
        <f aca="false">IFERROR(SUMIFS($B$212:$B$303,$A$212:$A$303,"&gt;="&amp;DATE(J218,1,1),$A$212:$A$303,"&lt;="&amp;DATE(J218,12,31)),"")</f>
        <v>0</v>
      </c>
      <c r="L218" s="33" t="str">
        <f aca="false">IFERROR(K218/K217-1,"")</f>
        <v/>
      </c>
      <c r="M218" s="25" t="n">
        <f aca="false">IFERROR(SUMIFS($E$212:$E$303,$A$212:$A$303,"&gt;="&amp;DATE(J218,1,1),$A$212:$A$303,"&lt;="&amp;DATE(J218,12,31)),"")</f>
        <v>0</v>
      </c>
    </row>
    <row r="219" customFormat="false" ht="15" hidden="false" customHeight="false" outlineLevel="0" collapsed="false">
      <c r="A219" s="27" t="n">
        <v>40087</v>
      </c>
      <c r="B219" s="28" t="str">
        <f aca="true">IFERROR(IF(SUMIFS(INDIRECT(Index!$M$16),INDIRECT(Index!$L$16),"&gt;="&amp;$A219,INDIRECT(Index!$L$16),"&lt;"&amp;EDATE($A219,3))=0,"",SUMIFS(INDIRECT(Index!$M$16),INDIRECT(Index!$L$16),"&gt;="&amp;$A219,INDIRECT(Index!$L$16),"&lt;"&amp;EDATE($A219,3))),"")</f>
        <v/>
      </c>
      <c r="C219" s="29" t="str">
        <f aca="false">IFERROR(B219/B218-1,"")</f>
        <v/>
      </c>
      <c r="D219" s="29" t="str">
        <f aca="false">IFERROR(B219/B215-1,"")</f>
        <v/>
      </c>
      <c r="E219" s="31" t="str">
        <f aca="false">IFERROR(IF(AND(B219="",ISNUMBER($C$209),ISNUMBER($G$209)),$C$209*(1+$G$209)^(($A219-$E$209)/365.25),""),"")</f>
        <v/>
      </c>
      <c r="F219" s="31" t="str">
        <f aca="false">IFERROR(IF(AND(B219="",ISNUMBER($C$209),ISNUMBER($G$209)),$C$209*(1+$G$209*0.85^MAX(0,($A219-$E$209)/91.25))^(($A219-$E$209)/365.25),""),"")</f>
        <v/>
      </c>
      <c r="J219" s="32" t="n">
        <v>2015</v>
      </c>
      <c r="K219" s="31" t="n">
        <f aca="false">IFERROR(SUMIFS($B$212:$B$303,$A$212:$A$303,"&gt;="&amp;DATE(J219,1,1),$A$212:$A$303,"&lt;="&amp;DATE(J219,12,31)),"")</f>
        <v>0</v>
      </c>
      <c r="L219" s="29" t="str">
        <f aca="false">IFERROR(K219/K218-1,"")</f>
        <v/>
      </c>
      <c r="M219" s="31" t="n">
        <f aca="false">IFERROR(SUMIFS($E$212:$E$303,$A$212:$A$303,"&gt;="&amp;DATE(J219,1,1),$A$212:$A$303,"&lt;="&amp;DATE(J219,12,31)),"")</f>
        <v>0</v>
      </c>
    </row>
    <row r="220" customFormat="false" ht="15" hidden="false" customHeight="false" outlineLevel="0" collapsed="false">
      <c r="A220" s="15" t="n">
        <v>40179</v>
      </c>
      <c r="B220" s="20" t="str">
        <f aca="true">IFERROR(IF(SUMIFS(INDIRECT(Index!$M$16),INDIRECT(Index!$L$16),"&gt;="&amp;$A220,INDIRECT(Index!$L$16),"&lt;"&amp;EDATE($A220,3))=0,"",SUMIFS(INDIRECT(Index!$M$16),INDIRECT(Index!$L$16),"&gt;="&amp;$A220,INDIRECT(Index!$L$16),"&lt;"&amp;EDATE($A220,3))),"")</f>
        <v/>
      </c>
      <c r="C220" s="33" t="str">
        <f aca="false">IFERROR(B220/B219-1,"")</f>
        <v/>
      </c>
      <c r="D220" s="33" t="str">
        <f aca="false">IFERROR(B220/B216-1,"")</f>
        <v/>
      </c>
      <c r="E220" s="25" t="str">
        <f aca="false">IFERROR(IF(AND(B220="",ISNUMBER($C$209),ISNUMBER($G$209)),$C$209*(1+$G$209)^(($A220-$E$209)/365.25),""),"")</f>
        <v/>
      </c>
      <c r="F220" s="25" t="str">
        <f aca="false">IFERROR(IF(AND(B220="",ISNUMBER($C$209),ISNUMBER($G$209)),$C$209*(1+$G$209*0.85^MAX(0,($A220-$E$209)/91.25))^(($A220-$E$209)/365.25),""),"")</f>
        <v/>
      </c>
      <c r="J220" s="26" t="n">
        <v>2016</v>
      </c>
      <c r="K220" s="25" t="n">
        <f aca="false">IFERROR(SUMIFS($B$212:$B$303,$A$212:$A$303,"&gt;="&amp;DATE(J220,1,1),$A$212:$A$303,"&lt;="&amp;DATE(J220,12,31)),"")</f>
        <v>0</v>
      </c>
      <c r="L220" s="33" t="str">
        <f aca="false">IFERROR(K220/K219-1,"")</f>
        <v/>
      </c>
      <c r="M220" s="25" t="n">
        <f aca="false">IFERROR(SUMIFS($E$212:$E$303,$A$212:$A$303,"&gt;="&amp;DATE(J220,1,1),$A$212:$A$303,"&lt;="&amp;DATE(J220,12,31)),"")</f>
        <v>0</v>
      </c>
    </row>
    <row r="221" customFormat="false" ht="15" hidden="false" customHeight="false" outlineLevel="0" collapsed="false">
      <c r="A221" s="27" t="n">
        <v>40269</v>
      </c>
      <c r="B221" s="28" t="str">
        <f aca="true">IFERROR(IF(SUMIFS(INDIRECT(Index!$M$16),INDIRECT(Index!$L$16),"&gt;="&amp;$A221,INDIRECT(Index!$L$16),"&lt;"&amp;EDATE($A221,3))=0,"",SUMIFS(INDIRECT(Index!$M$16),INDIRECT(Index!$L$16),"&gt;="&amp;$A221,INDIRECT(Index!$L$16),"&lt;"&amp;EDATE($A221,3))),"")</f>
        <v/>
      </c>
      <c r="C221" s="29" t="str">
        <f aca="false">IFERROR(B221/B220-1,"")</f>
        <v/>
      </c>
      <c r="D221" s="29" t="str">
        <f aca="false">IFERROR(B221/B217-1,"")</f>
        <v/>
      </c>
      <c r="E221" s="31" t="str">
        <f aca="false">IFERROR(IF(AND(B221="",ISNUMBER($C$209),ISNUMBER($G$209)),$C$209*(1+$G$209)^(($A221-$E$209)/365.25),""),"")</f>
        <v/>
      </c>
      <c r="F221" s="31" t="str">
        <f aca="false">IFERROR(IF(AND(B221="",ISNUMBER($C$209),ISNUMBER($G$209)),$C$209*(1+$G$209*0.85^MAX(0,($A221-$E$209)/91.25))^(($A221-$E$209)/365.25),""),"")</f>
        <v/>
      </c>
      <c r="J221" s="32" t="n">
        <v>2017</v>
      </c>
      <c r="K221" s="31" t="n">
        <f aca="false">IFERROR(SUMIFS($B$212:$B$303,$A$212:$A$303,"&gt;="&amp;DATE(J221,1,1),$A$212:$A$303,"&lt;="&amp;DATE(J221,12,31)),"")</f>
        <v>0</v>
      </c>
      <c r="L221" s="29" t="str">
        <f aca="false">IFERROR(K221/K220-1,"")</f>
        <v/>
      </c>
      <c r="M221" s="31" t="n">
        <f aca="false">IFERROR(SUMIFS($E$212:$E$303,$A$212:$A$303,"&gt;="&amp;DATE(J221,1,1),$A$212:$A$303,"&lt;="&amp;DATE(J221,12,31)),"")</f>
        <v>0</v>
      </c>
    </row>
    <row r="222" customFormat="false" ht="15" hidden="false" customHeight="false" outlineLevel="0" collapsed="false">
      <c r="A222" s="15" t="n">
        <v>40360</v>
      </c>
      <c r="B222" s="20" t="str">
        <f aca="true">IFERROR(IF(SUMIFS(INDIRECT(Index!$M$16),INDIRECT(Index!$L$16),"&gt;="&amp;$A222,INDIRECT(Index!$L$16),"&lt;"&amp;EDATE($A222,3))=0,"",SUMIFS(INDIRECT(Index!$M$16),INDIRECT(Index!$L$16),"&gt;="&amp;$A222,INDIRECT(Index!$L$16),"&lt;"&amp;EDATE($A222,3))),"")</f>
        <v/>
      </c>
      <c r="C222" s="33" t="str">
        <f aca="false">IFERROR(B222/B221-1,"")</f>
        <v/>
      </c>
      <c r="D222" s="33" t="str">
        <f aca="false">IFERROR(B222/B218-1,"")</f>
        <v/>
      </c>
      <c r="E222" s="25" t="str">
        <f aca="false">IFERROR(IF(AND(B222="",ISNUMBER($C$209),ISNUMBER($G$209)),$C$209*(1+$G$209)^(($A222-$E$209)/365.25),""),"")</f>
        <v/>
      </c>
      <c r="F222" s="25" t="str">
        <f aca="false">IFERROR(IF(AND(B222="",ISNUMBER($C$209),ISNUMBER($G$209)),$C$209*(1+$G$209*0.85^MAX(0,($A222-$E$209)/91.25))^(($A222-$E$209)/365.25),""),"")</f>
        <v/>
      </c>
      <c r="J222" s="26" t="n">
        <v>2018</v>
      </c>
      <c r="K222" s="25" t="n">
        <f aca="false">IFERROR(SUMIFS($B$212:$B$303,$A$212:$A$303,"&gt;="&amp;DATE(J222,1,1),$A$212:$A$303,"&lt;="&amp;DATE(J222,12,31)),"")</f>
        <v>0</v>
      </c>
      <c r="L222" s="33" t="str">
        <f aca="false">IFERROR(K222/K221-1,"")</f>
        <v/>
      </c>
      <c r="M222" s="25" t="n">
        <f aca="false">IFERROR(SUMIFS($E$212:$E$303,$A$212:$A$303,"&gt;="&amp;DATE(J222,1,1),$A$212:$A$303,"&lt;="&amp;DATE(J222,12,31)),"")</f>
        <v>0</v>
      </c>
    </row>
    <row r="223" customFormat="false" ht="15" hidden="false" customHeight="false" outlineLevel="0" collapsed="false">
      <c r="A223" s="27" t="n">
        <v>40452</v>
      </c>
      <c r="B223" s="28" t="str">
        <f aca="true">IFERROR(IF(SUMIFS(INDIRECT(Index!$M$16),INDIRECT(Index!$L$16),"&gt;="&amp;$A223,INDIRECT(Index!$L$16),"&lt;"&amp;EDATE($A223,3))=0,"",SUMIFS(INDIRECT(Index!$M$16),INDIRECT(Index!$L$16),"&gt;="&amp;$A223,INDIRECT(Index!$L$16),"&lt;"&amp;EDATE($A223,3))),"")</f>
        <v/>
      </c>
      <c r="C223" s="29" t="str">
        <f aca="false">IFERROR(B223/B222-1,"")</f>
        <v/>
      </c>
      <c r="D223" s="29" t="str">
        <f aca="false">IFERROR(B223/B219-1,"")</f>
        <v/>
      </c>
      <c r="E223" s="31" t="str">
        <f aca="false">IFERROR(IF(AND(B223="",ISNUMBER($C$209),ISNUMBER($G$209)),$C$209*(1+$G$209)^(($A223-$E$209)/365.25),""),"")</f>
        <v/>
      </c>
      <c r="F223" s="31" t="str">
        <f aca="false">IFERROR(IF(AND(B223="",ISNUMBER($C$209),ISNUMBER($G$209)),$C$209*(1+$G$209*0.85^MAX(0,($A223-$E$209)/91.25))^(($A223-$E$209)/365.25),""),"")</f>
        <v/>
      </c>
      <c r="J223" s="32" t="n">
        <v>2019</v>
      </c>
      <c r="K223" s="31" t="n">
        <f aca="false">IFERROR(SUMIFS($B$212:$B$303,$A$212:$A$303,"&gt;="&amp;DATE(J223,1,1),$A$212:$A$303,"&lt;="&amp;DATE(J223,12,31)),"")</f>
        <v>0</v>
      </c>
      <c r="L223" s="29" t="str">
        <f aca="false">IFERROR(K223/K222-1,"")</f>
        <v/>
      </c>
      <c r="M223" s="31" t="n">
        <f aca="false">IFERROR(SUMIFS($E$212:$E$303,$A$212:$A$303,"&gt;="&amp;DATE(J223,1,1),$A$212:$A$303,"&lt;="&amp;DATE(J223,12,31)),"")</f>
        <v>0</v>
      </c>
    </row>
    <row r="224" customFormat="false" ht="15" hidden="false" customHeight="false" outlineLevel="0" collapsed="false">
      <c r="A224" s="15" t="n">
        <v>40544</v>
      </c>
      <c r="B224" s="20" t="str">
        <f aca="true">IFERROR(IF(SUMIFS(INDIRECT(Index!$M$16),INDIRECT(Index!$L$16),"&gt;="&amp;$A224,INDIRECT(Index!$L$16),"&lt;"&amp;EDATE($A224,3))=0,"",SUMIFS(INDIRECT(Index!$M$16),INDIRECT(Index!$L$16),"&gt;="&amp;$A224,INDIRECT(Index!$L$16),"&lt;"&amp;EDATE($A224,3))),"")</f>
        <v/>
      </c>
      <c r="C224" s="33" t="str">
        <f aca="false">IFERROR(B224/B223-1,"")</f>
        <v/>
      </c>
      <c r="D224" s="33" t="str">
        <f aca="false">IFERROR(B224/B220-1,"")</f>
        <v/>
      </c>
      <c r="E224" s="25" t="str">
        <f aca="false">IFERROR(IF(AND(B224="",ISNUMBER($C$209),ISNUMBER($G$209)),$C$209*(1+$G$209)^(($A224-$E$209)/365.25),""),"")</f>
        <v/>
      </c>
      <c r="F224" s="25" t="str">
        <f aca="false">IFERROR(IF(AND(B224="",ISNUMBER($C$209),ISNUMBER($G$209)),$C$209*(1+$G$209*0.85^MAX(0,($A224-$E$209)/91.25))^(($A224-$E$209)/365.25),""),"")</f>
        <v/>
      </c>
      <c r="J224" s="26" t="n">
        <v>2020</v>
      </c>
      <c r="K224" s="25" t="n">
        <f aca="false">IFERROR(SUMIFS($B$212:$B$303,$A$212:$A$303,"&gt;="&amp;DATE(J224,1,1),$A$212:$A$303,"&lt;="&amp;DATE(J224,12,31)),"")</f>
        <v>0</v>
      </c>
      <c r="L224" s="33" t="str">
        <f aca="false">IFERROR(K224/K223-1,"")</f>
        <v/>
      </c>
      <c r="M224" s="25" t="n">
        <f aca="false">IFERROR(SUMIFS($E$212:$E$303,$A$212:$A$303,"&gt;="&amp;DATE(J224,1,1),$A$212:$A$303,"&lt;="&amp;DATE(J224,12,31)),"")</f>
        <v>0</v>
      </c>
    </row>
    <row r="225" customFormat="false" ht="15" hidden="false" customHeight="false" outlineLevel="0" collapsed="false">
      <c r="A225" s="27" t="n">
        <v>40634</v>
      </c>
      <c r="B225" s="28" t="str">
        <f aca="true">IFERROR(IF(SUMIFS(INDIRECT(Index!$M$16),INDIRECT(Index!$L$16),"&gt;="&amp;$A225,INDIRECT(Index!$L$16),"&lt;"&amp;EDATE($A225,3))=0,"",SUMIFS(INDIRECT(Index!$M$16),INDIRECT(Index!$L$16),"&gt;="&amp;$A225,INDIRECT(Index!$L$16),"&lt;"&amp;EDATE($A225,3))),"")</f>
        <v/>
      </c>
      <c r="C225" s="29" t="str">
        <f aca="false">IFERROR(B225/B224-1,"")</f>
        <v/>
      </c>
      <c r="D225" s="29" t="str">
        <f aca="false">IFERROR(B225/B221-1,"")</f>
        <v/>
      </c>
      <c r="E225" s="31" t="str">
        <f aca="false">IFERROR(IF(AND(B225="",ISNUMBER($C$209),ISNUMBER($G$209)),$C$209*(1+$G$209)^(($A225-$E$209)/365.25),""),"")</f>
        <v/>
      </c>
      <c r="F225" s="31" t="str">
        <f aca="false">IFERROR(IF(AND(B225="",ISNUMBER($C$209),ISNUMBER($G$209)),$C$209*(1+$G$209*0.85^MAX(0,($A225-$E$209)/91.25))^(($A225-$E$209)/365.25),""),"")</f>
        <v/>
      </c>
      <c r="J225" s="32" t="n">
        <v>2021</v>
      </c>
      <c r="K225" s="31" t="n">
        <f aca="false">IFERROR(SUMIFS($B$212:$B$303,$A$212:$A$303,"&gt;="&amp;DATE(J225,1,1),$A$212:$A$303,"&lt;="&amp;DATE(J225,12,31)),"")</f>
        <v>0</v>
      </c>
      <c r="L225" s="29" t="str">
        <f aca="false">IFERROR(K225/K224-1,"")</f>
        <v/>
      </c>
      <c r="M225" s="31" t="n">
        <f aca="false">IFERROR(SUMIFS($E$212:$E$303,$A$212:$A$303,"&gt;="&amp;DATE(J225,1,1),$A$212:$A$303,"&lt;="&amp;DATE(J225,12,31)),"")</f>
        <v>0</v>
      </c>
    </row>
    <row r="226" customFormat="false" ht="15" hidden="false" customHeight="false" outlineLevel="0" collapsed="false">
      <c r="A226" s="15" t="n">
        <v>40725</v>
      </c>
      <c r="B226" s="20" t="str">
        <f aca="true">IFERROR(IF(SUMIFS(INDIRECT(Index!$M$16),INDIRECT(Index!$L$16),"&gt;="&amp;$A226,INDIRECT(Index!$L$16),"&lt;"&amp;EDATE($A226,3))=0,"",SUMIFS(INDIRECT(Index!$M$16),INDIRECT(Index!$L$16),"&gt;="&amp;$A226,INDIRECT(Index!$L$16),"&lt;"&amp;EDATE($A226,3))),"")</f>
        <v/>
      </c>
      <c r="C226" s="33" t="str">
        <f aca="false">IFERROR(B226/B225-1,"")</f>
        <v/>
      </c>
      <c r="D226" s="33" t="str">
        <f aca="false">IFERROR(B226/B222-1,"")</f>
        <v/>
      </c>
      <c r="E226" s="25" t="str">
        <f aca="false">IFERROR(IF(AND(B226="",ISNUMBER($C$209),ISNUMBER($G$209)),$C$209*(1+$G$209)^(($A226-$E$209)/365.25),""),"")</f>
        <v/>
      </c>
      <c r="F226" s="25" t="str">
        <f aca="false">IFERROR(IF(AND(B226="",ISNUMBER($C$209),ISNUMBER($G$209)),$C$209*(1+$G$209*0.85^MAX(0,($A226-$E$209)/91.25))^(($A226-$E$209)/365.25),""),"")</f>
        <v/>
      </c>
      <c r="J226" s="26" t="n">
        <v>2022</v>
      </c>
      <c r="K226" s="25" t="n">
        <f aca="false">IFERROR(SUMIFS($B$212:$B$303,$A$212:$A$303,"&gt;="&amp;DATE(J226,1,1),$A$212:$A$303,"&lt;="&amp;DATE(J226,12,31)),"")</f>
        <v>0</v>
      </c>
      <c r="L226" s="33" t="str">
        <f aca="false">IFERROR(K226/K225-1,"")</f>
        <v/>
      </c>
      <c r="M226" s="25" t="n">
        <f aca="false">IFERROR(SUMIFS($E$212:$E$303,$A$212:$A$303,"&gt;="&amp;DATE(J226,1,1),$A$212:$A$303,"&lt;="&amp;DATE(J226,12,31)),"")</f>
        <v>0</v>
      </c>
    </row>
    <row r="227" customFormat="false" ht="15" hidden="false" customHeight="false" outlineLevel="0" collapsed="false">
      <c r="A227" s="27" t="n">
        <v>40817</v>
      </c>
      <c r="B227" s="28" t="str">
        <f aca="true">IFERROR(IF(SUMIFS(INDIRECT(Index!$M$16),INDIRECT(Index!$L$16),"&gt;="&amp;$A227,INDIRECT(Index!$L$16),"&lt;"&amp;EDATE($A227,3))=0,"",SUMIFS(INDIRECT(Index!$M$16),INDIRECT(Index!$L$16),"&gt;="&amp;$A227,INDIRECT(Index!$L$16),"&lt;"&amp;EDATE($A227,3))),"")</f>
        <v/>
      </c>
      <c r="C227" s="29" t="str">
        <f aca="false">IFERROR(B227/B226-1,"")</f>
        <v/>
      </c>
      <c r="D227" s="29" t="str">
        <f aca="false">IFERROR(B227/B223-1,"")</f>
        <v/>
      </c>
      <c r="E227" s="31" t="str">
        <f aca="false">IFERROR(IF(AND(B227="",ISNUMBER($C$209),ISNUMBER($G$209)),$C$209*(1+$G$209)^(($A227-$E$209)/365.25),""),"")</f>
        <v/>
      </c>
      <c r="F227" s="31" t="str">
        <f aca="false">IFERROR(IF(AND(B227="",ISNUMBER($C$209),ISNUMBER($G$209)),$C$209*(1+$G$209*0.85^MAX(0,($A227-$E$209)/91.25))^(($A227-$E$209)/365.25),""),"")</f>
        <v/>
      </c>
      <c r="J227" s="32" t="n">
        <v>2023</v>
      </c>
      <c r="K227" s="31" t="n">
        <f aca="false">IFERROR(SUMIFS($B$212:$B$303,$A$212:$A$303,"&gt;="&amp;DATE(J227,1,1),$A$212:$A$303,"&lt;="&amp;DATE(J227,12,31)),"")</f>
        <v>0</v>
      </c>
      <c r="L227" s="29" t="str">
        <f aca="false">IFERROR(K227/K226-1,"")</f>
        <v/>
      </c>
      <c r="M227" s="31" t="n">
        <f aca="false">IFERROR(SUMIFS($E$212:$E$303,$A$212:$A$303,"&gt;="&amp;DATE(J227,1,1),$A$212:$A$303,"&lt;="&amp;DATE(J227,12,31)),"")</f>
        <v>0</v>
      </c>
    </row>
    <row r="228" customFormat="false" ht="15" hidden="false" customHeight="false" outlineLevel="0" collapsed="false">
      <c r="A228" s="15" t="n">
        <v>40909</v>
      </c>
      <c r="B228" s="20" t="str">
        <f aca="true">IFERROR(IF(SUMIFS(INDIRECT(Index!$M$16),INDIRECT(Index!$L$16),"&gt;="&amp;$A228,INDIRECT(Index!$L$16),"&lt;"&amp;EDATE($A228,3))=0,"",SUMIFS(INDIRECT(Index!$M$16),INDIRECT(Index!$L$16),"&gt;="&amp;$A228,INDIRECT(Index!$L$16),"&lt;"&amp;EDATE($A228,3))),"")</f>
        <v/>
      </c>
      <c r="C228" s="33" t="str">
        <f aca="false">IFERROR(B228/B227-1,"")</f>
        <v/>
      </c>
      <c r="D228" s="33" t="str">
        <f aca="false">IFERROR(B228/B224-1,"")</f>
        <v/>
      </c>
      <c r="E228" s="25" t="str">
        <f aca="false">IFERROR(IF(AND(B228="",ISNUMBER($C$209),ISNUMBER($G$209)),$C$209*(1+$G$209)^(($A228-$E$209)/365.25),""),"")</f>
        <v/>
      </c>
      <c r="F228" s="25" t="str">
        <f aca="false">IFERROR(IF(AND(B228="",ISNUMBER($C$209),ISNUMBER($G$209)),$C$209*(1+$G$209*0.85^MAX(0,($A228-$E$209)/91.25))^(($A228-$E$209)/365.25),""),"")</f>
        <v/>
      </c>
      <c r="J228" s="26" t="n">
        <v>2024</v>
      </c>
      <c r="K228" s="25" t="n">
        <f aca="false">IFERROR(SUMIFS($B$212:$B$303,$A$212:$A$303,"&gt;="&amp;DATE(J228,1,1),$A$212:$A$303,"&lt;="&amp;DATE(J228,12,31)),"")</f>
        <v>0</v>
      </c>
      <c r="L228" s="33" t="str">
        <f aca="false">IFERROR(K228/K227-1,"")</f>
        <v/>
      </c>
      <c r="M228" s="25" t="n">
        <f aca="false">IFERROR(SUMIFS($E$212:$E$303,$A$212:$A$303,"&gt;="&amp;DATE(J228,1,1),$A$212:$A$303,"&lt;="&amp;DATE(J228,12,31)),"")</f>
        <v>0</v>
      </c>
    </row>
    <row r="229" customFormat="false" ht="15" hidden="false" customHeight="false" outlineLevel="0" collapsed="false">
      <c r="A229" s="27" t="n">
        <v>41000</v>
      </c>
      <c r="B229" s="28" t="str">
        <f aca="true">IFERROR(IF(SUMIFS(INDIRECT(Index!$M$16),INDIRECT(Index!$L$16),"&gt;="&amp;$A229,INDIRECT(Index!$L$16),"&lt;"&amp;EDATE($A229,3))=0,"",SUMIFS(INDIRECT(Index!$M$16),INDIRECT(Index!$L$16),"&gt;="&amp;$A229,INDIRECT(Index!$L$16),"&lt;"&amp;EDATE($A229,3))),"")</f>
        <v/>
      </c>
      <c r="C229" s="29" t="str">
        <f aca="false">IFERROR(B229/B228-1,"")</f>
        <v/>
      </c>
      <c r="D229" s="29" t="str">
        <f aca="false">IFERROR(B229/B225-1,"")</f>
        <v/>
      </c>
      <c r="E229" s="31" t="str">
        <f aca="false">IFERROR(IF(AND(B229="",ISNUMBER($C$209),ISNUMBER($G$209)),$C$209*(1+$G$209)^(($A229-$E$209)/365.25),""),"")</f>
        <v/>
      </c>
      <c r="F229" s="31" t="str">
        <f aca="false">IFERROR(IF(AND(B229="",ISNUMBER($C$209),ISNUMBER($G$209)),$C$209*(1+$G$209*0.85^MAX(0,($A229-$E$209)/91.25))^(($A229-$E$209)/365.25),""),"")</f>
        <v/>
      </c>
      <c r="J229" s="32" t="n">
        <v>2025</v>
      </c>
      <c r="K229" s="31" t="n">
        <f aca="false">IFERROR(SUMIFS($B$212:$B$303,$A$212:$A$303,"&gt;="&amp;DATE(J229,1,1),$A$212:$A$303,"&lt;="&amp;DATE(J229,12,31)),"")</f>
        <v>0</v>
      </c>
      <c r="L229" s="29" t="str">
        <f aca="false">IFERROR(K229/K228-1,"")</f>
        <v/>
      </c>
      <c r="M229" s="31" t="n">
        <f aca="false">IFERROR(SUMIFS($E$212:$E$303,$A$212:$A$303,"&gt;="&amp;DATE(J229,1,1),$A$212:$A$303,"&lt;="&amp;DATE(J229,12,31)),"")</f>
        <v>0</v>
      </c>
    </row>
    <row r="230" customFormat="false" ht="15" hidden="false" customHeight="false" outlineLevel="0" collapsed="false">
      <c r="A230" s="15" t="n">
        <v>41091</v>
      </c>
      <c r="B230" s="20" t="str">
        <f aca="true">IFERROR(IF(SUMIFS(INDIRECT(Index!$M$16),INDIRECT(Index!$L$16),"&gt;="&amp;$A230,INDIRECT(Index!$L$16),"&lt;"&amp;EDATE($A230,3))=0,"",SUMIFS(INDIRECT(Index!$M$16),INDIRECT(Index!$L$16),"&gt;="&amp;$A230,INDIRECT(Index!$L$16),"&lt;"&amp;EDATE($A230,3))),"")</f>
        <v/>
      </c>
      <c r="C230" s="33" t="str">
        <f aca="false">IFERROR(B230/B229-1,"")</f>
        <v/>
      </c>
      <c r="D230" s="33" t="str">
        <f aca="false">IFERROR(B230/B226-1,"")</f>
        <v/>
      </c>
      <c r="E230" s="25" t="str">
        <f aca="false">IFERROR(IF(AND(B230="",ISNUMBER($C$209),ISNUMBER($G$209)),$C$209*(1+$G$209)^(($A230-$E$209)/365.25),""),"")</f>
        <v/>
      </c>
      <c r="F230" s="25" t="str">
        <f aca="false">IFERROR(IF(AND(B230="",ISNUMBER($C$209),ISNUMBER($G$209)),$C$209*(1+$G$209*0.85^MAX(0,($A230-$E$209)/91.25))^(($A230-$E$209)/365.25),""),"")</f>
        <v/>
      </c>
      <c r="J230" s="26" t="n">
        <v>2026</v>
      </c>
      <c r="K230" s="25" t="n">
        <f aca="false">IFERROR(SUMIFS($B$212:$B$303,$A$212:$A$303,"&gt;="&amp;DATE(J230,1,1),$A$212:$A$303,"&lt;="&amp;DATE(J230,12,31)),"")</f>
        <v>0</v>
      </c>
      <c r="L230" s="33" t="str">
        <f aca="false">IFERROR(K230/K229-1,"")</f>
        <v/>
      </c>
      <c r="M230" s="25" t="n">
        <f aca="false">IFERROR(SUMIFS($E$212:$E$303,$A$212:$A$303,"&gt;="&amp;DATE(J230,1,1),$A$212:$A$303,"&lt;="&amp;DATE(J230,12,31)),"")</f>
        <v>0</v>
      </c>
    </row>
    <row r="231" customFormat="false" ht="15" hidden="false" customHeight="false" outlineLevel="0" collapsed="false">
      <c r="A231" s="27" t="n">
        <v>41183</v>
      </c>
      <c r="B231" s="28" t="str">
        <f aca="true">IFERROR(IF(SUMIFS(INDIRECT(Index!$M$16),INDIRECT(Index!$L$16),"&gt;="&amp;$A231,INDIRECT(Index!$L$16),"&lt;"&amp;EDATE($A231,3))=0,"",SUMIFS(INDIRECT(Index!$M$16),INDIRECT(Index!$L$16),"&gt;="&amp;$A231,INDIRECT(Index!$L$16),"&lt;"&amp;EDATE($A231,3))),"")</f>
        <v/>
      </c>
      <c r="C231" s="29" t="str">
        <f aca="false">IFERROR(B231/B230-1,"")</f>
        <v/>
      </c>
      <c r="D231" s="29" t="str">
        <f aca="false">IFERROR(B231/B227-1,"")</f>
        <v/>
      </c>
      <c r="E231" s="31" t="str">
        <f aca="false">IFERROR(IF(AND(B231="",ISNUMBER($C$209),ISNUMBER($G$209)),$C$209*(1+$G$209)^(($A231-$E$209)/365.25),""),"")</f>
        <v/>
      </c>
      <c r="F231" s="31" t="str">
        <f aca="false">IFERROR(IF(AND(B231="",ISNUMBER($C$209),ISNUMBER($G$209)),$C$209*(1+$G$209*0.85^MAX(0,($A231-$E$209)/91.25))^(($A231-$E$209)/365.25),""),"")</f>
        <v/>
      </c>
      <c r="J231" s="32" t="n">
        <v>2027</v>
      </c>
      <c r="K231" s="31" t="n">
        <f aca="false">IFERROR(SUMIFS($B$212:$B$303,$A$212:$A$303,"&gt;="&amp;DATE(J231,1,1),$A$212:$A$303,"&lt;="&amp;DATE(J231,12,31)),"")</f>
        <v>0</v>
      </c>
      <c r="L231" s="29" t="str">
        <f aca="false">IFERROR(K231/K230-1,"")</f>
        <v/>
      </c>
      <c r="M231" s="31" t="n">
        <f aca="false">IFERROR(SUMIFS($E$212:$E$303,$A$212:$A$303,"&gt;="&amp;DATE(J231,1,1),$A$212:$A$303,"&lt;="&amp;DATE(J231,12,31)),"")</f>
        <v>0</v>
      </c>
    </row>
    <row r="232" customFormat="false" ht="15" hidden="false" customHeight="false" outlineLevel="0" collapsed="false">
      <c r="A232" s="15" t="n">
        <v>41275</v>
      </c>
      <c r="B232" s="20" t="str">
        <f aca="true">IFERROR(IF(SUMIFS(INDIRECT(Index!$M$16),INDIRECT(Index!$L$16),"&gt;="&amp;$A232,INDIRECT(Index!$L$16),"&lt;"&amp;EDATE($A232,3))=0,"",SUMIFS(INDIRECT(Index!$M$16),INDIRECT(Index!$L$16),"&gt;="&amp;$A232,INDIRECT(Index!$L$16),"&lt;"&amp;EDATE($A232,3))),"")</f>
        <v/>
      </c>
      <c r="C232" s="33" t="str">
        <f aca="false">IFERROR(B232/B231-1,"")</f>
        <v/>
      </c>
      <c r="D232" s="33" t="str">
        <f aca="false">IFERROR(B232/B228-1,"")</f>
        <v/>
      </c>
      <c r="E232" s="25" t="str">
        <f aca="false">IFERROR(IF(AND(B232="",ISNUMBER($C$209),ISNUMBER($G$209)),$C$209*(1+$G$209)^(($A232-$E$209)/365.25),""),"")</f>
        <v/>
      </c>
      <c r="F232" s="25" t="str">
        <f aca="false">IFERROR(IF(AND(B232="",ISNUMBER($C$209),ISNUMBER($G$209)),$C$209*(1+$G$209*0.85^MAX(0,($A232-$E$209)/91.25))^(($A232-$E$209)/365.25),""),"")</f>
        <v/>
      </c>
      <c r="J232" s="26" t="n">
        <v>2028</v>
      </c>
      <c r="K232" s="25" t="n">
        <f aca="false">IFERROR(SUMIFS($B$212:$B$303,$A$212:$A$303,"&gt;="&amp;DATE(J232,1,1),$A$212:$A$303,"&lt;="&amp;DATE(J232,12,31)),"")</f>
        <v>0</v>
      </c>
      <c r="L232" s="33" t="str">
        <f aca="false">IFERROR(K232/K231-1,"")</f>
        <v/>
      </c>
      <c r="M232" s="25" t="n">
        <f aca="false">IFERROR(SUMIFS($E$212:$E$303,$A$212:$A$303,"&gt;="&amp;DATE(J232,1,1),$A$212:$A$303,"&lt;="&amp;DATE(J232,12,31)),"")</f>
        <v>0</v>
      </c>
    </row>
    <row r="233" customFormat="false" ht="15" hidden="false" customHeight="false" outlineLevel="0" collapsed="false">
      <c r="A233" s="27" t="n">
        <v>41365</v>
      </c>
      <c r="B233" s="28" t="str">
        <f aca="true">IFERROR(IF(SUMIFS(INDIRECT(Index!$M$16),INDIRECT(Index!$L$16),"&gt;="&amp;$A233,INDIRECT(Index!$L$16),"&lt;"&amp;EDATE($A233,3))=0,"",SUMIFS(INDIRECT(Index!$M$16),INDIRECT(Index!$L$16),"&gt;="&amp;$A233,INDIRECT(Index!$L$16),"&lt;"&amp;EDATE($A233,3))),"")</f>
        <v/>
      </c>
      <c r="C233" s="29" t="str">
        <f aca="false">IFERROR(B233/B232-1,"")</f>
        <v/>
      </c>
      <c r="D233" s="29" t="str">
        <f aca="false">IFERROR(B233/B229-1,"")</f>
        <v/>
      </c>
      <c r="E233" s="31" t="str">
        <f aca="false">IFERROR(IF(AND(B233="",ISNUMBER($C$209),ISNUMBER($G$209)),$C$209*(1+$G$209)^(($A233-$E$209)/365.25),""),"")</f>
        <v/>
      </c>
      <c r="F233" s="31" t="str">
        <f aca="false">IFERROR(IF(AND(B233="",ISNUMBER($C$209),ISNUMBER($G$209)),$C$209*(1+$G$209*0.85^MAX(0,($A233-$E$209)/91.25))^(($A233-$E$209)/365.25),""),"")</f>
        <v/>
      </c>
      <c r="J233" s="32" t="n">
        <v>2029</v>
      </c>
      <c r="K233" s="31" t="n">
        <f aca="false">IFERROR(SUMIFS($B$212:$B$303,$A$212:$A$303,"&gt;="&amp;DATE(J233,1,1),$A$212:$A$303,"&lt;="&amp;DATE(J233,12,31)),"")</f>
        <v>0</v>
      </c>
      <c r="L233" s="29" t="str">
        <f aca="false">IFERROR(K233/K232-1,"")</f>
        <v/>
      </c>
      <c r="M233" s="31" t="n">
        <f aca="false">IFERROR(SUMIFS($E$212:$E$303,$A$212:$A$303,"&gt;="&amp;DATE(J233,1,1),$A$212:$A$303,"&lt;="&amp;DATE(J233,12,31)),"")</f>
        <v>0</v>
      </c>
    </row>
    <row r="234" customFormat="false" ht="15" hidden="false" customHeight="false" outlineLevel="0" collapsed="false">
      <c r="A234" s="15" t="n">
        <v>41456</v>
      </c>
      <c r="B234" s="20" t="str">
        <f aca="true">IFERROR(IF(SUMIFS(INDIRECT(Index!$M$16),INDIRECT(Index!$L$16),"&gt;="&amp;$A234,INDIRECT(Index!$L$16),"&lt;"&amp;EDATE($A234,3))=0,"",SUMIFS(INDIRECT(Index!$M$16),INDIRECT(Index!$L$16),"&gt;="&amp;$A234,INDIRECT(Index!$L$16),"&lt;"&amp;EDATE($A234,3))),"")</f>
        <v/>
      </c>
      <c r="C234" s="33" t="str">
        <f aca="false">IFERROR(B234/B233-1,"")</f>
        <v/>
      </c>
      <c r="D234" s="33" t="str">
        <f aca="false">IFERROR(B234/B230-1,"")</f>
        <v/>
      </c>
      <c r="E234" s="25" t="str">
        <f aca="false">IFERROR(IF(AND(B234="",ISNUMBER($C$209),ISNUMBER($G$209)),$C$209*(1+$G$209)^(($A234-$E$209)/365.25),""),"")</f>
        <v/>
      </c>
      <c r="F234" s="25" t="str">
        <f aca="false">IFERROR(IF(AND(B234="",ISNUMBER($C$209),ISNUMBER($G$209)),$C$209*(1+$G$209*0.85^MAX(0,($A234-$E$209)/91.25))^(($A234-$E$209)/365.25),""),"")</f>
        <v/>
      </c>
      <c r="J234" s="26" t="n">
        <v>2030</v>
      </c>
      <c r="K234" s="25" t="n">
        <f aca="false">IFERROR(SUMIFS($B$212:$B$303,$A$212:$A$303,"&gt;="&amp;DATE(J234,1,1),$A$212:$A$303,"&lt;="&amp;DATE(J234,12,31)),"")</f>
        <v>0</v>
      </c>
      <c r="L234" s="33" t="str">
        <f aca="false">IFERROR(K234/K233-1,"")</f>
        <v/>
      </c>
      <c r="M234" s="25" t="n">
        <f aca="false">IFERROR(SUMIFS($E$212:$E$303,$A$212:$A$303,"&gt;="&amp;DATE(J234,1,1),$A$212:$A$303,"&lt;="&amp;DATE(J234,12,31)),"")</f>
        <v>0</v>
      </c>
    </row>
    <row r="235" customFormat="false" ht="15" hidden="false" customHeight="false" outlineLevel="0" collapsed="false">
      <c r="A235" s="27" t="n">
        <v>41548</v>
      </c>
      <c r="B235" s="28" t="str">
        <f aca="true">IFERROR(IF(SUMIFS(INDIRECT(Index!$M$16),INDIRECT(Index!$L$16),"&gt;="&amp;$A235,INDIRECT(Index!$L$16),"&lt;"&amp;EDATE($A235,3))=0,"",SUMIFS(INDIRECT(Index!$M$16),INDIRECT(Index!$L$16),"&gt;="&amp;$A235,INDIRECT(Index!$L$16),"&lt;"&amp;EDATE($A235,3))),"")</f>
        <v/>
      </c>
      <c r="C235" s="29" t="str">
        <f aca="false">IFERROR(B235/B234-1,"")</f>
        <v/>
      </c>
      <c r="D235" s="29" t="str">
        <f aca="false">IFERROR(B235/B231-1,"")</f>
        <v/>
      </c>
      <c r="E235" s="31" t="str">
        <f aca="false">IFERROR(IF(AND(B235="",ISNUMBER($C$209),ISNUMBER($G$209)),$C$209*(1+$G$209)^(($A235-$E$209)/365.25),""),"")</f>
        <v/>
      </c>
      <c r="F235" s="31" t="str">
        <f aca="false">IFERROR(IF(AND(B235="",ISNUMBER($C$209),ISNUMBER($G$209)),$C$209*(1+$G$209*0.85^MAX(0,($A235-$E$209)/91.25))^(($A235-$E$209)/365.25),""),"")</f>
        <v/>
      </c>
    </row>
    <row r="236" customFormat="false" ht="15" hidden="false" customHeight="false" outlineLevel="0" collapsed="false">
      <c r="A236" s="15" t="n">
        <v>41640</v>
      </c>
      <c r="B236" s="20" t="str">
        <f aca="true">IFERROR(IF(SUMIFS(INDIRECT(Index!$M$16),INDIRECT(Index!$L$16),"&gt;="&amp;$A236,INDIRECT(Index!$L$16),"&lt;"&amp;EDATE($A236,3))=0,"",SUMIFS(INDIRECT(Index!$M$16),INDIRECT(Index!$L$16),"&gt;="&amp;$A236,INDIRECT(Index!$L$16),"&lt;"&amp;EDATE($A236,3))),"")</f>
        <v/>
      </c>
      <c r="C236" s="33" t="str">
        <f aca="false">IFERROR(B236/B235-1,"")</f>
        <v/>
      </c>
      <c r="D236" s="33" t="str">
        <f aca="false">IFERROR(B236/B232-1,"")</f>
        <v/>
      </c>
      <c r="E236" s="25" t="str">
        <f aca="false">IFERROR(IF(AND(B236="",ISNUMBER($C$209),ISNUMBER($G$209)),$C$209*(1+$G$209)^(($A236-$E$209)/365.25),""),"")</f>
        <v/>
      </c>
      <c r="F236" s="25" t="str">
        <f aca="false">IFERROR(IF(AND(B236="",ISNUMBER($C$209),ISNUMBER($G$209)),$C$209*(1+$G$209*0.85^MAX(0,($A236-$E$209)/91.25))^(($A236-$E$209)/365.25),""),"")</f>
        <v/>
      </c>
    </row>
    <row r="237" customFormat="false" ht="15" hidden="false" customHeight="false" outlineLevel="0" collapsed="false">
      <c r="A237" s="27" t="n">
        <v>41730</v>
      </c>
      <c r="B237" s="28" t="str">
        <f aca="true">IFERROR(IF(SUMIFS(INDIRECT(Index!$M$16),INDIRECT(Index!$L$16),"&gt;="&amp;$A237,INDIRECT(Index!$L$16),"&lt;"&amp;EDATE($A237,3))=0,"",SUMIFS(INDIRECT(Index!$M$16),INDIRECT(Index!$L$16),"&gt;="&amp;$A237,INDIRECT(Index!$L$16),"&lt;"&amp;EDATE($A237,3))),"")</f>
        <v/>
      </c>
      <c r="C237" s="29" t="str">
        <f aca="false">IFERROR(B237/B236-1,"")</f>
        <v/>
      </c>
      <c r="D237" s="29" t="str">
        <f aca="false">IFERROR(B237/B233-1,"")</f>
        <v/>
      </c>
      <c r="E237" s="31" t="str">
        <f aca="false">IFERROR(IF(AND(B237="",ISNUMBER($C$209),ISNUMBER($G$209)),$C$209*(1+$G$209)^(($A237-$E$209)/365.25),""),"")</f>
        <v/>
      </c>
      <c r="F237" s="31" t="str">
        <f aca="false">IFERROR(IF(AND(B237="",ISNUMBER($C$209),ISNUMBER($G$209)),$C$209*(1+$G$209*0.85^MAX(0,($A237-$E$209)/91.25))^(($A237-$E$209)/365.25),""),"")</f>
        <v/>
      </c>
    </row>
    <row r="238" customFormat="false" ht="15" hidden="false" customHeight="false" outlineLevel="0" collapsed="false">
      <c r="A238" s="15" t="n">
        <v>41821</v>
      </c>
      <c r="B238" s="20" t="str">
        <f aca="true">IFERROR(IF(SUMIFS(INDIRECT(Index!$M$16),INDIRECT(Index!$L$16),"&gt;="&amp;$A238,INDIRECT(Index!$L$16),"&lt;"&amp;EDATE($A238,3))=0,"",SUMIFS(INDIRECT(Index!$M$16),INDIRECT(Index!$L$16),"&gt;="&amp;$A238,INDIRECT(Index!$L$16),"&lt;"&amp;EDATE($A238,3))),"")</f>
        <v/>
      </c>
      <c r="C238" s="33" t="str">
        <f aca="false">IFERROR(B238/B237-1,"")</f>
        <v/>
      </c>
      <c r="D238" s="33" t="str">
        <f aca="false">IFERROR(B238/B234-1,"")</f>
        <v/>
      </c>
      <c r="E238" s="25" t="str">
        <f aca="false">IFERROR(IF(AND(B238="",ISNUMBER($C$209),ISNUMBER($G$209)),$C$209*(1+$G$209)^(($A238-$E$209)/365.25),""),"")</f>
        <v/>
      </c>
      <c r="F238" s="25" t="str">
        <f aca="false">IFERROR(IF(AND(B238="",ISNUMBER($C$209),ISNUMBER($G$209)),$C$209*(1+$G$209*0.85^MAX(0,($A238-$E$209)/91.25))^(($A238-$E$209)/365.25),""),"")</f>
        <v/>
      </c>
    </row>
    <row r="239" customFormat="false" ht="15" hidden="false" customHeight="false" outlineLevel="0" collapsed="false">
      <c r="A239" s="27" t="n">
        <v>41913</v>
      </c>
      <c r="B239" s="28" t="str">
        <f aca="true">IFERROR(IF(SUMIFS(INDIRECT(Index!$M$16),INDIRECT(Index!$L$16),"&gt;="&amp;$A239,INDIRECT(Index!$L$16),"&lt;"&amp;EDATE($A239,3))=0,"",SUMIFS(INDIRECT(Index!$M$16),INDIRECT(Index!$L$16),"&gt;="&amp;$A239,INDIRECT(Index!$L$16),"&lt;"&amp;EDATE($A239,3))),"")</f>
        <v/>
      </c>
      <c r="C239" s="29" t="str">
        <f aca="false">IFERROR(B239/B238-1,"")</f>
        <v/>
      </c>
      <c r="D239" s="29" t="str">
        <f aca="false">IFERROR(B239/B235-1,"")</f>
        <v/>
      </c>
      <c r="E239" s="31" t="str">
        <f aca="false">IFERROR(IF(AND(B239="",ISNUMBER($C$209),ISNUMBER($G$209)),$C$209*(1+$G$209)^(($A239-$E$209)/365.25),""),"")</f>
        <v/>
      </c>
      <c r="F239" s="31" t="str">
        <f aca="false">IFERROR(IF(AND(B239="",ISNUMBER($C$209),ISNUMBER($G$209)),$C$209*(1+$G$209*0.85^MAX(0,($A239-$E$209)/91.25))^(($A239-$E$209)/365.25),""),"")</f>
        <v/>
      </c>
    </row>
    <row r="240" customFormat="false" ht="15" hidden="false" customHeight="false" outlineLevel="0" collapsed="false">
      <c r="A240" s="15" t="n">
        <v>42005</v>
      </c>
      <c r="B240" s="20" t="str">
        <f aca="true">IFERROR(IF(SUMIFS(INDIRECT(Index!$M$16),INDIRECT(Index!$L$16),"&gt;="&amp;$A240,INDIRECT(Index!$L$16),"&lt;"&amp;EDATE($A240,3))=0,"",SUMIFS(INDIRECT(Index!$M$16),INDIRECT(Index!$L$16),"&gt;="&amp;$A240,INDIRECT(Index!$L$16),"&lt;"&amp;EDATE($A240,3))),"")</f>
        <v/>
      </c>
      <c r="C240" s="33" t="str">
        <f aca="false">IFERROR(B240/B239-1,"")</f>
        <v/>
      </c>
      <c r="D240" s="33" t="str">
        <f aca="false">IFERROR(B240/B236-1,"")</f>
        <v/>
      </c>
      <c r="E240" s="25" t="str">
        <f aca="false">IFERROR(IF(AND(B240="",ISNUMBER($C$209),ISNUMBER($G$209)),$C$209*(1+$G$209)^(($A240-$E$209)/365.25),""),"")</f>
        <v/>
      </c>
      <c r="F240" s="25" t="str">
        <f aca="false">IFERROR(IF(AND(B240="",ISNUMBER($C$209),ISNUMBER($G$209)),$C$209*(1+$G$209*0.85^MAX(0,($A240-$E$209)/91.25))^(($A240-$E$209)/365.25),""),"")</f>
        <v/>
      </c>
    </row>
    <row r="241" customFormat="false" ht="15" hidden="false" customHeight="false" outlineLevel="0" collapsed="false">
      <c r="A241" s="27" t="n">
        <v>42095</v>
      </c>
      <c r="B241" s="28" t="str">
        <f aca="true">IFERROR(IF(SUMIFS(INDIRECT(Index!$M$16),INDIRECT(Index!$L$16),"&gt;="&amp;$A241,INDIRECT(Index!$L$16),"&lt;"&amp;EDATE($A241,3))=0,"",SUMIFS(INDIRECT(Index!$M$16),INDIRECT(Index!$L$16),"&gt;="&amp;$A241,INDIRECT(Index!$L$16),"&lt;"&amp;EDATE($A241,3))),"")</f>
        <v/>
      </c>
      <c r="C241" s="29" t="str">
        <f aca="false">IFERROR(B241/B240-1,"")</f>
        <v/>
      </c>
      <c r="D241" s="29" t="str">
        <f aca="false">IFERROR(B241/B237-1,"")</f>
        <v/>
      </c>
      <c r="E241" s="31" t="str">
        <f aca="false">IFERROR(IF(AND(B241="",ISNUMBER($C$209),ISNUMBER($G$209)),$C$209*(1+$G$209)^(($A241-$E$209)/365.25),""),"")</f>
        <v/>
      </c>
      <c r="F241" s="31" t="str">
        <f aca="false">IFERROR(IF(AND(B241="",ISNUMBER($C$209),ISNUMBER($G$209)),$C$209*(1+$G$209*0.85^MAX(0,($A241-$E$209)/91.25))^(($A241-$E$209)/365.25),""),"")</f>
        <v/>
      </c>
    </row>
    <row r="242" customFormat="false" ht="15" hidden="false" customHeight="false" outlineLevel="0" collapsed="false">
      <c r="A242" s="15" t="n">
        <v>42186</v>
      </c>
      <c r="B242" s="20" t="str">
        <f aca="true">IFERROR(IF(SUMIFS(INDIRECT(Index!$M$16),INDIRECT(Index!$L$16),"&gt;="&amp;$A242,INDIRECT(Index!$L$16),"&lt;"&amp;EDATE($A242,3))=0,"",SUMIFS(INDIRECT(Index!$M$16),INDIRECT(Index!$L$16),"&gt;="&amp;$A242,INDIRECT(Index!$L$16),"&lt;"&amp;EDATE($A242,3))),"")</f>
        <v/>
      </c>
      <c r="C242" s="33" t="str">
        <f aca="false">IFERROR(B242/B241-1,"")</f>
        <v/>
      </c>
      <c r="D242" s="33" t="str">
        <f aca="false">IFERROR(B242/B238-1,"")</f>
        <v/>
      </c>
      <c r="E242" s="25" t="str">
        <f aca="false">IFERROR(IF(AND(B242="",ISNUMBER($C$209),ISNUMBER($G$209)),$C$209*(1+$G$209)^(($A242-$E$209)/365.25),""),"")</f>
        <v/>
      </c>
      <c r="F242" s="25" t="str">
        <f aca="false">IFERROR(IF(AND(B242="",ISNUMBER($C$209),ISNUMBER($G$209)),$C$209*(1+$G$209*0.85^MAX(0,($A242-$E$209)/91.25))^(($A242-$E$209)/365.25),""),"")</f>
        <v/>
      </c>
    </row>
    <row r="243" customFormat="false" ht="15" hidden="false" customHeight="false" outlineLevel="0" collapsed="false">
      <c r="A243" s="27" t="n">
        <v>42278</v>
      </c>
      <c r="B243" s="28" t="str">
        <f aca="true">IFERROR(IF(SUMIFS(INDIRECT(Index!$M$16),INDIRECT(Index!$L$16),"&gt;="&amp;$A243,INDIRECT(Index!$L$16),"&lt;"&amp;EDATE($A243,3))=0,"",SUMIFS(INDIRECT(Index!$M$16),INDIRECT(Index!$L$16),"&gt;="&amp;$A243,INDIRECT(Index!$L$16),"&lt;"&amp;EDATE($A243,3))),"")</f>
        <v/>
      </c>
      <c r="C243" s="29" t="str">
        <f aca="false">IFERROR(B243/B242-1,"")</f>
        <v/>
      </c>
      <c r="D243" s="29" t="str">
        <f aca="false">IFERROR(B243/B239-1,"")</f>
        <v/>
      </c>
      <c r="E243" s="31" t="str">
        <f aca="false">IFERROR(IF(AND(B243="",ISNUMBER($C$209),ISNUMBER($G$209)),$C$209*(1+$G$209)^(($A243-$E$209)/365.25),""),"")</f>
        <v/>
      </c>
      <c r="F243" s="31" t="str">
        <f aca="false">IFERROR(IF(AND(B243="",ISNUMBER($C$209),ISNUMBER($G$209)),$C$209*(1+$G$209*0.85^MAX(0,($A243-$E$209)/91.25))^(($A243-$E$209)/365.25),""),"")</f>
        <v/>
      </c>
    </row>
    <row r="244" customFormat="false" ht="15" hidden="false" customHeight="false" outlineLevel="0" collapsed="false">
      <c r="A244" s="15" t="n">
        <v>42370</v>
      </c>
      <c r="B244" s="20" t="str">
        <f aca="true">IFERROR(IF(SUMIFS(INDIRECT(Index!$M$16),INDIRECT(Index!$L$16),"&gt;="&amp;$A244,INDIRECT(Index!$L$16),"&lt;"&amp;EDATE($A244,3))=0,"",SUMIFS(INDIRECT(Index!$M$16),INDIRECT(Index!$L$16),"&gt;="&amp;$A244,INDIRECT(Index!$L$16),"&lt;"&amp;EDATE($A244,3))),"")</f>
        <v/>
      </c>
      <c r="C244" s="33" t="str">
        <f aca="false">IFERROR(B244/B243-1,"")</f>
        <v/>
      </c>
      <c r="D244" s="33" t="str">
        <f aca="false">IFERROR(B244/B240-1,"")</f>
        <v/>
      </c>
      <c r="E244" s="25" t="str">
        <f aca="false">IFERROR(IF(AND(B244="",ISNUMBER($C$209),ISNUMBER($G$209)),$C$209*(1+$G$209)^(($A244-$E$209)/365.25),""),"")</f>
        <v/>
      </c>
      <c r="F244" s="25" t="str">
        <f aca="false">IFERROR(IF(AND(B244="",ISNUMBER($C$209),ISNUMBER($G$209)),$C$209*(1+$G$209*0.85^MAX(0,($A244-$E$209)/91.25))^(($A244-$E$209)/365.25),""),"")</f>
        <v/>
      </c>
    </row>
    <row r="245" customFormat="false" ht="15" hidden="false" customHeight="false" outlineLevel="0" collapsed="false">
      <c r="A245" s="27" t="n">
        <v>42461</v>
      </c>
      <c r="B245" s="28" t="str">
        <f aca="true">IFERROR(IF(SUMIFS(INDIRECT(Index!$M$16),INDIRECT(Index!$L$16),"&gt;="&amp;$A245,INDIRECT(Index!$L$16),"&lt;"&amp;EDATE($A245,3))=0,"",SUMIFS(INDIRECT(Index!$M$16),INDIRECT(Index!$L$16),"&gt;="&amp;$A245,INDIRECT(Index!$L$16),"&lt;"&amp;EDATE($A245,3))),"")</f>
        <v/>
      </c>
      <c r="C245" s="29" t="str">
        <f aca="false">IFERROR(B245/B244-1,"")</f>
        <v/>
      </c>
      <c r="D245" s="29" t="str">
        <f aca="false">IFERROR(B245/B241-1,"")</f>
        <v/>
      </c>
      <c r="E245" s="31" t="str">
        <f aca="false">IFERROR(IF(AND(B245="",ISNUMBER($C$209),ISNUMBER($G$209)),$C$209*(1+$G$209)^(($A245-$E$209)/365.25),""),"")</f>
        <v/>
      </c>
      <c r="F245" s="31" t="str">
        <f aca="false">IFERROR(IF(AND(B245="",ISNUMBER($C$209),ISNUMBER($G$209)),$C$209*(1+$G$209*0.85^MAX(0,($A245-$E$209)/91.25))^(($A245-$E$209)/365.25),""),"")</f>
        <v/>
      </c>
    </row>
    <row r="246" customFormat="false" ht="15" hidden="false" customHeight="false" outlineLevel="0" collapsed="false">
      <c r="A246" s="15" t="n">
        <v>42552</v>
      </c>
      <c r="B246" s="20" t="str">
        <f aca="true">IFERROR(IF(SUMIFS(INDIRECT(Index!$M$16),INDIRECT(Index!$L$16),"&gt;="&amp;$A246,INDIRECT(Index!$L$16),"&lt;"&amp;EDATE($A246,3))=0,"",SUMIFS(INDIRECT(Index!$M$16),INDIRECT(Index!$L$16),"&gt;="&amp;$A246,INDIRECT(Index!$L$16),"&lt;"&amp;EDATE($A246,3))),"")</f>
        <v/>
      </c>
      <c r="C246" s="33" t="str">
        <f aca="false">IFERROR(B246/B245-1,"")</f>
        <v/>
      </c>
      <c r="D246" s="33" t="str">
        <f aca="false">IFERROR(B246/B242-1,"")</f>
        <v/>
      </c>
      <c r="E246" s="25" t="str">
        <f aca="false">IFERROR(IF(AND(B246="",ISNUMBER($C$209),ISNUMBER($G$209)),$C$209*(1+$G$209)^(($A246-$E$209)/365.25),""),"")</f>
        <v/>
      </c>
      <c r="F246" s="25" t="str">
        <f aca="false">IFERROR(IF(AND(B246="",ISNUMBER($C$209),ISNUMBER($G$209)),$C$209*(1+$G$209*0.85^MAX(0,($A246-$E$209)/91.25))^(($A246-$E$209)/365.25),""),"")</f>
        <v/>
      </c>
    </row>
    <row r="247" customFormat="false" ht="15" hidden="false" customHeight="false" outlineLevel="0" collapsed="false">
      <c r="A247" s="27" t="n">
        <v>42644</v>
      </c>
      <c r="B247" s="28" t="str">
        <f aca="true">IFERROR(IF(SUMIFS(INDIRECT(Index!$M$16),INDIRECT(Index!$L$16),"&gt;="&amp;$A247,INDIRECT(Index!$L$16),"&lt;"&amp;EDATE($A247,3))=0,"",SUMIFS(INDIRECT(Index!$M$16),INDIRECT(Index!$L$16),"&gt;="&amp;$A247,INDIRECT(Index!$L$16),"&lt;"&amp;EDATE($A247,3))),"")</f>
        <v/>
      </c>
      <c r="C247" s="29" t="str">
        <f aca="false">IFERROR(B247/B246-1,"")</f>
        <v/>
      </c>
      <c r="D247" s="29" t="str">
        <f aca="false">IFERROR(B247/B243-1,"")</f>
        <v/>
      </c>
      <c r="E247" s="31" t="str">
        <f aca="false">IFERROR(IF(AND(B247="",ISNUMBER($C$209),ISNUMBER($G$209)),$C$209*(1+$G$209)^(($A247-$E$209)/365.25),""),"")</f>
        <v/>
      </c>
      <c r="F247" s="31" t="str">
        <f aca="false">IFERROR(IF(AND(B247="",ISNUMBER($C$209),ISNUMBER($G$209)),$C$209*(1+$G$209*0.85^MAX(0,($A247-$E$209)/91.25))^(($A247-$E$209)/365.25),""),"")</f>
        <v/>
      </c>
    </row>
    <row r="248" customFormat="false" ht="15" hidden="false" customHeight="false" outlineLevel="0" collapsed="false">
      <c r="A248" s="15" t="n">
        <v>42736</v>
      </c>
      <c r="B248" s="20" t="str">
        <f aca="true">IFERROR(IF(SUMIFS(INDIRECT(Index!$M$16),INDIRECT(Index!$L$16),"&gt;="&amp;$A248,INDIRECT(Index!$L$16),"&lt;"&amp;EDATE($A248,3))=0,"",SUMIFS(INDIRECT(Index!$M$16),INDIRECT(Index!$L$16),"&gt;="&amp;$A248,INDIRECT(Index!$L$16),"&lt;"&amp;EDATE($A248,3))),"")</f>
        <v/>
      </c>
      <c r="C248" s="33" t="str">
        <f aca="false">IFERROR(B248/B247-1,"")</f>
        <v/>
      </c>
      <c r="D248" s="33" t="str">
        <f aca="false">IFERROR(B248/B244-1,"")</f>
        <v/>
      </c>
      <c r="E248" s="25" t="str">
        <f aca="false">IFERROR(IF(AND(B248="",ISNUMBER($C$209),ISNUMBER($G$209)),$C$209*(1+$G$209)^(($A248-$E$209)/365.25),""),"")</f>
        <v/>
      </c>
      <c r="F248" s="25" t="str">
        <f aca="false">IFERROR(IF(AND(B248="",ISNUMBER($C$209),ISNUMBER($G$209)),$C$209*(1+$G$209*0.85^MAX(0,($A248-$E$209)/91.25))^(($A248-$E$209)/365.25),""),"")</f>
        <v/>
      </c>
    </row>
    <row r="249" customFormat="false" ht="15" hidden="false" customHeight="false" outlineLevel="0" collapsed="false">
      <c r="A249" s="27" t="n">
        <v>42826</v>
      </c>
      <c r="B249" s="28" t="str">
        <f aca="true">IFERROR(IF(SUMIFS(INDIRECT(Index!$M$16),INDIRECT(Index!$L$16),"&gt;="&amp;$A249,INDIRECT(Index!$L$16),"&lt;"&amp;EDATE($A249,3))=0,"",SUMIFS(INDIRECT(Index!$M$16),INDIRECT(Index!$L$16),"&gt;="&amp;$A249,INDIRECT(Index!$L$16),"&lt;"&amp;EDATE($A249,3))),"")</f>
        <v/>
      </c>
      <c r="C249" s="29" t="str">
        <f aca="false">IFERROR(B249/B248-1,"")</f>
        <v/>
      </c>
      <c r="D249" s="29" t="str">
        <f aca="false">IFERROR(B249/B245-1,"")</f>
        <v/>
      </c>
      <c r="E249" s="31" t="str">
        <f aca="false">IFERROR(IF(AND(B249="",ISNUMBER($C$209),ISNUMBER($G$209)),$C$209*(1+$G$209)^(($A249-$E$209)/365.25),""),"")</f>
        <v/>
      </c>
      <c r="F249" s="31" t="str">
        <f aca="false">IFERROR(IF(AND(B249="",ISNUMBER($C$209),ISNUMBER($G$209)),$C$209*(1+$G$209*0.85^MAX(0,($A249-$E$209)/91.25))^(($A249-$E$209)/365.25),""),"")</f>
        <v/>
      </c>
    </row>
    <row r="250" customFormat="false" ht="15" hidden="false" customHeight="false" outlineLevel="0" collapsed="false">
      <c r="A250" s="15" t="n">
        <v>42917</v>
      </c>
      <c r="B250" s="20" t="str">
        <f aca="true">IFERROR(IF(SUMIFS(INDIRECT(Index!$M$16),INDIRECT(Index!$L$16),"&gt;="&amp;$A250,INDIRECT(Index!$L$16),"&lt;"&amp;EDATE($A250,3))=0,"",SUMIFS(INDIRECT(Index!$M$16),INDIRECT(Index!$L$16),"&gt;="&amp;$A250,INDIRECT(Index!$L$16),"&lt;"&amp;EDATE($A250,3))),"")</f>
        <v/>
      </c>
      <c r="C250" s="33" t="str">
        <f aca="false">IFERROR(B250/B249-1,"")</f>
        <v/>
      </c>
      <c r="D250" s="33" t="str">
        <f aca="false">IFERROR(B250/B246-1,"")</f>
        <v/>
      </c>
      <c r="E250" s="25" t="str">
        <f aca="false">IFERROR(IF(AND(B250="",ISNUMBER($C$209),ISNUMBER($G$209)),$C$209*(1+$G$209)^(($A250-$E$209)/365.25),""),"")</f>
        <v/>
      </c>
      <c r="F250" s="25" t="str">
        <f aca="false">IFERROR(IF(AND(B250="",ISNUMBER($C$209),ISNUMBER($G$209)),$C$209*(1+$G$209*0.85^MAX(0,($A250-$E$209)/91.25))^(($A250-$E$209)/365.25),""),"")</f>
        <v/>
      </c>
    </row>
    <row r="251" customFormat="false" ht="15" hidden="false" customHeight="false" outlineLevel="0" collapsed="false">
      <c r="A251" s="27" t="n">
        <v>43009</v>
      </c>
      <c r="B251" s="28" t="str">
        <f aca="true">IFERROR(IF(SUMIFS(INDIRECT(Index!$M$16),INDIRECT(Index!$L$16),"&gt;="&amp;$A251,INDIRECT(Index!$L$16),"&lt;"&amp;EDATE($A251,3))=0,"",SUMIFS(INDIRECT(Index!$M$16),INDIRECT(Index!$L$16),"&gt;="&amp;$A251,INDIRECT(Index!$L$16),"&lt;"&amp;EDATE($A251,3))),"")</f>
        <v/>
      </c>
      <c r="C251" s="29" t="str">
        <f aca="false">IFERROR(B251/B250-1,"")</f>
        <v/>
      </c>
      <c r="D251" s="29" t="str">
        <f aca="false">IFERROR(B251/B247-1,"")</f>
        <v/>
      </c>
      <c r="E251" s="31" t="str">
        <f aca="false">IFERROR(IF(AND(B251="",ISNUMBER($C$209),ISNUMBER($G$209)),$C$209*(1+$G$209)^(($A251-$E$209)/365.25),""),"")</f>
        <v/>
      </c>
      <c r="F251" s="31" t="str">
        <f aca="false">IFERROR(IF(AND(B251="",ISNUMBER($C$209),ISNUMBER($G$209)),$C$209*(1+$G$209*0.85^MAX(0,($A251-$E$209)/91.25))^(($A251-$E$209)/365.25),""),"")</f>
        <v/>
      </c>
    </row>
    <row r="252" customFormat="false" ht="15" hidden="false" customHeight="false" outlineLevel="0" collapsed="false">
      <c r="A252" s="15" t="n">
        <v>43101</v>
      </c>
      <c r="B252" s="20" t="str">
        <f aca="true">IFERROR(IF(SUMIFS(INDIRECT(Index!$M$16),INDIRECT(Index!$L$16),"&gt;="&amp;$A252,INDIRECT(Index!$L$16),"&lt;"&amp;EDATE($A252,3))=0,"",SUMIFS(INDIRECT(Index!$M$16),INDIRECT(Index!$L$16),"&gt;="&amp;$A252,INDIRECT(Index!$L$16),"&lt;"&amp;EDATE($A252,3))),"")</f>
        <v/>
      </c>
      <c r="C252" s="33" t="str">
        <f aca="false">IFERROR(B252/B251-1,"")</f>
        <v/>
      </c>
      <c r="D252" s="33" t="str">
        <f aca="false">IFERROR(B252/B248-1,"")</f>
        <v/>
      </c>
      <c r="E252" s="25" t="str">
        <f aca="false">IFERROR(IF(AND(B252="",ISNUMBER($C$209),ISNUMBER($G$209)),$C$209*(1+$G$209)^(($A252-$E$209)/365.25),""),"")</f>
        <v/>
      </c>
      <c r="F252" s="25" t="str">
        <f aca="false">IFERROR(IF(AND(B252="",ISNUMBER($C$209),ISNUMBER($G$209)),$C$209*(1+$G$209*0.85^MAX(0,($A252-$E$209)/91.25))^(($A252-$E$209)/365.25),""),"")</f>
        <v/>
      </c>
    </row>
    <row r="253" customFormat="false" ht="15" hidden="false" customHeight="false" outlineLevel="0" collapsed="false">
      <c r="A253" s="27" t="n">
        <v>43191</v>
      </c>
      <c r="B253" s="28" t="str">
        <f aca="true">IFERROR(IF(SUMIFS(INDIRECT(Index!$M$16),INDIRECT(Index!$L$16),"&gt;="&amp;$A253,INDIRECT(Index!$L$16),"&lt;"&amp;EDATE($A253,3))=0,"",SUMIFS(INDIRECT(Index!$M$16),INDIRECT(Index!$L$16),"&gt;="&amp;$A253,INDIRECT(Index!$L$16),"&lt;"&amp;EDATE($A253,3))),"")</f>
        <v/>
      </c>
      <c r="C253" s="29" t="str">
        <f aca="false">IFERROR(B253/B252-1,"")</f>
        <v/>
      </c>
      <c r="D253" s="29" t="str">
        <f aca="false">IFERROR(B253/B249-1,"")</f>
        <v/>
      </c>
      <c r="E253" s="31" t="str">
        <f aca="false">IFERROR(IF(AND(B253="",ISNUMBER($C$209),ISNUMBER($G$209)),$C$209*(1+$G$209)^(($A253-$E$209)/365.25),""),"")</f>
        <v/>
      </c>
      <c r="F253" s="31" t="str">
        <f aca="false">IFERROR(IF(AND(B253="",ISNUMBER($C$209),ISNUMBER($G$209)),$C$209*(1+$G$209*0.85^MAX(0,($A253-$E$209)/91.25))^(($A253-$E$209)/365.25),""),"")</f>
        <v/>
      </c>
    </row>
    <row r="254" customFormat="false" ht="15" hidden="false" customHeight="false" outlineLevel="0" collapsed="false">
      <c r="A254" s="15" t="n">
        <v>43282</v>
      </c>
      <c r="B254" s="20" t="str">
        <f aca="true">IFERROR(IF(SUMIFS(INDIRECT(Index!$M$16),INDIRECT(Index!$L$16),"&gt;="&amp;$A254,INDIRECT(Index!$L$16),"&lt;"&amp;EDATE($A254,3))=0,"",SUMIFS(INDIRECT(Index!$M$16),INDIRECT(Index!$L$16),"&gt;="&amp;$A254,INDIRECT(Index!$L$16),"&lt;"&amp;EDATE($A254,3))),"")</f>
        <v/>
      </c>
      <c r="C254" s="33" t="str">
        <f aca="false">IFERROR(B254/B253-1,"")</f>
        <v/>
      </c>
      <c r="D254" s="33" t="str">
        <f aca="false">IFERROR(B254/B250-1,"")</f>
        <v/>
      </c>
      <c r="E254" s="25" t="str">
        <f aca="false">IFERROR(IF(AND(B254="",ISNUMBER($C$209),ISNUMBER($G$209)),$C$209*(1+$G$209)^(($A254-$E$209)/365.25),""),"")</f>
        <v/>
      </c>
      <c r="F254" s="25" t="str">
        <f aca="false">IFERROR(IF(AND(B254="",ISNUMBER($C$209),ISNUMBER($G$209)),$C$209*(1+$G$209*0.85^MAX(0,($A254-$E$209)/91.25))^(($A254-$E$209)/365.25),""),"")</f>
        <v/>
      </c>
    </row>
    <row r="255" customFormat="false" ht="15" hidden="false" customHeight="false" outlineLevel="0" collapsed="false">
      <c r="A255" s="27" t="n">
        <v>43374</v>
      </c>
      <c r="B255" s="28" t="str">
        <f aca="true">IFERROR(IF(SUMIFS(INDIRECT(Index!$M$16),INDIRECT(Index!$L$16),"&gt;="&amp;$A255,INDIRECT(Index!$L$16),"&lt;"&amp;EDATE($A255,3))=0,"",SUMIFS(INDIRECT(Index!$M$16),INDIRECT(Index!$L$16),"&gt;="&amp;$A255,INDIRECT(Index!$L$16),"&lt;"&amp;EDATE($A255,3))),"")</f>
        <v/>
      </c>
      <c r="C255" s="29" t="str">
        <f aca="false">IFERROR(B255/B254-1,"")</f>
        <v/>
      </c>
      <c r="D255" s="29" t="str">
        <f aca="false">IFERROR(B255/B251-1,"")</f>
        <v/>
      </c>
      <c r="E255" s="31" t="str">
        <f aca="false">IFERROR(IF(AND(B255="",ISNUMBER($C$209),ISNUMBER($G$209)),$C$209*(1+$G$209)^(($A255-$E$209)/365.25),""),"")</f>
        <v/>
      </c>
      <c r="F255" s="31" t="str">
        <f aca="false">IFERROR(IF(AND(B255="",ISNUMBER($C$209),ISNUMBER($G$209)),$C$209*(1+$G$209*0.85^MAX(0,($A255-$E$209)/91.25))^(($A255-$E$209)/365.25),""),"")</f>
        <v/>
      </c>
    </row>
    <row r="256" customFormat="false" ht="15" hidden="false" customHeight="false" outlineLevel="0" collapsed="false">
      <c r="A256" s="15" t="n">
        <v>43466</v>
      </c>
      <c r="B256" s="20" t="str">
        <f aca="true">IFERROR(IF(SUMIFS(INDIRECT(Index!$M$16),INDIRECT(Index!$L$16),"&gt;="&amp;$A256,INDIRECT(Index!$L$16),"&lt;"&amp;EDATE($A256,3))=0,"",SUMIFS(INDIRECT(Index!$M$16),INDIRECT(Index!$L$16),"&gt;="&amp;$A256,INDIRECT(Index!$L$16),"&lt;"&amp;EDATE($A256,3))),"")</f>
        <v/>
      </c>
      <c r="C256" s="33" t="str">
        <f aca="false">IFERROR(B256/B255-1,"")</f>
        <v/>
      </c>
      <c r="D256" s="33" t="str">
        <f aca="false">IFERROR(B256/B252-1,"")</f>
        <v/>
      </c>
      <c r="E256" s="25" t="str">
        <f aca="false">IFERROR(IF(AND(B256="",ISNUMBER($C$209),ISNUMBER($G$209)),$C$209*(1+$G$209)^(($A256-$E$209)/365.25),""),"")</f>
        <v/>
      </c>
      <c r="F256" s="25" t="str">
        <f aca="false">IFERROR(IF(AND(B256="",ISNUMBER($C$209),ISNUMBER($G$209)),$C$209*(1+$G$209*0.85^MAX(0,($A256-$E$209)/91.25))^(($A256-$E$209)/365.25),""),"")</f>
        <v/>
      </c>
    </row>
    <row r="257" customFormat="false" ht="15" hidden="false" customHeight="false" outlineLevel="0" collapsed="false">
      <c r="A257" s="27" t="n">
        <v>43556</v>
      </c>
      <c r="B257" s="28" t="str">
        <f aca="true">IFERROR(IF(SUMIFS(INDIRECT(Index!$M$16),INDIRECT(Index!$L$16),"&gt;="&amp;$A257,INDIRECT(Index!$L$16),"&lt;"&amp;EDATE($A257,3))=0,"",SUMIFS(INDIRECT(Index!$M$16),INDIRECT(Index!$L$16),"&gt;="&amp;$A257,INDIRECT(Index!$L$16),"&lt;"&amp;EDATE($A257,3))),"")</f>
        <v/>
      </c>
      <c r="C257" s="29" t="str">
        <f aca="false">IFERROR(B257/B256-1,"")</f>
        <v/>
      </c>
      <c r="D257" s="29" t="str">
        <f aca="false">IFERROR(B257/B253-1,"")</f>
        <v/>
      </c>
      <c r="E257" s="31" t="str">
        <f aca="false">IFERROR(IF(AND(B257="",ISNUMBER($C$209),ISNUMBER($G$209)),$C$209*(1+$G$209)^(($A257-$E$209)/365.25),""),"")</f>
        <v/>
      </c>
      <c r="F257" s="31" t="str">
        <f aca="false">IFERROR(IF(AND(B257="",ISNUMBER($C$209),ISNUMBER($G$209)),$C$209*(1+$G$209*0.85^MAX(0,($A257-$E$209)/91.25))^(($A257-$E$209)/365.25),""),"")</f>
        <v/>
      </c>
    </row>
    <row r="258" customFormat="false" ht="15" hidden="false" customHeight="false" outlineLevel="0" collapsed="false">
      <c r="A258" s="15" t="n">
        <v>43647</v>
      </c>
      <c r="B258" s="20" t="str">
        <f aca="true">IFERROR(IF(SUMIFS(INDIRECT(Index!$M$16),INDIRECT(Index!$L$16),"&gt;="&amp;$A258,INDIRECT(Index!$L$16),"&lt;"&amp;EDATE($A258,3))=0,"",SUMIFS(INDIRECT(Index!$M$16),INDIRECT(Index!$L$16),"&gt;="&amp;$A258,INDIRECT(Index!$L$16),"&lt;"&amp;EDATE($A258,3))),"")</f>
        <v/>
      </c>
      <c r="C258" s="33" t="str">
        <f aca="false">IFERROR(B258/B257-1,"")</f>
        <v/>
      </c>
      <c r="D258" s="33" t="str">
        <f aca="false">IFERROR(B258/B254-1,"")</f>
        <v/>
      </c>
      <c r="E258" s="25" t="str">
        <f aca="false">IFERROR(IF(AND(B258="",ISNUMBER($C$209),ISNUMBER($G$209)),$C$209*(1+$G$209)^(($A258-$E$209)/365.25),""),"")</f>
        <v/>
      </c>
      <c r="F258" s="25" t="str">
        <f aca="false">IFERROR(IF(AND(B258="",ISNUMBER($C$209),ISNUMBER($G$209)),$C$209*(1+$G$209*0.85^MAX(0,($A258-$E$209)/91.25))^(($A258-$E$209)/365.25),""),"")</f>
        <v/>
      </c>
    </row>
    <row r="259" customFormat="false" ht="15" hidden="false" customHeight="false" outlineLevel="0" collapsed="false">
      <c r="A259" s="27" t="n">
        <v>43739</v>
      </c>
      <c r="B259" s="28" t="str">
        <f aca="true">IFERROR(IF(SUMIFS(INDIRECT(Index!$M$16),INDIRECT(Index!$L$16),"&gt;="&amp;$A259,INDIRECT(Index!$L$16),"&lt;"&amp;EDATE($A259,3))=0,"",SUMIFS(INDIRECT(Index!$M$16),INDIRECT(Index!$L$16),"&gt;="&amp;$A259,INDIRECT(Index!$L$16),"&lt;"&amp;EDATE($A259,3))),"")</f>
        <v/>
      </c>
      <c r="C259" s="29" t="str">
        <f aca="false">IFERROR(B259/B258-1,"")</f>
        <v/>
      </c>
      <c r="D259" s="29" t="str">
        <f aca="false">IFERROR(B259/B255-1,"")</f>
        <v/>
      </c>
      <c r="E259" s="31" t="str">
        <f aca="false">IFERROR(IF(AND(B259="",ISNUMBER($C$209),ISNUMBER($G$209)),$C$209*(1+$G$209)^(($A259-$E$209)/365.25),""),"")</f>
        <v/>
      </c>
      <c r="F259" s="31" t="str">
        <f aca="false">IFERROR(IF(AND(B259="",ISNUMBER($C$209),ISNUMBER($G$209)),$C$209*(1+$G$209*0.85^MAX(0,($A259-$E$209)/91.25))^(($A259-$E$209)/365.25),""),"")</f>
        <v/>
      </c>
    </row>
    <row r="260" customFormat="false" ht="15" hidden="false" customHeight="false" outlineLevel="0" collapsed="false">
      <c r="A260" s="15" t="n">
        <v>43831</v>
      </c>
      <c r="B260" s="20" t="str">
        <f aca="true">IFERROR(IF(SUMIFS(INDIRECT(Index!$M$16),INDIRECT(Index!$L$16),"&gt;="&amp;$A260,INDIRECT(Index!$L$16),"&lt;"&amp;EDATE($A260,3))=0,"",SUMIFS(INDIRECT(Index!$M$16),INDIRECT(Index!$L$16),"&gt;="&amp;$A260,INDIRECT(Index!$L$16),"&lt;"&amp;EDATE($A260,3))),"")</f>
        <v/>
      </c>
      <c r="C260" s="33" t="str">
        <f aca="false">IFERROR(B260/B259-1,"")</f>
        <v/>
      </c>
      <c r="D260" s="33" t="str">
        <f aca="false">IFERROR(B260/B256-1,"")</f>
        <v/>
      </c>
      <c r="E260" s="25" t="str">
        <f aca="false">IFERROR(IF(AND(B260="",ISNUMBER($C$209),ISNUMBER($G$209)),$C$209*(1+$G$209)^(($A260-$E$209)/365.25),""),"")</f>
        <v/>
      </c>
      <c r="F260" s="25" t="str">
        <f aca="false">IFERROR(IF(AND(B260="",ISNUMBER($C$209),ISNUMBER($G$209)),$C$209*(1+$G$209*0.85^MAX(0,($A260-$E$209)/91.25))^(($A260-$E$209)/365.25),""),"")</f>
        <v/>
      </c>
    </row>
    <row r="261" customFormat="false" ht="15" hidden="false" customHeight="false" outlineLevel="0" collapsed="false">
      <c r="A261" s="27" t="n">
        <v>43922</v>
      </c>
      <c r="B261" s="28" t="str">
        <f aca="true">IFERROR(IF(SUMIFS(INDIRECT(Index!$M$16),INDIRECT(Index!$L$16),"&gt;="&amp;$A261,INDIRECT(Index!$L$16),"&lt;"&amp;EDATE($A261,3))=0,"",SUMIFS(INDIRECT(Index!$M$16),INDIRECT(Index!$L$16),"&gt;="&amp;$A261,INDIRECT(Index!$L$16),"&lt;"&amp;EDATE($A261,3))),"")</f>
        <v/>
      </c>
      <c r="C261" s="29" t="str">
        <f aca="false">IFERROR(B261/B260-1,"")</f>
        <v/>
      </c>
      <c r="D261" s="29" t="str">
        <f aca="false">IFERROR(B261/B257-1,"")</f>
        <v/>
      </c>
      <c r="E261" s="31" t="str">
        <f aca="false">IFERROR(IF(AND(B261="",ISNUMBER($C$209),ISNUMBER($G$209)),$C$209*(1+$G$209)^(($A261-$E$209)/365.25),""),"")</f>
        <v/>
      </c>
      <c r="F261" s="31" t="str">
        <f aca="false">IFERROR(IF(AND(B261="",ISNUMBER($C$209),ISNUMBER($G$209)),$C$209*(1+$G$209*0.85^MAX(0,($A261-$E$209)/91.25))^(($A261-$E$209)/365.25),""),"")</f>
        <v/>
      </c>
    </row>
    <row r="262" customFormat="false" ht="15" hidden="false" customHeight="false" outlineLevel="0" collapsed="false">
      <c r="A262" s="15" t="n">
        <v>44013</v>
      </c>
      <c r="B262" s="20" t="str">
        <f aca="true">IFERROR(IF(SUMIFS(INDIRECT(Index!$M$16),INDIRECT(Index!$L$16),"&gt;="&amp;$A262,INDIRECT(Index!$L$16),"&lt;"&amp;EDATE($A262,3))=0,"",SUMIFS(INDIRECT(Index!$M$16),INDIRECT(Index!$L$16),"&gt;="&amp;$A262,INDIRECT(Index!$L$16),"&lt;"&amp;EDATE($A262,3))),"")</f>
        <v/>
      </c>
      <c r="C262" s="33" t="str">
        <f aca="false">IFERROR(B262/B261-1,"")</f>
        <v/>
      </c>
      <c r="D262" s="33" t="str">
        <f aca="false">IFERROR(B262/B258-1,"")</f>
        <v/>
      </c>
      <c r="E262" s="25" t="str">
        <f aca="false">IFERROR(IF(AND(B262="",ISNUMBER($C$209),ISNUMBER($G$209)),$C$209*(1+$G$209)^(($A262-$E$209)/365.25),""),"")</f>
        <v/>
      </c>
      <c r="F262" s="25" t="str">
        <f aca="false">IFERROR(IF(AND(B262="",ISNUMBER($C$209),ISNUMBER($G$209)),$C$209*(1+$G$209*0.85^MAX(0,($A262-$E$209)/91.25))^(($A262-$E$209)/365.25),""),"")</f>
        <v/>
      </c>
    </row>
    <row r="263" customFormat="false" ht="15" hidden="false" customHeight="false" outlineLevel="0" collapsed="false">
      <c r="A263" s="27" t="n">
        <v>44105</v>
      </c>
      <c r="B263" s="28" t="str">
        <f aca="true">IFERROR(IF(SUMIFS(INDIRECT(Index!$M$16),INDIRECT(Index!$L$16),"&gt;="&amp;$A263,INDIRECT(Index!$L$16),"&lt;"&amp;EDATE($A263,3))=0,"",SUMIFS(INDIRECT(Index!$M$16),INDIRECT(Index!$L$16),"&gt;="&amp;$A263,INDIRECT(Index!$L$16),"&lt;"&amp;EDATE($A263,3))),"")</f>
        <v/>
      </c>
      <c r="C263" s="29" t="str">
        <f aca="false">IFERROR(B263/B262-1,"")</f>
        <v/>
      </c>
      <c r="D263" s="29" t="str">
        <f aca="false">IFERROR(B263/B259-1,"")</f>
        <v/>
      </c>
      <c r="E263" s="31" t="str">
        <f aca="false">IFERROR(IF(AND(B263="",ISNUMBER($C$209),ISNUMBER($G$209)),$C$209*(1+$G$209)^(($A263-$E$209)/365.25),""),"")</f>
        <v/>
      </c>
      <c r="F263" s="31" t="str">
        <f aca="false">IFERROR(IF(AND(B263="",ISNUMBER($C$209),ISNUMBER($G$209)),$C$209*(1+$G$209*0.85^MAX(0,($A263-$E$209)/91.25))^(($A263-$E$209)/365.25),""),"")</f>
        <v/>
      </c>
    </row>
    <row r="264" customFormat="false" ht="15" hidden="false" customHeight="false" outlineLevel="0" collapsed="false">
      <c r="A264" s="15" t="n">
        <v>44197</v>
      </c>
      <c r="B264" s="20" t="str">
        <f aca="true">IFERROR(IF(SUMIFS(INDIRECT(Index!$M$16),INDIRECT(Index!$L$16),"&gt;="&amp;$A264,INDIRECT(Index!$L$16),"&lt;"&amp;EDATE($A264,3))=0,"",SUMIFS(INDIRECT(Index!$M$16),INDIRECT(Index!$L$16),"&gt;="&amp;$A264,INDIRECT(Index!$L$16),"&lt;"&amp;EDATE($A264,3))),"")</f>
        <v/>
      </c>
      <c r="C264" s="33" t="str">
        <f aca="false">IFERROR(B264/B263-1,"")</f>
        <v/>
      </c>
      <c r="D264" s="33" t="str">
        <f aca="false">IFERROR(B264/B260-1,"")</f>
        <v/>
      </c>
      <c r="E264" s="25" t="str">
        <f aca="false">IFERROR(IF(AND(B264="",ISNUMBER($C$209),ISNUMBER($G$209)),$C$209*(1+$G$209)^(($A264-$E$209)/365.25),""),"")</f>
        <v/>
      </c>
      <c r="F264" s="25" t="str">
        <f aca="false">IFERROR(IF(AND(B264="",ISNUMBER($C$209),ISNUMBER($G$209)),$C$209*(1+$G$209*0.85^MAX(0,($A264-$E$209)/91.25))^(($A264-$E$209)/365.25),""),"")</f>
        <v/>
      </c>
    </row>
    <row r="265" customFormat="false" ht="15" hidden="false" customHeight="false" outlineLevel="0" collapsed="false">
      <c r="A265" s="27" t="n">
        <v>44287</v>
      </c>
      <c r="B265" s="28" t="str">
        <f aca="true">IFERROR(IF(SUMIFS(INDIRECT(Index!$M$16),INDIRECT(Index!$L$16),"&gt;="&amp;$A265,INDIRECT(Index!$L$16),"&lt;"&amp;EDATE($A265,3))=0,"",SUMIFS(INDIRECT(Index!$M$16),INDIRECT(Index!$L$16),"&gt;="&amp;$A265,INDIRECT(Index!$L$16),"&lt;"&amp;EDATE($A265,3))),"")</f>
        <v/>
      </c>
      <c r="C265" s="29" t="str">
        <f aca="false">IFERROR(B265/B264-1,"")</f>
        <v/>
      </c>
      <c r="D265" s="29" t="str">
        <f aca="false">IFERROR(B265/B261-1,"")</f>
        <v/>
      </c>
      <c r="E265" s="31" t="str">
        <f aca="false">IFERROR(IF(AND(B265="",ISNUMBER($C$209),ISNUMBER($G$209)),$C$209*(1+$G$209)^(($A265-$E$209)/365.25),""),"")</f>
        <v/>
      </c>
      <c r="F265" s="31" t="str">
        <f aca="false">IFERROR(IF(AND(B265="",ISNUMBER($C$209),ISNUMBER($G$209)),$C$209*(1+$G$209*0.85^MAX(0,($A265-$E$209)/91.25))^(($A265-$E$209)/365.25),""),"")</f>
        <v/>
      </c>
    </row>
    <row r="266" customFormat="false" ht="15" hidden="false" customHeight="false" outlineLevel="0" collapsed="false">
      <c r="A266" s="15" t="n">
        <v>44378</v>
      </c>
      <c r="B266" s="20" t="str">
        <f aca="true">IFERROR(IF(SUMIFS(INDIRECT(Index!$M$16),INDIRECT(Index!$L$16),"&gt;="&amp;$A266,INDIRECT(Index!$L$16),"&lt;"&amp;EDATE($A266,3))=0,"",SUMIFS(INDIRECT(Index!$M$16),INDIRECT(Index!$L$16),"&gt;="&amp;$A266,INDIRECT(Index!$L$16),"&lt;"&amp;EDATE($A266,3))),"")</f>
        <v/>
      </c>
      <c r="C266" s="33" t="str">
        <f aca="false">IFERROR(B266/B265-1,"")</f>
        <v/>
      </c>
      <c r="D266" s="33" t="str">
        <f aca="false">IFERROR(B266/B262-1,"")</f>
        <v/>
      </c>
      <c r="E266" s="25" t="str">
        <f aca="false">IFERROR(IF(AND(B266="",ISNUMBER($C$209),ISNUMBER($G$209)),$C$209*(1+$G$209)^(($A266-$E$209)/365.25),""),"")</f>
        <v/>
      </c>
      <c r="F266" s="25" t="str">
        <f aca="false">IFERROR(IF(AND(B266="",ISNUMBER($C$209),ISNUMBER($G$209)),$C$209*(1+$G$209*0.85^MAX(0,($A266-$E$209)/91.25))^(($A266-$E$209)/365.25),""),"")</f>
        <v/>
      </c>
    </row>
    <row r="267" customFormat="false" ht="15" hidden="false" customHeight="false" outlineLevel="0" collapsed="false">
      <c r="A267" s="27" t="n">
        <v>44470</v>
      </c>
      <c r="B267" s="28" t="str">
        <f aca="true">IFERROR(IF(SUMIFS(INDIRECT(Index!$M$16),INDIRECT(Index!$L$16),"&gt;="&amp;$A267,INDIRECT(Index!$L$16),"&lt;"&amp;EDATE($A267,3))=0,"",SUMIFS(INDIRECT(Index!$M$16),INDIRECT(Index!$L$16),"&gt;="&amp;$A267,INDIRECT(Index!$L$16),"&lt;"&amp;EDATE($A267,3))),"")</f>
        <v/>
      </c>
      <c r="C267" s="29" t="str">
        <f aca="false">IFERROR(B267/B266-1,"")</f>
        <v/>
      </c>
      <c r="D267" s="29" t="str">
        <f aca="false">IFERROR(B267/B263-1,"")</f>
        <v/>
      </c>
      <c r="E267" s="31" t="str">
        <f aca="false">IFERROR(IF(AND(B267="",ISNUMBER($C$209),ISNUMBER($G$209)),$C$209*(1+$G$209)^(($A267-$E$209)/365.25),""),"")</f>
        <v/>
      </c>
      <c r="F267" s="31" t="str">
        <f aca="false">IFERROR(IF(AND(B267="",ISNUMBER($C$209),ISNUMBER($G$209)),$C$209*(1+$G$209*0.85^MAX(0,($A267-$E$209)/91.25))^(($A267-$E$209)/365.25),""),"")</f>
        <v/>
      </c>
    </row>
    <row r="268" customFormat="false" ht="15" hidden="false" customHeight="false" outlineLevel="0" collapsed="false">
      <c r="A268" s="15" t="n">
        <v>44562</v>
      </c>
      <c r="B268" s="20" t="str">
        <f aca="true">IFERROR(IF(SUMIFS(INDIRECT(Index!$M$16),INDIRECT(Index!$L$16),"&gt;="&amp;$A268,INDIRECT(Index!$L$16),"&lt;"&amp;EDATE($A268,3))=0,"",SUMIFS(INDIRECT(Index!$M$16),INDIRECT(Index!$L$16),"&gt;="&amp;$A268,INDIRECT(Index!$L$16),"&lt;"&amp;EDATE($A268,3))),"")</f>
        <v/>
      </c>
      <c r="C268" s="33" t="str">
        <f aca="false">IFERROR(B268/B267-1,"")</f>
        <v/>
      </c>
      <c r="D268" s="33" t="str">
        <f aca="false">IFERROR(B268/B264-1,"")</f>
        <v/>
      </c>
      <c r="E268" s="25" t="str">
        <f aca="false">IFERROR(IF(AND(B268="",ISNUMBER($C$209),ISNUMBER($G$209)),$C$209*(1+$G$209)^(($A268-$E$209)/365.25),""),"")</f>
        <v/>
      </c>
      <c r="F268" s="25" t="str">
        <f aca="false">IFERROR(IF(AND(B268="",ISNUMBER($C$209),ISNUMBER($G$209)),$C$209*(1+$G$209*0.85^MAX(0,($A268-$E$209)/91.25))^(($A268-$E$209)/365.25),""),"")</f>
        <v/>
      </c>
    </row>
    <row r="269" customFormat="false" ht="15" hidden="false" customHeight="false" outlineLevel="0" collapsed="false">
      <c r="A269" s="27" t="n">
        <v>44652</v>
      </c>
      <c r="B269" s="28" t="str">
        <f aca="true">IFERROR(IF(SUMIFS(INDIRECT(Index!$M$16),INDIRECT(Index!$L$16),"&gt;="&amp;$A269,INDIRECT(Index!$L$16),"&lt;"&amp;EDATE($A269,3))=0,"",SUMIFS(INDIRECT(Index!$M$16),INDIRECT(Index!$L$16),"&gt;="&amp;$A269,INDIRECT(Index!$L$16),"&lt;"&amp;EDATE($A269,3))),"")</f>
        <v/>
      </c>
      <c r="C269" s="29" t="str">
        <f aca="false">IFERROR(B269/B268-1,"")</f>
        <v/>
      </c>
      <c r="D269" s="29" t="str">
        <f aca="false">IFERROR(B269/B265-1,"")</f>
        <v/>
      </c>
      <c r="E269" s="31" t="str">
        <f aca="false">IFERROR(IF(AND(B269="",ISNUMBER($C$209),ISNUMBER($G$209)),$C$209*(1+$G$209)^(($A269-$E$209)/365.25),""),"")</f>
        <v/>
      </c>
      <c r="F269" s="31" t="str">
        <f aca="false">IFERROR(IF(AND(B269="",ISNUMBER($C$209),ISNUMBER($G$209)),$C$209*(1+$G$209*0.85^MAX(0,($A269-$E$209)/91.25))^(($A269-$E$209)/365.25),""),"")</f>
        <v/>
      </c>
    </row>
    <row r="270" customFormat="false" ht="15" hidden="false" customHeight="false" outlineLevel="0" collapsed="false">
      <c r="A270" s="15" t="n">
        <v>44743</v>
      </c>
      <c r="B270" s="20" t="str">
        <f aca="true">IFERROR(IF(SUMIFS(INDIRECT(Index!$M$16),INDIRECT(Index!$L$16),"&gt;="&amp;$A270,INDIRECT(Index!$L$16),"&lt;"&amp;EDATE($A270,3))=0,"",SUMIFS(INDIRECT(Index!$M$16),INDIRECT(Index!$L$16),"&gt;="&amp;$A270,INDIRECT(Index!$L$16),"&lt;"&amp;EDATE($A270,3))),"")</f>
        <v/>
      </c>
      <c r="C270" s="33" t="str">
        <f aca="false">IFERROR(B270/B269-1,"")</f>
        <v/>
      </c>
      <c r="D270" s="33" t="str">
        <f aca="false">IFERROR(B270/B266-1,"")</f>
        <v/>
      </c>
      <c r="E270" s="25" t="str">
        <f aca="false">IFERROR(IF(AND(B270="",ISNUMBER($C$209),ISNUMBER($G$209)),$C$209*(1+$G$209)^(($A270-$E$209)/365.25),""),"")</f>
        <v/>
      </c>
      <c r="F270" s="25" t="str">
        <f aca="false">IFERROR(IF(AND(B270="",ISNUMBER($C$209),ISNUMBER($G$209)),$C$209*(1+$G$209*0.85^MAX(0,($A270-$E$209)/91.25))^(($A270-$E$209)/365.25),""),"")</f>
        <v/>
      </c>
    </row>
    <row r="271" customFormat="false" ht="15" hidden="false" customHeight="false" outlineLevel="0" collapsed="false">
      <c r="A271" s="27" t="n">
        <v>44835</v>
      </c>
      <c r="B271" s="28" t="str">
        <f aca="true">IFERROR(IF(SUMIFS(INDIRECT(Index!$M$16),INDIRECT(Index!$L$16),"&gt;="&amp;$A271,INDIRECT(Index!$L$16),"&lt;"&amp;EDATE($A271,3))=0,"",SUMIFS(INDIRECT(Index!$M$16),INDIRECT(Index!$L$16),"&gt;="&amp;$A271,INDIRECT(Index!$L$16),"&lt;"&amp;EDATE($A271,3))),"")</f>
        <v/>
      </c>
      <c r="C271" s="29" t="str">
        <f aca="false">IFERROR(B271/B270-1,"")</f>
        <v/>
      </c>
      <c r="D271" s="29" t="str">
        <f aca="false">IFERROR(B271/B267-1,"")</f>
        <v/>
      </c>
      <c r="E271" s="31" t="str">
        <f aca="false">IFERROR(IF(AND(B271="",ISNUMBER($C$209),ISNUMBER($G$209)),$C$209*(1+$G$209)^(($A271-$E$209)/365.25),""),"")</f>
        <v/>
      </c>
      <c r="F271" s="31" t="str">
        <f aca="false">IFERROR(IF(AND(B271="",ISNUMBER($C$209),ISNUMBER($G$209)),$C$209*(1+$G$209*0.85^MAX(0,($A271-$E$209)/91.25))^(($A271-$E$209)/365.25),""),"")</f>
        <v/>
      </c>
    </row>
    <row r="272" customFormat="false" ht="15" hidden="false" customHeight="false" outlineLevel="0" collapsed="false">
      <c r="A272" s="15" t="n">
        <v>44927</v>
      </c>
      <c r="B272" s="20" t="str">
        <f aca="true">IFERROR(IF(SUMIFS(INDIRECT(Index!$M$16),INDIRECT(Index!$L$16),"&gt;="&amp;$A272,INDIRECT(Index!$L$16),"&lt;"&amp;EDATE($A272,3))=0,"",SUMIFS(INDIRECT(Index!$M$16),INDIRECT(Index!$L$16),"&gt;="&amp;$A272,INDIRECT(Index!$L$16),"&lt;"&amp;EDATE($A272,3))),"")</f>
        <v/>
      </c>
      <c r="C272" s="33" t="str">
        <f aca="false">IFERROR(B272/B271-1,"")</f>
        <v/>
      </c>
      <c r="D272" s="33" t="str">
        <f aca="false">IFERROR(B272/B268-1,"")</f>
        <v/>
      </c>
      <c r="E272" s="25" t="str">
        <f aca="false">IFERROR(IF(AND(B272="",ISNUMBER($C$209),ISNUMBER($G$209)),$C$209*(1+$G$209)^(($A272-$E$209)/365.25),""),"")</f>
        <v/>
      </c>
      <c r="F272" s="25" t="str">
        <f aca="false">IFERROR(IF(AND(B272="",ISNUMBER($C$209),ISNUMBER($G$209)),$C$209*(1+$G$209*0.85^MAX(0,($A272-$E$209)/91.25))^(($A272-$E$209)/365.25),""),"")</f>
        <v/>
      </c>
    </row>
    <row r="273" customFormat="false" ht="15" hidden="false" customHeight="false" outlineLevel="0" collapsed="false">
      <c r="A273" s="27" t="n">
        <v>45017</v>
      </c>
      <c r="B273" s="28" t="str">
        <f aca="true">IFERROR(IF(SUMIFS(INDIRECT(Index!$M$16),INDIRECT(Index!$L$16),"&gt;="&amp;$A273,INDIRECT(Index!$L$16),"&lt;"&amp;EDATE($A273,3))=0,"",SUMIFS(INDIRECT(Index!$M$16),INDIRECT(Index!$L$16),"&gt;="&amp;$A273,INDIRECT(Index!$L$16),"&lt;"&amp;EDATE($A273,3))),"")</f>
        <v/>
      </c>
      <c r="C273" s="29" t="str">
        <f aca="false">IFERROR(B273/B272-1,"")</f>
        <v/>
      </c>
      <c r="D273" s="29" t="str">
        <f aca="false">IFERROR(B273/B269-1,"")</f>
        <v/>
      </c>
      <c r="E273" s="31" t="str">
        <f aca="false">IFERROR(IF(AND(B273="",ISNUMBER($C$209),ISNUMBER($G$209)),$C$209*(1+$G$209)^(($A273-$E$209)/365.25),""),"")</f>
        <v/>
      </c>
      <c r="F273" s="31" t="str">
        <f aca="false">IFERROR(IF(AND(B273="",ISNUMBER($C$209),ISNUMBER($G$209)),$C$209*(1+$G$209*0.85^MAX(0,($A273-$E$209)/91.25))^(($A273-$E$209)/365.25),""),"")</f>
        <v/>
      </c>
    </row>
    <row r="274" customFormat="false" ht="15" hidden="false" customHeight="false" outlineLevel="0" collapsed="false">
      <c r="A274" s="15" t="n">
        <v>45108</v>
      </c>
      <c r="B274" s="20" t="str">
        <f aca="true">IFERROR(IF(SUMIFS(INDIRECT(Index!$M$16),INDIRECT(Index!$L$16),"&gt;="&amp;$A274,INDIRECT(Index!$L$16),"&lt;"&amp;EDATE($A274,3))=0,"",SUMIFS(INDIRECT(Index!$M$16),INDIRECT(Index!$L$16),"&gt;="&amp;$A274,INDIRECT(Index!$L$16),"&lt;"&amp;EDATE($A274,3))),"")</f>
        <v/>
      </c>
      <c r="C274" s="33" t="str">
        <f aca="false">IFERROR(B274/B273-1,"")</f>
        <v/>
      </c>
      <c r="D274" s="33" t="str">
        <f aca="false">IFERROR(B274/B270-1,"")</f>
        <v/>
      </c>
      <c r="E274" s="25" t="str">
        <f aca="false">IFERROR(IF(AND(B274="",ISNUMBER($C$209),ISNUMBER($G$209)),$C$209*(1+$G$209)^(($A274-$E$209)/365.25),""),"")</f>
        <v/>
      </c>
      <c r="F274" s="25" t="str">
        <f aca="false">IFERROR(IF(AND(B274="",ISNUMBER($C$209),ISNUMBER($G$209)),$C$209*(1+$G$209*0.85^MAX(0,($A274-$E$209)/91.25))^(($A274-$E$209)/365.25),""),"")</f>
        <v/>
      </c>
    </row>
    <row r="275" customFormat="false" ht="15" hidden="false" customHeight="false" outlineLevel="0" collapsed="false">
      <c r="A275" s="27" t="n">
        <v>45200</v>
      </c>
      <c r="B275" s="28" t="str">
        <f aca="true">IFERROR(IF(SUMIFS(INDIRECT(Index!$M$16),INDIRECT(Index!$L$16),"&gt;="&amp;$A275,INDIRECT(Index!$L$16),"&lt;"&amp;EDATE($A275,3))=0,"",SUMIFS(INDIRECT(Index!$M$16),INDIRECT(Index!$L$16),"&gt;="&amp;$A275,INDIRECT(Index!$L$16),"&lt;"&amp;EDATE($A275,3))),"")</f>
        <v/>
      </c>
      <c r="C275" s="29" t="str">
        <f aca="false">IFERROR(B275/B274-1,"")</f>
        <v/>
      </c>
      <c r="D275" s="29" t="str">
        <f aca="false">IFERROR(B275/B271-1,"")</f>
        <v/>
      </c>
      <c r="E275" s="31" t="str">
        <f aca="false">IFERROR(IF(AND(B275="",ISNUMBER($C$209),ISNUMBER($G$209)),$C$209*(1+$G$209)^(($A275-$E$209)/365.25),""),"")</f>
        <v/>
      </c>
      <c r="F275" s="31" t="str">
        <f aca="false">IFERROR(IF(AND(B275="",ISNUMBER($C$209),ISNUMBER($G$209)),$C$209*(1+$G$209*0.85^MAX(0,($A275-$E$209)/91.25))^(($A275-$E$209)/365.25),""),"")</f>
        <v/>
      </c>
    </row>
    <row r="276" customFormat="false" ht="15" hidden="false" customHeight="false" outlineLevel="0" collapsed="false">
      <c r="A276" s="15" t="n">
        <v>45292</v>
      </c>
      <c r="B276" s="20" t="str">
        <f aca="true">IFERROR(IF(SUMIFS(INDIRECT(Index!$M$16),INDIRECT(Index!$L$16),"&gt;="&amp;$A276,INDIRECT(Index!$L$16),"&lt;"&amp;EDATE($A276,3))=0,"",SUMIFS(INDIRECT(Index!$M$16),INDIRECT(Index!$L$16),"&gt;="&amp;$A276,INDIRECT(Index!$L$16),"&lt;"&amp;EDATE($A276,3))),"")</f>
        <v/>
      </c>
      <c r="C276" s="33" t="str">
        <f aca="false">IFERROR(B276/B275-1,"")</f>
        <v/>
      </c>
      <c r="D276" s="33" t="str">
        <f aca="false">IFERROR(B276/B272-1,"")</f>
        <v/>
      </c>
      <c r="E276" s="25" t="str">
        <f aca="false">IFERROR(IF(AND(B276="",ISNUMBER($C$209),ISNUMBER($G$209)),$C$209*(1+$G$209)^(($A276-$E$209)/365.25),""),"")</f>
        <v/>
      </c>
      <c r="F276" s="25" t="str">
        <f aca="false">IFERROR(IF(AND(B276="",ISNUMBER($C$209),ISNUMBER($G$209)),$C$209*(1+$G$209*0.85^MAX(0,($A276-$E$209)/91.25))^(($A276-$E$209)/365.25),""),"")</f>
        <v/>
      </c>
    </row>
    <row r="277" customFormat="false" ht="15" hidden="false" customHeight="false" outlineLevel="0" collapsed="false">
      <c r="A277" s="27" t="n">
        <v>45383</v>
      </c>
      <c r="B277" s="28" t="str">
        <f aca="true">IFERROR(IF(SUMIFS(INDIRECT(Index!$M$16),INDIRECT(Index!$L$16),"&gt;="&amp;$A277,INDIRECT(Index!$L$16),"&lt;"&amp;EDATE($A277,3))=0,"",SUMIFS(INDIRECT(Index!$M$16),INDIRECT(Index!$L$16),"&gt;="&amp;$A277,INDIRECT(Index!$L$16),"&lt;"&amp;EDATE($A277,3))),"")</f>
        <v/>
      </c>
      <c r="C277" s="29" t="str">
        <f aca="false">IFERROR(B277/B276-1,"")</f>
        <v/>
      </c>
      <c r="D277" s="29" t="str">
        <f aca="false">IFERROR(B277/B273-1,"")</f>
        <v/>
      </c>
      <c r="E277" s="31" t="str">
        <f aca="false">IFERROR(IF(AND(B277="",ISNUMBER($C$209),ISNUMBER($G$209)),$C$209*(1+$G$209)^(($A277-$E$209)/365.25),""),"")</f>
        <v/>
      </c>
      <c r="F277" s="31" t="str">
        <f aca="false">IFERROR(IF(AND(B277="",ISNUMBER($C$209),ISNUMBER($G$209)),$C$209*(1+$G$209*0.85^MAX(0,($A277-$E$209)/91.25))^(($A277-$E$209)/365.25),""),"")</f>
        <v/>
      </c>
    </row>
    <row r="278" customFormat="false" ht="15" hidden="false" customHeight="false" outlineLevel="0" collapsed="false">
      <c r="A278" s="15" t="n">
        <v>45474</v>
      </c>
      <c r="B278" s="20" t="str">
        <f aca="true">IFERROR(IF(SUMIFS(INDIRECT(Index!$M$16),INDIRECT(Index!$L$16),"&gt;="&amp;$A278,INDIRECT(Index!$L$16),"&lt;"&amp;EDATE($A278,3))=0,"",SUMIFS(INDIRECT(Index!$M$16),INDIRECT(Index!$L$16),"&gt;="&amp;$A278,INDIRECT(Index!$L$16),"&lt;"&amp;EDATE($A278,3))),"")</f>
        <v/>
      </c>
      <c r="C278" s="33" t="str">
        <f aca="false">IFERROR(B278/B277-1,"")</f>
        <v/>
      </c>
      <c r="D278" s="33" t="str">
        <f aca="false">IFERROR(B278/B274-1,"")</f>
        <v/>
      </c>
      <c r="E278" s="25" t="str">
        <f aca="false">IFERROR(IF(AND(B278="",ISNUMBER($C$209),ISNUMBER($G$209)),$C$209*(1+$G$209)^(($A278-$E$209)/365.25),""),"")</f>
        <v/>
      </c>
      <c r="F278" s="25" t="str">
        <f aca="false">IFERROR(IF(AND(B278="",ISNUMBER($C$209),ISNUMBER($G$209)),$C$209*(1+$G$209*0.85^MAX(0,($A278-$E$209)/91.25))^(($A278-$E$209)/365.25),""),"")</f>
        <v/>
      </c>
    </row>
    <row r="279" customFormat="false" ht="15" hidden="false" customHeight="false" outlineLevel="0" collapsed="false">
      <c r="A279" s="27" t="n">
        <v>45566</v>
      </c>
      <c r="B279" s="28" t="str">
        <f aca="true">IFERROR(IF(SUMIFS(INDIRECT(Index!$M$16),INDIRECT(Index!$L$16),"&gt;="&amp;$A279,INDIRECT(Index!$L$16),"&lt;"&amp;EDATE($A279,3))=0,"",SUMIFS(INDIRECT(Index!$M$16),INDIRECT(Index!$L$16),"&gt;="&amp;$A279,INDIRECT(Index!$L$16),"&lt;"&amp;EDATE($A279,3))),"")</f>
        <v/>
      </c>
      <c r="C279" s="29" t="str">
        <f aca="false">IFERROR(B279/B278-1,"")</f>
        <v/>
      </c>
      <c r="D279" s="29" t="str">
        <f aca="false">IFERROR(B279/B275-1,"")</f>
        <v/>
      </c>
      <c r="E279" s="31" t="str">
        <f aca="false">IFERROR(IF(AND(B279="",ISNUMBER($C$209),ISNUMBER($G$209)),$C$209*(1+$G$209)^(($A279-$E$209)/365.25),""),"")</f>
        <v/>
      </c>
      <c r="F279" s="31" t="str">
        <f aca="false">IFERROR(IF(AND(B279="",ISNUMBER($C$209),ISNUMBER($G$209)),$C$209*(1+$G$209*0.85^MAX(0,($A279-$E$209)/91.25))^(($A279-$E$209)/365.25),""),"")</f>
        <v/>
      </c>
    </row>
    <row r="280" customFormat="false" ht="15" hidden="false" customHeight="false" outlineLevel="0" collapsed="false">
      <c r="A280" s="15" t="n">
        <v>45658</v>
      </c>
      <c r="B280" s="20" t="str">
        <f aca="true">IFERROR(IF(SUMIFS(INDIRECT(Index!$M$16),INDIRECT(Index!$L$16),"&gt;="&amp;$A280,INDIRECT(Index!$L$16),"&lt;"&amp;EDATE($A280,3))=0,"",SUMIFS(INDIRECT(Index!$M$16),INDIRECT(Index!$L$16),"&gt;="&amp;$A280,INDIRECT(Index!$L$16),"&lt;"&amp;EDATE($A280,3))),"")</f>
        <v/>
      </c>
      <c r="C280" s="33" t="str">
        <f aca="false">IFERROR(B280/B279-1,"")</f>
        <v/>
      </c>
      <c r="D280" s="33" t="str">
        <f aca="false">IFERROR(B280/B276-1,"")</f>
        <v/>
      </c>
      <c r="E280" s="25" t="str">
        <f aca="false">IFERROR(IF(AND(B280="",ISNUMBER($C$209),ISNUMBER($G$209)),$C$209*(1+$G$209)^(($A280-$E$209)/365.25),""),"")</f>
        <v/>
      </c>
      <c r="F280" s="25" t="str">
        <f aca="false">IFERROR(IF(AND(B280="",ISNUMBER($C$209),ISNUMBER($G$209)),$C$209*(1+$G$209*0.85^MAX(0,($A280-$E$209)/91.25))^(($A280-$E$209)/365.25),""),"")</f>
        <v/>
      </c>
    </row>
    <row r="281" customFormat="false" ht="15" hidden="false" customHeight="false" outlineLevel="0" collapsed="false">
      <c r="A281" s="27" t="n">
        <v>45748</v>
      </c>
      <c r="B281" s="28" t="str">
        <f aca="true">IFERROR(IF(SUMIFS(INDIRECT(Index!$M$16),INDIRECT(Index!$L$16),"&gt;="&amp;$A281,INDIRECT(Index!$L$16),"&lt;"&amp;EDATE($A281,3))=0,"",SUMIFS(INDIRECT(Index!$M$16),INDIRECT(Index!$L$16),"&gt;="&amp;$A281,INDIRECT(Index!$L$16),"&lt;"&amp;EDATE($A281,3))),"")</f>
        <v/>
      </c>
      <c r="C281" s="29" t="str">
        <f aca="false">IFERROR(B281/B280-1,"")</f>
        <v/>
      </c>
      <c r="D281" s="29" t="str">
        <f aca="false">IFERROR(B281/B277-1,"")</f>
        <v/>
      </c>
      <c r="E281" s="31" t="str">
        <f aca="false">IFERROR(IF(AND(B281="",ISNUMBER($C$209),ISNUMBER($G$209)),$C$209*(1+$G$209)^(($A281-$E$209)/365.25),""),"")</f>
        <v/>
      </c>
      <c r="F281" s="31" t="str">
        <f aca="false">IFERROR(IF(AND(B281="",ISNUMBER($C$209),ISNUMBER($G$209)),$C$209*(1+$G$209*0.85^MAX(0,($A281-$E$209)/91.25))^(($A281-$E$209)/365.25),""),"")</f>
        <v/>
      </c>
    </row>
    <row r="282" customFormat="false" ht="15" hidden="false" customHeight="false" outlineLevel="0" collapsed="false">
      <c r="A282" s="15" t="n">
        <v>45839</v>
      </c>
      <c r="B282" s="20" t="str">
        <f aca="true">IFERROR(IF(SUMIFS(INDIRECT(Index!$M$16),INDIRECT(Index!$L$16),"&gt;="&amp;$A282,INDIRECT(Index!$L$16),"&lt;"&amp;EDATE($A282,3))=0,"",SUMIFS(INDIRECT(Index!$M$16),INDIRECT(Index!$L$16),"&gt;="&amp;$A282,INDIRECT(Index!$L$16),"&lt;"&amp;EDATE($A282,3))),"")</f>
        <v/>
      </c>
      <c r="C282" s="33" t="str">
        <f aca="false">IFERROR(B282/B281-1,"")</f>
        <v/>
      </c>
      <c r="D282" s="33" t="str">
        <f aca="false">IFERROR(B282/B278-1,"")</f>
        <v/>
      </c>
      <c r="E282" s="25" t="str">
        <f aca="false">IFERROR(IF(AND(B282="",ISNUMBER($C$209),ISNUMBER($G$209)),$C$209*(1+$G$209)^(($A282-$E$209)/365.25),""),"")</f>
        <v/>
      </c>
      <c r="F282" s="25" t="str">
        <f aca="false">IFERROR(IF(AND(B282="",ISNUMBER($C$209),ISNUMBER($G$209)),$C$209*(1+$G$209*0.85^MAX(0,($A282-$E$209)/91.25))^(($A282-$E$209)/365.25),""),"")</f>
        <v/>
      </c>
    </row>
    <row r="283" customFormat="false" ht="15" hidden="false" customHeight="false" outlineLevel="0" collapsed="false">
      <c r="A283" s="27" t="n">
        <v>45931</v>
      </c>
      <c r="B283" s="28" t="str">
        <f aca="true">IFERROR(IF(SUMIFS(INDIRECT(Index!$M$16),INDIRECT(Index!$L$16),"&gt;="&amp;$A283,INDIRECT(Index!$L$16),"&lt;"&amp;EDATE($A283,3))=0,"",SUMIFS(INDIRECT(Index!$M$16),INDIRECT(Index!$L$16),"&gt;="&amp;$A283,INDIRECT(Index!$L$16),"&lt;"&amp;EDATE($A283,3))),"")</f>
        <v/>
      </c>
      <c r="C283" s="29" t="str">
        <f aca="false">IFERROR(B283/B282-1,"")</f>
        <v/>
      </c>
      <c r="D283" s="29" t="str">
        <f aca="false">IFERROR(B283/B279-1,"")</f>
        <v/>
      </c>
      <c r="E283" s="31" t="str">
        <f aca="false">IFERROR(IF(AND(B283="",ISNUMBER($C$209),ISNUMBER($G$209)),$C$209*(1+$G$209)^(($A283-$E$209)/365.25),""),"")</f>
        <v/>
      </c>
      <c r="F283" s="31" t="str">
        <f aca="false">IFERROR(IF(AND(B283="",ISNUMBER($C$209),ISNUMBER($G$209)),$C$209*(1+$G$209*0.85^MAX(0,($A283-$E$209)/91.25))^(($A283-$E$209)/365.25),""),"")</f>
        <v/>
      </c>
    </row>
    <row r="284" customFormat="false" ht="15" hidden="false" customHeight="false" outlineLevel="0" collapsed="false">
      <c r="A284" s="15" t="n">
        <v>46023</v>
      </c>
      <c r="B284" s="20" t="str">
        <f aca="true">IFERROR(IF(SUMIFS(INDIRECT(Index!$M$16),INDIRECT(Index!$L$16),"&gt;="&amp;$A284,INDIRECT(Index!$L$16),"&lt;"&amp;EDATE($A284,3))=0,"",SUMIFS(INDIRECT(Index!$M$16),INDIRECT(Index!$L$16),"&gt;="&amp;$A284,INDIRECT(Index!$L$16),"&lt;"&amp;EDATE($A284,3))),"")</f>
        <v/>
      </c>
      <c r="C284" s="33" t="str">
        <f aca="false">IFERROR(B284/B283-1,"")</f>
        <v/>
      </c>
      <c r="D284" s="33" t="str">
        <f aca="false">IFERROR(B284/B280-1,"")</f>
        <v/>
      </c>
      <c r="E284" s="25" t="str">
        <f aca="false">IFERROR(IF(AND(B284="",ISNUMBER($C$209),ISNUMBER($G$209)),$C$209*(1+$G$209)^(($A284-$E$209)/365.25),""),"")</f>
        <v/>
      </c>
      <c r="F284" s="25" t="str">
        <f aca="false">IFERROR(IF(AND(B284="",ISNUMBER($C$209),ISNUMBER($G$209)),$C$209*(1+$G$209*0.85^MAX(0,($A284-$E$209)/91.25))^(($A284-$E$209)/365.25),""),"")</f>
        <v/>
      </c>
    </row>
    <row r="285" customFormat="false" ht="15" hidden="false" customHeight="false" outlineLevel="0" collapsed="false">
      <c r="A285" s="27" t="n">
        <v>46113</v>
      </c>
      <c r="B285" s="28" t="str">
        <f aca="true">IFERROR(IF(SUMIFS(INDIRECT(Index!$M$16),INDIRECT(Index!$L$16),"&gt;="&amp;$A285,INDIRECT(Index!$L$16),"&lt;"&amp;EDATE($A285,3))=0,"",SUMIFS(INDIRECT(Index!$M$16),INDIRECT(Index!$L$16),"&gt;="&amp;$A285,INDIRECT(Index!$L$16),"&lt;"&amp;EDATE($A285,3))),"")</f>
        <v/>
      </c>
      <c r="C285" s="29" t="str">
        <f aca="false">IFERROR(B285/B284-1,"")</f>
        <v/>
      </c>
      <c r="D285" s="29" t="str">
        <f aca="false">IFERROR(B285/B281-1,"")</f>
        <v/>
      </c>
      <c r="E285" s="31" t="str">
        <f aca="false">IFERROR(IF(AND(B285="",ISNUMBER($C$209),ISNUMBER($G$209)),$C$209*(1+$G$209)^(($A285-$E$209)/365.25),""),"")</f>
        <v/>
      </c>
      <c r="F285" s="31" t="str">
        <f aca="false">IFERROR(IF(AND(B285="",ISNUMBER($C$209),ISNUMBER($G$209)),$C$209*(1+$G$209*0.85^MAX(0,($A285-$E$209)/91.25))^(($A285-$E$209)/365.25),""),"")</f>
        <v/>
      </c>
    </row>
    <row r="286" customFormat="false" ht="15" hidden="false" customHeight="false" outlineLevel="0" collapsed="false">
      <c r="A286" s="15" t="n">
        <v>46204</v>
      </c>
      <c r="B286" s="20" t="str">
        <f aca="true">IFERROR(IF(SUMIFS(INDIRECT(Index!$M$16),INDIRECT(Index!$L$16),"&gt;="&amp;$A286,INDIRECT(Index!$L$16),"&lt;"&amp;EDATE($A286,3))=0,"",SUMIFS(INDIRECT(Index!$M$16),INDIRECT(Index!$L$16),"&gt;="&amp;$A286,INDIRECT(Index!$L$16),"&lt;"&amp;EDATE($A286,3))),"")</f>
        <v/>
      </c>
      <c r="C286" s="33" t="str">
        <f aca="false">IFERROR(B286/B285-1,"")</f>
        <v/>
      </c>
      <c r="D286" s="33" t="str">
        <f aca="false">IFERROR(B286/B282-1,"")</f>
        <v/>
      </c>
      <c r="E286" s="25" t="str">
        <f aca="false">IFERROR(IF(AND(B286="",ISNUMBER($C$209),ISNUMBER($G$209)),$C$209*(1+$G$209)^(($A286-$E$209)/365.25),""),"")</f>
        <v/>
      </c>
      <c r="F286" s="25" t="str">
        <f aca="false">IFERROR(IF(AND(B286="",ISNUMBER($C$209),ISNUMBER($G$209)),$C$209*(1+$G$209*0.85^MAX(0,($A286-$E$209)/91.25))^(($A286-$E$209)/365.25),""),"")</f>
        <v/>
      </c>
    </row>
    <row r="287" customFormat="false" ht="15" hidden="false" customHeight="false" outlineLevel="0" collapsed="false">
      <c r="A287" s="27" t="n">
        <v>46296</v>
      </c>
      <c r="B287" s="28" t="str">
        <f aca="true">IFERROR(IF(SUMIFS(INDIRECT(Index!$M$16),INDIRECT(Index!$L$16),"&gt;="&amp;$A287,INDIRECT(Index!$L$16),"&lt;"&amp;EDATE($A287,3))=0,"",SUMIFS(INDIRECT(Index!$M$16),INDIRECT(Index!$L$16),"&gt;="&amp;$A287,INDIRECT(Index!$L$16),"&lt;"&amp;EDATE($A287,3))),"")</f>
        <v/>
      </c>
      <c r="C287" s="29" t="str">
        <f aca="false">IFERROR(B287/B286-1,"")</f>
        <v/>
      </c>
      <c r="D287" s="29" t="str">
        <f aca="false">IFERROR(B287/B283-1,"")</f>
        <v/>
      </c>
      <c r="E287" s="31" t="str">
        <f aca="false">IFERROR(IF(AND(B287="",ISNUMBER($C$209),ISNUMBER($G$209)),$C$209*(1+$G$209)^(($A287-$E$209)/365.25),""),"")</f>
        <v/>
      </c>
      <c r="F287" s="31" t="str">
        <f aca="false">IFERROR(IF(AND(B287="",ISNUMBER($C$209),ISNUMBER($G$209)),$C$209*(1+$G$209*0.85^MAX(0,($A287-$E$209)/91.25))^(($A287-$E$209)/365.25),""),"")</f>
        <v/>
      </c>
    </row>
    <row r="288" customFormat="false" ht="15" hidden="false" customHeight="false" outlineLevel="0" collapsed="false">
      <c r="A288" s="15" t="n">
        <v>46388</v>
      </c>
      <c r="B288" s="20" t="str">
        <f aca="true">IFERROR(IF(SUMIFS(INDIRECT(Index!$M$16),INDIRECT(Index!$L$16),"&gt;="&amp;$A288,INDIRECT(Index!$L$16),"&lt;"&amp;EDATE($A288,3))=0,"",SUMIFS(INDIRECT(Index!$M$16),INDIRECT(Index!$L$16),"&gt;="&amp;$A288,INDIRECT(Index!$L$16),"&lt;"&amp;EDATE($A288,3))),"")</f>
        <v/>
      </c>
      <c r="C288" s="33" t="str">
        <f aca="false">IFERROR(B288/B287-1,"")</f>
        <v/>
      </c>
      <c r="D288" s="33" t="str">
        <f aca="false">IFERROR(B288/B284-1,"")</f>
        <v/>
      </c>
      <c r="E288" s="25" t="str">
        <f aca="false">IFERROR(IF(AND(B288="",ISNUMBER($C$209),ISNUMBER($G$209)),$C$209*(1+$G$209)^(($A288-$E$209)/365.25),""),"")</f>
        <v/>
      </c>
      <c r="F288" s="25" t="str">
        <f aca="false">IFERROR(IF(AND(B288="",ISNUMBER($C$209),ISNUMBER($G$209)),$C$209*(1+$G$209*0.85^MAX(0,($A288-$E$209)/91.25))^(($A288-$E$209)/365.25),""),"")</f>
        <v/>
      </c>
    </row>
    <row r="289" customFormat="false" ht="15" hidden="false" customHeight="false" outlineLevel="0" collapsed="false">
      <c r="A289" s="27" t="n">
        <v>46478</v>
      </c>
      <c r="B289" s="28" t="str">
        <f aca="true">IFERROR(IF(SUMIFS(INDIRECT(Index!$M$16),INDIRECT(Index!$L$16),"&gt;="&amp;$A289,INDIRECT(Index!$L$16),"&lt;"&amp;EDATE($A289,3))=0,"",SUMIFS(INDIRECT(Index!$M$16),INDIRECT(Index!$L$16),"&gt;="&amp;$A289,INDIRECT(Index!$L$16),"&lt;"&amp;EDATE($A289,3))),"")</f>
        <v/>
      </c>
      <c r="C289" s="29" t="str">
        <f aca="false">IFERROR(B289/B288-1,"")</f>
        <v/>
      </c>
      <c r="D289" s="29" t="str">
        <f aca="false">IFERROR(B289/B285-1,"")</f>
        <v/>
      </c>
      <c r="E289" s="31" t="str">
        <f aca="false">IFERROR(IF(AND(B289="",ISNUMBER($C$209),ISNUMBER($G$209)),$C$209*(1+$G$209)^(($A289-$E$209)/365.25),""),"")</f>
        <v/>
      </c>
      <c r="F289" s="31" t="str">
        <f aca="false">IFERROR(IF(AND(B289="",ISNUMBER($C$209),ISNUMBER($G$209)),$C$209*(1+$G$209*0.85^MAX(0,($A289-$E$209)/91.25))^(($A289-$E$209)/365.25),""),"")</f>
        <v/>
      </c>
    </row>
    <row r="290" customFormat="false" ht="15" hidden="false" customHeight="false" outlineLevel="0" collapsed="false">
      <c r="A290" s="15" t="n">
        <v>46569</v>
      </c>
      <c r="B290" s="20" t="str">
        <f aca="true">IFERROR(IF(SUMIFS(INDIRECT(Index!$M$16),INDIRECT(Index!$L$16),"&gt;="&amp;$A290,INDIRECT(Index!$L$16),"&lt;"&amp;EDATE($A290,3))=0,"",SUMIFS(INDIRECT(Index!$M$16),INDIRECT(Index!$L$16),"&gt;="&amp;$A290,INDIRECT(Index!$L$16),"&lt;"&amp;EDATE($A290,3))),"")</f>
        <v/>
      </c>
      <c r="C290" s="33" t="str">
        <f aca="false">IFERROR(B290/B289-1,"")</f>
        <v/>
      </c>
      <c r="D290" s="33" t="str">
        <f aca="false">IFERROR(B290/B286-1,"")</f>
        <v/>
      </c>
      <c r="E290" s="25" t="str">
        <f aca="false">IFERROR(IF(AND(B290="",ISNUMBER($C$209),ISNUMBER($G$209)),$C$209*(1+$G$209)^(($A290-$E$209)/365.25),""),"")</f>
        <v/>
      </c>
      <c r="F290" s="25" t="str">
        <f aca="false">IFERROR(IF(AND(B290="",ISNUMBER($C$209),ISNUMBER($G$209)),$C$209*(1+$G$209*0.85^MAX(0,($A290-$E$209)/91.25))^(($A290-$E$209)/365.25),""),"")</f>
        <v/>
      </c>
    </row>
    <row r="291" customFormat="false" ht="15" hidden="false" customHeight="false" outlineLevel="0" collapsed="false">
      <c r="A291" s="27" t="n">
        <v>46661</v>
      </c>
      <c r="B291" s="28" t="str">
        <f aca="true">IFERROR(IF(SUMIFS(INDIRECT(Index!$M$16),INDIRECT(Index!$L$16),"&gt;="&amp;$A291,INDIRECT(Index!$L$16),"&lt;"&amp;EDATE($A291,3))=0,"",SUMIFS(INDIRECT(Index!$M$16),INDIRECT(Index!$L$16),"&gt;="&amp;$A291,INDIRECT(Index!$L$16),"&lt;"&amp;EDATE($A291,3))),"")</f>
        <v/>
      </c>
      <c r="C291" s="29" t="str">
        <f aca="false">IFERROR(B291/B290-1,"")</f>
        <v/>
      </c>
      <c r="D291" s="29" t="str">
        <f aca="false">IFERROR(B291/B287-1,"")</f>
        <v/>
      </c>
      <c r="E291" s="31" t="str">
        <f aca="false">IFERROR(IF(AND(B291="",ISNUMBER($C$209),ISNUMBER($G$209)),$C$209*(1+$G$209)^(($A291-$E$209)/365.25),""),"")</f>
        <v/>
      </c>
      <c r="F291" s="31" t="str">
        <f aca="false">IFERROR(IF(AND(B291="",ISNUMBER($C$209),ISNUMBER($G$209)),$C$209*(1+$G$209*0.85^MAX(0,($A291-$E$209)/91.25))^(($A291-$E$209)/365.25),""),"")</f>
        <v/>
      </c>
    </row>
    <row r="292" customFormat="false" ht="15" hidden="false" customHeight="false" outlineLevel="0" collapsed="false">
      <c r="A292" s="15" t="n">
        <v>46753</v>
      </c>
      <c r="B292" s="20" t="str">
        <f aca="true">IFERROR(IF(SUMIFS(INDIRECT(Index!$M$16),INDIRECT(Index!$L$16),"&gt;="&amp;$A292,INDIRECT(Index!$L$16),"&lt;"&amp;EDATE($A292,3))=0,"",SUMIFS(INDIRECT(Index!$M$16),INDIRECT(Index!$L$16),"&gt;="&amp;$A292,INDIRECT(Index!$L$16),"&lt;"&amp;EDATE($A292,3))),"")</f>
        <v/>
      </c>
      <c r="C292" s="33" t="str">
        <f aca="false">IFERROR(B292/B291-1,"")</f>
        <v/>
      </c>
      <c r="D292" s="33" t="str">
        <f aca="false">IFERROR(B292/B288-1,"")</f>
        <v/>
      </c>
      <c r="E292" s="25" t="str">
        <f aca="false">IFERROR(IF(AND(B292="",ISNUMBER($C$209),ISNUMBER($G$209)),$C$209*(1+$G$209)^(($A292-$E$209)/365.25),""),"")</f>
        <v/>
      </c>
      <c r="F292" s="25" t="str">
        <f aca="false">IFERROR(IF(AND(B292="",ISNUMBER($C$209),ISNUMBER($G$209)),$C$209*(1+$G$209*0.85^MAX(0,($A292-$E$209)/91.25))^(($A292-$E$209)/365.25),""),"")</f>
        <v/>
      </c>
    </row>
    <row r="293" customFormat="false" ht="15" hidden="false" customHeight="false" outlineLevel="0" collapsed="false">
      <c r="A293" s="27" t="n">
        <v>46844</v>
      </c>
      <c r="B293" s="28" t="str">
        <f aca="true">IFERROR(IF(SUMIFS(INDIRECT(Index!$M$16),INDIRECT(Index!$L$16),"&gt;="&amp;$A293,INDIRECT(Index!$L$16),"&lt;"&amp;EDATE($A293,3))=0,"",SUMIFS(INDIRECT(Index!$M$16),INDIRECT(Index!$L$16),"&gt;="&amp;$A293,INDIRECT(Index!$L$16),"&lt;"&amp;EDATE($A293,3))),"")</f>
        <v/>
      </c>
      <c r="C293" s="29" t="str">
        <f aca="false">IFERROR(B293/B292-1,"")</f>
        <v/>
      </c>
      <c r="D293" s="29" t="str">
        <f aca="false">IFERROR(B293/B289-1,"")</f>
        <v/>
      </c>
      <c r="E293" s="31" t="str">
        <f aca="false">IFERROR(IF(AND(B293="",ISNUMBER($C$209),ISNUMBER($G$209)),$C$209*(1+$G$209)^(($A293-$E$209)/365.25),""),"")</f>
        <v/>
      </c>
      <c r="F293" s="31" t="str">
        <f aca="false">IFERROR(IF(AND(B293="",ISNUMBER($C$209),ISNUMBER($G$209)),$C$209*(1+$G$209*0.85^MAX(0,($A293-$E$209)/91.25))^(($A293-$E$209)/365.25),""),"")</f>
        <v/>
      </c>
    </row>
    <row r="294" customFormat="false" ht="15" hidden="false" customHeight="false" outlineLevel="0" collapsed="false">
      <c r="A294" s="15" t="n">
        <v>46935</v>
      </c>
      <c r="B294" s="20" t="str">
        <f aca="true">IFERROR(IF(SUMIFS(INDIRECT(Index!$M$16),INDIRECT(Index!$L$16),"&gt;="&amp;$A294,INDIRECT(Index!$L$16),"&lt;"&amp;EDATE($A294,3))=0,"",SUMIFS(INDIRECT(Index!$M$16),INDIRECT(Index!$L$16),"&gt;="&amp;$A294,INDIRECT(Index!$L$16),"&lt;"&amp;EDATE($A294,3))),"")</f>
        <v/>
      </c>
      <c r="C294" s="33" t="str">
        <f aca="false">IFERROR(B294/B293-1,"")</f>
        <v/>
      </c>
      <c r="D294" s="33" t="str">
        <f aca="false">IFERROR(B294/B290-1,"")</f>
        <v/>
      </c>
      <c r="E294" s="25" t="str">
        <f aca="false">IFERROR(IF(AND(B294="",ISNUMBER($C$209),ISNUMBER($G$209)),$C$209*(1+$G$209)^(($A294-$E$209)/365.25),""),"")</f>
        <v/>
      </c>
      <c r="F294" s="25" t="str">
        <f aca="false">IFERROR(IF(AND(B294="",ISNUMBER($C$209),ISNUMBER($G$209)),$C$209*(1+$G$209*0.85^MAX(0,($A294-$E$209)/91.25))^(($A294-$E$209)/365.25),""),"")</f>
        <v/>
      </c>
    </row>
    <row r="295" customFormat="false" ht="15" hidden="false" customHeight="false" outlineLevel="0" collapsed="false">
      <c r="A295" s="27" t="n">
        <v>47027</v>
      </c>
      <c r="B295" s="28" t="str">
        <f aca="true">IFERROR(IF(SUMIFS(INDIRECT(Index!$M$16),INDIRECT(Index!$L$16),"&gt;="&amp;$A295,INDIRECT(Index!$L$16),"&lt;"&amp;EDATE($A295,3))=0,"",SUMIFS(INDIRECT(Index!$M$16),INDIRECT(Index!$L$16),"&gt;="&amp;$A295,INDIRECT(Index!$L$16),"&lt;"&amp;EDATE($A295,3))),"")</f>
        <v/>
      </c>
      <c r="C295" s="29" t="str">
        <f aca="false">IFERROR(B295/B294-1,"")</f>
        <v/>
      </c>
      <c r="D295" s="29" t="str">
        <f aca="false">IFERROR(B295/B291-1,"")</f>
        <v/>
      </c>
      <c r="E295" s="31" t="str">
        <f aca="false">IFERROR(IF(AND(B295="",ISNUMBER($C$209),ISNUMBER($G$209)),$C$209*(1+$G$209)^(($A295-$E$209)/365.25),""),"")</f>
        <v/>
      </c>
      <c r="F295" s="31" t="str">
        <f aca="false">IFERROR(IF(AND(B295="",ISNUMBER($C$209),ISNUMBER($G$209)),$C$209*(1+$G$209*0.85^MAX(0,($A295-$E$209)/91.25))^(($A295-$E$209)/365.25),""),"")</f>
        <v/>
      </c>
    </row>
    <row r="296" customFormat="false" ht="15" hidden="false" customHeight="false" outlineLevel="0" collapsed="false">
      <c r="A296" s="15" t="n">
        <v>47119</v>
      </c>
      <c r="B296" s="20" t="str">
        <f aca="true">IFERROR(IF(SUMIFS(INDIRECT(Index!$M$16),INDIRECT(Index!$L$16),"&gt;="&amp;$A296,INDIRECT(Index!$L$16),"&lt;"&amp;EDATE($A296,3))=0,"",SUMIFS(INDIRECT(Index!$M$16),INDIRECT(Index!$L$16),"&gt;="&amp;$A296,INDIRECT(Index!$L$16),"&lt;"&amp;EDATE($A296,3))),"")</f>
        <v/>
      </c>
      <c r="C296" s="33" t="str">
        <f aca="false">IFERROR(B296/B295-1,"")</f>
        <v/>
      </c>
      <c r="D296" s="33" t="str">
        <f aca="false">IFERROR(B296/B292-1,"")</f>
        <v/>
      </c>
      <c r="E296" s="25" t="str">
        <f aca="false">IFERROR(IF(AND(B296="",ISNUMBER($C$209),ISNUMBER($G$209)),$C$209*(1+$G$209)^(($A296-$E$209)/365.25),""),"")</f>
        <v/>
      </c>
      <c r="F296" s="25" t="str">
        <f aca="false">IFERROR(IF(AND(B296="",ISNUMBER($C$209),ISNUMBER($G$209)),$C$209*(1+$G$209*0.85^MAX(0,($A296-$E$209)/91.25))^(($A296-$E$209)/365.25),""),"")</f>
        <v/>
      </c>
    </row>
    <row r="297" customFormat="false" ht="15" hidden="false" customHeight="false" outlineLevel="0" collapsed="false">
      <c r="A297" s="27" t="n">
        <v>47209</v>
      </c>
      <c r="B297" s="28" t="str">
        <f aca="true">IFERROR(IF(SUMIFS(INDIRECT(Index!$M$16),INDIRECT(Index!$L$16),"&gt;="&amp;$A297,INDIRECT(Index!$L$16),"&lt;"&amp;EDATE($A297,3))=0,"",SUMIFS(INDIRECT(Index!$M$16),INDIRECT(Index!$L$16),"&gt;="&amp;$A297,INDIRECT(Index!$L$16),"&lt;"&amp;EDATE($A297,3))),"")</f>
        <v/>
      </c>
      <c r="C297" s="29" t="str">
        <f aca="false">IFERROR(B297/B296-1,"")</f>
        <v/>
      </c>
      <c r="D297" s="29" t="str">
        <f aca="false">IFERROR(B297/B293-1,"")</f>
        <v/>
      </c>
      <c r="E297" s="31" t="str">
        <f aca="false">IFERROR(IF(AND(B297="",ISNUMBER($C$209),ISNUMBER($G$209)),$C$209*(1+$G$209)^(($A297-$E$209)/365.25),""),"")</f>
        <v/>
      </c>
      <c r="F297" s="31" t="str">
        <f aca="false">IFERROR(IF(AND(B297="",ISNUMBER($C$209),ISNUMBER($G$209)),$C$209*(1+$G$209*0.85^MAX(0,($A297-$E$209)/91.25))^(($A297-$E$209)/365.25),""),"")</f>
        <v/>
      </c>
    </row>
    <row r="298" customFormat="false" ht="15" hidden="false" customHeight="false" outlineLevel="0" collapsed="false">
      <c r="A298" s="15" t="n">
        <v>47300</v>
      </c>
      <c r="B298" s="20" t="str">
        <f aca="true">IFERROR(IF(SUMIFS(INDIRECT(Index!$M$16),INDIRECT(Index!$L$16),"&gt;="&amp;$A298,INDIRECT(Index!$L$16),"&lt;"&amp;EDATE($A298,3))=0,"",SUMIFS(INDIRECT(Index!$M$16),INDIRECT(Index!$L$16),"&gt;="&amp;$A298,INDIRECT(Index!$L$16),"&lt;"&amp;EDATE($A298,3))),"")</f>
        <v/>
      </c>
      <c r="C298" s="33" t="str">
        <f aca="false">IFERROR(B298/B297-1,"")</f>
        <v/>
      </c>
      <c r="D298" s="33" t="str">
        <f aca="false">IFERROR(B298/B294-1,"")</f>
        <v/>
      </c>
      <c r="E298" s="25" t="str">
        <f aca="false">IFERROR(IF(AND(B298="",ISNUMBER($C$209),ISNUMBER($G$209)),$C$209*(1+$G$209)^(($A298-$E$209)/365.25),""),"")</f>
        <v/>
      </c>
      <c r="F298" s="25" t="str">
        <f aca="false">IFERROR(IF(AND(B298="",ISNUMBER($C$209),ISNUMBER($G$209)),$C$209*(1+$G$209*0.85^MAX(0,($A298-$E$209)/91.25))^(($A298-$E$209)/365.25),""),"")</f>
        <v/>
      </c>
    </row>
    <row r="299" customFormat="false" ht="15" hidden="false" customHeight="false" outlineLevel="0" collapsed="false">
      <c r="A299" s="27" t="n">
        <v>47392</v>
      </c>
      <c r="B299" s="28" t="str">
        <f aca="true">IFERROR(IF(SUMIFS(INDIRECT(Index!$M$16),INDIRECT(Index!$L$16),"&gt;="&amp;$A299,INDIRECT(Index!$L$16),"&lt;"&amp;EDATE($A299,3))=0,"",SUMIFS(INDIRECT(Index!$M$16),INDIRECT(Index!$L$16),"&gt;="&amp;$A299,INDIRECT(Index!$L$16),"&lt;"&amp;EDATE($A299,3))),"")</f>
        <v/>
      </c>
      <c r="C299" s="29" t="str">
        <f aca="false">IFERROR(B299/B298-1,"")</f>
        <v/>
      </c>
      <c r="D299" s="29" t="str">
        <f aca="false">IFERROR(B299/B295-1,"")</f>
        <v/>
      </c>
      <c r="E299" s="31" t="str">
        <f aca="false">IFERROR(IF(AND(B299="",ISNUMBER($C$209),ISNUMBER($G$209)),$C$209*(1+$G$209)^(($A299-$E$209)/365.25),""),"")</f>
        <v/>
      </c>
      <c r="F299" s="31" t="str">
        <f aca="false">IFERROR(IF(AND(B299="",ISNUMBER($C$209),ISNUMBER($G$209)),$C$209*(1+$G$209*0.85^MAX(0,($A299-$E$209)/91.25))^(($A299-$E$209)/365.25),""),"")</f>
        <v/>
      </c>
    </row>
    <row r="300" customFormat="false" ht="15" hidden="false" customHeight="false" outlineLevel="0" collapsed="false">
      <c r="A300" s="15" t="n">
        <v>47484</v>
      </c>
      <c r="B300" s="20" t="str">
        <f aca="true">IFERROR(IF(SUMIFS(INDIRECT(Index!$M$16),INDIRECT(Index!$L$16),"&gt;="&amp;$A300,INDIRECT(Index!$L$16),"&lt;"&amp;EDATE($A300,3))=0,"",SUMIFS(INDIRECT(Index!$M$16),INDIRECT(Index!$L$16),"&gt;="&amp;$A300,INDIRECT(Index!$L$16),"&lt;"&amp;EDATE($A300,3))),"")</f>
        <v/>
      </c>
      <c r="C300" s="33" t="str">
        <f aca="false">IFERROR(B300/B299-1,"")</f>
        <v/>
      </c>
      <c r="D300" s="33" t="str">
        <f aca="false">IFERROR(B300/B296-1,"")</f>
        <v/>
      </c>
      <c r="E300" s="25" t="str">
        <f aca="false">IFERROR(IF(AND(B300="",ISNUMBER($C$209),ISNUMBER($G$209)),$C$209*(1+$G$209)^(($A300-$E$209)/365.25),""),"")</f>
        <v/>
      </c>
      <c r="F300" s="25" t="str">
        <f aca="false">IFERROR(IF(AND(B300="",ISNUMBER($C$209),ISNUMBER($G$209)),$C$209*(1+$G$209*0.85^MAX(0,($A300-$E$209)/91.25))^(($A300-$E$209)/365.25),""),"")</f>
        <v/>
      </c>
    </row>
    <row r="301" customFormat="false" ht="15" hidden="false" customHeight="false" outlineLevel="0" collapsed="false">
      <c r="A301" s="27" t="n">
        <v>47574</v>
      </c>
      <c r="B301" s="28" t="str">
        <f aca="true">IFERROR(IF(SUMIFS(INDIRECT(Index!$M$16),INDIRECT(Index!$L$16),"&gt;="&amp;$A301,INDIRECT(Index!$L$16),"&lt;"&amp;EDATE($A301,3))=0,"",SUMIFS(INDIRECT(Index!$M$16),INDIRECT(Index!$L$16),"&gt;="&amp;$A301,INDIRECT(Index!$L$16),"&lt;"&amp;EDATE($A301,3))),"")</f>
        <v/>
      </c>
      <c r="C301" s="29" t="str">
        <f aca="false">IFERROR(B301/B300-1,"")</f>
        <v/>
      </c>
      <c r="D301" s="29" t="str">
        <f aca="false">IFERROR(B301/B297-1,"")</f>
        <v/>
      </c>
      <c r="E301" s="31" t="str">
        <f aca="false">IFERROR(IF(AND(B301="",ISNUMBER($C$209),ISNUMBER($G$209)),$C$209*(1+$G$209)^(($A301-$E$209)/365.25),""),"")</f>
        <v/>
      </c>
      <c r="F301" s="31" t="str">
        <f aca="false">IFERROR(IF(AND(B301="",ISNUMBER($C$209),ISNUMBER($G$209)),$C$209*(1+$G$209*0.85^MAX(0,($A301-$E$209)/91.25))^(($A301-$E$209)/365.25),""),"")</f>
        <v/>
      </c>
    </row>
    <row r="302" customFormat="false" ht="15" hidden="false" customHeight="false" outlineLevel="0" collapsed="false">
      <c r="A302" s="15" t="n">
        <v>47665</v>
      </c>
      <c r="B302" s="20" t="str">
        <f aca="true">IFERROR(IF(SUMIFS(INDIRECT(Index!$M$16),INDIRECT(Index!$L$16),"&gt;="&amp;$A302,INDIRECT(Index!$L$16),"&lt;"&amp;EDATE($A302,3))=0,"",SUMIFS(INDIRECT(Index!$M$16),INDIRECT(Index!$L$16),"&gt;="&amp;$A302,INDIRECT(Index!$L$16),"&lt;"&amp;EDATE($A302,3))),"")</f>
        <v/>
      </c>
      <c r="C302" s="33" t="str">
        <f aca="false">IFERROR(B302/B301-1,"")</f>
        <v/>
      </c>
      <c r="D302" s="33" t="str">
        <f aca="false">IFERROR(B302/B298-1,"")</f>
        <v/>
      </c>
      <c r="E302" s="25" t="str">
        <f aca="false">IFERROR(IF(AND(B302="",ISNUMBER($C$209),ISNUMBER($G$209)),$C$209*(1+$G$209)^(($A302-$E$209)/365.25),""),"")</f>
        <v/>
      </c>
      <c r="F302" s="25" t="str">
        <f aca="false">IFERROR(IF(AND(B302="",ISNUMBER($C$209),ISNUMBER($G$209)),$C$209*(1+$G$209*0.85^MAX(0,($A302-$E$209)/91.25))^(($A302-$E$209)/365.25),""),"")</f>
        <v/>
      </c>
    </row>
    <row r="303" customFormat="false" ht="15" hidden="false" customHeight="false" outlineLevel="0" collapsed="false">
      <c r="A303" s="27" t="n">
        <v>47757</v>
      </c>
      <c r="B303" s="28" t="str">
        <f aca="true">IFERROR(IF(SUMIFS(INDIRECT(Index!$M$16),INDIRECT(Index!$L$16),"&gt;="&amp;$A303,INDIRECT(Index!$L$16),"&lt;"&amp;EDATE($A303,3))=0,"",SUMIFS(INDIRECT(Index!$M$16),INDIRECT(Index!$L$16),"&gt;="&amp;$A303,INDIRECT(Index!$L$16),"&lt;"&amp;EDATE($A303,3))),"")</f>
        <v/>
      </c>
      <c r="C303" s="29" t="str">
        <f aca="false">IFERROR(B303/B302-1,"")</f>
        <v/>
      </c>
      <c r="D303" s="29" t="str">
        <f aca="false">IFERROR(B303/B299-1,"")</f>
        <v/>
      </c>
      <c r="E303" s="31" t="str">
        <f aca="false">IFERROR(IF(AND(B303="",ISNUMBER($C$209),ISNUMBER($G$209)),$C$209*(1+$G$209)^(($A303-$E$209)/365.25),""),"")</f>
        <v/>
      </c>
      <c r="F303" s="31" t="str">
        <f aca="false">IFERROR(IF(AND(B303="",ISNUMBER($C$209),ISNUMBER($G$209)),$C$209*(1+$G$209*0.85^MAX(0,($A303-$E$209)/91.25))^(($A303-$E$209)/365.25),""),"")</f>
        <v/>
      </c>
    </row>
  </sheetData>
  <mergeCells count="16">
    <mergeCell ref="A2:N2"/>
    <mergeCell ref="A4:M4"/>
    <mergeCell ref="D5:H5"/>
    <mergeCell ref="B6:M6"/>
    <mergeCell ref="A8:F8"/>
    <mergeCell ref="J8:M8"/>
    <mergeCell ref="A105:M105"/>
    <mergeCell ref="D106:H106"/>
    <mergeCell ref="B107:M107"/>
    <mergeCell ref="A109:F109"/>
    <mergeCell ref="J109:M109"/>
    <mergeCell ref="A206:M206"/>
    <mergeCell ref="D207:H207"/>
    <mergeCell ref="B208:M208"/>
    <mergeCell ref="A210:F210"/>
    <mergeCell ref="J210:M2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4" min="3" style="0" width="9"/>
    <col collapsed="false" customWidth="true" hidden="false" outlineLevel="0" max="8" min="5" style="0" width="12"/>
    <col collapsed="false" customWidth="true" hidden="false" outlineLevel="0" max="9" min="9" style="0" width="2"/>
    <col collapsed="false" customWidth="true" hidden="false" outlineLevel="0" max="10" min="10" style="0" width="7"/>
    <col collapsed="false" customWidth="true" hidden="false" outlineLevel="0" max="11" min="11" style="0" width="14"/>
    <col collapsed="false" customWidth="true" hidden="false" outlineLevel="0" max="12" min="12" style="0" width="9"/>
    <col collapsed="false" customWidth="true" hidden="false" outlineLevel="0" max="13" min="13" style="0" width="14"/>
    <col collapsed="false" customWidth="true" hidden="false" outlineLevel="0" max="14" min="14" style="0" width="2"/>
  </cols>
  <sheetData>
    <row r="1" customFormat="false" ht="22.05" hidden="false" customHeight="false" outlineLevel="0" collapsed="false">
      <c r="A1" s="1" t="s">
        <v>125</v>
      </c>
    </row>
    <row r="2" customFormat="false" ht="15" hidden="false" customHeight="false" outlineLevel="0" collapsed="false">
      <c r="A2" s="6" t="s">
        <v>105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4" customFormat="false" ht="21.75" hidden="false" customHeight="true" outlineLevel="0" collapsed="false">
      <c r="A4" s="17" t="str">
        <f aca="false">Index!$A$17&amp;"   ("&amp;Index!$I$17&amp;")"</f>
        <v>BCRA Intl Reserves   (USD Mn)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</row>
    <row r="5" customFormat="false" ht="15" hidden="false" customHeight="false" outlineLevel="0" collapsed="false">
      <c r="A5" s="4" t="s">
        <v>106</v>
      </c>
      <c r="B5" s="18" t="str">
        <f aca="false">Index!$J$17</f>
        <v>last</v>
      </c>
      <c r="C5" s="4" t="s">
        <v>107</v>
      </c>
      <c r="D5" s="19" t="str">
        <f aca="false">Index!$D$17&amp;" ["&amp;Index!$F$17&amp;Index!$G$17&amp;":"&amp;Index!$F$17&amp;Index!$H$17&amp;"]"</f>
        <v>Data_Monthly [I2:I400]</v>
      </c>
      <c r="E5" s="19"/>
      <c r="F5" s="19"/>
      <c r="G5" s="19"/>
      <c r="H5" s="19"/>
    </row>
    <row r="6" customFormat="false" ht="15" hidden="false" customHeight="false" outlineLevel="0" collapsed="false">
      <c r="A6" s="4" t="s">
        <v>108</v>
      </c>
      <c r="B6" s="6" t="str">
        <f aca="false">IF(Index!$K$17="","",Index!$K$17)</f>
        <v>End of period.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</row>
    <row r="7" customFormat="false" ht="15" hidden="false" customHeight="false" outlineLevel="0" collapsed="false">
      <c r="A7" s="4" t="s">
        <v>109</v>
      </c>
      <c r="B7" s="4" t="s">
        <v>110</v>
      </c>
      <c r="C7" s="20" t="str">
        <f aca="false">IFERROR(LOOKUP(2,1/($B$10:$B$101&lt;&gt;""),$B$10:$B$101),"")</f>
        <v/>
      </c>
      <c r="D7" s="4" t="s">
        <v>111</v>
      </c>
      <c r="E7" s="21" t="str">
        <f aca="false">IFERROR(LOOKUP(2,1/($B$10:$B$101&lt;&gt;""),$A$10:$A$101),"")</f>
        <v/>
      </c>
      <c r="F7" s="4" t="s">
        <v>112</v>
      </c>
      <c r="G7" s="22" t="str">
        <f aca="false">IFERROR(C7/INDEX($B$10:$B$101,MATCH(EDATE(E7,-12),$A$10:$A$101,0))-1,"")</f>
        <v/>
      </c>
    </row>
    <row r="8" customFormat="false" ht="18" hidden="false" customHeight="true" outlineLevel="0" collapsed="false">
      <c r="A8" s="23" t="s">
        <v>113</v>
      </c>
      <c r="B8" s="23"/>
      <c r="C8" s="23"/>
      <c r="D8" s="23"/>
      <c r="E8" s="23"/>
      <c r="F8" s="23"/>
      <c r="J8" s="23" t="s">
        <v>114</v>
      </c>
      <c r="K8" s="23"/>
      <c r="L8" s="23"/>
      <c r="M8" s="23"/>
    </row>
    <row r="9" customFormat="false" ht="15" hidden="false" customHeight="false" outlineLevel="0" collapsed="false">
      <c r="A9" s="7" t="s">
        <v>95</v>
      </c>
      <c r="B9" s="7" t="s">
        <v>115</v>
      </c>
      <c r="C9" s="7" t="s">
        <v>116</v>
      </c>
      <c r="D9" s="7" t="s">
        <v>117</v>
      </c>
      <c r="E9" s="7" t="s">
        <v>118</v>
      </c>
      <c r="F9" s="7" t="s">
        <v>119</v>
      </c>
      <c r="J9" s="7" t="s">
        <v>120</v>
      </c>
      <c r="K9" s="7" t="s">
        <v>115</v>
      </c>
      <c r="L9" s="7" t="s">
        <v>117</v>
      </c>
      <c r="M9" s="7" t="s">
        <v>121</v>
      </c>
    </row>
    <row r="10" customFormat="false" ht="15" hidden="false" customHeight="false" outlineLevel="0" collapsed="false">
      <c r="A10" s="15" t="n">
        <v>39448</v>
      </c>
      <c r="B10" s="20" t="str">
        <f aca="true">IFERROR(IF(IFERROR(INDEX(INDIRECT(Index!$M$17),MATCH(EDATE($A10,2),INDIRECT(Index!$L$17),0)),AVERAGEIFS(INDIRECT(Index!$M$17),INDIRECT(Index!$L$17),"&gt;="&amp;$A10,INDIRECT(Index!$L$17),"&lt;"&amp;EDATE($A10,3)))=0,"",IFERROR(INDEX(INDIRECT(Index!$M$17),MATCH(EDATE($A10,2),INDIRECT(Index!$L$17),0)),AVERAGEIFS(INDIRECT(Index!$M$17),INDIRECT(Index!$L$17),"&gt;="&amp;$A10,INDIRECT(Index!$L$17),"&lt;"&amp;EDATE($A10,3)))),"")</f>
        <v/>
      </c>
      <c r="C10" s="24"/>
      <c r="D10" s="24"/>
      <c r="E10" s="25" t="str">
        <f aca="false">IFERROR(IF(AND(B10="",ISNUMBER($C$7),ISNUMBER($G$7)),$C$7*(1+$G$7)^(($A10-$E$7)/365.25),""),"")</f>
        <v/>
      </c>
      <c r="F10" s="25" t="str">
        <f aca="false">IFERROR(IF(AND(B10="",ISNUMBER($C$7),ISNUMBER($G$7)),$C$7*(1+$G$7*0.85^MAX(0,($A10-$E$7)/91.25))^(($A10-$E$7)/365.25),""),"")</f>
        <v/>
      </c>
      <c r="J10" s="26" t="n">
        <v>2008</v>
      </c>
      <c r="K10" s="25" t="str">
        <f aca="false">IFERROR(INDEX($B$10:$B$101,MATCH(DATE(J10,10,1),$A$10:$A$101,0)),"")</f>
        <v/>
      </c>
      <c r="L10" s="24"/>
      <c r="M10" s="25" t="str">
        <f aca="false">IFERROR(INDEX($E$10:$E$101,MATCH(DATE(J10,10,1),$A$10:$A$101,0)),"")</f>
        <v/>
      </c>
    </row>
    <row r="11" customFormat="false" ht="15" hidden="false" customHeight="false" outlineLevel="0" collapsed="false">
      <c r="A11" s="27" t="n">
        <v>39539</v>
      </c>
      <c r="B11" s="28" t="str">
        <f aca="true">IFERROR(IF(IFERROR(INDEX(INDIRECT(Index!$M$17),MATCH(EDATE($A11,2),INDIRECT(Index!$L$17),0)),AVERAGEIFS(INDIRECT(Index!$M$17),INDIRECT(Index!$L$17),"&gt;="&amp;$A11,INDIRECT(Index!$L$17),"&lt;"&amp;EDATE($A11,3)))=0,"",IFERROR(INDEX(INDIRECT(Index!$M$17),MATCH(EDATE($A11,2),INDIRECT(Index!$L$17),0)),AVERAGEIFS(INDIRECT(Index!$M$17),INDIRECT(Index!$L$17),"&gt;="&amp;$A11,INDIRECT(Index!$L$17),"&lt;"&amp;EDATE($A11,3)))),"")</f>
        <v/>
      </c>
      <c r="C11" s="29" t="str">
        <f aca="false">IFERROR(B11/B10-1,"")</f>
        <v/>
      </c>
      <c r="D11" s="30"/>
      <c r="E11" s="31" t="str">
        <f aca="false">IFERROR(IF(AND(B11="",ISNUMBER($C$7),ISNUMBER($G$7)),$C$7*(1+$G$7)^(($A11-$E$7)/365.25),""),"")</f>
        <v/>
      </c>
      <c r="F11" s="31" t="str">
        <f aca="false">IFERROR(IF(AND(B11="",ISNUMBER($C$7),ISNUMBER($G$7)),$C$7*(1+$G$7*0.85^MAX(0,($A11-$E$7)/91.25))^(($A11-$E$7)/365.25),""),"")</f>
        <v/>
      </c>
      <c r="J11" s="32" t="n">
        <v>2009</v>
      </c>
      <c r="K11" s="31" t="str">
        <f aca="false">IFERROR(INDEX($B$10:$B$101,MATCH(DATE(J11,10,1),$A$10:$A$101,0)),"")</f>
        <v/>
      </c>
      <c r="L11" s="29" t="str">
        <f aca="false">IFERROR(K11/K10-1,"")</f>
        <v/>
      </c>
      <c r="M11" s="31" t="str">
        <f aca="false">IFERROR(INDEX($E$10:$E$101,MATCH(DATE(J11,10,1),$A$10:$A$101,0)),"")</f>
        <v/>
      </c>
    </row>
    <row r="12" customFormat="false" ht="15" hidden="false" customHeight="false" outlineLevel="0" collapsed="false">
      <c r="A12" s="15" t="n">
        <v>39630</v>
      </c>
      <c r="B12" s="20" t="str">
        <f aca="true">IFERROR(IF(IFERROR(INDEX(INDIRECT(Index!$M$17),MATCH(EDATE($A12,2),INDIRECT(Index!$L$17),0)),AVERAGEIFS(INDIRECT(Index!$M$17),INDIRECT(Index!$L$17),"&gt;="&amp;$A12,INDIRECT(Index!$L$17),"&lt;"&amp;EDATE($A12,3)))=0,"",IFERROR(INDEX(INDIRECT(Index!$M$17),MATCH(EDATE($A12,2),INDIRECT(Index!$L$17),0)),AVERAGEIFS(INDIRECT(Index!$M$17),INDIRECT(Index!$L$17),"&gt;="&amp;$A12,INDIRECT(Index!$L$17),"&lt;"&amp;EDATE($A12,3)))),"")</f>
        <v/>
      </c>
      <c r="C12" s="33" t="str">
        <f aca="false">IFERROR(B12/B11-1,"")</f>
        <v/>
      </c>
      <c r="D12" s="24"/>
      <c r="E12" s="25" t="str">
        <f aca="false">IFERROR(IF(AND(B12="",ISNUMBER($C$7),ISNUMBER($G$7)),$C$7*(1+$G$7)^(($A12-$E$7)/365.25),""),"")</f>
        <v/>
      </c>
      <c r="F12" s="25" t="str">
        <f aca="false">IFERROR(IF(AND(B12="",ISNUMBER($C$7),ISNUMBER($G$7)),$C$7*(1+$G$7*0.85^MAX(0,($A12-$E$7)/91.25))^(($A12-$E$7)/365.25),""),"")</f>
        <v/>
      </c>
      <c r="J12" s="26" t="n">
        <v>2010</v>
      </c>
      <c r="K12" s="25" t="str">
        <f aca="false">IFERROR(INDEX($B$10:$B$101,MATCH(DATE(J12,10,1),$A$10:$A$101,0)),"")</f>
        <v/>
      </c>
      <c r="L12" s="33" t="str">
        <f aca="false">IFERROR(K12/K11-1,"")</f>
        <v/>
      </c>
      <c r="M12" s="25" t="str">
        <f aca="false">IFERROR(INDEX($E$10:$E$101,MATCH(DATE(J12,10,1),$A$10:$A$101,0)),"")</f>
        <v/>
      </c>
    </row>
    <row r="13" customFormat="false" ht="15" hidden="false" customHeight="false" outlineLevel="0" collapsed="false">
      <c r="A13" s="27" t="n">
        <v>39722</v>
      </c>
      <c r="B13" s="28" t="str">
        <f aca="true">IFERROR(IF(IFERROR(INDEX(INDIRECT(Index!$M$17),MATCH(EDATE($A13,2),INDIRECT(Index!$L$17),0)),AVERAGEIFS(INDIRECT(Index!$M$17),INDIRECT(Index!$L$17),"&gt;="&amp;$A13,INDIRECT(Index!$L$17),"&lt;"&amp;EDATE($A13,3)))=0,"",IFERROR(INDEX(INDIRECT(Index!$M$17),MATCH(EDATE($A13,2),INDIRECT(Index!$L$17),0)),AVERAGEIFS(INDIRECT(Index!$M$17),INDIRECT(Index!$L$17),"&gt;="&amp;$A13,INDIRECT(Index!$L$17),"&lt;"&amp;EDATE($A13,3)))),"")</f>
        <v/>
      </c>
      <c r="C13" s="29" t="str">
        <f aca="false">IFERROR(B13/B12-1,"")</f>
        <v/>
      </c>
      <c r="D13" s="30"/>
      <c r="E13" s="31" t="str">
        <f aca="false">IFERROR(IF(AND(B13="",ISNUMBER($C$7),ISNUMBER($G$7)),$C$7*(1+$G$7)^(($A13-$E$7)/365.25),""),"")</f>
        <v/>
      </c>
      <c r="F13" s="31" t="str">
        <f aca="false">IFERROR(IF(AND(B13="",ISNUMBER($C$7),ISNUMBER($G$7)),$C$7*(1+$G$7*0.85^MAX(0,($A13-$E$7)/91.25))^(($A13-$E$7)/365.25),""),"")</f>
        <v/>
      </c>
      <c r="J13" s="32" t="n">
        <v>2011</v>
      </c>
      <c r="K13" s="31" t="str">
        <f aca="false">IFERROR(INDEX($B$10:$B$101,MATCH(DATE(J13,10,1),$A$10:$A$101,0)),"")</f>
        <v/>
      </c>
      <c r="L13" s="29" t="str">
        <f aca="false">IFERROR(K13/K12-1,"")</f>
        <v/>
      </c>
      <c r="M13" s="31" t="str">
        <f aca="false">IFERROR(INDEX($E$10:$E$101,MATCH(DATE(J13,10,1),$A$10:$A$101,0)),"")</f>
        <v/>
      </c>
    </row>
    <row r="14" customFormat="false" ht="15" hidden="false" customHeight="false" outlineLevel="0" collapsed="false">
      <c r="A14" s="15" t="n">
        <v>39814</v>
      </c>
      <c r="B14" s="20" t="str">
        <f aca="true">IFERROR(IF(IFERROR(INDEX(INDIRECT(Index!$M$17),MATCH(EDATE($A14,2),INDIRECT(Index!$L$17),0)),AVERAGEIFS(INDIRECT(Index!$M$17),INDIRECT(Index!$L$17),"&gt;="&amp;$A14,INDIRECT(Index!$L$17),"&lt;"&amp;EDATE($A14,3)))=0,"",IFERROR(INDEX(INDIRECT(Index!$M$17),MATCH(EDATE($A14,2),INDIRECT(Index!$L$17),0)),AVERAGEIFS(INDIRECT(Index!$M$17),INDIRECT(Index!$L$17),"&gt;="&amp;$A14,INDIRECT(Index!$L$17),"&lt;"&amp;EDATE($A14,3)))),"")</f>
        <v/>
      </c>
      <c r="C14" s="33" t="str">
        <f aca="false">IFERROR(B14/B13-1,"")</f>
        <v/>
      </c>
      <c r="D14" s="33" t="str">
        <f aca="false">IFERROR(B14/B10-1,"")</f>
        <v/>
      </c>
      <c r="E14" s="25" t="str">
        <f aca="false">IFERROR(IF(AND(B14="",ISNUMBER($C$7),ISNUMBER($G$7)),$C$7*(1+$G$7)^(($A14-$E$7)/365.25),""),"")</f>
        <v/>
      </c>
      <c r="F14" s="25" t="str">
        <f aca="false">IFERROR(IF(AND(B14="",ISNUMBER($C$7),ISNUMBER($G$7)),$C$7*(1+$G$7*0.85^MAX(0,($A14-$E$7)/91.25))^(($A14-$E$7)/365.25),""),"")</f>
        <v/>
      </c>
      <c r="J14" s="26" t="n">
        <v>2012</v>
      </c>
      <c r="K14" s="25" t="str">
        <f aca="false">IFERROR(INDEX($B$10:$B$101,MATCH(DATE(J14,10,1),$A$10:$A$101,0)),"")</f>
        <v/>
      </c>
      <c r="L14" s="33" t="str">
        <f aca="false">IFERROR(K14/K13-1,"")</f>
        <v/>
      </c>
      <c r="M14" s="25" t="str">
        <f aca="false">IFERROR(INDEX($E$10:$E$101,MATCH(DATE(J14,10,1),$A$10:$A$101,0)),"")</f>
        <v/>
      </c>
    </row>
    <row r="15" customFormat="false" ht="15" hidden="false" customHeight="false" outlineLevel="0" collapsed="false">
      <c r="A15" s="27" t="n">
        <v>39904</v>
      </c>
      <c r="B15" s="28" t="str">
        <f aca="true">IFERROR(IF(IFERROR(INDEX(INDIRECT(Index!$M$17),MATCH(EDATE($A15,2),INDIRECT(Index!$L$17),0)),AVERAGEIFS(INDIRECT(Index!$M$17),INDIRECT(Index!$L$17),"&gt;="&amp;$A15,INDIRECT(Index!$L$17),"&lt;"&amp;EDATE($A15,3)))=0,"",IFERROR(INDEX(INDIRECT(Index!$M$17),MATCH(EDATE($A15,2),INDIRECT(Index!$L$17),0)),AVERAGEIFS(INDIRECT(Index!$M$17),INDIRECT(Index!$L$17),"&gt;="&amp;$A15,INDIRECT(Index!$L$17),"&lt;"&amp;EDATE($A15,3)))),"")</f>
        <v/>
      </c>
      <c r="C15" s="29" t="str">
        <f aca="false">IFERROR(B15/B14-1,"")</f>
        <v/>
      </c>
      <c r="D15" s="29" t="str">
        <f aca="false">IFERROR(B15/B11-1,"")</f>
        <v/>
      </c>
      <c r="E15" s="31" t="str">
        <f aca="false">IFERROR(IF(AND(B15="",ISNUMBER($C$7),ISNUMBER($G$7)),$C$7*(1+$G$7)^(($A15-$E$7)/365.25),""),"")</f>
        <v/>
      </c>
      <c r="F15" s="31" t="str">
        <f aca="false">IFERROR(IF(AND(B15="",ISNUMBER($C$7),ISNUMBER($G$7)),$C$7*(1+$G$7*0.85^MAX(0,($A15-$E$7)/91.25))^(($A15-$E$7)/365.25),""),"")</f>
        <v/>
      </c>
      <c r="J15" s="32" t="n">
        <v>2013</v>
      </c>
      <c r="K15" s="31" t="str">
        <f aca="false">IFERROR(INDEX($B$10:$B$101,MATCH(DATE(J15,10,1),$A$10:$A$101,0)),"")</f>
        <v/>
      </c>
      <c r="L15" s="29" t="str">
        <f aca="false">IFERROR(K15/K14-1,"")</f>
        <v/>
      </c>
      <c r="M15" s="31" t="str">
        <f aca="false">IFERROR(INDEX($E$10:$E$101,MATCH(DATE(J15,10,1),$A$10:$A$101,0)),"")</f>
        <v/>
      </c>
    </row>
    <row r="16" customFormat="false" ht="15" hidden="false" customHeight="false" outlineLevel="0" collapsed="false">
      <c r="A16" s="15" t="n">
        <v>39995</v>
      </c>
      <c r="B16" s="20" t="str">
        <f aca="true">IFERROR(IF(IFERROR(INDEX(INDIRECT(Index!$M$17),MATCH(EDATE($A16,2),INDIRECT(Index!$L$17),0)),AVERAGEIFS(INDIRECT(Index!$M$17),INDIRECT(Index!$L$17),"&gt;="&amp;$A16,INDIRECT(Index!$L$17),"&lt;"&amp;EDATE($A16,3)))=0,"",IFERROR(INDEX(INDIRECT(Index!$M$17),MATCH(EDATE($A16,2),INDIRECT(Index!$L$17),0)),AVERAGEIFS(INDIRECT(Index!$M$17),INDIRECT(Index!$L$17),"&gt;="&amp;$A16,INDIRECT(Index!$L$17),"&lt;"&amp;EDATE($A16,3)))),"")</f>
        <v/>
      </c>
      <c r="C16" s="33" t="str">
        <f aca="false">IFERROR(B16/B15-1,"")</f>
        <v/>
      </c>
      <c r="D16" s="33" t="str">
        <f aca="false">IFERROR(B16/B12-1,"")</f>
        <v/>
      </c>
      <c r="E16" s="25" t="str">
        <f aca="false">IFERROR(IF(AND(B16="",ISNUMBER($C$7),ISNUMBER($G$7)),$C$7*(1+$G$7)^(($A16-$E$7)/365.25),""),"")</f>
        <v/>
      </c>
      <c r="F16" s="25" t="str">
        <f aca="false">IFERROR(IF(AND(B16="",ISNUMBER($C$7),ISNUMBER($G$7)),$C$7*(1+$G$7*0.85^MAX(0,($A16-$E$7)/91.25))^(($A16-$E$7)/365.25),""),"")</f>
        <v/>
      </c>
      <c r="J16" s="26" t="n">
        <v>2014</v>
      </c>
      <c r="K16" s="25" t="str">
        <f aca="false">IFERROR(INDEX($B$10:$B$101,MATCH(DATE(J16,10,1),$A$10:$A$101,0)),"")</f>
        <v/>
      </c>
      <c r="L16" s="33" t="str">
        <f aca="false">IFERROR(K16/K15-1,"")</f>
        <v/>
      </c>
      <c r="M16" s="25" t="str">
        <f aca="false">IFERROR(INDEX($E$10:$E$101,MATCH(DATE(J16,10,1),$A$10:$A$101,0)),"")</f>
        <v/>
      </c>
    </row>
    <row r="17" customFormat="false" ht="15" hidden="false" customHeight="false" outlineLevel="0" collapsed="false">
      <c r="A17" s="27" t="n">
        <v>40087</v>
      </c>
      <c r="B17" s="28" t="str">
        <f aca="true">IFERROR(IF(IFERROR(INDEX(INDIRECT(Index!$M$17),MATCH(EDATE($A17,2),INDIRECT(Index!$L$17),0)),AVERAGEIFS(INDIRECT(Index!$M$17),INDIRECT(Index!$L$17),"&gt;="&amp;$A17,INDIRECT(Index!$L$17),"&lt;"&amp;EDATE($A17,3)))=0,"",IFERROR(INDEX(INDIRECT(Index!$M$17),MATCH(EDATE($A17,2),INDIRECT(Index!$L$17),0)),AVERAGEIFS(INDIRECT(Index!$M$17),INDIRECT(Index!$L$17),"&gt;="&amp;$A17,INDIRECT(Index!$L$17),"&lt;"&amp;EDATE($A17,3)))),"")</f>
        <v/>
      </c>
      <c r="C17" s="29" t="str">
        <f aca="false">IFERROR(B17/B16-1,"")</f>
        <v/>
      </c>
      <c r="D17" s="29" t="str">
        <f aca="false">IFERROR(B17/B13-1,"")</f>
        <v/>
      </c>
      <c r="E17" s="31" t="str">
        <f aca="false">IFERROR(IF(AND(B17="",ISNUMBER($C$7),ISNUMBER($G$7)),$C$7*(1+$G$7)^(($A17-$E$7)/365.25),""),"")</f>
        <v/>
      </c>
      <c r="F17" s="31" t="str">
        <f aca="false">IFERROR(IF(AND(B17="",ISNUMBER($C$7),ISNUMBER($G$7)),$C$7*(1+$G$7*0.85^MAX(0,($A17-$E$7)/91.25))^(($A17-$E$7)/365.25),""),"")</f>
        <v/>
      </c>
      <c r="J17" s="32" t="n">
        <v>2015</v>
      </c>
      <c r="K17" s="31" t="str">
        <f aca="false">IFERROR(INDEX($B$10:$B$101,MATCH(DATE(J17,10,1),$A$10:$A$101,0)),"")</f>
        <v/>
      </c>
      <c r="L17" s="29" t="str">
        <f aca="false">IFERROR(K17/K16-1,"")</f>
        <v/>
      </c>
      <c r="M17" s="31" t="str">
        <f aca="false">IFERROR(INDEX($E$10:$E$101,MATCH(DATE(J17,10,1),$A$10:$A$101,0)),"")</f>
        <v/>
      </c>
    </row>
    <row r="18" customFormat="false" ht="15" hidden="false" customHeight="false" outlineLevel="0" collapsed="false">
      <c r="A18" s="15" t="n">
        <v>40179</v>
      </c>
      <c r="B18" s="20" t="str">
        <f aca="true">IFERROR(IF(IFERROR(INDEX(INDIRECT(Index!$M$17),MATCH(EDATE($A18,2),INDIRECT(Index!$L$17),0)),AVERAGEIFS(INDIRECT(Index!$M$17),INDIRECT(Index!$L$17),"&gt;="&amp;$A18,INDIRECT(Index!$L$17),"&lt;"&amp;EDATE($A18,3)))=0,"",IFERROR(INDEX(INDIRECT(Index!$M$17),MATCH(EDATE($A18,2),INDIRECT(Index!$L$17),0)),AVERAGEIFS(INDIRECT(Index!$M$17),INDIRECT(Index!$L$17),"&gt;="&amp;$A18,INDIRECT(Index!$L$17),"&lt;"&amp;EDATE($A18,3)))),"")</f>
        <v/>
      </c>
      <c r="C18" s="33" t="str">
        <f aca="false">IFERROR(B18/B17-1,"")</f>
        <v/>
      </c>
      <c r="D18" s="33" t="str">
        <f aca="false">IFERROR(B18/B14-1,"")</f>
        <v/>
      </c>
      <c r="E18" s="25" t="str">
        <f aca="false">IFERROR(IF(AND(B18="",ISNUMBER($C$7),ISNUMBER($G$7)),$C$7*(1+$G$7)^(($A18-$E$7)/365.25),""),"")</f>
        <v/>
      </c>
      <c r="F18" s="25" t="str">
        <f aca="false">IFERROR(IF(AND(B18="",ISNUMBER($C$7),ISNUMBER($G$7)),$C$7*(1+$G$7*0.85^MAX(0,($A18-$E$7)/91.25))^(($A18-$E$7)/365.25),""),"")</f>
        <v/>
      </c>
      <c r="J18" s="26" t="n">
        <v>2016</v>
      </c>
      <c r="K18" s="25" t="str">
        <f aca="false">IFERROR(INDEX($B$10:$B$101,MATCH(DATE(J18,10,1),$A$10:$A$101,0)),"")</f>
        <v/>
      </c>
      <c r="L18" s="33" t="str">
        <f aca="false">IFERROR(K18/K17-1,"")</f>
        <v/>
      </c>
      <c r="M18" s="25" t="str">
        <f aca="false">IFERROR(INDEX($E$10:$E$101,MATCH(DATE(J18,10,1),$A$10:$A$101,0)),"")</f>
        <v/>
      </c>
    </row>
    <row r="19" customFormat="false" ht="15" hidden="false" customHeight="false" outlineLevel="0" collapsed="false">
      <c r="A19" s="27" t="n">
        <v>40269</v>
      </c>
      <c r="B19" s="28" t="str">
        <f aca="true">IFERROR(IF(IFERROR(INDEX(INDIRECT(Index!$M$17),MATCH(EDATE($A19,2),INDIRECT(Index!$L$17),0)),AVERAGEIFS(INDIRECT(Index!$M$17),INDIRECT(Index!$L$17),"&gt;="&amp;$A19,INDIRECT(Index!$L$17),"&lt;"&amp;EDATE($A19,3)))=0,"",IFERROR(INDEX(INDIRECT(Index!$M$17),MATCH(EDATE($A19,2),INDIRECT(Index!$L$17),0)),AVERAGEIFS(INDIRECT(Index!$M$17),INDIRECT(Index!$L$17),"&gt;="&amp;$A19,INDIRECT(Index!$L$17),"&lt;"&amp;EDATE($A19,3)))),"")</f>
        <v/>
      </c>
      <c r="C19" s="29" t="str">
        <f aca="false">IFERROR(B19/B18-1,"")</f>
        <v/>
      </c>
      <c r="D19" s="29" t="str">
        <f aca="false">IFERROR(B19/B15-1,"")</f>
        <v/>
      </c>
      <c r="E19" s="31" t="str">
        <f aca="false">IFERROR(IF(AND(B19="",ISNUMBER($C$7),ISNUMBER($G$7)),$C$7*(1+$G$7)^(($A19-$E$7)/365.25),""),"")</f>
        <v/>
      </c>
      <c r="F19" s="31" t="str">
        <f aca="false">IFERROR(IF(AND(B19="",ISNUMBER($C$7),ISNUMBER($G$7)),$C$7*(1+$G$7*0.85^MAX(0,($A19-$E$7)/91.25))^(($A19-$E$7)/365.25),""),"")</f>
        <v/>
      </c>
      <c r="J19" s="32" t="n">
        <v>2017</v>
      </c>
      <c r="K19" s="31" t="str">
        <f aca="false">IFERROR(INDEX($B$10:$B$101,MATCH(DATE(J19,10,1),$A$10:$A$101,0)),"")</f>
        <v/>
      </c>
      <c r="L19" s="29" t="str">
        <f aca="false">IFERROR(K19/K18-1,"")</f>
        <v/>
      </c>
      <c r="M19" s="31" t="str">
        <f aca="false">IFERROR(INDEX($E$10:$E$101,MATCH(DATE(J19,10,1),$A$10:$A$101,0)),"")</f>
        <v/>
      </c>
    </row>
    <row r="20" customFormat="false" ht="15" hidden="false" customHeight="false" outlineLevel="0" collapsed="false">
      <c r="A20" s="15" t="n">
        <v>40360</v>
      </c>
      <c r="B20" s="20" t="str">
        <f aca="true">IFERROR(IF(IFERROR(INDEX(INDIRECT(Index!$M$17),MATCH(EDATE($A20,2),INDIRECT(Index!$L$17),0)),AVERAGEIFS(INDIRECT(Index!$M$17),INDIRECT(Index!$L$17),"&gt;="&amp;$A20,INDIRECT(Index!$L$17),"&lt;"&amp;EDATE($A20,3)))=0,"",IFERROR(INDEX(INDIRECT(Index!$M$17),MATCH(EDATE($A20,2),INDIRECT(Index!$L$17),0)),AVERAGEIFS(INDIRECT(Index!$M$17),INDIRECT(Index!$L$17),"&gt;="&amp;$A20,INDIRECT(Index!$L$17),"&lt;"&amp;EDATE($A20,3)))),"")</f>
        <v/>
      </c>
      <c r="C20" s="33" t="str">
        <f aca="false">IFERROR(B20/B19-1,"")</f>
        <v/>
      </c>
      <c r="D20" s="33" t="str">
        <f aca="false">IFERROR(B20/B16-1,"")</f>
        <v/>
      </c>
      <c r="E20" s="25" t="str">
        <f aca="false">IFERROR(IF(AND(B20="",ISNUMBER($C$7),ISNUMBER($G$7)),$C$7*(1+$G$7)^(($A20-$E$7)/365.25),""),"")</f>
        <v/>
      </c>
      <c r="F20" s="25" t="str">
        <f aca="false">IFERROR(IF(AND(B20="",ISNUMBER($C$7),ISNUMBER($G$7)),$C$7*(1+$G$7*0.85^MAX(0,($A20-$E$7)/91.25))^(($A20-$E$7)/365.25),""),"")</f>
        <v/>
      </c>
      <c r="J20" s="26" t="n">
        <v>2018</v>
      </c>
      <c r="K20" s="25" t="str">
        <f aca="false">IFERROR(INDEX($B$10:$B$101,MATCH(DATE(J20,10,1),$A$10:$A$101,0)),"")</f>
        <v/>
      </c>
      <c r="L20" s="33" t="str">
        <f aca="false">IFERROR(K20/K19-1,"")</f>
        <v/>
      </c>
      <c r="M20" s="25" t="str">
        <f aca="false">IFERROR(INDEX($E$10:$E$101,MATCH(DATE(J20,10,1),$A$10:$A$101,0)),"")</f>
        <v/>
      </c>
    </row>
    <row r="21" customFormat="false" ht="15" hidden="false" customHeight="false" outlineLevel="0" collapsed="false">
      <c r="A21" s="27" t="n">
        <v>40452</v>
      </c>
      <c r="B21" s="28" t="str">
        <f aca="true">IFERROR(IF(IFERROR(INDEX(INDIRECT(Index!$M$17),MATCH(EDATE($A21,2),INDIRECT(Index!$L$17),0)),AVERAGEIFS(INDIRECT(Index!$M$17),INDIRECT(Index!$L$17),"&gt;="&amp;$A21,INDIRECT(Index!$L$17),"&lt;"&amp;EDATE($A21,3)))=0,"",IFERROR(INDEX(INDIRECT(Index!$M$17),MATCH(EDATE($A21,2),INDIRECT(Index!$L$17),0)),AVERAGEIFS(INDIRECT(Index!$M$17),INDIRECT(Index!$L$17),"&gt;="&amp;$A21,INDIRECT(Index!$L$17),"&lt;"&amp;EDATE($A21,3)))),"")</f>
        <v/>
      </c>
      <c r="C21" s="29" t="str">
        <f aca="false">IFERROR(B21/B20-1,"")</f>
        <v/>
      </c>
      <c r="D21" s="29" t="str">
        <f aca="false">IFERROR(B21/B17-1,"")</f>
        <v/>
      </c>
      <c r="E21" s="31" t="str">
        <f aca="false">IFERROR(IF(AND(B21="",ISNUMBER($C$7),ISNUMBER($G$7)),$C$7*(1+$G$7)^(($A21-$E$7)/365.25),""),"")</f>
        <v/>
      </c>
      <c r="F21" s="31" t="str">
        <f aca="false">IFERROR(IF(AND(B21="",ISNUMBER($C$7),ISNUMBER($G$7)),$C$7*(1+$G$7*0.85^MAX(0,($A21-$E$7)/91.25))^(($A21-$E$7)/365.25),""),"")</f>
        <v/>
      </c>
      <c r="J21" s="32" t="n">
        <v>2019</v>
      </c>
      <c r="K21" s="31" t="str">
        <f aca="false">IFERROR(INDEX($B$10:$B$101,MATCH(DATE(J21,10,1),$A$10:$A$101,0)),"")</f>
        <v/>
      </c>
      <c r="L21" s="29" t="str">
        <f aca="false">IFERROR(K21/K20-1,"")</f>
        <v/>
      </c>
      <c r="M21" s="31" t="str">
        <f aca="false">IFERROR(INDEX($E$10:$E$101,MATCH(DATE(J21,10,1),$A$10:$A$101,0)),"")</f>
        <v/>
      </c>
    </row>
    <row r="22" customFormat="false" ht="15" hidden="false" customHeight="false" outlineLevel="0" collapsed="false">
      <c r="A22" s="15" t="n">
        <v>40544</v>
      </c>
      <c r="B22" s="20" t="str">
        <f aca="true">IFERROR(IF(IFERROR(INDEX(INDIRECT(Index!$M$17),MATCH(EDATE($A22,2),INDIRECT(Index!$L$17),0)),AVERAGEIFS(INDIRECT(Index!$M$17),INDIRECT(Index!$L$17),"&gt;="&amp;$A22,INDIRECT(Index!$L$17),"&lt;"&amp;EDATE($A22,3)))=0,"",IFERROR(INDEX(INDIRECT(Index!$M$17),MATCH(EDATE($A22,2),INDIRECT(Index!$L$17),0)),AVERAGEIFS(INDIRECT(Index!$M$17),INDIRECT(Index!$L$17),"&gt;="&amp;$A22,INDIRECT(Index!$L$17),"&lt;"&amp;EDATE($A22,3)))),"")</f>
        <v/>
      </c>
      <c r="C22" s="33" t="str">
        <f aca="false">IFERROR(B22/B21-1,"")</f>
        <v/>
      </c>
      <c r="D22" s="33" t="str">
        <f aca="false">IFERROR(B22/B18-1,"")</f>
        <v/>
      </c>
      <c r="E22" s="25" t="str">
        <f aca="false">IFERROR(IF(AND(B22="",ISNUMBER($C$7),ISNUMBER($G$7)),$C$7*(1+$G$7)^(($A22-$E$7)/365.25),""),"")</f>
        <v/>
      </c>
      <c r="F22" s="25" t="str">
        <f aca="false">IFERROR(IF(AND(B22="",ISNUMBER($C$7),ISNUMBER($G$7)),$C$7*(1+$G$7*0.85^MAX(0,($A22-$E$7)/91.25))^(($A22-$E$7)/365.25),""),"")</f>
        <v/>
      </c>
      <c r="J22" s="26" t="n">
        <v>2020</v>
      </c>
      <c r="K22" s="25" t="str">
        <f aca="false">IFERROR(INDEX($B$10:$B$101,MATCH(DATE(J22,10,1),$A$10:$A$101,0)),"")</f>
        <v/>
      </c>
      <c r="L22" s="33" t="str">
        <f aca="false">IFERROR(K22/K21-1,"")</f>
        <v/>
      </c>
      <c r="M22" s="25" t="str">
        <f aca="false">IFERROR(INDEX($E$10:$E$101,MATCH(DATE(J22,10,1),$A$10:$A$101,0)),"")</f>
        <v/>
      </c>
    </row>
    <row r="23" customFormat="false" ht="15" hidden="false" customHeight="false" outlineLevel="0" collapsed="false">
      <c r="A23" s="27" t="n">
        <v>40634</v>
      </c>
      <c r="B23" s="28" t="str">
        <f aca="true">IFERROR(IF(IFERROR(INDEX(INDIRECT(Index!$M$17),MATCH(EDATE($A23,2),INDIRECT(Index!$L$17),0)),AVERAGEIFS(INDIRECT(Index!$M$17),INDIRECT(Index!$L$17),"&gt;="&amp;$A23,INDIRECT(Index!$L$17),"&lt;"&amp;EDATE($A23,3)))=0,"",IFERROR(INDEX(INDIRECT(Index!$M$17),MATCH(EDATE($A23,2),INDIRECT(Index!$L$17),0)),AVERAGEIFS(INDIRECT(Index!$M$17),INDIRECT(Index!$L$17),"&gt;="&amp;$A23,INDIRECT(Index!$L$17),"&lt;"&amp;EDATE($A23,3)))),"")</f>
        <v/>
      </c>
      <c r="C23" s="29" t="str">
        <f aca="false">IFERROR(B23/B22-1,"")</f>
        <v/>
      </c>
      <c r="D23" s="29" t="str">
        <f aca="false">IFERROR(B23/B19-1,"")</f>
        <v/>
      </c>
      <c r="E23" s="31" t="str">
        <f aca="false">IFERROR(IF(AND(B23="",ISNUMBER($C$7),ISNUMBER($G$7)),$C$7*(1+$G$7)^(($A23-$E$7)/365.25),""),"")</f>
        <v/>
      </c>
      <c r="F23" s="31" t="str">
        <f aca="false">IFERROR(IF(AND(B23="",ISNUMBER($C$7),ISNUMBER($G$7)),$C$7*(1+$G$7*0.85^MAX(0,($A23-$E$7)/91.25))^(($A23-$E$7)/365.25),""),"")</f>
        <v/>
      </c>
      <c r="J23" s="32" t="n">
        <v>2021</v>
      </c>
      <c r="K23" s="31" t="str">
        <f aca="false">IFERROR(INDEX($B$10:$B$101,MATCH(DATE(J23,10,1),$A$10:$A$101,0)),"")</f>
        <v/>
      </c>
      <c r="L23" s="29" t="str">
        <f aca="false">IFERROR(K23/K22-1,"")</f>
        <v/>
      </c>
      <c r="M23" s="31" t="str">
        <f aca="false">IFERROR(INDEX($E$10:$E$101,MATCH(DATE(J23,10,1),$A$10:$A$101,0)),"")</f>
        <v/>
      </c>
    </row>
    <row r="24" customFormat="false" ht="15" hidden="false" customHeight="false" outlineLevel="0" collapsed="false">
      <c r="A24" s="15" t="n">
        <v>40725</v>
      </c>
      <c r="B24" s="20" t="str">
        <f aca="true">IFERROR(IF(IFERROR(INDEX(INDIRECT(Index!$M$17),MATCH(EDATE($A24,2),INDIRECT(Index!$L$17),0)),AVERAGEIFS(INDIRECT(Index!$M$17),INDIRECT(Index!$L$17),"&gt;="&amp;$A24,INDIRECT(Index!$L$17),"&lt;"&amp;EDATE($A24,3)))=0,"",IFERROR(INDEX(INDIRECT(Index!$M$17),MATCH(EDATE($A24,2),INDIRECT(Index!$L$17),0)),AVERAGEIFS(INDIRECT(Index!$M$17),INDIRECT(Index!$L$17),"&gt;="&amp;$A24,INDIRECT(Index!$L$17),"&lt;"&amp;EDATE($A24,3)))),"")</f>
        <v/>
      </c>
      <c r="C24" s="33" t="str">
        <f aca="false">IFERROR(B24/B23-1,"")</f>
        <v/>
      </c>
      <c r="D24" s="33" t="str">
        <f aca="false">IFERROR(B24/B20-1,"")</f>
        <v/>
      </c>
      <c r="E24" s="25" t="str">
        <f aca="false">IFERROR(IF(AND(B24="",ISNUMBER($C$7),ISNUMBER($G$7)),$C$7*(1+$G$7)^(($A24-$E$7)/365.25),""),"")</f>
        <v/>
      </c>
      <c r="F24" s="25" t="str">
        <f aca="false">IFERROR(IF(AND(B24="",ISNUMBER($C$7),ISNUMBER($G$7)),$C$7*(1+$G$7*0.85^MAX(0,($A24-$E$7)/91.25))^(($A24-$E$7)/365.25),""),"")</f>
        <v/>
      </c>
      <c r="J24" s="26" t="n">
        <v>2022</v>
      </c>
      <c r="K24" s="25" t="str">
        <f aca="false">IFERROR(INDEX($B$10:$B$101,MATCH(DATE(J24,10,1),$A$10:$A$101,0)),"")</f>
        <v/>
      </c>
      <c r="L24" s="33" t="str">
        <f aca="false">IFERROR(K24/K23-1,"")</f>
        <v/>
      </c>
      <c r="M24" s="25" t="str">
        <f aca="false">IFERROR(INDEX($E$10:$E$101,MATCH(DATE(J24,10,1),$A$10:$A$101,0)),"")</f>
        <v/>
      </c>
    </row>
    <row r="25" customFormat="false" ht="15" hidden="false" customHeight="false" outlineLevel="0" collapsed="false">
      <c r="A25" s="27" t="n">
        <v>40817</v>
      </c>
      <c r="B25" s="28" t="str">
        <f aca="true">IFERROR(IF(IFERROR(INDEX(INDIRECT(Index!$M$17),MATCH(EDATE($A25,2),INDIRECT(Index!$L$17),0)),AVERAGEIFS(INDIRECT(Index!$M$17),INDIRECT(Index!$L$17),"&gt;="&amp;$A25,INDIRECT(Index!$L$17),"&lt;"&amp;EDATE($A25,3)))=0,"",IFERROR(INDEX(INDIRECT(Index!$M$17),MATCH(EDATE($A25,2),INDIRECT(Index!$L$17),0)),AVERAGEIFS(INDIRECT(Index!$M$17),INDIRECT(Index!$L$17),"&gt;="&amp;$A25,INDIRECT(Index!$L$17),"&lt;"&amp;EDATE($A25,3)))),"")</f>
        <v/>
      </c>
      <c r="C25" s="29" t="str">
        <f aca="false">IFERROR(B25/B24-1,"")</f>
        <v/>
      </c>
      <c r="D25" s="29" t="str">
        <f aca="false">IFERROR(B25/B21-1,"")</f>
        <v/>
      </c>
      <c r="E25" s="31" t="str">
        <f aca="false">IFERROR(IF(AND(B25="",ISNUMBER($C$7),ISNUMBER($G$7)),$C$7*(1+$G$7)^(($A25-$E$7)/365.25),""),"")</f>
        <v/>
      </c>
      <c r="F25" s="31" t="str">
        <f aca="false">IFERROR(IF(AND(B25="",ISNUMBER($C$7),ISNUMBER($G$7)),$C$7*(1+$G$7*0.85^MAX(0,($A25-$E$7)/91.25))^(($A25-$E$7)/365.25),""),"")</f>
        <v/>
      </c>
      <c r="J25" s="32" t="n">
        <v>2023</v>
      </c>
      <c r="K25" s="31" t="str">
        <f aca="false">IFERROR(INDEX($B$10:$B$101,MATCH(DATE(J25,10,1),$A$10:$A$101,0)),"")</f>
        <v/>
      </c>
      <c r="L25" s="29" t="str">
        <f aca="false">IFERROR(K25/K24-1,"")</f>
        <v/>
      </c>
      <c r="M25" s="31" t="str">
        <f aca="false">IFERROR(INDEX($E$10:$E$101,MATCH(DATE(J25,10,1),$A$10:$A$101,0)),"")</f>
        <v/>
      </c>
    </row>
    <row r="26" customFormat="false" ht="15" hidden="false" customHeight="false" outlineLevel="0" collapsed="false">
      <c r="A26" s="15" t="n">
        <v>40909</v>
      </c>
      <c r="B26" s="20" t="str">
        <f aca="true">IFERROR(IF(IFERROR(INDEX(INDIRECT(Index!$M$17),MATCH(EDATE($A26,2),INDIRECT(Index!$L$17),0)),AVERAGEIFS(INDIRECT(Index!$M$17),INDIRECT(Index!$L$17),"&gt;="&amp;$A26,INDIRECT(Index!$L$17),"&lt;"&amp;EDATE($A26,3)))=0,"",IFERROR(INDEX(INDIRECT(Index!$M$17),MATCH(EDATE($A26,2),INDIRECT(Index!$L$17),0)),AVERAGEIFS(INDIRECT(Index!$M$17),INDIRECT(Index!$L$17),"&gt;="&amp;$A26,INDIRECT(Index!$L$17),"&lt;"&amp;EDATE($A26,3)))),"")</f>
        <v/>
      </c>
      <c r="C26" s="33" t="str">
        <f aca="false">IFERROR(B26/B25-1,"")</f>
        <v/>
      </c>
      <c r="D26" s="33" t="str">
        <f aca="false">IFERROR(B26/B22-1,"")</f>
        <v/>
      </c>
      <c r="E26" s="25" t="str">
        <f aca="false">IFERROR(IF(AND(B26="",ISNUMBER($C$7),ISNUMBER($G$7)),$C$7*(1+$G$7)^(($A26-$E$7)/365.25),""),"")</f>
        <v/>
      </c>
      <c r="F26" s="25" t="str">
        <f aca="false">IFERROR(IF(AND(B26="",ISNUMBER($C$7),ISNUMBER($G$7)),$C$7*(1+$G$7*0.85^MAX(0,($A26-$E$7)/91.25))^(($A26-$E$7)/365.25),""),"")</f>
        <v/>
      </c>
      <c r="J26" s="26" t="n">
        <v>2024</v>
      </c>
      <c r="K26" s="25" t="str">
        <f aca="false">IFERROR(INDEX($B$10:$B$101,MATCH(DATE(J26,10,1),$A$10:$A$101,0)),"")</f>
        <v/>
      </c>
      <c r="L26" s="33" t="str">
        <f aca="false">IFERROR(K26/K25-1,"")</f>
        <v/>
      </c>
      <c r="M26" s="25" t="str">
        <f aca="false">IFERROR(INDEX($E$10:$E$101,MATCH(DATE(J26,10,1),$A$10:$A$101,0)),"")</f>
        <v/>
      </c>
    </row>
    <row r="27" customFormat="false" ht="15" hidden="false" customHeight="false" outlineLevel="0" collapsed="false">
      <c r="A27" s="27" t="n">
        <v>41000</v>
      </c>
      <c r="B27" s="28" t="str">
        <f aca="true">IFERROR(IF(IFERROR(INDEX(INDIRECT(Index!$M$17),MATCH(EDATE($A27,2),INDIRECT(Index!$L$17),0)),AVERAGEIFS(INDIRECT(Index!$M$17),INDIRECT(Index!$L$17),"&gt;="&amp;$A27,INDIRECT(Index!$L$17),"&lt;"&amp;EDATE($A27,3)))=0,"",IFERROR(INDEX(INDIRECT(Index!$M$17),MATCH(EDATE($A27,2),INDIRECT(Index!$L$17),0)),AVERAGEIFS(INDIRECT(Index!$M$17),INDIRECT(Index!$L$17),"&gt;="&amp;$A27,INDIRECT(Index!$L$17),"&lt;"&amp;EDATE($A27,3)))),"")</f>
        <v/>
      </c>
      <c r="C27" s="29" t="str">
        <f aca="false">IFERROR(B27/B26-1,"")</f>
        <v/>
      </c>
      <c r="D27" s="29" t="str">
        <f aca="false">IFERROR(B27/B23-1,"")</f>
        <v/>
      </c>
      <c r="E27" s="31" t="str">
        <f aca="false">IFERROR(IF(AND(B27="",ISNUMBER($C$7),ISNUMBER($G$7)),$C$7*(1+$G$7)^(($A27-$E$7)/365.25),""),"")</f>
        <v/>
      </c>
      <c r="F27" s="31" t="str">
        <f aca="false">IFERROR(IF(AND(B27="",ISNUMBER($C$7),ISNUMBER($G$7)),$C$7*(1+$G$7*0.85^MAX(0,($A27-$E$7)/91.25))^(($A27-$E$7)/365.25),""),"")</f>
        <v/>
      </c>
      <c r="J27" s="32" t="n">
        <v>2025</v>
      </c>
      <c r="K27" s="31" t="str">
        <f aca="false">IFERROR(INDEX($B$10:$B$101,MATCH(DATE(J27,10,1),$A$10:$A$101,0)),"")</f>
        <v/>
      </c>
      <c r="L27" s="29" t="str">
        <f aca="false">IFERROR(K27/K26-1,"")</f>
        <v/>
      </c>
      <c r="M27" s="31" t="str">
        <f aca="false">IFERROR(INDEX($E$10:$E$101,MATCH(DATE(J27,10,1),$A$10:$A$101,0)),"")</f>
        <v/>
      </c>
    </row>
    <row r="28" customFormat="false" ht="15" hidden="false" customHeight="false" outlineLevel="0" collapsed="false">
      <c r="A28" s="15" t="n">
        <v>41091</v>
      </c>
      <c r="B28" s="20" t="str">
        <f aca="true">IFERROR(IF(IFERROR(INDEX(INDIRECT(Index!$M$17),MATCH(EDATE($A28,2),INDIRECT(Index!$L$17),0)),AVERAGEIFS(INDIRECT(Index!$M$17),INDIRECT(Index!$L$17),"&gt;="&amp;$A28,INDIRECT(Index!$L$17),"&lt;"&amp;EDATE($A28,3)))=0,"",IFERROR(INDEX(INDIRECT(Index!$M$17),MATCH(EDATE($A28,2),INDIRECT(Index!$L$17),0)),AVERAGEIFS(INDIRECT(Index!$M$17),INDIRECT(Index!$L$17),"&gt;="&amp;$A28,INDIRECT(Index!$L$17),"&lt;"&amp;EDATE($A28,3)))),"")</f>
        <v/>
      </c>
      <c r="C28" s="33" t="str">
        <f aca="false">IFERROR(B28/B27-1,"")</f>
        <v/>
      </c>
      <c r="D28" s="33" t="str">
        <f aca="false">IFERROR(B28/B24-1,"")</f>
        <v/>
      </c>
      <c r="E28" s="25" t="str">
        <f aca="false">IFERROR(IF(AND(B28="",ISNUMBER($C$7),ISNUMBER($G$7)),$C$7*(1+$G$7)^(($A28-$E$7)/365.25),""),"")</f>
        <v/>
      </c>
      <c r="F28" s="25" t="str">
        <f aca="false">IFERROR(IF(AND(B28="",ISNUMBER($C$7),ISNUMBER($G$7)),$C$7*(1+$G$7*0.85^MAX(0,($A28-$E$7)/91.25))^(($A28-$E$7)/365.25),""),"")</f>
        <v/>
      </c>
      <c r="J28" s="26" t="n">
        <v>2026</v>
      </c>
      <c r="K28" s="25" t="str">
        <f aca="false">IFERROR(INDEX($B$10:$B$101,MATCH(DATE(J28,10,1),$A$10:$A$101,0)),"")</f>
        <v/>
      </c>
      <c r="L28" s="33" t="str">
        <f aca="false">IFERROR(K28/K27-1,"")</f>
        <v/>
      </c>
      <c r="M28" s="25" t="str">
        <f aca="false">IFERROR(INDEX($E$10:$E$101,MATCH(DATE(J28,10,1),$A$10:$A$101,0)),"")</f>
        <v/>
      </c>
    </row>
    <row r="29" customFormat="false" ht="15" hidden="false" customHeight="false" outlineLevel="0" collapsed="false">
      <c r="A29" s="27" t="n">
        <v>41183</v>
      </c>
      <c r="B29" s="28" t="str">
        <f aca="true">IFERROR(IF(IFERROR(INDEX(INDIRECT(Index!$M$17),MATCH(EDATE($A29,2),INDIRECT(Index!$L$17),0)),AVERAGEIFS(INDIRECT(Index!$M$17),INDIRECT(Index!$L$17),"&gt;="&amp;$A29,INDIRECT(Index!$L$17),"&lt;"&amp;EDATE($A29,3)))=0,"",IFERROR(INDEX(INDIRECT(Index!$M$17),MATCH(EDATE($A29,2),INDIRECT(Index!$L$17),0)),AVERAGEIFS(INDIRECT(Index!$M$17),INDIRECT(Index!$L$17),"&gt;="&amp;$A29,INDIRECT(Index!$L$17),"&lt;"&amp;EDATE($A29,3)))),"")</f>
        <v/>
      </c>
      <c r="C29" s="29" t="str">
        <f aca="false">IFERROR(B29/B28-1,"")</f>
        <v/>
      </c>
      <c r="D29" s="29" t="str">
        <f aca="false">IFERROR(B29/B25-1,"")</f>
        <v/>
      </c>
      <c r="E29" s="31" t="str">
        <f aca="false">IFERROR(IF(AND(B29="",ISNUMBER($C$7),ISNUMBER($G$7)),$C$7*(1+$G$7)^(($A29-$E$7)/365.25),""),"")</f>
        <v/>
      </c>
      <c r="F29" s="31" t="str">
        <f aca="false">IFERROR(IF(AND(B29="",ISNUMBER($C$7),ISNUMBER($G$7)),$C$7*(1+$G$7*0.85^MAX(0,($A29-$E$7)/91.25))^(($A29-$E$7)/365.25),""),"")</f>
        <v/>
      </c>
      <c r="J29" s="32" t="n">
        <v>2027</v>
      </c>
      <c r="K29" s="31" t="str">
        <f aca="false">IFERROR(INDEX($B$10:$B$101,MATCH(DATE(J29,10,1),$A$10:$A$101,0)),"")</f>
        <v/>
      </c>
      <c r="L29" s="29" t="str">
        <f aca="false">IFERROR(K29/K28-1,"")</f>
        <v/>
      </c>
      <c r="M29" s="31" t="str">
        <f aca="false">IFERROR(INDEX($E$10:$E$101,MATCH(DATE(J29,10,1),$A$10:$A$101,0)),"")</f>
        <v/>
      </c>
    </row>
    <row r="30" customFormat="false" ht="15" hidden="false" customHeight="false" outlineLevel="0" collapsed="false">
      <c r="A30" s="15" t="n">
        <v>41275</v>
      </c>
      <c r="B30" s="20" t="str">
        <f aca="true">IFERROR(IF(IFERROR(INDEX(INDIRECT(Index!$M$17),MATCH(EDATE($A30,2),INDIRECT(Index!$L$17),0)),AVERAGEIFS(INDIRECT(Index!$M$17),INDIRECT(Index!$L$17),"&gt;="&amp;$A30,INDIRECT(Index!$L$17),"&lt;"&amp;EDATE($A30,3)))=0,"",IFERROR(INDEX(INDIRECT(Index!$M$17),MATCH(EDATE($A30,2),INDIRECT(Index!$L$17),0)),AVERAGEIFS(INDIRECT(Index!$M$17),INDIRECT(Index!$L$17),"&gt;="&amp;$A30,INDIRECT(Index!$L$17),"&lt;"&amp;EDATE($A30,3)))),"")</f>
        <v/>
      </c>
      <c r="C30" s="33" t="str">
        <f aca="false">IFERROR(B30/B29-1,"")</f>
        <v/>
      </c>
      <c r="D30" s="33" t="str">
        <f aca="false">IFERROR(B30/B26-1,"")</f>
        <v/>
      </c>
      <c r="E30" s="25" t="str">
        <f aca="false">IFERROR(IF(AND(B30="",ISNUMBER($C$7),ISNUMBER($G$7)),$C$7*(1+$G$7)^(($A30-$E$7)/365.25),""),"")</f>
        <v/>
      </c>
      <c r="F30" s="25" t="str">
        <f aca="false">IFERROR(IF(AND(B30="",ISNUMBER($C$7),ISNUMBER($G$7)),$C$7*(1+$G$7*0.85^MAX(0,($A30-$E$7)/91.25))^(($A30-$E$7)/365.25),""),"")</f>
        <v/>
      </c>
      <c r="J30" s="26" t="n">
        <v>2028</v>
      </c>
      <c r="K30" s="25" t="str">
        <f aca="false">IFERROR(INDEX($B$10:$B$101,MATCH(DATE(J30,10,1),$A$10:$A$101,0)),"")</f>
        <v/>
      </c>
      <c r="L30" s="33" t="str">
        <f aca="false">IFERROR(K30/K29-1,"")</f>
        <v/>
      </c>
      <c r="M30" s="25" t="str">
        <f aca="false">IFERROR(INDEX($E$10:$E$101,MATCH(DATE(J30,10,1),$A$10:$A$101,0)),"")</f>
        <v/>
      </c>
    </row>
    <row r="31" customFormat="false" ht="15" hidden="false" customHeight="false" outlineLevel="0" collapsed="false">
      <c r="A31" s="27" t="n">
        <v>41365</v>
      </c>
      <c r="B31" s="28" t="str">
        <f aca="true">IFERROR(IF(IFERROR(INDEX(INDIRECT(Index!$M$17),MATCH(EDATE($A31,2),INDIRECT(Index!$L$17),0)),AVERAGEIFS(INDIRECT(Index!$M$17),INDIRECT(Index!$L$17),"&gt;="&amp;$A31,INDIRECT(Index!$L$17),"&lt;"&amp;EDATE($A31,3)))=0,"",IFERROR(INDEX(INDIRECT(Index!$M$17),MATCH(EDATE($A31,2),INDIRECT(Index!$L$17),0)),AVERAGEIFS(INDIRECT(Index!$M$17),INDIRECT(Index!$L$17),"&gt;="&amp;$A31,INDIRECT(Index!$L$17),"&lt;"&amp;EDATE($A31,3)))),"")</f>
        <v/>
      </c>
      <c r="C31" s="29" t="str">
        <f aca="false">IFERROR(B31/B30-1,"")</f>
        <v/>
      </c>
      <c r="D31" s="29" t="str">
        <f aca="false">IFERROR(B31/B27-1,"")</f>
        <v/>
      </c>
      <c r="E31" s="31" t="str">
        <f aca="false">IFERROR(IF(AND(B31="",ISNUMBER($C$7),ISNUMBER($G$7)),$C$7*(1+$G$7)^(($A31-$E$7)/365.25),""),"")</f>
        <v/>
      </c>
      <c r="F31" s="31" t="str">
        <f aca="false">IFERROR(IF(AND(B31="",ISNUMBER($C$7),ISNUMBER($G$7)),$C$7*(1+$G$7*0.85^MAX(0,($A31-$E$7)/91.25))^(($A31-$E$7)/365.25),""),"")</f>
        <v/>
      </c>
      <c r="J31" s="32" t="n">
        <v>2029</v>
      </c>
      <c r="K31" s="31" t="str">
        <f aca="false">IFERROR(INDEX($B$10:$B$101,MATCH(DATE(J31,10,1),$A$10:$A$101,0)),"")</f>
        <v/>
      </c>
      <c r="L31" s="29" t="str">
        <f aca="false">IFERROR(K31/K30-1,"")</f>
        <v/>
      </c>
      <c r="M31" s="31" t="str">
        <f aca="false">IFERROR(INDEX($E$10:$E$101,MATCH(DATE(J31,10,1),$A$10:$A$101,0)),"")</f>
        <v/>
      </c>
    </row>
    <row r="32" customFormat="false" ht="15" hidden="false" customHeight="false" outlineLevel="0" collapsed="false">
      <c r="A32" s="15" t="n">
        <v>41456</v>
      </c>
      <c r="B32" s="20" t="str">
        <f aca="true">IFERROR(IF(IFERROR(INDEX(INDIRECT(Index!$M$17),MATCH(EDATE($A32,2),INDIRECT(Index!$L$17),0)),AVERAGEIFS(INDIRECT(Index!$M$17),INDIRECT(Index!$L$17),"&gt;="&amp;$A32,INDIRECT(Index!$L$17),"&lt;"&amp;EDATE($A32,3)))=0,"",IFERROR(INDEX(INDIRECT(Index!$M$17),MATCH(EDATE($A32,2),INDIRECT(Index!$L$17),0)),AVERAGEIFS(INDIRECT(Index!$M$17),INDIRECT(Index!$L$17),"&gt;="&amp;$A32,INDIRECT(Index!$L$17),"&lt;"&amp;EDATE($A32,3)))),"")</f>
        <v/>
      </c>
      <c r="C32" s="33" t="str">
        <f aca="false">IFERROR(B32/B31-1,"")</f>
        <v/>
      </c>
      <c r="D32" s="33" t="str">
        <f aca="false">IFERROR(B32/B28-1,"")</f>
        <v/>
      </c>
      <c r="E32" s="25" t="str">
        <f aca="false">IFERROR(IF(AND(B32="",ISNUMBER($C$7),ISNUMBER($G$7)),$C$7*(1+$G$7)^(($A32-$E$7)/365.25),""),"")</f>
        <v/>
      </c>
      <c r="F32" s="25" t="str">
        <f aca="false">IFERROR(IF(AND(B32="",ISNUMBER($C$7),ISNUMBER($G$7)),$C$7*(1+$G$7*0.85^MAX(0,($A32-$E$7)/91.25))^(($A32-$E$7)/365.25),""),"")</f>
        <v/>
      </c>
      <c r="J32" s="26" t="n">
        <v>2030</v>
      </c>
      <c r="K32" s="25" t="str">
        <f aca="false">IFERROR(INDEX($B$10:$B$101,MATCH(DATE(J32,10,1),$A$10:$A$101,0)),"")</f>
        <v/>
      </c>
      <c r="L32" s="33" t="str">
        <f aca="false">IFERROR(K32/K31-1,"")</f>
        <v/>
      </c>
      <c r="M32" s="25" t="str">
        <f aca="false">IFERROR(INDEX($E$10:$E$101,MATCH(DATE(J32,10,1),$A$10:$A$101,0)),"")</f>
        <v/>
      </c>
    </row>
    <row r="33" customFormat="false" ht="15" hidden="false" customHeight="false" outlineLevel="0" collapsed="false">
      <c r="A33" s="27" t="n">
        <v>41548</v>
      </c>
      <c r="B33" s="28" t="str">
        <f aca="true">IFERROR(IF(IFERROR(INDEX(INDIRECT(Index!$M$17),MATCH(EDATE($A33,2),INDIRECT(Index!$L$17),0)),AVERAGEIFS(INDIRECT(Index!$M$17),INDIRECT(Index!$L$17),"&gt;="&amp;$A33,INDIRECT(Index!$L$17),"&lt;"&amp;EDATE($A33,3)))=0,"",IFERROR(INDEX(INDIRECT(Index!$M$17),MATCH(EDATE($A33,2),INDIRECT(Index!$L$17),0)),AVERAGEIFS(INDIRECT(Index!$M$17),INDIRECT(Index!$L$17),"&gt;="&amp;$A33,INDIRECT(Index!$L$17),"&lt;"&amp;EDATE($A33,3)))),"")</f>
        <v/>
      </c>
      <c r="C33" s="29" t="str">
        <f aca="false">IFERROR(B33/B32-1,"")</f>
        <v/>
      </c>
      <c r="D33" s="29" t="str">
        <f aca="false">IFERROR(B33/B29-1,"")</f>
        <v/>
      </c>
      <c r="E33" s="31" t="str">
        <f aca="false">IFERROR(IF(AND(B33="",ISNUMBER($C$7),ISNUMBER($G$7)),$C$7*(1+$G$7)^(($A33-$E$7)/365.25),""),"")</f>
        <v/>
      </c>
      <c r="F33" s="31" t="str">
        <f aca="false">IFERROR(IF(AND(B33="",ISNUMBER($C$7),ISNUMBER($G$7)),$C$7*(1+$G$7*0.85^MAX(0,($A33-$E$7)/91.25))^(($A33-$E$7)/365.25),""),"")</f>
        <v/>
      </c>
    </row>
    <row r="34" customFormat="false" ht="15" hidden="false" customHeight="false" outlineLevel="0" collapsed="false">
      <c r="A34" s="15" t="n">
        <v>41640</v>
      </c>
      <c r="B34" s="20" t="str">
        <f aca="true">IFERROR(IF(IFERROR(INDEX(INDIRECT(Index!$M$17),MATCH(EDATE($A34,2),INDIRECT(Index!$L$17),0)),AVERAGEIFS(INDIRECT(Index!$M$17),INDIRECT(Index!$L$17),"&gt;="&amp;$A34,INDIRECT(Index!$L$17),"&lt;"&amp;EDATE($A34,3)))=0,"",IFERROR(INDEX(INDIRECT(Index!$M$17),MATCH(EDATE($A34,2),INDIRECT(Index!$L$17),0)),AVERAGEIFS(INDIRECT(Index!$M$17),INDIRECT(Index!$L$17),"&gt;="&amp;$A34,INDIRECT(Index!$L$17),"&lt;"&amp;EDATE($A34,3)))),"")</f>
        <v/>
      </c>
      <c r="C34" s="33" t="str">
        <f aca="false">IFERROR(B34/B33-1,"")</f>
        <v/>
      </c>
      <c r="D34" s="33" t="str">
        <f aca="false">IFERROR(B34/B30-1,"")</f>
        <v/>
      </c>
      <c r="E34" s="25" t="str">
        <f aca="false">IFERROR(IF(AND(B34="",ISNUMBER($C$7),ISNUMBER($G$7)),$C$7*(1+$G$7)^(($A34-$E$7)/365.25),""),"")</f>
        <v/>
      </c>
      <c r="F34" s="25" t="str">
        <f aca="false">IFERROR(IF(AND(B34="",ISNUMBER($C$7),ISNUMBER($G$7)),$C$7*(1+$G$7*0.85^MAX(0,($A34-$E$7)/91.25))^(($A34-$E$7)/365.25),""),"")</f>
        <v/>
      </c>
    </row>
    <row r="35" customFormat="false" ht="15" hidden="false" customHeight="false" outlineLevel="0" collapsed="false">
      <c r="A35" s="27" t="n">
        <v>41730</v>
      </c>
      <c r="B35" s="28" t="str">
        <f aca="true">IFERROR(IF(IFERROR(INDEX(INDIRECT(Index!$M$17),MATCH(EDATE($A35,2),INDIRECT(Index!$L$17),0)),AVERAGEIFS(INDIRECT(Index!$M$17),INDIRECT(Index!$L$17),"&gt;="&amp;$A35,INDIRECT(Index!$L$17),"&lt;"&amp;EDATE($A35,3)))=0,"",IFERROR(INDEX(INDIRECT(Index!$M$17),MATCH(EDATE($A35,2),INDIRECT(Index!$L$17),0)),AVERAGEIFS(INDIRECT(Index!$M$17),INDIRECT(Index!$L$17),"&gt;="&amp;$A35,INDIRECT(Index!$L$17),"&lt;"&amp;EDATE($A35,3)))),"")</f>
        <v/>
      </c>
      <c r="C35" s="29" t="str">
        <f aca="false">IFERROR(B35/B34-1,"")</f>
        <v/>
      </c>
      <c r="D35" s="29" t="str">
        <f aca="false">IFERROR(B35/B31-1,"")</f>
        <v/>
      </c>
      <c r="E35" s="31" t="str">
        <f aca="false">IFERROR(IF(AND(B35="",ISNUMBER($C$7),ISNUMBER($G$7)),$C$7*(1+$G$7)^(($A35-$E$7)/365.25),""),"")</f>
        <v/>
      </c>
      <c r="F35" s="31" t="str">
        <f aca="false">IFERROR(IF(AND(B35="",ISNUMBER($C$7),ISNUMBER($G$7)),$C$7*(1+$G$7*0.85^MAX(0,($A35-$E$7)/91.25))^(($A35-$E$7)/365.25),""),"")</f>
        <v/>
      </c>
    </row>
    <row r="36" customFormat="false" ht="15" hidden="false" customHeight="false" outlineLevel="0" collapsed="false">
      <c r="A36" s="15" t="n">
        <v>41821</v>
      </c>
      <c r="B36" s="20" t="str">
        <f aca="true">IFERROR(IF(IFERROR(INDEX(INDIRECT(Index!$M$17),MATCH(EDATE($A36,2),INDIRECT(Index!$L$17),0)),AVERAGEIFS(INDIRECT(Index!$M$17),INDIRECT(Index!$L$17),"&gt;="&amp;$A36,INDIRECT(Index!$L$17),"&lt;"&amp;EDATE($A36,3)))=0,"",IFERROR(INDEX(INDIRECT(Index!$M$17),MATCH(EDATE($A36,2),INDIRECT(Index!$L$17),0)),AVERAGEIFS(INDIRECT(Index!$M$17),INDIRECT(Index!$L$17),"&gt;="&amp;$A36,INDIRECT(Index!$L$17),"&lt;"&amp;EDATE($A36,3)))),"")</f>
        <v/>
      </c>
      <c r="C36" s="33" t="str">
        <f aca="false">IFERROR(B36/B35-1,"")</f>
        <v/>
      </c>
      <c r="D36" s="33" t="str">
        <f aca="false">IFERROR(B36/B32-1,"")</f>
        <v/>
      </c>
      <c r="E36" s="25" t="str">
        <f aca="false">IFERROR(IF(AND(B36="",ISNUMBER($C$7),ISNUMBER($G$7)),$C$7*(1+$G$7)^(($A36-$E$7)/365.25),""),"")</f>
        <v/>
      </c>
      <c r="F36" s="25" t="str">
        <f aca="false">IFERROR(IF(AND(B36="",ISNUMBER($C$7),ISNUMBER($G$7)),$C$7*(1+$G$7*0.85^MAX(0,($A36-$E$7)/91.25))^(($A36-$E$7)/365.25),""),"")</f>
        <v/>
      </c>
    </row>
    <row r="37" customFormat="false" ht="15" hidden="false" customHeight="false" outlineLevel="0" collapsed="false">
      <c r="A37" s="27" t="n">
        <v>41913</v>
      </c>
      <c r="B37" s="28" t="str">
        <f aca="true">IFERROR(IF(IFERROR(INDEX(INDIRECT(Index!$M$17),MATCH(EDATE($A37,2),INDIRECT(Index!$L$17),0)),AVERAGEIFS(INDIRECT(Index!$M$17),INDIRECT(Index!$L$17),"&gt;="&amp;$A37,INDIRECT(Index!$L$17),"&lt;"&amp;EDATE($A37,3)))=0,"",IFERROR(INDEX(INDIRECT(Index!$M$17),MATCH(EDATE($A37,2),INDIRECT(Index!$L$17),0)),AVERAGEIFS(INDIRECT(Index!$M$17),INDIRECT(Index!$L$17),"&gt;="&amp;$A37,INDIRECT(Index!$L$17),"&lt;"&amp;EDATE($A37,3)))),"")</f>
        <v/>
      </c>
      <c r="C37" s="29" t="str">
        <f aca="false">IFERROR(B37/B36-1,"")</f>
        <v/>
      </c>
      <c r="D37" s="29" t="str">
        <f aca="false">IFERROR(B37/B33-1,"")</f>
        <v/>
      </c>
      <c r="E37" s="31" t="str">
        <f aca="false">IFERROR(IF(AND(B37="",ISNUMBER($C$7),ISNUMBER($G$7)),$C$7*(1+$G$7)^(($A37-$E$7)/365.25),""),"")</f>
        <v/>
      </c>
      <c r="F37" s="31" t="str">
        <f aca="false">IFERROR(IF(AND(B37="",ISNUMBER($C$7),ISNUMBER($G$7)),$C$7*(1+$G$7*0.85^MAX(0,($A37-$E$7)/91.25))^(($A37-$E$7)/365.25),""),"")</f>
        <v/>
      </c>
    </row>
    <row r="38" customFormat="false" ht="15" hidden="false" customHeight="false" outlineLevel="0" collapsed="false">
      <c r="A38" s="15" t="n">
        <v>42005</v>
      </c>
      <c r="B38" s="20" t="str">
        <f aca="true">IFERROR(IF(IFERROR(INDEX(INDIRECT(Index!$M$17),MATCH(EDATE($A38,2),INDIRECT(Index!$L$17),0)),AVERAGEIFS(INDIRECT(Index!$M$17),INDIRECT(Index!$L$17),"&gt;="&amp;$A38,INDIRECT(Index!$L$17),"&lt;"&amp;EDATE($A38,3)))=0,"",IFERROR(INDEX(INDIRECT(Index!$M$17),MATCH(EDATE($A38,2),INDIRECT(Index!$L$17),0)),AVERAGEIFS(INDIRECT(Index!$M$17),INDIRECT(Index!$L$17),"&gt;="&amp;$A38,INDIRECT(Index!$L$17),"&lt;"&amp;EDATE($A38,3)))),"")</f>
        <v/>
      </c>
      <c r="C38" s="33" t="str">
        <f aca="false">IFERROR(B38/B37-1,"")</f>
        <v/>
      </c>
      <c r="D38" s="33" t="str">
        <f aca="false">IFERROR(B38/B34-1,"")</f>
        <v/>
      </c>
      <c r="E38" s="25" t="str">
        <f aca="false">IFERROR(IF(AND(B38="",ISNUMBER($C$7),ISNUMBER($G$7)),$C$7*(1+$G$7)^(($A38-$E$7)/365.25),""),"")</f>
        <v/>
      </c>
      <c r="F38" s="25" t="str">
        <f aca="false">IFERROR(IF(AND(B38="",ISNUMBER($C$7),ISNUMBER($G$7)),$C$7*(1+$G$7*0.85^MAX(0,($A38-$E$7)/91.25))^(($A38-$E$7)/365.25),""),"")</f>
        <v/>
      </c>
    </row>
    <row r="39" customFormat="false" ht="15" hidden="false" customHeight="false" outlineLevel="0" collapsed="false">
      <c r="A39" s="27" t="n">
        <v>42095</v>
      </c>
      <c r="B39" s="28" t="str">
        <f aca="true">IFERROR(IF(IFERROR(INDEX(INDIRECT(Index!$M$17),MATCH(EDATE($A39,2),INDIRECT(Index!$L$17),0)),AVERAGEIFS(INDIRECT(Index!$M$17),INDIRECT(Index!$L$17),"&gt;="&amp;$A39,INDIRECT(Index!$L$17),"&lt;"&amp;EDATE($A39,3)))=0,"",IFERROR(INDEX(INDIRECT(Index!$M$17),MATCH(EDATE($A39,2),INDIRECT(Index!$L$17),0)),AVERAGEIFS(INDIRECT(Index!$M$17),INDIRECT(Index!$L$17),"&gt;="&amp;$A39,INDIRECT(Index!$L$17),"&lt;"&amp;EDATE($A39,3)))),"")</f>
        <v/>
      </c>
      <c r="C39" s="29" t="str">
        <f aca="false">IFERROR(B39/B38-1,"")</f>
        <v/>
      </c>
      <c r="D39" s="29" t="str">
        <f aca="false">IFERROR(B39/B35-1,"")</f>
        <v/>
      </c>
      <c r="E39" s="31" t="str">
        <f aca="false">IFERROR(IF(AND(B39="",ISNUMBER($C$7),ISNUMBER($G$7)),$C$7*(1+$G$7)^(($A39-$E$7)/365.25),""),"")</f>
        <v/>
      </c>
      <c r="F39" s="31" t="str">
        <f aca="false">IFERROR(IF(AND(B39="",ISNUMBER($C$7),ISNUMBER($G$7)),$C$7*(1+$G$7*0.85^MAX(0,($A39-$E$7)/91.25))^(($A39-$E$7)/365.25),""),"")</f>
        <v/>
      </c>
    </row>
    <row r="40" customFormat="false" ht="15" hidden="false" customHeight="false" outlineLevel="0" collapsed="false">
      <c r="A40" s="15" t="n">
        <v>42186</v>
      </c>
      <c r="B40" s="20" t="str">
        <f aca="true">IFERROR(IF(IFERROR(INDEX(INDIRECT(Index!$M$17),MATCH(EDATE($A40,2),INDIRECT(Index!$L$17),0)),AVERAGEIFS(INDIRECT(Index!$M$17),INDIRECT(Index!$L$17),"&gt;="&amp;$A40,INDIRECT(Index!$L$17),"&lt;"&amp;EDATE($A40,3)))=0,"",IFERROR(INDEX(INDIRECT(Index!$M$17),MATCH(EDATE($A40,2),INDIRECT(Index!$L$17),0)),AVERAGEIFS(INDIRECT(Index!$M$17),INDIRECT(Index!$L$17),"&gt;="&amp;$A40,INDIRECT(Index!$L$17),"&lt;"&amp;EDATE($A40,3)))),"")</f>
        <v/>
      </c>
      <c r="C40" s="33" t="str">
        <f aca="false">IFERROR(B40/B39-1,"")</f>
        <v/>
      </c>
      <c r="D40" s="33" t="str">
        <f aca="false">IFERROR(B40/B36-1,"")</f>
        <v/>
      </c>
      <c r="E40" s="25" t="str">
        <f aca="false">IFERROR(IF(AND(B40="",ISNUMBER($C$7),ISNUMBER($G$7)),$C$7*(1+$G$7)^(($A40-$E$7)/365.25),""),"")</f>
        <v/>
      </c>
      <c r="F40" s="25" t="str">
        <f aca="false">IFERROR(IF(AND(B40="",ISNUMBER($C$7),ISNUMBER($G$7)),$C$7*(1+$G$7*0.85^MAX(0,($A40-$E$7)/91.25))^(($A40-$E$7)/365.25),""),"")</f>
        <v/>
      </c>
    </row>
    <row r="41" customFormat="false" ht="15" hidden="false" customHeight="false" outlineLevel="0" collapsed="false">
      <c r="A41" s="27" t="n">
        <v>42278</v>
      </c>
      <c r="B41" s="28" t="str">
        <f aca="true">IFERROR(IF(IFERROR(INDEX(INDIRECT(Index!$M$17),MATCH(EDATE($A41,2),INDIRECT(Index!$L$17),0)),AVERAGEIFS(INDIRECT(Index!$M$17),INDIRECT(Index!$L$17),"&gt;="&amp;$A41,INDIRECT(Index!$L$17),"&lt;"&amp;EDATE($A41,3)))=0,"",IFERROR(INDEX(INDIRECT(Index!$M$17),MATCH(EDATE($A41,2),INDIRECT(Index!$L$17),0)),AVERAGEIFS(INDIRECT(Index!$M$17),INDIRECT(Index!$L$17),"&gt;="&amp;$A41,INDIRECT(Index!$L$17),"&lt;"&amp;EDATE($A41,3)))),"")</f>
        <v/>
      </c>
      <c r="C41" s="29" t="str">
        <f aca="false">IFERROR(B41/B40-1,"")</f>
        <v/>
      </c>
      <c r="D41" s="29" t="str">
        <f aca="false">IFERROR(B41/B37-1,"")</f>
        <v/>
      </c>
      <c r="E41" s="31" t="str">
        <f aca="false">IFERROR(IF(AND(B41="",ISNUMBER($C$7),ISNUMBER($G$7)),$C$7*(1+$G$7)^(($A41-$E$7)/365.25),""),"")</f>
        <v/>
      </c>
      <c r="F41" s="31" t="str">
        <f aca="false">IFERROR(IF(AND(B41="",ISNUMBER($C$7),ISNUMBER($G$7)),$C$7*(1+$G$7*0.85^MAX(0,($A41-$E$7)/91.25))^(($A41-$E$7)/365.25),""),"")</f>
        <v/>
      </c>
    </row>
    <row r="42" customFormat="false" ht="15" hidden="false" customHeight="false" outlineLevel="0" collapsed="false">
      <c r="A42" s="15" t="n">
        <v>42370</v>
      </c>
      <c r="B42" s="20" t="str">
        <f aca="true">IFERROR(IF(IFERROR(INDEX(INDIRECT(Index!$M$17),MATCH(EDATE($A42,2),INDIRECT(Index!$L$17),0)),AVERAGEIFS(INDIRECT(Index!$M$17),INDIRECT(Index!$L$17),"&gt;="&amp;$A42,INDIRECT(Index!$L$17),"&lt;"&amp;EDATE($A42,3)))=0,"",IFERROR(INDEX(INDIRECT(Index!$M$17),MATCH(EDATE($A42,2),INDIRECT(Index!$L$17),0)),AVERAGEIFS(INDIRECT(Index!$M$17),INDIRECT(Index!$L$17),"&gt;="&amp;$A42,INDIRECT(Index!$L$17),"&lt;"&amp;EDATE($A42,3)))),"")</f>
        <v/>
      </c>
      <c r="C42" s="33" t="str">
        <f aca="false">IFERROR(B42/B41-1,"")</f>
        <v/>
      </c>
      <c r="D42" s="33" t="str">
        <f aca="false">IFERROR(B42/B38-1,"")</f>
        <v/>
      </c>
      <c r="E42" s="25" t="str">
        <f aca="false">IFERROR(IF(AND(B42="",ISNUMBER($C$7),ISNUMBER($G$7)),$C$7*(1+$G$7)^(($A42-$E$7)/365.25),""),"")</f>
        <v/>
      </c>
      <c r="F42" s="25" t="str">
        <f aca="false">IFERROR(IF(AND(B42="",ISNUMBER($C$7),ISNUMBER($G$7)),$C$7*(1+$G$7*0.85^MAX(0,($A42-$E$7)/91.25))^(($A42-$E$7)/365.25),""),"")</f>
        <v/>
      </c>
    </row>
    <row r="43" customFormat="false" ht="15" hidden="false" customHeight="false" outlineLevel="0" collapsed="false">
      <c r="A43" s="27" t="n">
        <v>42461</v>
      </c>
      <c r="B43" s="28" t="str">
        <f aca="true">IFERROR(IF(IFERROR(INDEX(INDIRECT(Index!$M$17),MATCH(EDATE($A43,2),INDIRECT(Index!$L$17),0)),AVERAGEIFS(INDIRECT(Index!$M$17),INDIRECT(Index!$L$17),"&gt;="&amp;$A43,INDIRECT(Index!$L$17),"&lt;"&amp;EDATE($A43,3)))=0,"",IFERROR(INDEX(INDIRECT(Index!$M$17),MATCH(EDATE($A43,2),INDIRECT(Index!$L$17),0)),AVERAGEIFS(INDIRECT(Index!$M$17),INDIRECT(Index!$L$17),"&gt;="&amp;$A43,INDIRECT(Index!$L$17),"&lt;"&amp;EDATE($A43,3)))),"")</f>
        <v/>
      </c>
      <c r="C43" s="29" t="str">
        <f aca="false">IFERROR(B43/B42-1,"")</f>
        <v/>
      </c>
      <c r="D43" s="29" t="str">
        <f aca="false">IFERROR(B43/B39-1,"")</f>
        <v/>
      </c>
      <c r="E43" s="31" t="str">
        <f aca="false">IFERROR(IF(AND(B43="",ISNUMBER($C$7),ISNUMBER($G$7)),$C$7*(1+$G$7)^(($A43-$E$7)/365.25),""),"")</f>
        <v/>
      </c>
      <c r="F43" s="31" t="str">
        <f aca="false">IFERROR(IF(AND(B43="",ISNUMBER($C$7),ISNUMBER($G$7)),$C$7*(1+$G$7*0.85^MAX(0,($A43-$E$7)/91.25))^(($A43-$E$7)/365.25),""),"")</f>
        <v/>
      </c>
    </row>
    <row r="44" customFormat="false" ht="15" hidden="false" customHeight="false" outlineLevel="0" collapsed="false">
      <c r="A44" s="15" t="n">
        <v>42552</v>
      </c>
      <c r="B44" s="20" t="str">
        <f aca="true">IFERROR(IF(IFERROR(INDEX(INDIRECT(Index!$M$17),MATCH(EDATE($A44,2),INDIRECT(Index!$L$17),0)),AVERAGEIFS(INDIRECT(Index!$M$17),INDIRECT(Index!$L$17),"&gt;="&amp;$A44,INDIRECT(Index!$L$17),"&lt;"&amp;EDATE($A44,3)))=0,"",IFERROR(INDEX(INDIRECT(Index!$M$17),MATCH(EDATE($A44,2),INDIRECT(Index!$L$17),0)),AVERAGEIFS(INDIRECT(Index!$M$17),INDIRECT(Index!$L$17),"&gt;="&amp;$A44,INDIRECT(Index!$L$17),"&lt;"&amp;EDATE($A44,3)))),"")</f>
        <v/>
      </c>
      <c r="C44" s="33" t="str">
        <f aca="false">IFERROR(B44/B43-1,"")</f>
        <v/>
      </c>
      <c r="D44" s="33" t="str">
        <f aca="false">IFERROR(B44/B40-1,"")</f>
        <v/>
      </c>
      <c r="E44" s="25" t="str">
        <f aca="false">IFERROR(IF(AND(B44="",ISNUMBER($C$7),ISNUMBER($G$7)),$C$7*(1+$G$7)^(($A44-$E$7)/365.25),""),"")</f>
        <v/>
      </c>
      <c r="F44" s="25" t="str">
        <f aca="false">IFERROR(IF(AND(B44="",ISNUMBER($C$7),ISNUMBER($G$7)),$C$7*(1+$G$7*0.85^MAX(0,($A44-$E$7)/91.25))^(($A44-$E$7)/365.25),""),"")</f>
        <v/>
      </c>
    </row>
    <row r="45" customFormat="false" ht="15" hidden="false" customHeight="false" outlineLevel="0" collapsed="false">
      <c r="A45" s="27" t="n">
        <v>42644</v>
      </c>
      <c r="B45" s="28" t="str">
        <f aca="true">IFERROR(IF(IFERROR(INDEX(INDIRECT(Index!$M$17),MATCH(EDATE($A45,2),INDIRECT(Index!$L$17),0)),AVERAGEIFS(INDIRECT(Index!$M$17),INDIRECT(Index!$L$17),"&gt;="&amp;$A45,INDIRECT(Index!$L$17),"&lt;"&amp;EDATE($A45,3)))=0,"",IFERROR(INDEX(INDIRECT(Index!$M$17),MATCH(EDATE($A45,2),INDIRECT(Index!$L$17),0)),AVERAGEIFS(INDIRECT(Index!$M$17),INDIRECT(Index!$L$17),"&gt;="&amp;$A45,INDIRECT(Index!$L$17),"&lt;"&amp;EDATE($A45,3)))),"")</f>
        <v/>
      </c>
      <c r="C45" s="29" t="str">
        <f aca="false">IFERROR(B45/B44-1,"")</f>
        <v/>
      </c>
      <c r="D45" s="29" t="str">
        <f aca="false">IFERROR(B45/B41-1,"")</f>
        <v/>
      </c>
      <c r="E45" s="31" t="str">
        <f aca="false">IFERROR(IF(AND(B45="",ISNUMBER($C$7),ISNUMBER($G$7)),$C$7*(1+$G$7)^(($A45-$E$7)/365.25),""),"")</f>
        <v/>
      </c>
      <c r="F45" s="31" t="str">
        <f aca="false">IFERROR(IF(AND(B45="",ISNUMBER($C$7),ISNUMBER($G$7)),$C$7*(1+$G$7*0.85^MAX(0,($A45-$E$7)/91.25))^(($A45-$E$7)/365.25),""),"")</f>
        <v/>
      </c>
    </row>
    <row r="46" customFormat="false" ht="15" hidden="false" customHeight="false" outlineLevel="0" collapsed="false">
      <c r="A46" s="15" t="n">
        <v>42736</v>
      </c>
      <c r="B46" s="20" t="str">
        <f aca="true">IFERROR(IF(IFERROR(INDEX(INDIRECT(Index!$M$17),MATCH(EDATE($A46,2),INDIRECT(Index!$L$17),0)),AVERAGEIFS(INDIRECT(Index!$M$17),INDIRECT(Index!$L$17),"&gt;="&amp;$A46,INDIRECT(Index!$L$17),"&lt;"&amp;EDATE($A46,3)))=0,"",IFERROR(INDEX(INDIRECT(Index!$M$17),MATCH(EDATE($A46,2),INDIRECT(Index!$L$17),0)),AVERAGEIFS(INDIRECT(Index!$M$17),INDIRECT(Index!$L$17),"&gt;="&amp;$A46,INDIRECT(Index!$L$17),"&lt;"&amp;EDATE($A46,3)))),"")</f>
        <v/>
      </c>
      <c r="C46" s="33" t="str">
        <f aca="false">IFERROR(B46/B45-1,"")</f>
        <v/>
      </c>
      <c r="D46" s="33" t="str">
        <f aca="false">IFERROR(B46/B42-1,"")</f>
        <v/>
      </c>
      <c r="E46" s="25" t="str">
        <f aca="false">IFERROR(IF(AND(B46="",ISNUMBER($C$7),ISNUMBER($G$7)),$C$7*(1+$G$7)^(($A46-$E$7)/365.25),""),"")</f>
        <v/>
      </c>
      <c r="F46" s="25" t="str">
        <f aca="false">IFERROR(IF(AND(B46="",ISNUMBER($C$7),ISNUMBER($G$7)),$C$7*(1+$G$7*0.85^MAX(0,($A46-$E$7)/91.25))^(($A46-$E$7)/365.25),""),"")</f>
        <v/>
      </c>
    </row>
    <row r="47" customFormat="false" ht="15" hidden="false" customHeight="false" outlineLevel="0" collapsed="false">
      <c r="A47" s="27" t="n">
        <v>42826</v>
      </c>
      <c r="B47" s="28" t="str">
        <f aca="true">IFERROR(IF(IFERROR(INDEX(INDIRECT(Index!$M$17),MATCH(EDATE($A47,2),INDIRECT(Index!$L$17),0)),AVERAGEIFS(INDIRECT(Index!$M$17),INDIRECT(Index!$L$17),"&gt;="&amp;$A47,INDIRECT(Index!$L$17),"&lt;"&amp;EDATE($A47,3)))=0,"",IFERROR(INDEX(INDIRECT(Index!$M$17),MATCH(EDATE($A47,2),INDIRECT(Index!$L$17),0)),AVERAGEIFS(INDIRECT(Index!$M$17),INDIRECT(Index!$L$17),"&gt;="&amp;$A47,INDIRECT(Index!$L$17),"&lt;"&amp;EDATE($A47,3)))),"")</f>
        <v/>
      </c>
      <c r="C47" s="29" t="str">
        <f aca="false">IFERROR(B47/B46-1,"")</f>
        <v/>
      </c>
      <c r="D47" s="29" t="str">
        <f aca="false">IFERROR(B47/B43-1,"")</f>
        <v/>
      </c>
      <c r="E47" s="31" t="str">
        <f aca="false">IFERROR(IF(AND(B47="",ISNUMBER($C$7),ISNUMBER($G$7)),$C$7*(1+$G$7)^(($A47-$E$7)/365.25),""),"")</f>
        <v/>
      </c>
      <c r="F47" s="31" t="str">
        <f aca="false">IFERROR(IF(AND(B47="",ISNUMBER($C$7),ISNUMBER($G$7)),$C$7*(1+$G$7*0.85^MAX(0,($A47-$E$7)/91.25))^(($A47-$E$7)/365.25),""),"")</f>
        <v/>
      </c>
    </row>
    <row r="48" customFormat="false" ht="15" hidden="false" customHeight="false" outlineLevel="0" collapsed="false">
      <c r="A48" s="15" t="n">
        <v>42917</v>
      </c>
      <c r="B48" s="20" t="str">
        <f aca="true">IFERROR(IF(IFERROR(INDEX(INDIRECT(Index!$M$17),MATCH(EDATE($A48,2),INDIRECT(Index!$L$17),0)),AVERAGEIFS(INDIRECT(Index!$M$17),INDIRECT(Index!$L$17),"&gt;="&amp;$A48,INDIRECT(Index!$L$17),"&lt;"&amp;EDATE($A48,3)))=0,"",IFERROR(INDEX(INDIRECT(Index!$M$17),MATCH(EDATE($A48,2),INDIRECT(Index!$L$17),0)),AVERAGEIFS(INDIRECT(Index!$M$17),INDIRECT(Index!$L$17),"&gt;="&amp;$A48,INDIRECT(Index!$L$17),"&lt;"&amp;EDATE($A48,3)))),"")</f>
        <v/>
      </c>
      <c r="C48" s="33" t="str">
        <f aca="false">IFERROR(B48/B47-1,"")</f>
        <v/>
      </c>
      <c r="D48" s="33" t="str">
        <f aca="false">IFERROR(B48/B44-1,"")</f>
        <v/>
      </c>
      <c r="E48" s="25" t="str">
        <f aca="false">IFERROR(IF(AND(B48="",ISNUMBER($C$7),ISNUMBER($G$7)),$C$7*(1+$G$7)^(($A48-$E$7)/365.25),""),"")</f>
        <v/>
      </c>
      <c r="F48" s="25" t="str">
        <f aca="false">IFERROR(IF(AND(B48="",ISNUMBER($C$7),ISNUMBER($G$7)),$C$7*(1+$G$7*0.85^MAX(0,($A48-$E$7)/91.25))^(($A48-$E$7)/365.25),""),"")</f>
        <v/>
      </c>
    </row>
    <row r="49" customFormat="false" ht="15" hidden="false" customHeight="false" outlineLevel="0" collapsed="false">
      <c r="A49" s="27" t="n">
        <v>43009</v>
      </c>
      <c r="B49" s="28" t="str">
        <f aca="true">IFERROR(IF(IFERROR(INDEX(INDIRECT(Index!$M$17),MATCH(EDATE($A49,2),INDIRECT(Index!$L$17),0)),AVERAGEIFS(INDIRECT(Index!$M$17),INDIRECT(Index!$L$17),"&gt;="&amp;$A49,INDIRECT(Index!$L$17),"&lt;"&amp;EDATE($A49,3)))=0,"",IFERROR(INDEX(INDIRECT(Index!$M$17),MATCH(EDATE($A49,2),INDIRECT(Index!$L$17),0)),AVERAGEIFS(INDIRECT(Index!$M$17),INDIRECT(Index!$L$17),"&gt;="&amp;$A49,INDIRECT(Index!$L$17),"&lt;"&amp;EDATE($A49,3)))),"")</f>
        <v/>
      </c>
      <c r="C49" s="29" t="str">
        <f aca="false">IFERROR(B49/B48-1,"")</f>
        <v/>
      </c>
      <c r="D49" s="29" t="str">
        <f aca="false">IFERROR(B49/B45-1,"")</f>
        <v/>
      </c>
      <c r="E49" s="31" t="str">
        <f aca="false">IFERROR(IF(AND(B49="",ISNUMBER($C$7),ISNUMBER($G$7)),$C$7*(1+$G$7)^(($A49-$E$7)/365.25),""),"")</f>
        <v/>
      </c>
      <c r="F49" s="31" t="str">
        <f aca="false">IFERROR(IF(AND(B49="",ISNUMBER($C$7),ISNUMBER($G$7)),$C$7*(1+$G$7*0.85^MAX(0,($A49-$E$7)/91.25))^(($A49-$E$7)/365.25),""),"")</f>
        <v/>
      </c>
    </row>
    <row r="50" customFormat="false" ht="15" hidden="false" customHeight="false" outlineLevel="0" collapsed="false">
      <c r="A50" s="15" t="n">
        <v>43101</v>
      </c>
      <c r="B50" s="20" t="str">
        <f aca="true">IFERROR(IF(IFERROR(INDEX(INDIRECT(Index!$M$17),MATCH(EDATE($A50,2),INDIRECT(Index!$L$17),0)),AVERAGEIFS(INDIRECT(Index!$M$17),INDIRECT(Index!$L$17),"&gt;="&amp;$A50,INDIRECT(Index!$L$17),"&lt;"&amp;EDATE($A50,3)))=0,"",IFERROR(INDEX(INDIRECT(Index!$M$17),MATCH(EDATE($A50,2),INDIRECT(Index!$L$17),0)),AVERAGEIFS(INDIRECT(Index!$M$17),INDIRECT(Index!$L$17),"&gt;="&amp;$A50,INDIRECT(Index!$L$17),"&lt;"&amp;EDATE($A50,3)))),"")</f>
        <v/>
      </c>
      <c r="C50" s="33" t="str">
        <f aca="false">IFERROR(B50/B49-1,"")</f>
        <v/>
      </c>
      <c r="D50" s="33" t="str">
        <f aca="false">IFERROR(B50/B46-1,"")</f>
        <v/>
      </c>
      <c r="E50" s="25" t="str">
        <f aca="false">IFERROR(IF(AND(B50="",ISNUMBER($C$7),ISNUMBER($G$7)),$C$7*(1+$G$7)^(($A50-$E$7)/365.25),""),"")</f>
        <v/>
      </c>
      <c r="F50" s="25" t="str">
        <f aca="false">IFERROR(IF(AND(B50="",ISNUMBER($C$7),ISNUMBER($G$7)),$C$7*(1+$G$7*0.85^MAX(0,($A50-$E$7)/91.25))^(($A50-$E$7)/365.25),""),"")</f>
        <v/>
      </c>
    </row>
    <row r="51" customFormat="false" ht="15" hidden="false" customHeight="false" outlineLevel="0" collapsed="false">
      <c r="A51" s="27" t="n">
        <v>43191</v>
      </c>
      <c r="B51" s="28" t="str">
        <f aca="true">IFERROR(IF(IFERROR(INDEX(INDIRECT(Index!$M$17),MATCH(EDATE($A51,2),INDIRECT(Index!$L$17),0)),AVERAGEIFS(INDIRECT(Index!$M$17),INDIRECT(Index!$L$17),"&gt;="&amp;$A51,INDIRECT(Index!$L$17),"&lt;"&amp;EDATE($A51,3)))=0,"",IFERROR(INDEX(INDIRECT(Index!$M$17),MATCH(EDATE($A51,2),INDIRECT(Index!$L$17),0)),AVERAGEIFS(INDIRECT(Index!$M$17),INDIRECT(Index!$L$17),"&gt;="&amp;$A51,INDIRECT(Index!$L$17),"&lt;"&amp;EDATE($A51,3)))),"")</f>
        <v/>
      </c>
      <c r="C51" s="29" t="str">
        <f aca="false">IFERROR(B51/B50-1,"")</f>
        <v/>
      </c>
      <c r="D51" s="29" t="str">
        <f aca="false">IFERROR(B51/B47-1,"")</f>
        <v/>
      </c>
      <c r="E51" s="31" t="str">
        <f aca="false">IFERROR(IF(AND(B51="",ISNUMBER($C$7),ISNUMBER($G$7)),$C$7*(1+$G$7)^(($A51-$E$7)/365.25),""),"")</f>
        <v/>
      </c>
      <c r="F51" s="31" t="str">
        <f aca="false">IFERROR(IF(AND(B51="",ISNUMBER($C$7),ISNUMBER($G$7)),$C$7*(1+$G$7*0.85^MAX(0,($A51-$E$7)/91.25))^(($A51-$E$7)/365.25),""),"")</f>
        <v/>
      </c>
    </row>
    <row r="52" customFormat="false" ht="15" hidden="false" customHeight="false" outlineLevel="0" collapsed="false">
      <c r="A52" s="15" t="n">
        <v>43282</v>
      </c>
      <c r="B52" s="20" t="str">
        <f aca="true">IFERROR(IF(IFERROR(INDEX(INDIRECT(Index!$M$17),MATCH(EDATE($A52,2),INDIRECT(Index!$L$17),0)),AVERAGEIFS(INDIRECT(Index!$M$17),INDIRECT(Index!$L$17),"&gt;="&amp;$A52,INDIRECT(Index!$L$17),"&lt;"&amp;EDATE($A52,3)))=0,"",IFERROR(INDEX(INDIRECT(Index!$M$17),MATCH(EDATE($A52,2),INDIRECT(Index!$L$17),0)),AVERAGEIFS(INDIRECT(Index!$M$17),INDIRECT(Index!$L$17),"&gt;="&amp;$A52,INDIRECT(Index!$L$17),"&lt;"&amp;EDATE($A52,3)))),"")</f>
        <v/>
      </c>
      <c r="C52" s="33" t="str">
        <f aca="false">IFERROR(B52/B51-1,"")</f>
        <v/>
      </c>
      <c r="D52" s="33" t="str">
        <f aca="false">IFERROR(B52/B48-1,"")</f>
        <v/>
      </c>
      <c r="E52" s="25" t="str">
        <f aca="false">IFERROR(IF(AND(B52="",ISNUMBER($C$7),ISNUMBER($G$7)),$C$7*(1+$G$7)^(($A52-$E$7)/365.25),""),"")</f>
        <v/>
      </c>
      <c r="F52" s="25" t="str">
        <f aca="false">IFERROR(IF(AND(B52="",ISNUMBER($C$7),ISNUMBER($G$7)),$C$7*(1+$G$7*0.85^MAX(0,($A52-$E$7)/91.25))^(($A52-$E$7)/365.25),""),"")</f>
        <v/>
      </c>
    </row>
    <row r="53" customFormat="false" ht="15" hidden="false" customHeight="false" outlineLevel="0" collapsed="false">
      <c r="A53" s="27" t="n">
        <v>43374</v>
      </c>
      <c r="B53" s="28" t="str">
        <f aca="true">IFERROR(IF(IFERROR(INDEX(INDIRECT(Index!$M$17),MATCH(EDATE($A53,2),INDIRECT(Index!$L$17),0)),AVERAGEIFS(INDIRECT(Index!$M$17),INDIRECT(Index!$L$17),"&gt;="&amp;$A53,INDIRECT(Index!$L$17),"&lt;"&amp;EDATE($A53,3)))=0,"",IFERROR(INDEX(INDIRECT(Index!$M$17),MATCH(EDATE($A53,2),INDIRECT(Index!$L$17),0)),AVERAGEIFS(INDIRECT(Index!$M$17),INDIRECT(Index!$L$17),"&gt;="&amp;$A53,INDIRECT(Index!$L$17),"&lt;"&amp;EDATE($A53,3)))),"")</f>
        <v/>
      </c>
      <c r="C53" s="29" t="str">
        <f aca="false">IFERROR(B53/B52-1,"")</f>
        <v/>
      </c>
      <c r="D53" s="29" t="str">
        <f aca="false">IFERROR(B53/B49-1,"")</f>
        <v/>
      </c>
      <c r="E53" s="31" t="str">
        <f aca="false">IFERROR(IF(AND(B53="",ISNUMBER($C$7),ISNUMBER($G$7)),$C$7*(1+$G$7)^(($A53-$E$7)/365.25),""),"")</f>
        <v/>
      </c>
      <c r="F53" s="31" t="str">
        <f aca="false">IFERROR(IF(AND(B53="",ISNUMBER($C$7),ISNUMBER($G$7)),$C$7*(1+$G$7*0.85^MAX(0,($A53-$E$7)/91.25))^(($A53-$E$7)/365.25),""),"")</f>
        <v/>
      </c>
    </row>
    <row r="54" customFormat="false" ht="15" hidden="false" customHeight="false" outlineLevel="0" collapsed="false">
      <c r="A54" s="15" t="n">
        <v>43466</v>
      </c>
      <c r="B54" s="20" t="str">
        <f aca="true">IFERROR(IF(IFERROR(INDEX(INDIRECT(Index!$M$17),MATCH(EDATE($A54,2),INDIRECT(Index!$L$17),0)),AVERAGEIFS(INDIRECT(Index!$M$17),INDIRECT(Index!$L$17),"&gt;="&amp;$A54,INDIRECT(Index!$L$17),"&lt;"&amp;EDATE($A54,3)))=0,"",IFERROR(INDEX(INDIRECT(Index!$M$17),MATCH(EDATE($A54,2),INDIRECT(Index!$L$17),0)),AVERAGEIFS(INDIRECT(Index!$M$17),INDIRECT(Index!$L$17),"&gt;="&amp;$A54,INDIRECT(Index!$L$17),"&lt;"&amp;EDATE($A54,3)))),"")</f>
        <v/>
      </c>
      <c r="C54" s="33" t="str">
        <f aca="false">IFERROR(B54/B53-1,"")</f>
        <v/>
      </c>
      <c r="D54" s="33" t="str">
        <f aca="false">IFERROR(B54/B50-1,"")</f>
        <v/>
      </c>
      <c r="E54" s="25" t="str">
        <f aca="false">IFERROR(IF(AND(B54="",ISNUMBER($C$7),ISNUMBER($G$7)),$C$7*(1+$G$7)^(($A54-$E$7)/365.25),""),"")</f>
        <v/>
      </c>
      <c r="F54" s="25" t="str">
        <f aca="false">IFERROR(IF(AND(B54="",ISNUMBER($C$7),ISNUMBER($G$7)),$C$7*(1+$G$7*0.85^MAX(0,($A54-$E$7)/91.25))^(($A54-$E$7)/365.25),""),"")</f>
        <v/>
      </c>
    </row>
    <row r="55" customFormat="false" ht="15" hidden="false" customHeight="false" outlineLevel="0" collapsed="false">
      <c r="A55" s="27" t="n">
        <v>43556</v>
      </c>
      <c r="B55" s="28" t="str">
        <f aca="true">IFERROR(IF(IFERROR(INDEX(INDIRECT(Index!$M$17),MATCH(EDATE($A55,2),INDIRECT(Index!$L$17),0)),AVERAGEIFS(INDIRECT(Index!$M$17),INDIRECT(Index!$L$17),"&gt;="&amp;$A55,INDIRECT(Index!$L$17),"&lt;"&amp;EDATE($A55,3)))=0,"",IFERROR(INDEX(INDIRECT(Index!$M$17),MATCH(EDATE($A55,2),INDIRECT(Index!$L$17),0)),AVERAGEIFS(INDIRECT(Index!$M$17),INDIRECT(Index!$L$17),"&gt;="&amp;$A55,INDIRECT(Index!$L$17),"&lt;"&amp;EDATE($A55,3)))),"")</f>
        <v/>
      </c>
      <c r="C55" s="29" t="str">
        <f aca="false">IFERROR(B55/B54-1,"")</f>
        <v/>
      </c>
      <c r="D55" s="29" t="str">
        <f aca="false">IFERROR(B55/B51-1,"")</f>
        <v/>
      </c>
      <c r="E55" s="31" t="str">
        <f aca="false">IFERROR(IF(AND(B55="",ISNUMBER($C$7),ISNUMBER($G$7)),$C$7*(1+$G$7)^(($A55-$E$7)/365.25),""),"")</f>
        <v/>
      </c>
      <c r="F55" s="31" t="str">
        <f aca="false">IFERROR(IF(AND(B55="",ISNUMBER($C$7),ISNUMBER($G$7)),$C$7*(1+$G$7*0.85^MAX(0,($A55-$E$7)/91.25))^(($A55-$E$7)/365.25),""),"")</f>
        <v/>
      </c>
    </row>
    <row r="56" customFormat="false" ht="15" hidden="false" customHeight="false" outlineLevel="0" collapsed="false">
      <c r="A56" s="15" t="n">
        <v>43647</v>
      </c>
      <c r="B56" s="20" t="str">
        <f aca="true">IFERROR(IF(IFERROR(INDEX(INDIRECT(Index!$M$17),MATCH(EDATE($A56,2),INDIRECT(Index!$L$17),0)),AVERAGEIFS(INDIRECT(Index!$M$17),INDIRECT(Index!$L$17),"&gt;="&amp;$A56,INDIRECT(Index!$L$17),"&lt;"&amp;EDATE($A56,3)))=0,"",IFERROR(INDEX(INDIRECT(Index!$M$17),MATCH(EDATE($A56,2),INDIRECT(Index!$L$17),0)),AVERAGEIFS(INDIRECT(Index!$M$17),INDIRECT(Index!$L$17),"&gt;="&amp;$A56,INDIRECT(Index!$L$17),"&lt;"&amp;EDATE($A56,3)))),"")</f>
        <v/>
      </c>
      <c r="C56" s="33" t="str">
        <f aca="false">IFERROR(B56/B55-1,"")</f>
        <v/>
      </c>
      <c r="D56" s="33" t="str">
        <f aca="false">IFERROR(B56/B52-1,"")</f>
        <v/>
      </c>
      <c r="E56" s="25" t="str">
        <f aca="false">IFERROR(IF(AND(B56="",ISNUMBER($C$7),ISNUMBER($G$7)),$C$7*(1+$G$7)^(($A56-$E$7)/365.25),""),"")</f>
        <v/>
      </c>
      <c r="F56" s="25" t="str">
        <f aca="false">IFERROR(IF(AND(B56="",ISNUMBER($C$7),ISNUMBER($G$7)),$C$7*(1+$G$7*0.85^MAX(0,($A56-$E$7)/91.25))^(($A56-$E$7)/365.25),""),"")</f>
        <v/>
      </c>
    </row>
    <row r="57" customFormat="false" ht="15" hidden="false" customHeight="false" outlineLevel="0" collapsed="false">
      <c r="A57" s="27" t="n">
        <v>43739</v>
      </c>
      <c r="B57" s="28" t="str">
        <f aca="true">IFERROR(IF(IFERROR(INDEX(INDIRECT(Index!$M$17),MATCH(EDATE($A57,2),INDIRECT(Index!$L$17),0)),AVERAGEIFS(INDIRECT(Index!$M$17),INDIRECT(Index!$L$17),"&gt;="&amp;$A57,INDIRECT(Index!$L$17),"&lt;"&amp;EDATE($A57,3)))=0,"",IFERROR(INDEX(INDIRECT(Index!$M$17),MATCH(EDATE($A57,2),INDIRECT(Index!$L$17),0)),AVERAGEIFS(INDIRECT(Index!$M$17),INDIRECT(Index!$L$17),"&gt;="&amp;$A57,INDIRECT(Index!$L$17),"&lt;"&amp;EDATE($A57,3)))),"")</f>
        <v/>
      </c>
      <c r="C57" s="29" t="str">
        <f aca="false">IFERROR(B57/B56-1,"")</f>
        <v/>
      </c>
      <c r="D57" s="29" t="str">
        <f aca="false">IFERROR(B57/B53-1,"")</f>
        <v/>
      </c>
      <c r="E57" s="31" t="str">
        <f aca="false">IFERROR(IF(AND(B57="",ISNUMBER($C$7),ISNUMBER($G$7)),$C$7*(1+$G$7)^(($A57-$E$7)/365.25),""),"")</f>
        <v/>
      </c>
      <c r="F57" s="31" t="str">
        <f aca="false">IFERROR(IF(AND(B57="",ISNUMBER($C$7),ISNUMBER($G$7)),$C$7*(1+$G$7*0.85^MAX(0,($A57-$E$7)/91.25))^(($A57-$E$7)/365.25),""),"")</f>
        <v/>
      </c>
    </row>
    <row r="58" customFormat="false" ht="15" hidden="false" customHeight="false" outlineLevel="0" collapsed="false">
      <c r="A58" s="15" t="n">
        <v>43831</v>
      </c>
      <c r="B58" s="20" t="str">
        <f aca="true">IFERROR(IF(IFERROR(INDEX(INDIRECT(Index!$M$17),MATCH(EDATE($A58,2),INDIRECT(Index!$L$17),0)),AVERAGEIFS(INDIRECT(Index!$M$17),INDIRECT(Index!$L$17),"&gt;="&amp;$A58,INDIRECT(Index!$L$17),"&lt;"&amp;EDATE($A58,3)))=0,"",IFERROR(INDEX(INDIRECT(Index!$M$17),MATCH(EDATE($A58,2),INDIRECT(Index!$L$17),0)),AVERAGEIFS(INDIRECT(Index!$M$17),INDIRECT(Index!$L$17),"&gt;="&amp;$A58,INDIRECT(Index!$L$17),"&lt;"&amp;EDATE($A58,3)))),"")</f>
        <v/>
      </c>
      <c r="C58" s="33" t="str">
        <f aca="false">IFERROR(B58/B57-1,"")</f>
        <v/>
      </c>
      <c r="D58" s="33" t="str">
        <f aca="false">IFERROR(B58/B54-1,"")</f>
        <v/>
      </c>
      <c r="E58" s="25" t="str">
        <f aca="false">IFERROR(IF(AND(B58="",ISNUMBER($C$7),ISNUMBER($G$7)),$C$7*(1+$G$7)^(($A58-$E$7)/365.25),""),"")</f>
        <v/>
      </c>
      <c r="F58" s="25" t="str">
        <f aca="false">IFERROR(IF(AND(B58="",ISNUMBER($C$7),ISNUMBER($G$7)),$C$7*(1+$G$7*0.85^MAX(0,($A58-$E$7)/91.25))^(($A58-$E$7)/365.25),""),"")</f>
        <v/>
      </c>
    </row>
    <row r="59" customFormat="false" ht="15" hidden="false" customHeight="false" outlineLevel="0" collapsed="false">
      <c r="A59" s="27" t="n">
        <v>43922</v>
      </c>
      <c r="B59" s="28" t="str">
        <f aca="true">IFERROR(IF(IFERROR(INDEX(INDIRECT(Index!$M$17),MATCH(EDATE($A59,2),INDIRECT(Index!$L$17),0)),AVERAGEIFS(INDIRECT(Index!$M$17),INDIRECT(Index!$L$17),"&gt;="&amp;$A59,INDIRECT(Index!$L$17),"&lt;"&amp;EDATE($A59,3)))=0,"",IFERROR(INDEX(INDIRECT(Index!$M$17),MATCH(EDATE($A59,2),INDIRECT(Index!$L$17),0)),AVERAGEIFS(INDIRECT(Index!$M$17),INDIRECT(Index!$L$17),"&gt;="&amp;$A59,INDIRECT(Index!$L$17),"&lt;"&amp;EDATE($A59,3)))),"")</f>
        <v/>
      </c>
      <c r="C59" s="29" t="str">
        <f aca="false">IFERROR(B59/B58-1,"")</f>
        <v/>
      </c>
      <c r="D59" s="29" t="str">
        <f aca="false">IFERROR(B59/B55-1,"")</f>
        <v/>
      </c>
      <c r="E59" s="31" t="str">
        <f aca="false">IFERROR(IF(AND(B59="",ISNUMBER($C$7),ISNUMBER($G$7)),$C$7*(1+$G$7)^(($A59-$E$7)/365.25),""),"")</f>
        <v/>
      </c>
      <c r="F59" s="31" t="str">
        <f aca="false">IFERROR(IF(AND(B59="",ISNUMBER($C$7),ISNUMBER($G$7)),$C$7*(1+$G$7*0.85^MAX(0,($A59-$E$7)/91.25))^(($A59-$E$7)/365.25),""),"")</f>
        <v/>
      </c>
    </row>
    <row r="60" customFormat="false" ht="15" hidden="false" customHeight="false" outlineLevel="0" collapsed="false">
      <c r="A60" s="15" t="n">
        <v>44013</v>
      </c>
      <c r="B60" s="20" t="str">
        <f aca="true">IFERROR(IF(IFERROR(INDEX(INDIRECT(Index!$M$17),MATCH(EDATE($A60,2),INDIRECT(Index!$L$17),0)),AVERAGEIFS(INDIRECT(Index!$M$17),INDIRECT(Index!$L$17),"&gt;="&amp;$A60,INDIRECT(Index!$L$17),"&lt;"&amp;EDATE($A60,3)))=0,"",IFERROR(INDEX(INDIRECT(Index!$M$17),MATCH(EDATE($A60,2),INDIRECT(Index!$L$17),0)),AVERAGEIFS(INDIRECT(Index!$M$17),INDIRECT(Index!$L$17),"&gt;="&amp;$A60,INDIRECT(Index!$L$17),"&lt;"&amp;EDATE($A60,3)))),"")</f>
        <v/>
      </c>
      <c r="C60" s="33" t="str">
        <f aca="false">IFERROR(B60/B59-1,"")</f>
        <v/>
      </c>
      <c r="D60" s="33" t="str">
        <f aca="false">IFERROR(B60/B56-1,"")</f>
        <v/>
      </c>
      <c r="E60" s="25" t="str">
        <f aca="false">IFERROR(IF(AND(B60="",ISNUMBER($C$7),ISNUMBER($G$7)),$C$7*(1+$G$7)^(($A60-$E$7)/365.25),""),"")</f>
        <v/>
      </c>
      <c r="F60" s="25" t="str">
        <f aca="false">IFERROR(IF(AND(B60="",ISNUMBER($C$7),ISNUMBER($G$7)),$C$7*(1+$G$7*0.85^MAX(0,($A60-$E$7)/91.25))^(($A60-$E$7)/365.25),""),"")</f>
        <v/>
      </c>
    </row>
    <row r="61" customFormat="false" ht="15" hidden="false" customHeight="false" outlineLevel="0" collapsed="false">
      <c r="A61" s="27" t="n">
        <v>44105</v>
      </c>
      <c r="B61" s="28" t="str">
        <f aca="true">IFERROR(IF(IFERROR(INDEX(INDIRECT(Index!$M$17),MATCH(EDATE($A61,2),INDIRECT(Index!$L$17),0)),AVERAGEIFS(INDIRECT(Index!$M$17),INDIRECT(Index!$L$17),"&gt;="&amp;$A61,INDIRECT(Index!$L$17),"&lt;"&amp;EDATE($A61,3)))=0,"",IFERROR(INDEX(INDIRECT(Index!$M$17),MATCH(EDATE($A61,2),INDIRECT(Index!$L$17),0)),AVERAGEIFS(INDIRECT(Index!$M$17),INDIRECT(Index!$L$17),"&gt;="&amp;$A61,INDIRECT(Index!$L$17),"&lt;"&amp;EDATE($A61,3)))),"")</f>
        <v/>
      </c>
      <c r="C61" s="29" t="str">
        <f aca="false">IFERROR(B61/B60-1,"")</f>
        <v/>
      </c>
      <c r="D61" s="29" t="str">
        <f aca="false">IFERROR(B61/B57-1,"")</f>
        <v/>
      </c>
      <c r="E61" s="31" t="str">
        <f aca="false">IFERROR(IF(AND(B61="",ISNUMBER($C$7),ISNUMBER($G$7)),$C$7*(1+$G$7)^(($A61-$E$7)/365.25),""),"")</f>
        <v/>
      </c>
      <c r="F61" s="31" t="str">
        <f aca="false">IFERROR(IF(AND(B61="",ISNUMBER($C$7),ISNUMBER($G$7)),$C$7*(1+$G$7*0.85^MAX(0,($A61-$E$7)/91.25))^(($A61-$E$7)/365.25),""),"")</f>
        <v/>
      </c>
    </row>
    <row r="62" customFormat="false" ht="15" hidden="false" customHeight="false" outlineLevel="0" collapsed="false">
      <c r="A62" s="15" t="n">
        <v>44197</v>
      </c>
      <c r="B62" s="20" t="str">
        <f aca="true">IFERROR(IF(IFERROR(INDEX(INDIRECT(Index!$M$17),MATCH(EDATE($A62,2),INDIRECT(Index!$L$17),0)),AVERAGEIFS(INDIRECT(Index!$M$17),INDIRECT(Index!$L$17),"&gt;="&amp;$A62,INDIRECT(Index!$L$17),"&lt;"&amp;EDATE($A62,3)))=0,"",IFERROR(INDEX(INDIRECT(Index!$M$17),MATCH(EDATE($A62,2),INDIRECT(Index!$L$17),0)),AVERAGEIFS(INDIRECT(Index!$M$17),INDIRECT(Index!$L$17),"&gt;="&amp;$A62,INDIRECT(Index!$L$17),"&lt;"&amp;EDATE($A62,3)))),"")</f>
        <v/>
      </c>
      <c r="C62" s="33" t="str">
        <f aca="false">IFERROR(B62/B61-1,"")</f>
        <v/>
      </c>
      <c r="D62" s="33" t="str">
        <f aca="false">IFERROR(B62/B58-1,"")</f>
        <v/>
      </c>
      <c r="E62" s="25" t="str">
        <f aca="false">IFERROR(IF(AND(B62="",ISNUMBER($C$7),ISNUMBER($G$7)),$C$7*(1+$G$7)^(($A62-$E$7)/365.25),""),"")</f>
        <v/>
      </c>
      <c r="F62" s="25" t="str">
        <f aca="false">IFERROR(IF(AND(B62="",ISNUMBER($C$7),ISNUMBER($G$7)),$C$7*(1+$G$7*0.85^MAX(0,($A62-$E$7)/91.25))^(($A62-$E$7)/365.25),""),"")</f>
        <v/>
      </c>
    </row>
    <row r="63" customFormat="false" ht="15" hidden="false" customHeight="false" outlineLevel="0" collapsed="false">
      <c r="A63" s="27" t="n">
        <v>44287</v>
      </c>
      <c r="B63" s="28" t="str">
        <f aca="true">IFERROR(IF(IFERROR(INDEX(INDIRECT(Index!$M$17),MATCH(EDATE($A63,2),INDIRECT(Index!$L$17),0)),AVERAGEIFS(INDIRECT(Index!$M$17),INDIRECT(Index!$L$17),"&gt;="&amp;$A63,INDIRECT(Index!$L$17),"&lt;"&amp;EDATE($A63,3)))=0,"",IFERROR(INDEX(INDIRECT(Index!$M$17),MATCH(EDATE($A63,2),INDIRECT(Index!$L$17),0)),AVERAGEIFS(INDIRECT(Index!$M$17),INDIRECT(Index!$L$17),"&gt;="&amp;$A63,INDIRECT(Index!$L$17),"&lt;"&amp;EDATE($A63,3)))),"")</f>
        <v/>
      </c>
      <c r="C63" s="29" t="str">
        <f aca="false">IFERROR(B63/B62-1,"")</f>
        <v/>
      </c>
      <c r="D63" s="29" t="str">
        <f aca="false">IFERROR(B63/B59-1,"")</f>
        <v/>
      </c>
      <c r="E63" s="31" t="str">
        <f aca="false">IFERROR(IF(AND(B63="",ISNUMBER($C$7),ISNUMBER($G$7)),$C$7*(1+$G$7)^(($A63-$E$7)/365.25),""),"")</f>
        <v/>
      </c>
      <c r="F63" s="31" t="str">
        <f aca="false">IFERROR(IF(AND(B63="",ISNUMBER($C$7),ISNUMBER($G$7)),$C$7*(1+$G$7*0.85^MAX(0,($A63-$E$7)/91.25))^(($A63-$E$7)/365.25),""),"")</f>
        <v/>
      </c>
    </row>
    <row r="64" customFormat="false" ht="15" hidden="false" customHeight="false" outlineLevel="0" collapsed="false">
      <c r="A64" s="15" t="n">
        <v>44378</v>
      </c>
      <c r="B64" s="20" t="str">
        <f aca="true">IFERROR(IF(IFERROR(INDEX(INDIRECT(Index!$M$17),MATCH(EDATE($A64,2),INDIRECT(Index!$L$17),0)),AVERAGEIFS(INDIRECT(Index!$M$17),INDIRECT(Index!$L$17),"&gt;="&amp;$A64,INDIRECT(Index!$L$17),"&lt;"&amp;EDATE($A64,3)))=0,"",IFERROR(INDEX(INDIRECT(Index!$M$17),MATCH(EDATE($A64,2),INDIRECT(Index!$L$17),0)),AVERAGEIFS(INDIRECT(Index!$M$17),INDIRECT(Index!$L$17),"&gt;="&amp;$A64,INDIRECT(Index!$L$17),"&lt;"&amp;EDATE($A64,3)))),"")</f>
        <v/>
      </c>
      <c r="C64" s="33" t="str">
        <f aca="false">IFERROR(B64/B63-1,"")</f>
        <v/>
      </c>
      <c r="D64" s="33" t="str">
        <f aca="false">IFERROR(B64/B60-1,"")</f>
        <v/>
      </c>
      <c r="E64" s="25" t="str">
        <f aca="false">IFERROR(IF(AND(B64="",ISNUMBER($C$7),ISNUMBER($G$7)),$C$7*(1+$G$7)^(($A64-$E$7)/365.25),""),"")</f>
        <v/>
      </c>
      <c r="F64" s="25" t="str">
        <f aca="false">IFERROR(IF(AND(B64="",ISNUMBER($C$7),ISNUMBER($G$7)),$C$7*(1+$G$7*0.85^MAX(0,($A64-$E$7)/91.25))^(($A64-$E$7)/365.25),""),"")</f>
        <v/>
      </c>
    </row>
    <row r="65" customFormat="false" ht="15" hidden="false" customHeight="false" outlineLevel="0" collapsed="false">
      <c r="A65" s="27" t="n">
        <v>44470</v>
      </c>
      <c r="B65" s="28" t="str">
        <f aca="true">IFERROR(IF(IFERROR(INDEX(INDIRECT(Index!$M$17),MATCH(EDATE($A65,2),INDIRECT(Index!$L$17),0)),AVERAGEIFS(INDIRECT(Index!$M$17),INDIRECT(Index!$L$17),"&gt;="&amp;$A65,INDIRECT(Index!$L$17),"&lt;"&amp;EDATE($A65,3)))=0,"",IFERROR(INDEX(INDIRECT(Index!$M$17),MATCH(EDATE($A65,2),INDIRECT(Index!$L$17),0)),AVERAGEIFS(INDIRECT(Index!$M$17),INDIRECT(Index!$L$17),"&gt;="&amp;$A65,INDIRECT(Index!$L$17),"&lt;"&amp;EDATE($A65,3)))),"")</f>
        <v/>
      </c>
      <c r="C65" s="29" t="str">
        <f aca="false">IFERROR(B65/B64-1,"")</f>
        <v/>
      </c>
      <c r="D65" s="29" t="str">
        <f aca="false">IFERROR(B65/B61-1,"")</f>
        <v/>
      </c>
      <c r="E65" s="31" t="str">
        <f aca="false">IFERROR(IF(AND(B65="",ISNUMBER($C$7),ISNUMBER($G$7)),$C$7*(1+$G$7)^(($A65-$E$7)/365.25),""),"")</f>
        <v/>
      </c>
      <c r="F65" s="31" t="str">
        <f aca="false">IFERROR(IF(AND(B65="",ISNUMBER($C$7),ISNUMBER($G$7)),$C$7*(1+$G$7*0.85^MAX(0,($A65-$E$7)/91.25))^(($A65-$E$7)/365.25),""),"")</f>
        <v/>
      </c>
    </row>
    <row r="66" customFormat="false" ht="15" hidden="false" customHeight="false" outlineLevel="0" collapsed="false">
      <c r="A66" s="15" t="n">
        <v>44562</v>
      </c>
      <c r="B66" s="20" t="str">
        <f aca="true">IFERROR(IF(IFERROR(INDEX(INDIRECT(Index!$M$17),MATCH(EDATE($A66,2),INDIRECT(Index!$L$17),0)),AVERAGEIFS(INDIRECT(Index!$M$17),INDIRECT(Index!$L$17),"&gt;="&amp;$A66,INDIRECT(Index!$L$17),"&lt;"&amp;EDATE($A66,3)))=0,"",IFERROR(INDEX(INDIRECT(Index!$M$17),MATCH(EDATE($A66,2),INDIRECT(Index!$L$17),0)),AVERAGEIFS(INDIRECT(Index!$M$17),INDIRECT(Index!$L$17),"&gt;="&amp;$A66,INDIRECT(Index!$L$17),"&lt;"&amp;EDATE($A66,3)))),"")</f>
        <v/>
      </c>
      <c r="C66" s="33" t="str">
        <f aca="false">IFERROR(B66/B65-1,"")</f>
        <v/>
      </c>
      <c r="D66" s="33" t="str">
        <f aca="false">IFERROR(B66/B62-1,"")</f>
        <v/>
      </c>
      <c r="E66" s="25" t="str">
        <f aca="false">IFERROR(IF(AND(B66="",ISNUMBER($C$7),ISNUMBER($G$7)),$C$7*(1+$G$7)^(($A66-$E$7)/365.25),""),"")</f>
        <v/>
      </c>
      <c r="F66" s="25" t="str">
        <f aca="false">IFERROR(IF(AND(B66="",ISNUMBER($C$7),ISNUMBER($G$7)),$C$7*(1+$G$7*0.85^MAX(0,($A66-$E$7)/91.25))^(($A66-$E$7)/365.25),""),"")</f>
        <v/>
      </c>
    </row>
    <row r="67" customFormat="false" ht="15" hidden="false" customHeight="false" outlineLevel="0" collapsed="false">
      <c r="A67" s="27" t="n">
        <v>44652</v>
      </c>
      <c r="B67" s="28" t="str">
        <f aca="true">IFERROR(IF(IFERROR(INDEX(INDIRECT(Index!$M$17),MATCH(EDATE($A67,2),INDIRECT(Index!$L$17),0)),AVERAGEIFS(INDIRECT(Index!$M$17),INDIRECT(Index!$L$17),"&gt;="&amp;$A67,INDIRECT(Index!$L$17),"&lt;"&amp;EDATE($A67,3)))=0,"",IFERROR(INDEX(INDIRECT(Index!$M$17),MATCH(EDATE($A67,2),INDIRECT(Index!$L$17),0)),AVERAGEIFS(INDIRECT(Index!$M$17),INDIRECT(Index!$L$17),"&gt;="&amp;$A67,INDIRECT(Index!$L$17),"&lt;"&amp;EDATE($A67,3)))),"")</f>
        <v/>
      </c>
      <c r="C67" s="29" t="str">
        <f aca="false">IFERROR(B67/B66-1,"")</f>
        <v/>
      </c>
      <c r="D67" s="29" t="str">
        <f aca="false">IFERROR(B67/B63-1,"")</f>
        <v/>
      </c>
      <c r="E67" s="31" t="str">
        <f aca="false">IFERROR(IF(AND(B67="",ISNUMBER($C$7),ISNUMBER($G$7)),$C$7*(1+$G$7)^(($A67-$E$7)/365.25),""),"")</f>
        <v/>
      </c>
      <c r="F67" s="31" t="str">
        <f aca="false">IFERROR(IF(AND(B67="",ISNUMBER($C$7),ISNUMBER($G$7)),$C$7*(1+$G$7*0.85^MAX(0,($A67-$E$7)/91.25))^(($A67-$E$7)/365.25),""),"")</f>
        <v/>
      </c>
    </row>
    <row r="68" customFormat="false" ht="15" hidden="false" customHeight="false" outlineLevel="0" collapsed="false">
      <c r="A68" s="15" t="n">
        <v>44743</v>
      </c>
      <c r="B68" s="20" t="str">
        <f aca="true">IFERROR(IF(IFERROR(INDEX(INDIRECT(Index!$M$17),MATCH(EDATE($A68,2),INDIRECT(Index!$L$17),0)),AVERAGEIFS(INDIRECT(Index!$M$17),INDIRECT(Index!$L$17),"&gt;="&amp;$A68,INDIRECT(Index!$L$17),"&lt;"&amp;EDATE($A68,3)))=0,"",IFERROR(INDEX(INDIRECT(Index!$M$17),MATCH(EDATE($A68,2),INDIRECT(Index!$L$17),0)),AVERAGEIFS(INDIRECT(Index!$M$17),INDIRECT(Index!$L$17),"&gt;="&amp;$A68,INDIRECT(Index!$L$17),"&lt;"&amp;EDATE($A68,3)))),"")</f>
        <v/>
      </c>
      <c r="C68" s="33" t="str">
        <f aca="false">IFERROR(B68/B67-1,"")</f>
        <v/>
      </c>
      <c r="D68" s="33" t="str">
        <f aca="false">IFERROR(B68/B64-1,"")</f>
        <v/>
      </c>
      <c r="E68" s="25" t="str">
        <f aca="false">IFERROR(IF(AND(B68="",ISNUMBER($C$7),ISNUMBER($G$7)),$C$7*(1+$G$7)^(($A68-$E$7)/365.25),""),"")</f>
        <v/>
      </c>
      <c r="F68" s="25" t="str">
        <f aca="false">IFERROR(IF(AND(B68="",ISNUMBER($C$7),ISNUMBER($G$7)),$C$7*(1+$G$7*0.85^MAX(0,($A68-$E$7)/91.25))^(($A68-$E$7)/365.25),""),"")</f>
        <v/>
      </c>
    </row>
    <row r="69" customFormat="false" ht="15" hidden="false" customHeight="false" outlineLevel="0" collapsed="false">
      <c r="A69" s="27" t="n">
        <v>44835</v>
      </c>
      <c r="B69" s="28" t="str">
        <f aca="true">IFERROR(IF(IFERROR(INDEX(INDIRECT(Index!$M$17),MATCH(EDATE($A69,2),INDIRECT(Index!$L$17),0)),AVERAGEIFS(INDIRECT(Index!$M$17),INDIRECT(Index!$L$17),"&gt;="&amp;$A69,INDIRECT(Index!$L$17),"&lt;"&amp;EDATE($A69,3)))=0,"",IFERROR(INDEX(INDIRECT(Index!$M$17),MATCH(EDATE($A69,2),INDIRECT(Index!$L$17),0)),AVERAGEIFS(INDIRECT(Index!$M$17),INDIRECT(Index!$L$17),"&gt;="&amp;$A69,INDIRECT(Index!$L$17),"&lt;"&amp;EDATE($A69,3)))),"")</f>
        <v/>
      </c>
      <c r="C69" s="29" t="str">
        <f aca="false">IFERROR(B69/B68-1,"")</f>
        <v/>
      </c>
      <c r="D69" s="29" t="str">
        <f aca="false">IFERROR(B69/B65-1,"")</f>
        <v/>
      </c>
      <c r="E69" s="31" t="str">
        <f aca="false">IFERROR(IF(AND(B69="",ISNUMBER($C$7),ISNUMBER($G$7)),$C$7*(1+$G$7)^(($A69-$E$7)/365.25),""),"")</f>
        <v/>
      </c>
      <c r="F69" s="31" t="str">
        <f aca="false">IFERROR(IF(AND(B69="",ISNUMBER($C$7),ISNUMBER($G$7)),$C$7*(1+$G$7*0.85^MAX(0,($A69-$E$7)/91.25))^(($A69-$E$7)/365.25),""),"")</f>
        <v/>
      </c>
    </row>
    <row r="70" customFormat="false" ht="15" hidden="false" customHeight="false" outlineLevel="0" collapsed="false">
      <c r="A70" s="15" t="n">
        <v>44927</v>
      </c>
      <c r="B70" s="20" t="str">
        <f aca="true">IFERROR(IF(IFERROR(INDEX(INDIRECT(Index!$M$17),MATCH(EDATE($A70,2),INDIRECT(Index!$L$17),0)),AVERAGEIFS(INDIRECT(Index!$M$17),INDIRECT(Index!$L$17),"&gt;="&amp;$A70,INDIRECT(Index!$L$17),"&lt;"&amp;EDATE($A70,3)))=0,"",IFERROR(INDEX(INDIRECT(Index!$M$17),MATCH(EDATE($A70,2),INDIRECT(Index!$L$17),0)),AVERAGEIFS(INDIRECT(Index!$M$17),INDIRECT(Index!$L$17),"&gt;="&amp;$A70,INDIRECT(Index!$L$17),"&lt;"&amp;EDATE($A70,3)))),"")</f>
        <v/>
      </c>
      <c r="C70" s="33" t="str">
        <f aca="false">IFERROR(B70/B69-1,"")</f>
        <v/>
      </c>
      <c r="D70" s="33" t="str">
        <f aca="false">IFERROR(B70/B66-1,"")</f>
        <v/>
      </c>
      <c r="E70" s="25" t="str">
        <f aca="false">IFERROR(IF(AND(B70="",ISNUMBER($C$7),ISNUMBER($G$7)),$C$7*(1+$G$7)^(($A70-$E$7)/365.25),""),"")</f>
        <v/>
      </c>
      <c r="F70" s="25" t="str">
        <f aca="false">IFERROR(IF(AND(B70="",ISNUMBER($C$7),ISNUMBER($G$7)),$C$7*(1+$G$7*0.85^MAX(0,($A70-$E$7)/91.25))^(($A70-$E$7)/365.25),""),"")</f>
        <v/>
      </c>
    </row>
    <row r="71" customFormat="false" ht="15" hidden="false" customHeight="false" outlineLevel="0" collapsed="false">
      <c r="A71" s="27" t="n">
        <v>45017</v>
      </c>
      <c r="B71" s="28" t="str">
        <f aca="true">IFERROR(IF(IFERROR(INDEX(INDIRECT(Index!$M$17),MATCH(EDATE($A71,2),INDIRECT(Index!$L$17),0)),AVERAGEIFS(INDIRECT(Index!$M$17),INDIRECT(Index!$L$17),"&gt;="&amp;$A71,INDIRECT(Index!$L$17),"&lt;"&amp;EDATE($A71,3)))=0,"",IFERROR(INDEX(INDIRECT(Index!$M$17),MATCH(EDATE($A71,2),INDIRECT(Index!$L$17),0)),AVERAGEIFS(INDIRECT(Index!$M$17),INDIRECT(Index!$L$17),"&gt;="&amp;$A71,INDIRECT(Index!$L$17),"&lt;"&amp;EDATE($A71,3)))),"")</f>
        <v/>
      </c>
      <c r="C71" s="29" t="str">
        <f aca="false">IFERROR(B71/B70-1,"")</f>
        <v/>
      </c>
      <c r="D71" s="29" t="str">
        <f aca="false">IFERROR(B71/B67-1,"")</f>
        <v/>
      </c>
      <c r="E71" s="31" t="str">
        <f aca="false">IFERROR(IF(AND(B71="",ISNUMBER($C$7),ISNUMBER($G$7)),$C$7*(1+$G$7)^(($A71-$E$7)/365.25),""),"")</f>
        <v/>
      </c>
      <c r="F71" s="31" t="str">
        <f aca="false">IFERROR(IF(AND(B71="",ISNUMBER($C$7),ISNUMBER($G$7)),$C$7*(1+$G$7*0.85^MAX(0,($A71-$E$7)/91.25))^(($A71-$E$7)/365.25),""),"")</f>
        <v/>
      </c>
    </row>
    <row r="72" customFormat="false" ht="15" hidden="false" customHeight="false" outlineLevel="0" collapsed="false">
      <c r="A72" s="15" t="n">
        <v>45108</v>
      </c>
      <c r="B72" s="20" t="str">
        <f aca="true">IFERROR(IF(IFERROR(INDEX(INDIRECT(Index!$M$17),MATCH(EDATE($A72,2),INDIRECT(Index!$L$17),0)),AVERAGEIFS(INDIRECT(Index!$M$17),INDIRECT(Index!$L$17),"&gt;="&amp;$A72,INDIRECT(Index!$L$17),"&lt;"&amp;EDATE($A72,3)))=0,"",IFERROR(INDEX(INDIRECT(Index!$M$17),MATCH(EDATE($A72,2),INDIRECT(Index!$L$17),0)),AVERAGEIFS(INDIRECT(Index!$M$17),INDIRECT(Index!$L$17),"&gt;="&amp;$A72,INDIRECT(Index!$L$17),"&lt;"&amp;EDATE($A72,3)))),"")</f>
        <v/>
      </c>
      <c r="C72" s="33" t="str">
        <f aca="false">IFERROR(B72/B71-1,"")</f>
        <v/>
      </c>
      <c r="D72" s="33" t="str">
        <f aca="false">IFERROR(B72/B68-1,"")</f>
        <v/>
      </c>
      <c r="E72" s="25" t="str">
        <f aca="false">IFERROR(IF(AND(B72="",ISNUMBER($C$7),ISNUMBER($G$7)),$C$7*(1+$G$7)^(($A72-$E$7)/365.25),""),"")</f>
        <v/>
      </c>
      <c r="F72" s="25" t="str">
        <f aca="false">IFERROR(IF(AND(B72="",ISNUMBER($C$7),ISNUMBER($G$7)),$C$7*(1+$G$7*0.85^MAX(0,($A72-$E$7)/91.25))^(($A72-$E$7)/365.25),""),"")</f>
        <v/>
      </c>
    </row>
    <row r="73" customFormat="false" ht="15" hidden="false" customHeight="false" outlineLevel="0" collapsed="false">
      <c r="A73" s="27" t="n">
        <v>45200</v>
      </c>
      <c r="B73" s="28" t="str">
        <f aca="true">IFERROR(IF(IFERROR(INDEX(INDIRECT(Index!$M$17),MATCH(EDATE($A73,2),INDIRECT(Index!$L$17),0)),AVERAGEIFS(INDIRECT(Index!$M$17),INDIRECT(Index!$L$17),"&gt;="&amp;$A73,INDIRECT(Index!$L$17),"&lt;"&amp;EDATE($A73,3)))=0,"",IFERROR(INDEX(INDIRECT(Index!$M$17),MATCH(EDATE($A73,2),INDIRECT(Index!$L$17),0)),AVERAGEIFS(INDIRECT(Index!$M$17),INDIRECT(Index!$L$17),"&gt;="&amp;$A73,INDIRECT(Index!$L$17),"&lt;"&amp;EDATE($A73,3)))),"")</f>
        <v/>
      </c>
      <c r="C73" s="29" t="str">
        <f aca="false">IFERROR(B73/B72-1,"")</f>
        <v/>
      </c>
      <c r="D73" s="29" t="str">
        <f aca="false">IFERROR(B73/B69-1,"")</f>
        <v/>
      </c>
      <c r="E73" s="31" t="str">
        <f aca="false">IFERROR(IF(AND(B73="",ISNUMBER($C$7),ISNUMBER($G$7)),$C$7*(1+$G$7)^(($A73-$E$7)/365.25),""),"")</f>
        <v/>
      </c>
      <c r="F73" s="31" t="str">
        <f aca="false">IFERROR(IF(AND(B73="",ISNUMBER($C$7),ISNUMBER($G$7)),$C$7*(1+$G$7*0.85^MAX(0,($A73-$E$7)/91.25))^(($A73-$E$7)/365.25),""),"")</f>
        <v/>
      </c>
    </row>
    <row r="74" customFormat="false" ht="15" hidden="false" customHeight="false" outlineLevel="0" collapsed="false">
      <c r="A74" s="15" t="n">
        <v>45292</v>
      </c>
      <c r="B74" s="20" t="str">
        <f aca="true">IFERROR(IF(IFERROR(INDEX(INDIRECT(Index!$M$17),MATCH(EDATE($A74,2),INDIRECT(Index!$L$17),0)),AVERAGEIFS(INDIRECT(Index!$M$17),INDIRECT(Index!$L$17),"&gt;="&amp;$A74,INDIRECT(Index!$L$17),"&lt;"&amp;EDATE($A74,3)))=0,"",IFERROR(INDEX(INDIRECT(Index!$M$17),MATCH(EDATE($A74,2),INDIRECT(Index!$L$17),0)),AVERAGEIFS(INDIRECT(Index!$M$17),INDIRECT(Index!$L$17),"&gt;="&amp;$A74,INDIRECT(Index!$L$17),"&lt;"&amp;EDATE($A74,3)))),"")</f>
        <v/>
      </c>
      <c r="C74" s="33" t="str">
        <f aca="false">IFERROR(B74/B73-1,"")</f>
        <v/>
      </c>
      <c r="D74" s="33" t="str">
        <f aca="false">IFERROR(B74/B70-1,"")</f>
        <v/>
      </c>
      <c r="E74" s="25" t="str">
        <f aca="false">IFERROR(IF(AND(B74="",ISNUMBER($C$7),ISNUMBER($G$7)),$C$7*(1+$G$7)^(($A74-$E$7)/365.25),""),"")</f>
        <v/>
      </c>
      <c r="F74" s="25" t="str">
        <f aca="false">IFERROR(IF(AND(B74="",ISNUMBER($C$7),ISNUMBER($G$7)),$C$7*(1+$G$7*0.85^MAX(0,($A74-$E$7)/91.25))^(($A74-$E$7)/365.25),""),"")</f>
        <v/>
      </c>
    </row>
    <row r="75" customFormat="false" ht="15" hidden="false" customHeight="false" outlineLevel="0" collapsed="false">
      <c r="A75" s="27" t="n">
        <v>45383</v>
      </c>
      <c r="B75" s="28" t="str">
        <f aca="true">IFERROR(IF(IFERROR(INDEX(INDIRECT(Index!$M$17),MATCH(EDATE($A75,2),INDIRECT(Index!$L$17),0)),AVERAGEIFS(INDIRECT(Index!$M$17),INDIRECT(Index!$L$17),"&gt;="&amp;$A75,INDIRECT(Index!$L$17),"&lt;"&amp;EDATE($A75,3)))=0,"",IFERROR(INDEX(INDIRECT(Index!$M$17),MATCH(EDATE($A75,2),INDIRECT(Index!$L$17),0)),AVERAGEIFS(INDIRECT(Index!$M$17),INDIRECT(Index!$L$17),"&gt;="&amp;$A75,INDIRECT(Index!$L$17),"&lt;"&amp;EDATE($A75,3)))),"")</f>
        <v/>
      </c>
      <c r="C75" s="29" t="str">
        <f aca="false">IFERROR(B75/B74-1,"")</f>
        <v/>
      </c>
      <c r="D75" s="29" t="str">
        <f aca="false">IFERROR(B75/B71-1,"")</f>
        <v/>
      </c>
      <c r="E75" s="31" t="str">
        <f aca="false">IFERROR(IF(AND(B75="",ISNUMBER($C$7),ISNUMBER($G$7)),$C$7*(1+$G$7)^(($A75-$E$7)/365.25),""),"")</f>
        <v/>
      </c>
      <c r="F75" s="31" t="str">
        <f aca="false">IFERROR(IF(AND(B75="",ISNUMBER($C$7),ISNUMBER($G$7)),$C$7*(1+$G$7*0.85^MAX(0,($A75-$E$7)/91.25))^(($A75-$E$7)/365.25),""),"")</f>
        <v/>
      </c>
    </row>
    <row r="76" customFormat="false" ht="15" hidden="false" customHeight="false" outlineLevel="0" collapsed="false">
      <c r="A76" s="15" t="n">
        <v>45474</v>
      </c>
      <c r="B76" s="20" t="str">
        <f aca="true">IFERROR(IF(IFERROR(INDEX(INDIRECT(Index!$M$17),MATCH(EDATE($A76,2),INDIRECT(Index!$L$17),0)),AVERAGEIFS(INDIRECT(Index!$M$17),INDIRECT(Index!$L$17),"&gt;="&amp;$A76,INDIRECT(Index!$L$17),"&lt;"&amp;EDATE($A76,3)))=0,"",IFERROR(INDEX(INDIRECT(Index!$M$17),MATCH(EDATE($A76,2),INDIRECT(Index!$L$17),0)),AVERAGEIFS(INDIRECT(Index!$M$17),INDIRECT(Index!$L$17),"&gt;="&amp;$A76,INDIRECT(Index!$L$17),"&lt;"&amp;EDATE($A76,3)))),"")</f>
        <v/>
      </c>
      <c r="C76" s="33" t="str">
        <f aca="false">IFERROR(B76/B75-1,"")</f>
        <v/>
      </c>
      <c r="D76" s="33" t="str">
        <f aca="false">IFERROR(B76/B72-1,"")</f>
        <v/>
      </c>
      <c r="E76" s="25" t="str">
        <f aca="false">IFERROR(IF(AND(B76="",ISNUMBER($C$7),ISNUMBER($G$7)),$C$7*(1+$G$7)^(($A76-$E$7)/365.25),""),"")</f>
        <v/>
      </c>
      <c r="F76" s="25" t="str">
        <f aca="false">IFERROR(IF(AND(B76="",ISNUMBER($C$7),ISNUMBER($G$7)),$C$7*(1+$G$7*0.85^MAX(0,($A76-$E$7)/91.25))^(($A76-$E$7)/365.25),""),"")</f>
        <v/>
      </c>
    </row>
    <row r="77" customFormat="false" ht="15" hidden="false" customHeight="false" outlineLevel="0" collapsed="false">
      <c r="A77" s="27" t="n">
        <v>45566</v>
      </c>
      <c r="B77" s="28" t="str">
        <f aca="true">IFERROR(IF(IFERROR(INDEX(INDIRECT(Index!$M$17),MATCH(EDATE($A77,2),INDIRECT(Index!$L$17),0)),AVERAGEIFS(INDIRECT(Index!$M$17),INDIRECT(Index!$L$17),"&gt;="&amp;$A77,INDIRECT(Index!$L$17),"&lt;"&amp;EDATE($A77,3)))=0,"",IFERROR(INDEX(INDIRECT(Index!$M$17),MATCH(EDATE($A77,2),INDIRECT(Index!$L$17),0)),AVERAGEIFS(INDIRECT(Index!$M$17),INDIRECT(Index!$L$17),"&gt;="&amp;$A77,INDIRECT(Index!$L$17),"&lt;"&amp;EDATE($A77,3)))),"")</f>
        <v/>
      </c>
      <c r="C77" s="29" t="str">
        <f aca="false">IFERROR(B77/B76-1,"")</f>
        <v/>
      </c>
      <c r="D77" s="29" t="str">
        <f aca="false">IFERROR(B77/B73-1,"")</f>
        <v/>
      </c>
      <c r="E77" s="31" t="str">
        <f aca="false">IFERROR(IF(AND(B77="",ISNUMBER($C$7),ISNUMBER($G$7)),$C$7*(1+$G$7)^(($A77-$E$7)/365.25),""),"")</f>
        <v/>
      </c>
      <c r="F77" s="31" t="str">
        <f aca="false">IFERROR(IF(AND(B77="",ISNUMBER($C$7),ISNUMBER($G$7)),$C$7*(1+$G$7*0.85^MAX(0,($A77-$E$7)/91.25))^(($A77-$E$7)/365.25),""),"")</f>
        <v/>
      </c>
    </row>
    <row r="78" customFormat="false" ht="15" hidden="false" customHeight="false" outlineLevel="0" collapsed="false">
      <c r="A78" s="15" t="n">
        <v>45658</v>
      </c>
      <c r="B78" s="20" t="str">
        <f aca="true">IFERROR(IF(IFERROR(INDEX(INDIRECT(Index!$M$17),MATCH(EDATE($A78,2),INDIRECT(Index!$L$17),0)),AVERAGEIFS(INDIRECT(Index!$M$17),INDIRECT(Index!$L$17),"&gt;="&amp;$A78,INDIRECT(Index!$L$17),"&lt;"&amp;EDATE($A78,3)))=0,"",IFERROR(INDEX(INDIRECT(Index!$M$17),MATCH(EDATE($A78,2),INDIRECT(Index!$L$17),0)),AVERAGEIFS(INDIRECT(Index!$M$17),INDIRECT(Index!$L$17),"&gt;="&amp;$A78,INDIRECT(Index!$L$17),"&lt;"&amp;EDATE($A78,3)))),"")</f>
        <v/>
      </c>
      <c r="C78" s="33" t="str">
        <f aca="false">IFERROR(B78/B77-1,"")</f>
        <v/>
      </c>
      <c r="D78" s="33" t="str">
        <f aca="false">IFERROR(B78/B74-1,"")</f>
        <v/>
      </c>
      <c r="E78" s="25" t="str">
        <f aca="false">IFERROR(IF(AND(B78="",ISNUMBER($C$7),ISNUMBER($G$7)),$C$7*(1+$G$7)^(($A78-$E$7)/365.25),""),"")</f>
        <v/>
      </c>
      <c r="F78" s="25" t="str">
        <f aca="false">IFERROR(IF(AND(B78="",ISNUMBER($C$7),ISNUMBER($G$7)),$C$7*(1+$G$7*0.85^MAX(0,($A78-$E$7)/91.25))^(($A78-$E$7)/365.25),""),"")</f>
        <v/>
      </c>
    </row>
    <row r="79" customFormat="false" ht="15" hidden="false" customHeight="false" outlineLevel="0" collapsed="false">
      <c r="A79" s="27" t="n">
        <v>45748</v>
      </c>
      <c r="B79" s="28" t="str">
        <f aca="true">IFERROR(IF(IFERROR(INDEX(INDIRECT(Index!$M$17),MATCH(EDATE($A79,2),INDIRECT(Index!$L$17),0)),AVERAGEIFS(INDIRECT(Index!$M$17),INDIRECT(Index!$L$17),"&gt;="&amp;$A79,INDIRECT(Index!$L$17),"&lt;"&amp;EDATE($A79,3)))=0,"",IFERROR(INDEX(INDIRECT(Index!$M$17),MATCH(EDATE($A79,2),INDIRECT(Index!$L$17),0)),AVERAGEIFS(INDIRECT(Index!$M$17),INDIRECT(Index!$L$17),"&gt;="&amp;$A79,INDIRECT(Index!$L$17),"&lt;"&amp;EDATE($A79,3)))),"")</f>
        <v/>
      </c>
      <c r="C79" s="29" t="str">
        <f aca="false">IFERROR(B79/B78-1,"")</f>
        <v/>
      </c>
      <c r="D79" s="29" t="str">
        <f aca="false">IFERROR(B79/B75-1,"")</f>
        <v/>
      </c>
      <c r="E79" s="31" t="str">
        <f aca="false">IFERROR(IF(AND(B79="",ISNUMBER($C$7),ISNUMBER($G$7)),$C$7*(1+$G$7)^(($A79-$E$7)/365.25),""),"")</f>
        <v/>
      </c>
      <c r="F79" s="31" t="str">
        <f aca="false">IFERROR(IF(AND(B79="",ISNUMBER($C$7),ISNUMBER($G$7)),$C$7*(1+$G$7*0.85^MAX(0,($A79-$E$7)/91.25))^(($A79-$E$7)/365.25),""),"")</f>
        <v/>
      </c>
    </row>
    <row r="80" customFormat="false" ht="15" hidden="false" customHeight="false" outlineLevel="0" collapsed="false">
      <c r="A80" s="15" t="n">
        <v>45839</v>
      </c>
      <c r="B80" s="20" t="str">
        <f aca="true">IFERROR(IF(IFERROR(INDEX(INDIRECT(Index!$M$17),MATCH(EDATE($A80,2),INDIRECT(Index!$L$17),0)),AVERAGEIFS(INDIRECT(Index!$M$17),INDIRECT(Index!$L$17),"&gt;="&amp;$A80,INDIRECT(Index!$L$17),"&lt;"&amp;EDATE($A80,3)))=0,"",IFERROR(INDEX(INDIRECT(Index!$M$17),MATCH(EDATE($A80,2),INDIRECT(Index!$L$17),0)),AVERAGEIFS(INDIRECT(Index!$M$17),INDIRECT(Index!$L$17),"&gt;="&amp;$A80,INDIRECT(Index!$L$17),"&lt;"&amp;EDATE($A80,3)))),"")</f>
        <v/>
      </c>
      <c r="C80" s="33" t="str">
        <f aca="false">IFERROR(B80/B79-1,"")</f>
        <v/>
      </c>
      <c r="D80" s="33" t="str">
        <f aca="false">IFERROR(B80/B76-1,"")</f>
        <v/>
      </c>
      <c r="E80" s="25" t="str">
        <f aca="false">IFERROR(IF(AND(B80="",ISNUMBER($C$7),ISNUMBER($G$7)),$C$7*(1+$G$7)^(($A80-$E$7)/365.25),""),"")</f>
        <v/>
      </c>
      <c r="F80" s="25" t="str">
        <f aca="false">IFERROR(IF(AND(B80="",ISNUMBER($C$7),ISNUMBER($G$7)),$C$7*(1+$G$7*0.85^MAX(0,($A80-$E$7)/91.25))^(($A80-$E$7)/365.25),""),"")</f>
        <v/>
      </c>
    </row>
    <row r="81" customFormat="false" ht="15" hidden="false" customHeight="false" outlineLevel="0" collapsed="false">
      <c r="A81" s="27" t="n">
        <v>45931</v>
      </c>
      <c r="B81" s="28" t="str">
        <f aca="true">IFERROR(IF(IFERROR(INDEX(INDIRECT(Index!$M$17),MATCH(EDATE($A81,2),INDIRECT(Index!$L$17),0)),AVERAGEIFS(INDIRECT(Index!$M$17),INDIRECT(Index!$L$17),"&gt;="&amp;$A81,INDIRECT(Index!$L$17),"&lt;"&amp;EDATE($A81,3)))=0,"",IFERROR(INDEX(INDIRECT(Index!$M$17),MATCH(EDATE($A81,2),INDIRECT(Index!$L$17),0)),AVERAGEIFS(INDIRECT(Index!$M$17),INDIRECT(Index!$L$17),"&gt;="&amp;$A81,INDIRECT(Index!$L$17),"&lt;"&amp;EDATE($A81,3)))),"")</f>
        <v/>
      </c>
      <c r="C81" s="29" t="str">
        <f aca="false">IFERROR(B81/B80-1,"")</f>
        <v/>
      </c>
      <c r="D81" s="29" t="str">
        <f aca="false">IFERROR(B81/B77-1,"")</f>
        <v/>
      </c>
      <c r="E81" s="31" t="str">
        <f aca="false">IFERROR(IF(AND(B81="",ISNUMBER($C$7),ISNUMBER($G$7)),$C$7*(1+$G$7)^(($A81-$E$7)/365.25),""),"")</f>
        <v/>
      </c>
      <c r="F81" s="31" t="str">
        <f aca="false">IFERROR(IF(AND(B81="",ISNUMBER($C$7),ISNUMBER($G$7)),$C$7*(1+$G$7*0.85^MAX(0,($A81-$E$7)/91.25))^(($A81-$E$7)/365.25),""),"")</f>
        <v/>
      </c>
    </row>
    <row r="82" customFormat="false" ht="15" hidden="false" customHeight="false" outlineLevel="0" collapsed="false">
      <c r="A82" s="15" t="n">
        <v>46023</v>
      </c>
      <c r="B82" s="20" t="str">
        <f aca="true">IFERROR(IF(IFERROR(INDEX(INDIRECT(Index!$M$17),MATCH(EDATE($A82,2),INDIRECT(Index!$L$17),0)),AVERAGEIFS(INDIRECT(Index!$M$17),INDIRECT(Index!$L$17),"&gt;="&amp;$A82,INDIRECT(Index!$L$17),"&lt;"&amp;EDATE($A82,3)))=0,"",IFERROR(INDEX(INDIRECT(Index!$M$17),MATCH(EDATE($A82,2),INDIRECT(Index!$L$17),0)),AVERAGEIFS(INDIRECT(Index!$M$17),INDIRECT(Index!$L$17),"&gt;="&amp;$A82,INDIRECT(Index!$L$17),"&lt;"&amp;EDATE($A82,3)))),"")</f>
        <v/>
      </c>
      <c r="C82" s="33" t="str">
        <f aca="false">IFERROR(B82/B81-1,"")</f>
        <v/>
      </c>
      <c r="D82" s="33" t="str">
        <f aca="false">IFERROR(B82/B78-1,"")</f>
        <v/>
      </c>
      <c r="E82" s="25" t="str">
        <f aca="false">IFERROR(IF(AND(B82="",ISNUMBER($C$7),ISNUMBER($G$7)),$C$7*(1+$G$7)^(($A82-$E$7)/365.25),""),"")</f>
        <v/>
      </c>
      <c r="F82" s="25" t="str">
        <f aca="false">IFERROR(IF(AND(B82="",ISNUMBER($C$7),ISNUMBER($G$7)),$C$7*(1+$G$7*0.85^MAX(0,($A82-$E$7)/91.25))^(($A82-$E$7)/365.25),""),"")</f>
        <v/>
      </c>
    </row>
    <row r="83" customFormat="false" ht="15" hidden="false" customHeight="false" outlineLevel="0" collapsed="false">
      <c r="A83" s="27" t="n">
        <v>46113</v>
      </c>
      <c r="B83" s="28" t="str">
        <f aca="true">IFERROR(IF(IFERROR(INDEX(INDIRECT(Index!$M$17),MATCH(EDATE($A83,2),INDIRECT(Index!$L$17),0)),AVERAGEIFS(INDIRECT(Index!$M$17),INDIRECT(Index!$L$17),"&gt;="&amp;$A83,INDIRECT(Index!$L$17),"&lt;"&amp;EDATE($A83,3)))=0,"",IFERROR(INDEX(INDIRECT(Index!$M$17),MATCH(EDATE($A83,2),INDIRECT(Index!$L$17),0)),AVERAGEIFS(INDIRECT(Index!$M$17),INDIRECT(Index!$L$17),"&gt;="&amp;$A83,INDIRECT(Index!$L$17),"&lt;"&amp;EDATE($A83,3)))),"")</f>
        <v/>
      </c>
      <c r="C83" s="29" t="str">
        <f aca="false">IFERROR(B83/B82-1,"")</f>
        <v/>
      </c>
      <c r="D83" s="29" t="str">
        <f aca="false">IFERROR(B83/B79-1,"")</f>
        <v/>
      </c>
      <c r="E83" s="31" t="str">
        <f aca="false">IFERROR(IF(AND(B83="",ISNUMBER($C$7),ISNUMBER($G$7)),$C$7*(1+$G$7)^(($A83-$E$7)/365.25),""),"")</f>
        <v/>
      </c>
      <c r="F83" s="31" t="str">
        <f aca="false">IFERROR(IF(AND(B83="",ISNUMBER($C$7),ISNUMBER($G$7)),$C$7*(1+$G$7*0.85^MAX(0,($A83-$E$7)/91.25))^(($A83-$E$7)/365.25),""),"")</f>
        <v/>
      </c>
    </row>
    <row r="84" customFormat="false" ht="15" hidden="false" customHeight="false" outlineLevel="0" collapsed="false">
      <c r="A84" s="15" t="n">
        <v>46204</v>
      </c>
      <c r="B84" s="20" t="str">
        <f aca="true">IFERROR(IF(IFERROR(INDEX(INDIRECT(Index!$M$17),MATCH(EDATE($A84,2),INDIRECT(Index!$L$17),0)),AVERAGEIFS(INDIRECT(Index!$M$17),INDIRECT(Index!$L$17),"&gt;="&amp;$A84,INDIRECT(Index!$L$17),"&lt;"&amp;EDATE($A84,3)))=0,"",IFERROR(INDEX(INDIRECT(Index!$M$17),MATCH(EDATE($A84,2),INDIRECT(Index!$L$17),0)),AVERAGEIFS(INDIRECT(Index!$M$17),INDIRECT(Index!$L$17),"&gt;="&amp;$A84,INDIRECT(Index!$L$17),"&lt;"&amp;EDATE($A84,3)))),"")</f>
        <v/>
      </c>
      <c r="C84" s="33" t="str">
        <f aca="false">IFERROR(B84/B83-1,"")</f>
        <v/>
      </c>
      <c r="D84" s="33" t="str">
        <f aca="false">IFERROR(B84/B80-1,"")</f>
        <v/>
      </c>
      <c r="E84" s="25" t="str">
        <f aca="false">IFERROR(IF(AND(B84="",ISNUMBER($C$7),ISNUMBER($G$7)),$C$7*(1+$G$7)^(($A84-$E$7)/365.25),""),"")</f>
        <v/>
      </c>
      <c r="F84" s="25" t="str">
        <f aca="false">IFERROR(IF(AND(B84="",ISNUMBER($C$7),ISNUMBER($G$7)),$C$7*(1+$G$7*0.85^MAX(0,($A84-$E$7)/91.25))^(($A84-$E$7)/365.25),""),"")</f>
        <v/>
      </c>
    </row>
    <row r="85" customFormat="false" ht="15" hidden="false" customHeight="false" outlineLevel="0" collapsed="false">
      <c r="A85" s="27" t="n">
        <v>46296</v>
      </c>
      <c r="B85" s="28" t="str">
        <f aca="true">IFERROR(IF(IFERROR(INDEX(INDIRECT(Index!$M$17),MATCH(EDATE($A85,2),INDIRECT(Index!$L$17),0)),AVERAGEIFS(INDIRECT(Index!$M$17),INDIRECT(Index!$L$17),"&gt;="&amp;$A85,INDIRECT(Index!$L$17),"&lt;"&amp;EDATE($A85,3)))=0,"",IFERROR(INDEX(INDIRECT(Index!$M$17),MATCH(EDATE($A85,2),INDIRECT(Index!$L$17),0)),AVERAGEIFS(INDIRECT(Index!$M$17),INDIRECT(Index!$L$17),"&gt;="&amp;$A85,INDIRECT(Index!$L$17),"&lt;"&amp;EDATE($A85,3)))),"")</f>
        <v/>
      </c>
      <c r="C85" s="29" t="str">
        <f aca="false">IFERROR(B85/B84-1,"")</f>
        <v/>
      </c>
      <c r="D85" s="29" t="str">
        <f aca="false">IFERROR(B85/B81-1,"")</f>
        <v/>
      </c>
      <c r="E85" s="31" t="str">
        <f aca="false">IFERROR(IF(AND(B85="",ISNUMBER($C$7),ISNUMBER($G$7)),$C$7*(1+$G$7)^(($A85-$E$7)/365.25),""),"")</f>
        <v/>
      </c>
      <c r="F85" s="31" t="str">
        <f aca="false">IFERROR(IF(AND(B85="",ISNUMBER($C$7),ISNUMBER($G$7)),$C$7*(1+$G$7*0.85^MAX(0,($A85-$E$7)/91.25))^(($A85-$E$7)/365.25),""),"")</f>
        <v/>
      </c>
    </row>
    <row r="86" customFormat="false" ht="15" hidden="false" customHeight="false" outlineLevel="0" collapsed="false">
      <c r="A86" s="15" t="n">
        <v>46388</v>
      </c>
      <c r="B86" s="20" t="str">
        <f aca="true">IFERROR(IF(IFERROR(INDEX(INDIRECT(Index!$M$17),MATCH(EDATE($A86,2),INDIRECT(Index!$L$17),0)),AVERAGEIFS(INDIRECT(Index!$M$17),INDIRECT(Index!$L$17),"&gt;="&amp;$A86,INDIRECT(Index!$L$17),"&lt;"&amp;EDATE($A86,3)))=0,"",IFERROR(INDEX(INDIRECT(Index!$M$17),MATCH(EDATE($A86,2),INDIRECT(Index!$L$17),0)),AVERAGEIFS(INDIRECT(Index!$M$17),INDIRECT(Index!$L$17),"&gt;="&amp;$A86,INDIRECT(Index!$L$17),"&lt;"&amp;EDATE($A86,3)))),"")</f>
        <v/>
      </c>
      <c r="C86" s="33" t="str">
        <f aca="false">IFERROR(B86/B85-1,"")</f>
        <v/>
      </c>
      <c r="D86" s="33" t="str">
        <f aca="false">IFERROR(B86/B82-1,"")</f>
        <v/>
      </c>
      <c r="E86" s="25" t="str">
        <f aca="false">IFERROR(IF(AND(B86="",ISNUMBER($C$7),ISNUMBER($G$7)),$C$7*(1+$G$7)^(($A86-$E$7)/365.25),""),"")</f>
        <v/>
      </c>
      <c r="F86" s="25" t="str">
        <f aca="false">IFERROR(IF(AND(B86="",ISNUMBER($C$7),ISNUMBER($G$7)),$C$7*(1+$G$7*0.85^MAX(0,($A86-$E$7)/91.25))^(($A86-$E$7)/365.25),""),"")</f>
        <v/>
      </c>
    </row>
    <row r="87" customFormat="false" ht="15" hidden="false" customHeight="false" outlineLevel="0" collapsed="false">
      <c r="A87" s="27" t="n">
        <v>46478</v>
      </c>
      <c r="B87" s="28" t="str">
        <f aca="true">IFERROR(IF(IFERROR(INDEX(INDIRECT(Index!$M$17),MATCH(EDATE($A87,2),INDIRECT(Index!$L$17),0)),AVERAGEIFS(INDIRECT(Index!$M$17),INDIRECT(Index!$L$17),"&gt;="&amp;$A87,INDIRECT(Index!$L$17),"&lt;"&amp;EDATE($A87,3)))=0,"",IFERROR(INDEX(INDIRECT(Index!$M$17),MATCH(EDATE($A87,2),INDIRECT(Index!$L$17),0)),AVERAGEIFS(INDIRECT(Index!$M$17),INDIRECT(Index!$L$17),"&gt;="&amp;$A87,INDIRECT(Index!$L$17),"&lt;"&amp;EDATE($A87,3)))),"")</f>
        <v/>
      </c>
      <c r="C87" s="29" t="str">
        <f aca="false">IFERROR(B87/B86-1,"")</f>
        <v/>
      </c>
      <c r="D87" s="29" t="str">
        <f aca="false">IFERROR(B87/B83-1,"")</f>
        <v/>
      </c>
      <c r="E87" s="31" t="str">
        <f aca="false">IFERROR(IF(AND(B87="",ISNUMBER($C$7),ISNUMBER($G$7)),$C$7*(1+$G$7)^(($A87-$E$7)/365.25),""),"")</f>
        <v/>
      </c>
      <c r="F87" s="31" t="str">
        <f aca="false">IFERROR(IF(AND(B87="",ISNUMBER($C$7),ISNUMBER($G$7)),$C$7*(1+$G$7*0.85^MAX(0,($A87-$E$7)/91.25))^(($A87-$E$7)/365.25),""),"")</f>
        <v/>
      </c>
    </row>
    <row r="88" customFormat="false" ht="15" hidden="false" customHeight="false" outlineLevel="0" collapsed="false">
      <c r="A88" s="15" t="n">
        <v>46569</v>
      </c>
      <c r="B88" s="20" t="str">
        <f aca="true">IFERROR(IF(IFERROR(INDEX(INDIRECT(Index!$M$17),MATCH(EDATE($A88,2),INDIRECT(Index!$L$17),0)),AVERAGEIFS(INDIRECT(Index!$M$17),INDIRECT(Index!$L$17),"&gt;="&amp;$A88,INDIRECT(Index!$L$17),"&lt;"&amp;EDATE($A88,3)))=0,"",IFERROR(INDEX(INDIRECT(Index!$M$17),MATCH(EDATE($A88,2),INDIRECT(Index!$L$17),0)),AVERAGEIFS(INDIRECT(Index!$M$17),INDIRECT(Index!$L$17),"&gt;="&amp;$A88,INDIRECT(Index!$L$17),"&lt;"&amp;EDATE($A88,3)))),"")</f>
        <v/>
      </c>
      <c r="C88" s="33" t="str">
        <f aca="false">IFERROR(B88/B87-1,"")</f>
        <v/>
      </c>
      <c r="D88" s="33" t="str">
        <f aca="false">IFERROR(B88/B84-1,"")</f>
        <v/>
      </c>
      <c r="E88" s="25" t="str">
        <f aca="false">IFERROR(IF(AND(B88="",ISNUMBER($C$7),ISNUMBER($G$7)),$C$7*(1+$G$7)^(($A88-$E$7)/365.25),""),"")</f>
        <v/>
      </c>
      <c r="F88" s="25" t="str">
        <f aca="false">IFERROR(IF(AND(B88="",ISNUMBER($C$7),ISNUMBER($G$7)),$C$7*(1+$G$7*0.85^MAX(0,($A88-$E$7)/91.25))^(($A88-$E$7)/365.25),""),"")</f>
        <v/>
      </c>
    </row>
    <row r="89" customFormat="false" ht="15" hidden="false" customHeight="false" outlineLevel="0" collapsed="false">
      <c r="A89" s="27" t="n">
        <v>46661</v>
      </c>
      <c r="B89" s="28" t="str">
        <f aca="true">IFERROR(IF(IFERROR(INDEX(INDIRECT(Index!$M$17),MATCH(EDATE($A89,2),INDIRECT(Index!$L$17),0)),AVERAGEIFS(INDIRECT(Index!$M$17),INDIRECT(Index!$L$17),"&gt;="&amp;$A89,INDIRECT(Index!$L$17),"&lt;"&amp;EDATE($A89,3)))=0,"",IFERROR(INDEX(INDIRECT(Index!$M$17),MATCH(EDATE($A89,2),INDIRECT(Index!$L$17),0)),AVERAGEIFS(INDIRECT(Index!$M$17),INDIRECT(Index!$L$17),"&gt;="&amp;$A89,INDIRECT(Index!$L$17),"&lt;"&amp;EDATE($A89,3)))),"")</f>
        <v/>
      </c>
      <c r="C89" s="29" t="str">
        <f aca="false">IFERROR(B89/B88-1,"")</f>
        <v/>
      </c>
      <c r="D89" s="29" t="str">
        <f aca="false">IFERROR(B89/B85-1,"")</f>
        <v/>
      </c>
      <c r="E89" s="31" t="str">
        <f aca="false">IFERROR(IF(AND(B89="",ISNUMBER($C$7),ISNUMBER($G$7)),$C$7*(1+$G$7)^(($A89-$E$7)/365.25),""),"")</f>
        <v/>
      </c>
      <c r="F89" s="31" t="str">
        <f aca="false">IFERROR(IF(AND(B89="",ISNUMBER($C$7),ISNUMBER($G$7)),$C$7*(1+$G$7*0.85^MAX(0,($A89-$E$7)/91.25))^(($A89-$E$7)/365.25),""),"")</f>
        <v/>
      </c>
    </row>
    <row r="90" customFormat="false" ht="15" hidden="false" customHeight="false" outlineLevel="0" collapsed="false">
      <c r="A90" s="15" t="n">
        <v>46753</v>
      </c>
      <c r="B90" s="20" t="str">
        <f aca="true">IFERROR(IF(IFERROR(INDEX(INDIRECT(Index!$M$17),MATCH(EDATE($A90,2),INDIRECT(Index!$L$17),0)),AVERAGEIFS(INDIRECT(Index!$M$17),INDIRECT(Index!$L$17),"&gt;="&amp;$A90,INDIRECT(Index!$L$17),"&lt;"&amp;EDATE($A90,3)))=0,"",IFERROR(INDEX(INDIRECT(Index!$M$17),MATCH(EDATE($A90,2),INDIRECT(Index!$L$17),0)),AVERAGEIFS(INDIRECT(Index!$M$17),INDIRECT(Index!$L$17),"&gt;="&amp;$A90,INDIRECT(Index!$L$17),"&lt;"&amp;EDATE($A90,3)))),"")</f>
        <v/>
      </c>
      <c r="C90" s="33" t="str">
        <f aca="false">IFERROR(B90/B89-1,"")</f>
        <v/>
      </c>
      <c r="D90" s="33" t="str">
        <f aca="false">IFERROR(B90/B86-1,"")</f>
        <v/>
      </c>
      <c r="E90" s="25" t="str">
        <f aca="false">IFERROR(IF(AND(B90="",ISNUMBER($C$7),ISNUMBER($G$7)),$C$7*(1+$G$7)^(($A90-$E$7)/365.25),""),"")</f>
        <v/>
      </c>
      <c r="F90" s="25" t="str">
        <f aca="false">IFERROR(IF(AND(B90="",ISNUMBER($C$7),ISNUMBER($G$7)),$C$7*(1+$G$7*0.85^MAX(0,($A90-$E$7)/91.25))^(($A90-$E$7)/365.25),""),"")</f>
        <v/>
      </c>
    </row>
    <row r="91" customFormat="false" ht="15" hidden="false" customHeight="false" outlineLevel="0" collapsed="false">
      <c r="A91" s="27" t="n">
        <v>46844</v>
      </c>
      <c r="B91" s="28" t="str">
        <f aca="true">IFERROR(IF(IFERROR(INDEX(INDIRECT(Index!$M$17),MATCH(EDATE($A91,2),INDIRECT(Index!$L$17),0)),AVERAGEIFS(INDIRECT(Index!$M$17),INDIRECT(Index!$L$17),"&gt;="&amp;$A91,INDIRECT(Index!$L$17),"&lt;"&amp;EDATE($A91,3)))=0,"",IFERROR(INDEX(INDIRECT(Index!$M$17),MATCH(EDATE($A91,2),INDIRECT(Index!$L$17),0)),AVERAGEIFS(INDIRECT(Index!$M$17),INDIRECT(Index!$L$17),"&gt;="&amp;$A91,INDIRECT(Index!$L$17),"&lt;"&amp;EDATE($A91,3)))),"")</f>
        <v/>
      </c>
      <c r="C91" s="29" t="str">
        <f aca="false">IFERROR(B91/B90-1,"")</f>
        <v/>
      </c>
      <c r="D91" s="29" t="str">
        <f aca="false">IFERROR(B91/B87-1,"")</f>
        <v/>
      </c>
      <c r="E91" s="31" t="str">
        <f aca="false">IFERROR(IF(AND(B91="",ISNUMBER($C$7),ISNUMBER($G$7)),$C$7*(1+$G$7)^(($A91-$E$7)/365.25),""),"")</f>
        <v/>
      </c>
      <c r="F91" s="31" t="str">
        <f aca="false">IFERROR(IF(AND(B91="",ISNUMBER($C$7),ISNUMBER($G$7)),$C$7*(1+$G$7*0.85^MAX(0,($A91-$E$7)/91.25))^(($A91-$E$7)/365.25),""),"")</f>
        <v/>
      </c>
    </row>
    <row r="92" customFormat="false" ht="15" hidden="false" customHeight="false" outlineLevel="0" collapsed="false">
      <c r="A92" s="15" t="n">
        <v>46935</v>
      </c>
      <c r="B92" s="20" t="str">
        <f aca="true">IFERROR(IF(IFERROR(INDEX(INDIRECT(Index!$M$17),MATCH(EDATE($A92,2),INDIRECT(Index!$L$17),0)),AVERAGEIFS(INDIRECT(Index!$M$17),INDIRECT(Index!$L$17),"&gt;="&amp;$A92,INDIRECT(Index!$L$17),"&lt;"&amp;EDATE($A92,3)))=0,"",IFERROR(INDEX(INDIRECT(Index!$M$17),MATCH(EDATE($A92,2),INDIRECT(Index!$L$17),0)),AVERAGEIFS(INDIRECT(Index!$M$17),INDIRECT(Index!$L$17),"&gt;="&amp;$A92,INDIRECT(Index!$L$17),"&lt;"&amp;EDATE($A92,3)))),"")</f>
        <v/>
      </c>
      <c r="C92" s="33" t="str">
        <f aca="false">IFERROR(B92/B91-1,"")</f>
        <v/>
      </c>
      <c r="D92" s="33" t="str">
        <f aca="false">IFERROR(B92/B88-1,"")</f>
        <v/>
      </c>
      <c r="E92" s="25" t="str">
        <f aca="false">IFERROR(IF(AND(B92="",ISNUMBER($C$7),ISNUMBER($G$7)),$C$7*(1+$G$7)^(($A92-$E$7)/365.25),""),"")</f>
        <v/>
      </c>
      <c r="F92" s="25" t="str">
        <f aca="false">IFERROR(IF(AND(B92="",ISNUMBER($C$7),ISNUMBER($G$7)),$C$7*(1+$G$7*0.85^MAX(0,($A92-$E$7)/91.25))^(($A92-$E$7)/365.25),""),"")</f>
        <v/>
      </c>
    </row>
    <row r="93" customFormat="false" ht="15" hidden="false" customHeight="false" outlineLevel="0" collapsed="false">
      <c r="A93" s="27" t="n">
        <v>47027</v>
      </c>
      <c r="B93" s="28" t="str">
        <f aca="true">IFERROR(IF(IFERROR(INDEX(INDIRECT(Index!$M$17),MATCH(EDATE($A93,2),INDIRECT(Index!$L$17),0)),AVERAGEIFS(INDIRECT(Index!$M$17),INDIRECT(Index!$L$17),"&gt;="&amp;$A93,INDIRECT(Index!$L$17),"&lt;"&amp;EDATE($A93,3)))=0,"",IFERROR(INDEX(INDIRECT(Index!$M$17),MATCH(EDATE($A93,2),INDIRECT(Index!$L$17),0)),AVERAGEIFS(INDIRECT(Index!$M$17),INDIRECT(Index!$L$17),"&gt;="&amp;$A93,INDIRECT(Index!$L$17),"&lt;"&amp;EDATE($A93,3)))),"")</f>
        <v/>
      </c>
      <c r="C93" s="29" t="str">
        <f aca="false">IFERROR(B93/B92-1,"")</f>
        <v/>
      </c>
      <c r="D93" s="29" t="str">
        <f aca="false">IFERROR(B93/B89-1,"")</f>
        <v/>
      </c>
      <c r="E93" s="31" t="str">
        <f aca="false">IFERROR(IF(AND(B93="",ISNUMBER($C$7),ISNUMBER($G$7)),$C$7*(1+$G$7)^(($A93-$E$7)/365.25),""),"")</f>
        <v/>
      </c>
      <c r="F93" s="31" t="str">
        <f aca="false">IFERROR(IF(AND(B93="",ISNUMBER($C$7),ISNUMBER($G$7)),$C$7*(1+$G$7*0.85^MAX(0,($A93-$E$7)/91.25))^(($A93-$E$7)/365.25),""),"")</f>
        <v/>
      </c>
    </row>
    <row r="94" customFormat="false" ht="15" hidden="false" customHeight="false" outlineLevel="0" collapsed="false">
      <c r="A94" s="15" t="n">
        <v>47119</v>
      </c>
      <c r="B94" s="20" t="str">
        <f aca="true">IFERROR(IF(IFERROR(INDEX(INDIRECT(Index!$M$17),MATCH(EDATE($A94,2),INDIRECT(Index!$L$17),0)),AVERAGEIFS(INDIRECT(Index!$M$17),INDIRECT(Index!$L$17),"&gt;="&amp;$A94,INDIRECT(Index!$L$17),"&lt;"&amp;EDATE($A94,3)))=0,"",IFERROR(INDEX(INDIRECT(Index!$M$17),MATCH(EDATE($A94,2),INDIRECT(Index!$L$17),0)),AVERAGEIFS(INDIRECT(Index!$M$17),INDIRECT(Index!$L$17),"&gt;="&amp;$A94,INDIRECT(Index!$L$17),"&lt;"&amp;EDATE($A94,3)))),"")</f>
        <v/>
      </c>
      <c r="C94" s="33" t="str">
        <f aca="false">IFERROR(B94/B93-1,"")</f>
        <v/>
      </c>
      <c r="D94" s="33" t="str">
        <f aca="false">IFERROR(B94/B90-1,"")</f>
        <v/>
      </c>
      <c r="E94" s="25" t="str">
        <f aca="false">IFERROR(IF(AND(B94="",ISNUMBER($C$7),ISNUMBER($G$7)),$C$7*(1+$G$7)^(($A94-$E$7)/365.25),""),"")</f>
        <v/>
      </c>
      <c r="F94" s="25" t="str">
        <f aca="false">IFERROR(IF(AND(B94="",ISNUMBER($C$7),ISNUMBER($G$7)),$C$7*(1+$G$7*0.85^MAX(0,($A94-$E$7)/91.25))^(($A94-$E$7)/365.25),""),"")</f>
        <v/>
      </c>
    </row>
    <row r="95" customFormat="false" ht="15" hidden="false" customHeight="false" outlineLevel="0" collapsed="false">
      <c r="A95" s="27" t="n">
        <v>47209</v>
      </c>
      <c r="B95" s="28" t="str">
        <f aca="true">IFERROR(IF(IFERROR(INDEX(INDIRECT(Index!$M$17),MATCH(EDATE($A95,2),INDIRECT(Index!$L$17),0)),AVERAGEIFS(INDIRECT(Index!$M$17),INDIRECT(Index!$L$17),"&gt;="&amp;$A95,INDIRECT(Index!$L$17),"&lt;"&amp;EDATE($A95,3)))=0,"",IFERROR(INDEX(INDIRECT(Index!$M$17),MATCH(EDATE($A95,2),INDIRECT(Index!$L$17),0)),AVERAGEIFS(INDIRECT(Index!$M$17),INDIRECT(Index!$L$17),"&gt;="&amp;$A95,INDIRECT(Index!$L$17),"&lt;"&amp;EDATE($A95,3)))),"")</f>
        <v/>
      </c>
      <c r="C95" s="29" t="str">
        <f aca="false">IFERROR(B95/B94-1,"")</f>
        <v/>
      </c>
      <c r="D95" s="29" t="str">
        <f aca="false">IFERROR(B95/B91-1,"")</f>
        <v/>
      </c>
      <c r="E95" s="31" t="str">
        <f aca="false">IFERROR(IF(AND(B95="",ISNUMBER($C$7),ISNUMBER($G$7)),$C$7*(1+$G$7)^(($A95-$E$7)/365.25),""),"")</f>
        <v/>
      </c>
      <c r="F95" s="31" t="str">
        <f aca="false">IFERROR(IF(AND(B95="",ISNUMBER($C$7),ISNUMBER($G$7)),$C$7*(1+$G$7*0.85^MAX(0,($A95-$E$7)/91.25))^(($A95-$E$7)/365.25),""),"")</f>
        <v/>
      </c>
    </row>
    <row r="96" customFormat="false" ht="15" hidden="false" customHeight="false" outlineLevel="0" collapsed="false">
      <c r="A96" s="15" t="n">
        <v>47300</v>
      </c>
      <c r="B96" s="20" t="str">
        <f aca="true">IFERROR(IF(IFERROR(INDEX(INDIRECT(Index!$M$17),MATCH(EDATE($A96,2),INDIRECT(Index!$L$17),0)),AVERAGEIFS(INDIRECT(Index!$M$17),INDIRECT(Index!$L$17),"&gt;="&amp;$A96,INDIRECT(Index!$L$17),"&lt;"&amp;EDATE($A96,3)))=0,"",IFERROR(INDEX(INDIRECT(Index!$M$17),MATCH(EDATE($A96,2),INDIRECT(Index!$L$17),0)),AVERAGEIFS(INDIRECT(Index!$M$17),INDIRECT(Index!$L$17),"&gt;="&amp;$A96,INDIRECT(Index!$L$17),"&lt;"&amp;EDATE($A96,3)))),"")</f>
        <v/>
      </c>
      <c r="C96" s="33" t="str">
        <f aca="false">IFERROR(B96/B95-1,"")</f>
        <v/>
      </c>
      <c r="D96" s="33" t="str">
        <f aca="false">IFERROR(B96/B92-1,"")</f>
        <v/>
      </c>
      <c r="E96" s="25" t="str">
        <f aca="false">IFERROR(IF(AND(B96="",ISNUMBER($C$7),ISNUMBER($G$7)),$C$7*(1+$G$7)^(($A96-$E$7)/365.25),""),"")</f>
        <v/>
      </c>
      <c r="F96" s="25" t="str">
        <f aca="false">IFERROR(IF(AND(B96="",ISNUMBER($C$7),ISNUMBER($G$7)),$C$7*(1+$G$7*0.85^MAX(0,($A96-$E$7)/91.25))^(($A96-$E$7)/365.25),""),"")</f>
        <v/>
      </c>
    </row>
    <row r="97" customFormat="false" ht="15" hidden="false" customHeight="false" outlineLevel="0" collapsed="false">
      <c r="A97" s="27" t="n">
        <v>47392</v>
      </c>
      <c r="B97" s="28" t="str">
        <f aca="true">IFERROR(IF(IFERROR(INDEX(INDIRECT(Index!$M$17),MATCH(EDATE($A97,2),INDIRECT(Index!$L$17),0)),AVERAGEIFS(INDIRECT(Index!$M$17),INDIRECT(Index!$L$17),"&gt;="&amp;$A97,INDIRECT(Index!$L$17),"&lt;"&amp;EDATE($A97,3)))=0,"",IFERROR(INDEX(INDIRECT(Index!$M$17),MATCH(EDATE($A97,2),INDIRECT(Index!$L$17),0)),AVERAGEIFS(INDIRECT(Index!$M$17),INDIRECT(Index!$L$17),"&gt;="&amp;$A97,INDIRECT(Index!$L$17),"&lt;"&amp;EDATE($A97,3)))),"")</f>
        <v/>
      </c>
      <c r="C97" s="29" t="str">
        <f aca="false">IFERROR(B97/B96-1,"")</f>
        <v/>
      </c>
      <c r="D97" s="29" t="str">
        <f aca="false">IFERROR(B97/B93-1,"")</f>
        <v/>
      </c>
      <c r="E97" s="31" t="str">
        <f aca="false">IFERROR(IF(AND(B97="",ISNUMBER($C$7),ISNUMBER($G$7)),$C$7*(1+$G$7)^(($A97-$E$7)/365.25),""),"")</f>
        <v/>
      </c>
      <c r="F97" s="31" t="str">
        <f aca="false">IFERROR(IF(AND(B97="",ISNUMBER($C$7),ISNUMBER($G$7)),$C$7*(1+$G$7*0.85^MAX(0,($A97-$E$7)/91.25))^(($A97-$E$7)/365.25),""),"")</f>
        <v/>
      </c>
    </row>
    <row r="98" customFormat="false" ht="15" hidden="false" customHeight="false" outlineLevel="0" collapsed="false">
      <c r="A98" s="15" t="n">
        <v>47484</v>
      </c>
      <c r="B98" s="20" t="str">
        <f aca="true">IFERROR(IF(IFERROR(INDEX(INDIRECT(Index!$M$17),MATCH(EDATE($A98,2),INDIRECT(Index!$L$17),0)),AVERAGEIFS(INDIRECT(Index!$M$17),INDIRECT(Index!$L$17),"&gt;="&amp;$A98,INDIRECT(Index!$L$17),"&lt;"&amp;EDATE($A98,3)))=0,"",IFERROR(INDEX(INDIRECT(Index!$M$17),MATCH(EDATE($A98,2),INDIRECT(Index!$L$17),0)),AVERAGEIFS(INDIRECT(Index!$M$17),INDIRECT(Index!$L$17),"&gt;="&amp;$A98,INDIRECT(Index!$L$17),"&lt;"&amp;EDATE($A98,3)))),"")</f>
        <v/>
      </c>
      <c r="C98" s="33" t="str">
        <f aca="false">IFERROR(B98/B97-1,"")</f>
        <v/>
      </c>
      <c r="D98" s="33" t="str">
        <f aca="false">IFERROR(B98/B94-1,"")</f>
        <v/>
      </c>
      <c r="E98" s="25" t="str">
        <f aca="false">IFERROR(IF(AND(B98="",ISNUMBER($C$7),ISNUMBER($G$7)),$C$7*(1+$G$7)^(($A98-$E$7)/365.25),""),"")</f>
        <v/>
      </c>
      <c r="F98" s="25" t="str">
        <f aca="false">IFERROR(IF(AND(B98="",ISNUMBER($C$7),ISNUMBER($G$7)),$C$7*(1+$G$7*0.85^MAX(0,($A98-$E$7)/91.25))^(($A98-$E$7)/365.25),""),"")</f>
        <v/>
      </c>
    </row>
    <row r="99" customFormat="false" ht="15" hidden="false" customHeight="false" outlineLevel="0" collapsed="false">
      <c r="A99" s="27" t="n">
        <v>47574</v>
      </c>
      <c r="B99" s="28" t="str">
        <f aca="true">IFERROR(IF(IFERROR(INDEX(INDIRECT(Index!$M$17),MATCH(EDATE($A99,2),INDIRECT(Index!$L$17),0)),AVERAGEIFS(INDIRECT(Index!$M$17),INDIRECT(Index!$L$17),"&gt;="&amp;$A99,INDIRECT(Index!$L$17),"&lt;"&amp;EDATE($A99,3)))=0,"",IFERROR(INDEX(INDIRECT(Index!$M$17),MATCH(EDATE($A99,2),INDIRECT(Index!$L$17),0)),AVERAGEIFS(INDIRECT(Index!$M$17),INDIRECT(Index!$L$17),"&gt;="&amp;$A99,INDIRECT(Index!$L$17),"&lt;"&amp;EDATE($A99,3)))),"")</f>
        <v/>
      </c>
      <c r="C99" s="29" t="str">
        <f aca="false">IFERROR(B99/B98-1,"")</f>
        <v/>
      </c>
      <c r="D99" s="29" t="str">
        <f aca="false">IFERROR(B99/B95-1,"")</f>
        <v/>
      </c>
      <c r="E99" s="31" t="str">
        <f aca="false">IFERROR(IF(AND(B99="",ISNUMBER($C$7),ISNUMBER($G$7)),$C$7*(1+$G$7)^(($A99-$E$7)/365.25),""),"")</f>
        <v/>
      </c>
      <c r="F99" s="31" t="str">
        <f aca="false">IFERROR(IF(AND(B99="",ISNUMBER($C$7),ISNUMBER($G$7)),$C$7*(1+$G$7*0.85^MAX(0,($A99-$E$7)/91.25))^(($A99-$E$7)/365.25),""),"")</f>
        <v/>
      </c>
    </row>
    <row r="100" customFormat="false" ht="15" hidden="false" customHeight="false" outlineLevel="0" collapsed="false">
      <c r="A100" s="15" t="n">
        <v>47665</v>
      </c>
      <c r="B100" s="20" t="str">
        <f aca="true">IFERROR(IF(IFERROR(INDEX(INDIRECT(Index!$M$17),MATCH(EDATE($A100,2),INDIRECT(Index!$L$17),0)),AVERAGEIFS(INDIRECT(Index!$M$17),INDIRECT(Index!$L$17),"&gt;="&amp;$A100,INDIRECT(Index!$L$17),"&lt;"&amp;EDATE($A100,3)))=0,"",IFERROR(INDEX(INDIRECT(Index!$M$17),MATCH(EDATE($A100,2),INDIRECT(Index!$L$17),0)),AVERAGEIFS(INDIRECT(Index!$M$17),INDIRECT(Index!$L$17),"&gt;="&amp;$A100,INDIRECT(Index!$L$17),"&lt;"&amp;EDATE($A100,3)))),"")</f>
        <v/>
      </c>
      <c r="C100" s="33" t="str">
        <f aca="false">IFERROR(B100/B99-1,"")</f>
        <v/>
      </c>
      <c r="D100" s="33" t="str">
        <f aca="false">IFERROR(B100/B96-1,"")</f>
        <v/>
      </c>
      <c r="E100" s="25" t="str">
        <f aca="false">IFERROR(IF(AND(B100="",ISNUMBER($C$7),ISNUMBER($G$7)),$C$7*(1+$G$7)^(($A100-$E$7)/365.25),""),"")</f>
        <v/>
      </c>
      <c r="F100" s="25" t="str">
        <f aca="false">IFERROR(IF(AND(B100="",ISNUMBER($C$7),ISNUMBER($G$7)),$C$7*(1+$G$7*0.85^MAX(0,($A100-$E$7)/91.25))^(($A100-$E$7)/365.25),""),"")</f>
        <v/>
      </c>
    </row>
    <row r="101" customFormat="false" ht="15" hidden="false" customHeight="false" outlineLevel="0" collapsed="false">
      <c r="A101" s="27" t="n">
        <v>47757</v>
      </c>
      <c r="B101" s="28" t="str">
        <f aca="true">IFERROR(IF(IFERROR(INDEX(INDIRECT(Index!$M$17),MATCH(EDATE($A101,2),INDIRECT(Index!$L$17),0)),AVERAGEIFS(INDIRECT(Index!$M$17),INDIRECT(Index!$L$17),"&gt;="&amp;$A101,INDIRECT(Index!$L$17),"&lt;"&amp;EDATE($A101,3)))=0,"",IFERROR(INDEX(INDIRECT(Index!$M$17),MATCH(EDATE($A101,2),INDIRECT(Index!$L$17),0)),AVERAGEIFS(INDIRECT(Index!$M$17),INDIRECT(Index!$L$17),"&gt;="&amp;$A101,INDIRECT(Index!$L$17),"&lt;"&amp;EDATE($A101,3)))),"")</f>
        <v/>
      </c>
      <c r="C101" s="29" t="str">
        <f aca="false">IFERROR(B101/B100-1,"")</f>
        <v/>
      </c>
      <c r="D101" s="29" t="str">
        <f aca="false">IFERROR(B101/B97-1,"")</f>
        <v/>
      </c>
      <c r="E101" s="31" t="str">
        <f aca="false">IFERROR(IF(AND(B101="",ISNUMBER($C$7),ISNUMBER($G$7)),$C$7*(1+$G$7)^(($A101-$E$7)/365.25),""),"")</f>
        <v/>
      </c>
      <c r="F101" s="31" t="str">
        <f aca="false">IFERROR(IF(AND(B101="",ISNUMBER($C$7),ISNUMBER($G$7)),$C$7*(1+$G$7*0.85^MAX(0,($A101-$E$7)/91.25))^(($A101-$E$7)/365.25),""),"")</f>
        <v/>
      </c>
    </row>
    <row r="105" customFormat="false" ht="21.75" hidden="false" customHeight="true" outlineLevel="0" collapsed="false">
      <c r="A105" s="17" t="str">
        <f aca="false">Index!$A$18&amp;"   ("&amp;Index!$I$18&amp;")"</f>
        <v>Net Intl Reserves   (USD Mn)</v>
      </c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</row>
    <row r="106" customFormat="false" ht="15" hidden="false" customHeight="false" outlineLevel="0" collapsed="false">
      <c r="A106" s="4" t="s">
        <v>106</v>
      </c>
      <c r="B106" s="18" t="str">
        <f aca="false">Index!$J$18</f>
        <v>last</v>
      </c>
      <c r="C106" s="4" t="s">
        <v>107</v>
      </c>
      <c r="D106" s="19" t="str">
        <f aca="false">Index!$D$18&amp;" ["&amp;Index!$F$18&amp;Index!$G$18&amp;":"&amp;Index!$F$18&amp;Index!$H$18&amp;"]"</f>
        <v>Data_Monthly [J2:J400]</v>
      </c>
      <c r="E106" s="19"/>
      <c r="F106" s="19"/>
      <c r="G106" s="19"/>
      <c r="H106" s="19"/>
    </row>
    <row r="107" customFormat="false" ht="15" hidden="false" customHeight="false" outlineLevel="0" collapsed="false">
      <c r="A107" s="4" t="s">
        <v>108</v>
      </c>
      <c r="B107" s="6" t="str">
        <f aca="false">IF(Index!$K$18="","",Index!$K$18)</f>
        <v>BCRA NIR.</v>
      </c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</row>
    <row r="108" customFormat="false" ht="15" hidden="false" customHeight="false" outlineLevel="0" collapsed="false">
      <c r="A108" s="4" t="s">
        <v>109</v>
      </c>
      <c r="B108" s="4" t="s">
        <v>110</v>
      </c>
      <c r="C108" s="20" t="str">
        <f aca="false">IFERROR(LOOKUP(2,1/($B$111:$B$202&lt;&gt;""),$B$111:$B$202),"")</f>
        <v/>
      </c>
      <c r="D108" s="4" t="s">
        <v>111</v>
      </c>
      <c r="E108" s="21" t="str">
        <f aca="false">IFERROR(LOOKUP(2,1/($B$111:$B$202&lt;&gt;""),$A$111:$A$202),"")</f>
        <v/>
      </c>
      <c r="F108" s="4" t="s">
        <v>112</v>
      </c>
      <c r="G108" s="22" t="str">
        <f aca="false">IFERROR(C108/INDEX($B$111:$B$202,MATCH(EDATE(E108,-12),$A$111:$A$202,0))-1,"")</f>
        <v/>
      </c>
    </row>
    <row r="109" customFormat="false" ht="18" hidden="false" customHeight="true" outlineLevel="0" collapsed="false">
      <c r="A109" s="23" t="s">
        <v>113</v>
      </c>
      <c r="B109" s="23"/>
      <c r="C109" s="23"/>
      <c r="D109" s="23"/>
      <c r="E109" s="23"/>
      <c r="F109" s="23"/>
      <c r="J109" s="23" t="s">
        <v>114</v>
      </c>
      <c r="K109" s="23"/>
      <c r="L109" s="23"/>
      <c r="M109" s="23"/>
    </row>
    <row r="110" customFormat="false" ht="15" hidden="false" customHeight="false" outlineLevel="0" collapsed="false">
      <c r="A110" s="7" t="s">
        <v>95</v>
      </c>
      <c r="B110" s="7" t="s">
        <v>115</v>
      </c>
      <c r="C110" s="7" t="s">
        <v>116</v>
      </c>
      <c r="D110" s="7" t="s">
        <v>117</v>
      </c>
      <c r="E110" s="7" t="s">
        <v>118</v>
      </c>
      <c r="F110" s="7" t="s">
        <v>119</v>
      </c>
      <c r="J110" s="7" t="s">
        <v>120</v>
      </c>
      <c r="K110" s="7" t="s">
        <v>115</v>
      </c>
      <c r="L110" s="7" t="s">
        <v>117</v>
      </c>
      <c r="M110" s="7" t="s">
        <v>121</v>
      </c>
    </row>
    <row r="111" customFormat="false" ht="15" hidden="false" customHeight="false" outlineLevel="0" collapsed="false">
      <c r="A111" s="15" t="n">
        <v>39448</v>
      </c>
      <c r="B111" s="20" t="str">
        <f aca="true">IFERROR(IF(IFERROR(INDEX(INDIRECT(Index!$M$18),MATCH(EDATE($A111,2),INDIRECT(Index!$L$18),0)),AVERAGEIFS(INDIRECT(Index!$M$18),INDIRECT(Index!$L$18),"&gt;="&amp;$A111,INDIRECT(Index!$L$18),"&lt;"&amp;EDATE($A111,3)))=0,"",IFERROR(INDEX(INDIRECT(Index!$M$18),MATCH(EDATE($A111,2),INDIRECT(Index!$L$18),0)),AVERAGEIFS(INDIRECT(Index!$M$18),INDIRECT(Index!$L$18),"&gt;="&amp;$A111,INDIRECT(Index!$L$18),"&lt;"&amp;EDATE($A111,3)))),"")</f>
        <v/>
      </c>
      <c r="C111" s="24"/>
      <c r="D111" s="24"/>
      <c r="E111" s="25" t="str">
        <f aca="false">IFERROR(IF(AND(B111="",ISNUMBER($C$108),ISNUMBER($G$108)),$C$108*(1+$G$108)^(($A111-$E$108)/365.25),""),"")</f>
        <v/>
      </c>
      <c r="F111" s="25" t="str">
        <f aca="false">IFERROR(IF(AND(B111="",ISNUMBER($C$108),ISNUMBER($G$108)),$C$108*(1+$G$108*0.85^MAX(0,($A111-$E$108)/91.25))^(($A111-$E$108)/365.25),""),"")</f>
        <v/>
      </c>
      <c r="J111" s="26" t="n">
        <v>2008</v>
      </c>
      <c r="K111" s="25" t="str">
        <f aca="false">IFERROR(INDEX($B$111:$B$202,MATCH(DATE(J111,10,1),$A$111:$A$202,0)),"")</f>
        <v/>
      </c>
      <c r="L111" s="24"/>
      <c r="M111" s="25" t="str">
        <f aca="false">IFERROR(INDEX($E$111:$E$202,MATCH(DATE(J111,10,1),$A$111:$A$202,0)),"")</f>
        <v/>
      </c>
    </row>
    <row r="112" customFormat="false" ht="15" hidden="false" customHeight="false" outlineLevel="0" collapsed="false">
      <c r="A112" s="27" t="n">
        <v>39539</v>
      </c>
      <c r="B112" s="28" t="str">
        <f aca="true">IFERROR(IF(IFERROR(INDEX(INDIRECT(Index!$M$18),MATCH(EDATE($A112,2),INDIRECT(Index!$L$18),0)),AVERAGEIFS(INDIRECT(Index!$M$18),INDIRECT(Index!$L$18),"&gt;="&amp;$A112,INDIRECT(Index!$L$18),"&lt;"&amp;EDATE($A112,3)))=0,"",IFERROR(INDEX(INDIRECT(Index!$M$18),MATCH(EDATE($A112,2),INDIRECT(Index!$L$18),0)),AVERAGEIFS(INDIRECT(Index!$M$18),INDIRECT(Index!$L$18),"&gt;="&amp;$A112,INDIRECT(Index!$L$18),"&lt;"&amp;EDATE($A112,3)))),"")</f>
        <v/>
      </c>
      <c r="C112" s="29" t="str">
        <f aca="false">IFERROR(B112/B111-1,"")</f>
        <v/>
      </c>
      <c r="D112" s="30"/>
      <c r="E112" s="31" t="str">
        <f aca="false">IFERROR(IF(AND(B112="",ISNUMBER($C$108),ISNUMBER($G$108)),$C$108*(1+$G$108)^(($A112-$E$108)/365.25),""),"")</f>
        <v/>
      </c>
      <c r="F112" s="31" t="str">
        <f aca="false">IFERROR(IF(AND(B112="",ISNUMBER($C$108),ISNUMBER($G$108)),$C$108*(1+$G$108*0.85^MAX(0,($A112-$E$108)/91.25))^(($A112-$E$108)/365.25),""),"")</f>
        <v/>
      </c>
      <c r="J112" s="32" t="n">
        <v>2009</v>
      </c>
      <c r="K112" s="31" t="str">
        <f aca="false">IFERROR(INDEX($B$111:$B$202,MATCH(DATE(J112,10,1),$A$111:$A$202,0)),"")</f>
        <v/>
      </c>
      <c r="L112" s="29" t="str">
        <f aca="false">IFERROR(K112/K111-1,"")</f>
        <v/>
      </c>
      <c r="M112" s="31" t="str">
        <f aca="false">IFERROR(INDEX($E$111:$E$202,MATCH(DATE(J112,10,1),$A$111:$A$202,0)),"")</f>
        <v/>
      </c>
    </row>
    <row r="113" customFormat="false" ht="15" hidden="false" customHeight="false" outlineLevel="0" collapsed="false">
      <c r="A113" s="15" t="n">
        <v>39630</v>
      </c>
      <c r="B113" s="20" t="str">
        <f aca="true">IFERROR(IF(IFERROR(INDEX(INDIRECT(Index!$M$18),MATCH(EDATE($A113,2),INDIRECT(Index!$L$18),0)),AVERAGEIFS(INDIRECT(Index!$M$18),INDIRECT(Index!$L$18),"&gt;="&amp;$A113,INDIRECT(Index!$L$18),"&lt;"&amp;EDATE($A113,3)))=0,"",IFERROR(INDEX(INDIRECT(Index!$M$18),MATCH(EDATE($A113,2),INDIRECT(Index!$L$18),0)),AVERAGEIFS(INDIRECT(Index!$M$18),INDIRECT(Index!$L$18),"&gt;="&amp;$A113,INDIRECT(Index!$L$18),"&lt;"&amp;EDATE($A113,3)))),"")</f>
        <v/>
      </c>
      <c r="C113" s="33" t="str">
        <f aca="false">IFERROR(B113/B112-1,"")</f>
        <v/>
      </c>
      <c r="D113" s="24"/>
      <c r="E113" s="25" t="str">
        <f aca="false">IFERROR(IF(AND(B113="",ISNUMBER($C$108),ISNUMBER($G$108)),$C$108*(1+$G$108)^(($A113-$E$108)/365.25),""),"")</f>
        <v/>
      </c>
      <c r="F113" s="25" t="str">
        <f aca="false">IFERROR(IF(AND(B113="",ISNUMBER($C$108),ISNUMBER($G$108)),$C$108*(1+$G$108*0.85^MAX(0,($A113-$E$108)/91.25))^(($A113-$E$108)/365.25),""),"")</f>
        <v/>
      </c>
      <c r="J113" s="26" t="n">
        <v>2010</v>
      </c>
      <c r="K113" s="25" t="str">
        <f aca="false">IFERROR(INDEX($B$111:$B$202,MATCH(DATE(J113,10,1),$A$111:$A$202,0)),"")</f>
        <v/>
      </c>
      <c r="L113" s="33" t="str">
        <f aca="false">IFERROR(K113/K112-1,"")</f>
        <v/>
      </c>
      <c r="M113" s="25" t="str">
        <f aca="false">IFERROR(INDEX($E$111:$E$202,MATCH(DATE(J113,10,1),$A$111:$A$202,0)),"")</f>
        <v/>
      </c>
    </row>
    <row r="114" customFormat="false" ht="15" hidden="false" customHeight="false" outlineLevel="0" collapsed="false">
      <c r="A114" s="27" t="n">
        <v>39722</v>
      </c>
      <c r="B114" s="28" t="str">
        <f aca="true">IFERROR(IF(IFERROR(INDEX(INDIRECT(Index!$M$18),MATCH(EDATE($A114,2),INDIRECT(Index!$L$18),0)),AVERAGEIFS(INDIRECT(Index!$M$18),INDIRECT(Index!$L$18),"&gt;="&amp;$A114,INDIRECT(Index!$L$18),"&lt;"&amp;EDATE($A114,3)))=0,"",IFERROR(INDEX(INDIRECT(Index!$M$18),MATCH(EDATE($A114,2),INDIRECT(Index!$L$18),0)),AVERAGEIFS(INDIRECT(Index!$M$18),INDIRECT(Index!$L$18),"&gt;="&amp;$A114,INDIRECT(Index!$L$18),"&lt;"&amp;EDATE($A114,3)))),"")</f>
        <v/>
      </c>
      <c r="C114" s="29" t="str">
        <f aca="false">IFERROR(B114/B113-1,"")</f>
        <v/>
      </c>
      <c r="D114" s="30"/>
      <c r="E114" s="31" t="str">
        <f aca="false">IFERROR(IF(AND(B114="",ISNUMBER($C$108),ISNUMBER($G$108)),$C$108*(1+$G$108)^(($A114-$E$108)/365.25),""),"")</f>
        <v/>
      </c>
      <c r="F114" s="31" t="str">
        <f aca="false">IFERROR(IF(AND(B114="",ISNUMBER($C$108),ISNUMBER($G$108)),$C$108*(1+$G$108*0.85^MAX(0,($A114-$E$108)/91.25))^(($A114-$E$108)/365.25),""),"")</f>
        <v/>
      </c>
      <c r="J114" s="32" t="n">
        <v>2011</v>
      </c>
      <c r="K114" s="31" t="str">
        <f aca="false">IFERROR(INDEX($B$111:$B$202,MATCH(DATE(J114,10,1),$A$111:$A$202,0)),"")</f>
        <v/>
      </c>
      <c r="L114" s="29" t="str">
        <f aca="false">IFERROR(K114/K113-1,"")</f>
        <v/>
      </c>
      <c r="M114" s="31" t="str">
        <f aca="false">IFERROR(INDEX($E$111:$E$202,MATCH(DATE(J114,10,1),$A$111:$A$202,0)),"")</f>
        <v/>
      </c>
    </row>
    <row r="115" customFormat="false" ht="15" hidden="false" customHeight="false" outlineLevel="0" collapsed="false">
      <c r="A115" s="15" t="n">
        <v>39814</v>
      </c>
      <c r="B115" s="20" t="str">
        <f aca="true">IFERROR(IF(IFERROR(INDEX(INDIRECT(Index!$M$18),MATCH(EDATE($A115,2),INDIRECT(Index!$L$18),0)),AVERAGEIFS(INDIRECT(Index!$M$18),INDIRECT(Index!$L$18),"&gt;="&amp;$A115,INDIRECT(Index!$L$18),"&lt;"&amp;EDATE($A115,3)))=0,"",IFERROR(INDEX(INDIRECT(Index!$M$18),MATCH(EDATE($A115,2),INDIRECT(Index!$L$18),0)),AVERAGEIFS(INDIRECT(Index!$M$18),INDIRECT(Index!$L$18),"&gt;="&amp;$A115,INDIRECT(Index!$L$18),"&lt;"&amp;EDATE($A115,3)))),"")</f>
        <v/>
      </c>
      <c r="C115" s="33" t="str">
        <f aca="false">IFERROR(B115/B114-1,"")</f>
        <v/>
      </c>
      <c r="D115" s="33" t="str">
        <f aca="false">IFERROR(B115/B111-1,"")</f>
        <v/>
      </c>
      <c r="E115" s="25" t="str">
        <f aca="false">IFERROR(IF(AND(B115="",ISNUMBER($C$108),ISNUMBER($G$108)),$C$108*(1+$G$108)^(($A115-$E$108)/365.25),""),"")</f>
        <v/>
      </c>
      <c r="F115" s="25" t="str">
        <f aca="false">IFERROR(IF(AND(B115="",ISNUMBER($C$108),ISNUMBER($G$108)),$C$108*(1+$G$108*0.85^MAX(0,($A115-$E$108)/91.25))^(($A115-$E$108)/365.25),""),"")</f>
        <v/>
      </c>
      <c r="J115" s="26" t="n">
        <v>2012</v>
      </c>
      <c r="K115" s="25" t="str">
        <f aca="false">IFERROR(INDEX($B$111:$B$202,MATCH(DATE(J115,10,1),$A$111:$A$202,0)),"")</f>
        <v/>
      </c>
      <c r="L115" s="33" t="str">
        <f aca="false">IFERROR(K115/K114-1,"")</f>
        <v/>
      </c>
      <c r="M115" s="25" t="str">
        <f aca="false">IFERROR(INDEX($E$111:$E$202,MATCH(DATE(J115,10,1),$A$111:$A$202,0)),"")</f>
        <v/>
      </c>
    </row>
    <row r="116" customFormat="false" ht="15" hidden="false" customHeight="false" outlineLevel="0" collapsed="false">
      <c r="A116" s="27" t="n">
        <v>39904</v>
      </c>
      <c r="B116" s="28" t="str">
        <f aca="true">IFERROR(IF(IFERROR(INDEX(INDIRECT(Index!$M$18),MATCH(EDATE($A116,2),INDIRECT(Index!$L$18),0)),AVERAGEIFS(INDIRECT(Index!$M$18),INDIRECT(Index!$L$18),"&gt;="&amp;$A116,INDIRECT(Index!$L$18),"&lt;"&amp;EDATE($A116,3)))=0,"",IFERROR(INDEX(INDIRECT(Index!$M$18),MATCH(EDATE($A116,2),INDIRECT(Index!$L$18),0)),AVERAGEIFS(INDIRECT(Index!$M$18),INDIRECT(Index!$L$18),"&gt;="&amp;$A116,INDIRECT(Index!$L$18),"&lt;"&amp;EDATE($A116,3)))),"")</f>
        <v/>
      </c>
      <c r="C116" s="29" t="str">
        <f aca="false">IFERROR(B116/B115-1,"")</f>
        <v/>
      </c>
      <c r="D116" s="29" t="str">
        <f aca="false">IFERROR(B116/B112-1,"")</f>
        <v/>
      </c>
      <c r="E116" s="31" t="str">
        <f aca="false">IFERROR(IF(AND(B116="",ISNUMBER($C$108),ISNUMBER($G$108)),$C$108*(1+$G$108)^(($A116-$E$108)/365.25),""),"")</f>
        <v/>
      </c>
      <c r="F116" s="31" t="str">
        <f aca="false">IFERROR(IF(AND(B116="",ISNUMBER($C$108),ISNUMBER($G$108)),$C$108*(1+$G$108*0.85^MAX(0,($A116-$E$108)/91.25))^(($A116-$E$108)/365.25),""),"")</f>
        <v/>
      </c>
      <c r="J116" s="32" t="n">
        <v>2013</v>
      </c>
      <c r="K116" s="31" t="str">
        <f aca="false">IFERROR(INDEX($B$111:$B$202,MATCH(DATE(J116,10,1),$A$111:$A$202,0)),"")</f>
        <v/>
      </c>
      <c r="L116" s="29" t="str">
        <f aca="false">IFERROR(K116/K115-1,"")</f>
        <v/>
      </c>
      <c r="M116" s="31" t="str">
        <f aca="false">IFERROR(INDEX($E$111:$E$202,MATCH(DATE(J116,10,1),$A$111:$A$202,0)),"")</f>
        <v/>
      </c>
    </row>
    <row r="117" customFormat="false" ht="15" hidden="false" customHeight="false" outlineLevel="0" collapsed="false">
      <c r="A117" s="15" t="n">
        <v>39995</v>
      </c>
      <c r="B117" s="20" t="str">
        <f aca="true">IFERROR(IF(IFERROR(INDEX(INDIRECT(Index!$M$18),MATCH(EDATE($A117,2),INDIRECT(Index!$L$18),0)),AVERAGEIFS(INDIRECT(Index!$M$18),INDIRECT(Index!$L$18),"&gt;="&amp;$A117,INDIRECT(Index!$L$18),"&lt;"&amp;EDATE($A117,3)))=0,"",IFERROR(INDEX(INDIRECT(Index!$M$18),MATCH(EDATE($A117,2),INDIRECT(Index!$L$18),0)),AVERAGEIFS(INDIRECT(Index!$M$18),INDIRECT(Index!$L$18),"&gt;="&amp;$A117,INDIRECT(Index!$L$18),"&lt;"&amp;EDATE($A117,3)))),"")</f>
        <v/>
      </c>
      <c r="C117" s="33" t="str">
        <f aca="false">IFERROR(B117/B116-1,"")</f>
        <v/>
      </c>
      <c r="D117" s="33" t="str">
        <f aca="false">IFERROR(B117/B113-1,"")</f>
        <v/>
      </c>
      <c r="E117" s="25" t="str">
        <f aca="false">IFERROR(IF(AND(B117="",ISNUMBER($C$108),ISNUMBER($G$108)),$C$108*(1+$G$108)^(($A117-$E$108)/365.25),""),"")</f>
        <v/>
      </c>
      <c r="F117" s="25" t="str">
        <f aca="false">IFERROR(IF(AND(B117="",ISNUMBER($C$108),ISNUMBER($G$108)),$C$108*(1+$G$108*0.85^MAX(0,($A117-$E$108)/91.25))^(($A117-$E$108)/365.25),""),"")</f>
        <v/>
      </c>
      <c r="J117" s="26" t="n">
        <v>2014</v>
      </c>
      <c r="K117" s="25" t="str">
        <f aca="false">IFERROR(INDEX($B$111:$B$202,MATCH(DATE(J117,10,1),$A$111:$A$202,0)),"")</f>
        <v/>
      </c>
      <c r="L117" s="33" t="str">
        <f aca="false">IFERROR(K117/K116-1,"")</f>
        <v/>
      </c>
      <c r="M117" s="25" t="str">
        <f aca="false">IFERROR(INDEX($E$111:$E$202,MATCH(DATE(J117,10,1),$A$111:$A$202,0)),"")</f>
        <v/>
      </c>
    </row>
    <row r="118" customFormat="false" ht="15" hidden="false" customHeight="false" outlineLevel="0" collapsed="false">
      <c r="A118" s="27" t="n">
        <v>40087</v>
      </c>
      <c r="B118" s="28" t="str">
        <f aca="true">IFERROR(IF(IFERROR(INDEX(INDIRECT(Index!$M$18),MATCH(EDATE($A118,2),INDIRECT(Index!$L$18),0)),AVERAGEIFS(INDIRECT(Index!$M$18),INDIRECT(Index!$L$18),"&gt;="&amp;$A118,INDIRECT(Index!$L$18),"&lt;"&amp;EDATE($A118,3)))=0,"",IFERROR(INDEX(INDIRECT(Index!$M$18),MATCH(EDATE($A118,2),INDIRECT(Index!$L$18),0)),AVERAGEIFS(INDIRECT(Index!$M$18),INDIRECT(Index!$L$18),"&gt;="&amp;$A118,INDIRECT(Index!$L$18),"&lt;"&amp;EDATE($A118,3)))),"")</f>
        <v/>
      </c>
      <c r="C118" s="29" t="str">
        <f aca="false">IFERROR(B118/B117-1,"")</f>
        <v/>
      </c>
      <c r="D118" s="29" t="str">
        <f aca="false">IFERROR(B118/B114-1,"")</f>
        <v/>
      </c>
      <c r="E118" s="31" t="str">
        <f aca="false">IFERROR(IF(AND(B118="",ISNUMBER($C$108),ISNUMBER($G$108)),$C$108*(1+$G$108)^(($A118-$E$108)/365.25),""),"")</f>
        <v/>
      </c>
      <c r="F118" s="31" t="str">
        <f aca="false">IFERROR(IF(AND(B118="",ISNUMBER($C$108),ISNUMBER($G$108)),$C$108*(1+$G$108*0.85^MAX(0,($A118-$E$108)/91.25))^(($A118-$E$108)/365.25),""),"")</f>
        <v/>
      </c>
      <c r="J118" s="32" t="n">
        <v>2015</v>
      </c>
      <c r="K118" s="31" t="str">
        <f aca="false">IFERROR(INDEX($B$111:$B$202,MATCH(DATE(J118,10,1),$A$111:$A$202,0)),"")</f>
        <v/>
      </c>
      <c r="L118" s="29" t="str">
        <f aca="false">IFERROR(K118/K117-1,"")</f>
        <v/>
      </c>
      <c r="M118" s="31" t="str">
        <f aca="false">IFERROR(INDEX($E$111:$E$202,MATCH(DATE(J118,10,1),$A$111:$A$202,0)),"")</f>
        <v/>
      </c>
    </row>
    <row r="119" customFormat="false" ht="15" hidden="false" customHeight="false" outlineLevel="0" collapsed="false">
      <c r="A119" s="15" t="n">
        <v>40179</v>
      </c>
      <c r="B119" s="20" t="str">
        <f aca="true">IFERROR(IF(IFERROR(INDEX(INDIRECT(Index!$M$18),MATCH(EDATE($A119,2),INDIRECT(Index!$L$18),0)),AVERAGEIFS(INDIRECT(Index!$M$18),INDIRECT(Index!$L$18),"&gt;="&amp;$A119,INDIRECT(Index!$L$18),"&lt;"&amp;EDATE($A119,3)))=0,"",IFERROR(INDEX(INDIRECT(Index!$M$18),MATCH(EDATE($A119,2),INDIRECT(Index!$L$18),0)),AVERAGEIFS(INDIRECT(Index!$M$18),INDIRECT(Index!$L$18),"&gt;="&amp;$A119,INDIRECT(Index!$L$18),"&lt;"&amp;EDATE($A119,3)))),"")</f>
        <v/>
      </c>
      <c r="C119" s="33" t="str">
        <f aca="false">IFERROR(B119/B118-1,"")</f>
        <v/>
      </c>
      <c r="D119" s="33" t="str">
        <f aca="false">IFERROR(B119/B115-1,"")</f>
        <v/>
      </c>
      <c r="E119" s="25" t="str">
        <f aca="false">IFERROR(IF(AND(B119="",ISNUMBER($C$108),ISNUMBER($G$108)),$C$108*(1+$G$108)^(($A119-$E$108)/365.25),""),"")</f>
        <v/>
      </c>
      <c r="F119" s="25" t="str">
        <f aca="false">IFERROR(IF(AND(B119="",ISNUMBER($C$108),ISNUMBER($G$108)),$C$108*(1+$G$108*0.85^MAX(0,($A119-$E$108)/91.25))^(($A119-$E$108)/365.25),""),"")</f>
        <v/>
      </c>
      <c r="J119" s="26" t="n">
        <v>2016</v>
      </c>
      <c r="K119" s="25" t="str">
        <f aca="false">IFERROR(INDEX($B$111:$B$202,MATCH(DATE(J119,10,1),$A$111:$A$202,0)),"")</f>
        <v/>
      </c>
      <c r="L119" s="33" t="str">
        <f aca="false">IFERROR(K119/K118-1,"")</f>
        <v/>
      </c>
      <c r="M119" s="25" t="str">
        <f aca="false">IFERROR(INDEX($E$111:$E$202,MATCH(DATE(J119,10,1),$A$111:$A$202,0)),"")</f>
        <v/>
      </c>
    </row>
    <row r="120" customFormat="false" ht="15" hidden="false" customHeight="false" outlineLevel="0" collapsed="false">
      <c r="A120" s="27" t="n">
        <v>40269</v>
      </c>
      <c r="B120" s="28" t="str">
        <f aca="true">IFERROR(IF(IFERROR(INDEX(INDIRECT(Index!$M$18),MATCH(EDATE($A120,2),INDIRECT(Index!$L$18),0)),AVERAGEIFS(INDIRECT(Index!$M$18),INDIRECT(Index!$L$18),"&gt;="&amp;$A120,INDIRECT(Index!$L$18),"&lt;"&amp;EDATE($A120,3)))=0,"",IFERROR(INDEX(INDIRECT(Index!$M$18),MATCH(EDATE($A120,2),INDIRECT(Index!$L$18),0)),AVERAGEIFS(INDIRECT(Index!$M$18),INDIRECT(Index!$L$18),"&gt;="&amp;$A120,INDIRECT(Index!$L$18),"&lt;"&amp;EDATE($A120,3)))),"")</f>
        <v/>
      </c>
      <c r="C120" s="29" t="str">
        <f aca="false">IFERROR(B120/B119-1,"")</f>
        <v/>
      </c>
      <c r="D120" s="29" t="str">
        <f aca="false">IFERROR(B120/B116-1,"")</f>
        <v/>
      </c>
      <c r="E120" s="31" t="str">
        <f aca="false">IFERROR(IF(AND(B120="",ISNUMBER($C$108),ISNUMBER($G$108)),$C$108*(1+$G$108)^(($A120-$E$108)/365.25),""),"")</f>
        <v/>
      </c>
      <c r="F120" s="31" t="str">
        <f aca="false">IFERROR(IF(AND(B120="",ISNUMBER($C$108),ISNUMBER($G$108)),$C$108*(1+$G$108*0.85^MAX(0,($A120-$E$108)/91.25))^(($A120-$E$108)/365.25),""),"")</f>
        <v/>
      </c>
      <c r="J120" s="32" t="n">
        <v>2017</v>
      </c>
      <c r="K120" s="31" t="str">
        <f aca="false">IFERROR(INDEX($B$111:$B$202,MATCH(DATE(J120,10,1),$A$111:$A$202,0)),"")</f>
        <v/>
      </c>
      <c r="L120" s="29" t="str">
        <f aca="false">IFERROR(K120/K119-1,"")</f>
        <v/>
      </c>
      <c r="M120" s="31" t="str">
        <f aca="false">IFERROR(INDEX($E$111:$E$202,MATCH(DATE(J120,10,1),$A$111:$A$202,0)),"")</f>
        <v/>
      </c>
    </row>
    <row r="121" customFormat="false" ht="15" hidden="false" customHeight="false" outlineLevel="0" collapsed="false">
      <c r="A121" s="15" t="n">
        <v>40360</v>
      </c>
      <c r="B121" s="20" t="str">
        <f aca="true">IFERROR(IF(IFERROR(INDEX(INDIRECT(Index!$M$18),MATCH(EDATE($A121,2),INDIRECT(Index!$L$18),0)),AVERAGEIFS(INDIRECT(Index!$M$18),INDIRECT(Index!$L$18),"&gt;="&amp;$A121,INDIRECT(Index!$L$18),"&lt;"&amp;EDATE($A121,3)))=0,"",IFERROR(INDEX(INDIRECT(Index!$M$18),MATCH(EDATE($A121,2),INDIRECT(Index!$L$18),0)),AVERAGEIFS(INDIRECT(Index!$M$18),INDIRECT(Index!$L$18),"&gt;="&amp;$A121,INDIRECT(Index!$L$18),"&lt;"&amp;EDATE($A121,3)))),"")</f>
        <v/>
      </c>
      <c r="C121" s="33" t="str">
        <f aca="false">IFERROR(B121/B120-1,"")</f>
        <v/>
      </c>
      <c r="D121" s="33" t="str">
        <f aca="false">IFERROR(B121/B117-1,"")</f>
        <v/>
      </c>
      <c r="E121" s="25" t="str">
        <f aca="false">IFERROR(IF(AND(B121="",ISNUMBER($C$108),ISNUMBER($G$108)),$C$108*(1+$G$108)^(($A121-$E$108)/365.25),""),"")</f>
        <v/>
      </c>
      <c r="F121" s="25" t="str">
        <f aca="false">IFERROR(IF(AND(B121="",ISNUMBER($C$108),ISNUMBER($G$108)),$C$108*(1+$G$108*0.85^MAX(0,($A121-$E$108)/91.25))^(($A121-$E$108)/365.25),""),"")</f>
        <v/>
      </c>
      <c r="J121" s="26" t="n">
        <v>2018</v>
      </c>
      <c r="K121" s="25" t="str">
        <f aca="false">IFERROR(INDEX($B$111:$B$202,MATCH(DATE(J121,10,1),$A$111:$A$202,0)),"")</f>
        <v/>
      </c>
      <c r="L121" s="33" t="str">
        <f aca="false">IFERROR(K121/K120-1,"")</f>
        <v/>
      </c>
      <c r="M121" s="25" t="str">
        <f aca="false">IFERROR(INDEX($E$111:$E$202,MATCH(DATE(J121,10,1),$A$111:$A$202,0)),"")</f>
        <v/>
      </c>
    </row>
    <row r="122" customFormat="false" ht="15" hidden="false" customHeight="false" outlineLevel="0" collapsed="false">
      <c r="A122" s="27" t="n">
        <v>40452</v>
      </c>
      <c r="B122" s="28" t="str">
        <f aca="true">IFERROR(IF(IFERROR(INDEX(INDIRECT(Index!$M$18),MATCH(EDATE($A122,2),INDIRECT(Index!$L$18),0)),AVERAGEIFS(INDIRECT(Index!$M$18),INDIRECT(Index!$L$18),"&gt;="&amp;$A122,INDIRECT(Index!$L$18),"&lt;"&amp;EDATE($A122,3)))=0,"",IFERROR(INDEX(INDIRECT(Index!$M$18),MATCH(EDATE($A122,2),INDIRECT(Index!$L$18),0)),AVERAGEIFS(INDIRECT(Index!$M$18),INDIRECT(Index!$L$18),"&gt;="&amp;$A122,INDIRECT(Index!$L$18),"&lt;"&amp;EDATE($A122,3)))),"")</f>
        <v/>
      </c>
      <c r="C122" s="29" t="str">
        <f aca="false">IFERROR(B122/B121-1,"")</f>
        <v/>
      </c>
      <c r="D122" s="29" t="str">
        <f aca="false">IFERROR(B122/B118-1,"")</f>
        <v/>
      </c>
      <c r="E122" s="31" t="str">
        <f aca="false">IFERROR(IF(AND(B122="",ISNUMBER($C$108),ISNUMBER($G$108)),$C$108*(1+$G$108)^(($A122-$E$108)/365.25),""),"")</f>
        <v/>
      </c>
      <c r="F122" s="31" t="str">
        <f aca="false">IFERROR(IF(AND(B122="",ISNUMBER($C$108),ISNUMBER($G$108)),$C$108*(1+$G$108*0.85^MAX(0,($A122-$E$108)/91.25))^(($A122-$E$108)/365.25),""),"")</f>
        <v/>
      </c>
      <c r="J122" s="32" t="n">
        <v>2019</v>
      </c>
      <c r="K122" s="31" t="str">
        <f aca="false">IFERROR(INDEX($B$111:$B$202,MATCH(DATE(J122,10,1),$A$111:$A$202,0)),"")</f>
        <v/>
      </c>
      <c r="L122" s="29" t="str">
        <f aca="false">IFERROR(K122/K121-1,"")</f>
        <v/>
      </c>
      <c r="M122" s="31" t="str">
        <f aca="false">IFERROR(INDEX($E$111:$E$202,MATCH(DATE(J122,10,1),$A$111:$A$202,0)),"")</f>
        <v/>
      </c>
    </row>
    <row r="123" customFormat="false" ht="15" hidden="false" customHeight="false" outlineLevel="0" collapsed="false">
      <c r="A123" s="15" t="n">
        <v>40544</v>
      </c>
      <c r="B123" s="20" t="str">
        <f aca="true">IFERROR(IF(IFERROR(INDEX(INDIRECT(Index!$M$18),MATCH(EDATE($A123,2),INDIRECT(Index!$L$18),0)),AVERAGEIFS(INDIRECT(Index!$M$18),INDIRECT(Index!$L$18),"&gt;="&amp;$A123,INDIRECT(Index!$L$18),"&lt;"&amp;EDATE($A123,3)))=0,"",IFERROR(INDEX(INDIRECT(Index!$M$18),MATCH(EDATE($A123,2),INDIRECT(Index!$L$18),0)),AVERAGEIFS(INDIRECT(Index!$M$18),INDIRECT(Index!$L$18),"&gt;="&amp;$A123,INDIRECT(Index!$L$18),"&lt;"&amp;EDATE($A123,3)))),"")</f>
        <v/>
      </c>
      <c r="C123" s="33" t="str">
        <f aca="false">IFERROR(B123/B122-1,"")</f>
        <v/>
      </c>
      <c r="D123" s="33" t="str">
        <f aca="false">IFERROR(B123/B119-1,"")</f>
        <v/>
      </c>
      <c r="E123" s="25" t="str">
        <f aca="false">IFERROR(IF(AND(B123="",ISNUMBER($C$108),ISNUMBER($G$108)),$C$108*(1+$G$108)^(($A123-$E$108)/365.25),""),"")</f>
        <v/>
      </c>
      <c r="F123" s="25" t="str">
        <f aca="false">IFERROR(IF(AND(B123="",ISNUMBER($C$108),ISNUMBER($G$108)),$C$108*(1+$G$108*0.85^MAX(0,($A123-$E$108)/91.25))^(($A123-$E$108)/365.25),""),"")</f>
        <v/>
      </c>
      <c r="J123" s="26" t="n">
        <v>2020</v>
      </c>
      <c r="K123" s="25" t="str">
        <f aca="false">IFERROR(INDEX($B$111:$B$202,MATCH(DATE(J123,10,1),$A$111:$A$202,0)),"")</f>
        <v/>
      </c>
      <c r="L123" s="33" t="str">
        <f aca="false">IFERROR(K123/K122-1,"")</f>
        <v/>
      </c>
      <c r="M123" s="25" t="str">
        <f aca="false">IFERROR(INDEX($E$111:$E$202,MATCH(DATE(J123,10,1),$A$111:$A$202,0)),"")</f>
        <v/>
      </c>
    </row>
    <row r="124" customFormat="false" ht="15" hidden="false" customHeight="false" outlineLevel="0" collapsed="false">
      <c r="A124" s="27" t="n">
        <v>40634</v>
      </c>
      <c r="B124" s="28" t="str">
        <f aca="true">IFERROR(IF(IFERROR(INDEX(INDIRECT(Index!$M$18),MATCH(EDATE($A124,2),INDIRECT(Index!$L$18),0)),AVERAGEIFS(INDIRECT(Index!$M$18),INDIRECT(Index!$L$18),"&gt;="&amp;$A124,INDIRECT(Index!$L$18),"&lt;"&amp;EDATE($A124,3)))=0,"",IFERROR(INDEX(INDIRECT(Index!$M$18),MATCH(EDATE($A124,2),INDIRECT(Index!$L$18),0)),AVERAGEIFS(INDIRECT(Index!$M$18),INDIRECT(Index!$L$18),"&gt;="&amp;$A124,INDIRECT(Index!$L$18),"&lt;"&amp;EDATE($A124,3)))),"")</f>
        <v/>
      </c>
      <c r="C124" s="29" t="str">
        <f aca="false">IFERROR(B124/B123-1,"")</f>
        <v/>
      </c>
      <c r="D124" s="29" t="str">
        <f aca="false">IFERROR(B124/B120-1,"")</f>
        <v/>
      </c>
      <c r="E124" s="31" t="str">
        <f aca="false">IFERROR(IF(AND(B124="",ISNUMBER($C$108),ISNUMBER($G$108)),$C$108*(1+$G$108)^(($A124-$E$108)/365.25),""),"")</f>
        <v/>
      </c>
      <c r="F124" s="31" t="str">
        <f aca="false">IFERROR(IF(AND(B124="",ISNUMBER($C$108),ISNUMBER($G$108)),$C$108*(1+$G$108*0.85^MAX(0,($A124-$E$108)/91.25))^(($A124-$E$108)/365.25),""),"")</f>
        <v/>
      </c>
      <c r="J124" s="32" t="n">
        <v>2021</v>
      </c>
      <c r="K124" s="31" t="str">
        <f aca="false">IFERROR(INDEX($B$111:$B$202,MATCH(DATE(J124,10,1),$A$111:$A$202,0)),"")</f>
        <v/>
      </c>
      <c r="L124" s="29" t="str">
        <f aca="false">IFERROR(K124/K123-1,"")</f>
        <v/>
      </c>
      <c r="M124" s="31" t="str">
        <f aca="false">IFERROR(INDEX($E$111:$E$202,MATCH(DATE(J124,10,1),$A$111:$A$202,0)),"")</f>
        <v/>
      </c>
    </row>
    <row r="125" customFormat="false" ht="15" hidden="false" customHeight="false" outlineLevel="0" collapsed="false">
      <c r="A125" s="15" t="n">
        <v>40725</v>
      </c>
      <c r="B125" s="20" t="str">
        <f aca="true">IFERROR(IF(IFERROR(INDEX(INDIRECT(Index!$M$18),MATCH(EDATE($A125,2),INDIRECT(Index!$L$18),0)),AVERAGEIFS(INDIRECT(Index!$M$18),INDIRECT(Index!$L$18),"&gt;="&amp;$A125,INDIRECT(Index!$L$18),"&lt;"&amp;EDATE($A125,3)))=0,"",IFERROR(INDEX(INDIRECT(Index!$M$18),MATCH(EDATE($A125,2),INDIRECT(Index!$L$18),0)),AVERAGEIFS(INDIRECT(Index!$M$18),INDIRECT(Index!$L$18),"&gt;="&amp;$A125,INDIRECT(Index!$L$18),"&lt;"&amp;EDATE($A125,3)))),"")</f>
        <v/>
      </c>
      <c r="C125" s="33" t="str">
        <f aca="false">IFERROR(B125/B124-1,"")</f>
        <v/>
      </c>
      <c r="D125" s="33" t="str">
        <f aca="false">IFERROR(B125/B121-1,"")</f>
        <v/>
      </c>
      <c r="E125" s="25" t="str">
        <f aca="false">IFERROR(IF(AND(B125="",ISNUMBER($C$108),ISNUMBER($G$108)),$C$108*(1+$G$108)^(($A125-$E$108)/365.25),""),"")</f>
        <v/>
      </c>
      <c r="F125" s="25" t="str">
        <f aca="false">IFERROR(IF(AND(B125="",ISNUMBER($C$108),ISNUMBER($G$108)),$C$108*(1+$G$108*0.85^MAX(0,($A125-$E$108)/91.25))^(($A125-$E$108)/365.25),""),"")</f>
        <v/>
      </c>
      <c r="J125" s="26" t="n">
        <v>2022</v>
      </c>
      <c r="K125" s="25" t="str">
        <f aca="false">IFERROR(INDEX($B$111:$B$202,MATCH(DATE(J125,10,1),$A$111:$A$202,0)),"")</f>
        <v/>
      </c>
      <c r="L125" s="33" t="str">
        <f aca="false">IFERROR(K125/K124-1,"")</f>
        <v/>
      </c>
      <c r="M125" s="25" t="str">
        <f aca="false">IFERROR(INDEX($E$111:$E$202,MATCH(DATE(J125,10,1),$A$111:$A$202,0)),"")</f>
        <v/>
      </c>
    </row>
    <row r="126" customFormat="false" ht="15" hidden="false" customHeight="false" outlineLevel="0" collapsed="false">
      <c r="A126" s="27" t="n">
        <v>40817</v>
      </c>
      <c r="B126" s="28" t="str">
        <f aca="true">IFERROR(IF(IFERROR(INDEX(INDIRECT(Index!$M$18),MATCH(EDATE($A126,2),INDIRECT(Index!$L$18),0)),AVERAGEIFS(INDIRECT(Index!$M$18),INDIRECT(Index!$L$18),"&gt;="&amp;$A126,INDIRECT(Index!$L$18),"&lt;"&amp;EDATE($A126,3)))=0,"",IFERROR(INDEX(INDIRECT(Index!$M$18),MATCH(EDATE($A126,2),INDIRECT(Index!$L$18),0)),AVERAGEIFS(INDIRECT(Index!$M$18),INDIRECT(Index!$L$18),"&gt;="&amp;$A126,INDIRECT(Index!$L$18),"&lt;"&amp;EDATE($A126,3)))),"")</f>
        <v/>
      </c>
      <c r="C126" s="29" t="str">
        <f aca="false">IFERROR(B126/B125-1,"")</f>
        <v/>
      </c>
      <c r="D126" s="29" t="str">
        <f aca="false">IFERROR(B126/B122-1,"")</f>
        <v/>
      </c>
      <c r="E126" s="31" t="str">
        <f aca="false">IFERROR(IF(AND(B126="",ISNUMBER($C$108),ISNUMBER($G$108)),$C$108*(1+$G$108)^(($A126-$E$108)/365.25),""),"")</f>
        <v/>
      </c>
      <c r="F126" s="31" t="str">
        <f aca="false">IFERROR(IF(AND(B126="",ISNUMBER($C$108),ISNUMBER($G$108)),$C$108*(1+$G$108*0.85^MAX(0,($A126-$E$108)/91.25))^(($A126-$E$108)/365.25),""),"")</f>
        <v/>
      </c>
      <c r="J126" s="32" t="n">
        <v>2023</v>
      </c>
      <c r="K126" s="31" t="str">
        <f aca="false">IFERROR(INDEX($B$111:$B$202,MATCH(DATE(J126,10,1),$A$111:$A$202,0)),"")</f>
        <v/>
      </c>
      <c r="L126" s="29" t="str">
        <f aca="false">IFERROR(K126/K125-1,"")</f>
        <v/>
      </c>
      <c r="M126" s="31" t="str">
        <f aca="false">IFERROR(INDEX($E$111:$E$202,MATCH(DATE(J126,10,1),$A$111:$A$202,0)),"")</f>
        <v/>
      </c>
    </row>
    <row r="127" customFormat="false" ht="15" hidden="false" customHeight="false" outlineLevel="0" collapsed="false">
      <c r="A127" s="15" t="n">
        <v>40909</v>
      </c>
      <c r="B127" s="20" t="str">
        <f aca="true">IFERROR(IF(IFERROR(INDEX(INDIRECT(Index!$M$18),MATCH(EDATE($A127,2),INDIRECT(Index!$L$18),0)),AVERAGEIFS(INDIRECT(Index!$M$18),INDIRECT(Index!$L$18),"&gt;="&amp;$A127,INDIRECT(Index!$L$18),"&lt;"&amp;EDATE($A127,3)))=0,"",IFERROR(INDEX(INDIRECT(Index!$M$18),MATCH(EDATE($A127,2),INDIRECT(Index!$L$18),0)),AVERAGEIFS(INDIRECT(Index!$M$18),INDIRECT(Index!$L$18),"&gt;="&amp;$A127,INDIRECT(Index!$L$18),"&lt;"&amp;EDATE($A127,3)))),"")</f>
        <v/>
      </c>
      <c r="C127" s="33" t="str">
        <f aca="false">IFERROR(B127/B126-1,"")</f>
        <v/>
      </c>
      <c r="D127" s="33" t="str">
        <f aca="false">IFERROR(B127/B123-1,"")</f>
        <v/>
      </c>
      <c r="E127" s="25" t="str">
        <f aca="false">IFERROR(IF(AND(B127="",ISNUMBER($C$108),ISNUMBER($G$108)),$C$108*(1+$G$108)^(($A127-$E$108)/365.25),""),"")</f>
        <v/>
      </c>
      <c r="F127" s="25" t="str">
        <f aca="false">IFERROR(IF(AND(B127="",ISNUMBER($C$108),ISNUMBER($G$108)),$C$108*(1+$G$108*0.85^MAX(0,($A127-$E$108)/91.25))^(($A127-$E$108)/365.25),""),"")</f>
        <v/>
      </c>
      <c r="J127" s="26" t="n">
        <v>2024</v>
      </c>
      <c r="K127" s="25" t="str">
        <f aca="false">IFERROR(INDEX($B$111:$B$202,MATCH(DATE(J127,10,1),$A$111:$A$202,0)),"")</f>
        <v/>
      </c>
      <c r="L127" s="33" t="str">
        <f aca="false">IFERROR(K127/K126-1,"")</f>
        <v/>
      </c>
      <c r="M127" s="25" t="str">
        <f aca="false">IFERROR(INDEX($E$111:$E$202,MATCH(DATE(J127,10,1),$A$111:$A$202,0)),"")</f>
        <v/>
      </c>
    </row>
    <row r="128" customFormat="false" ht="15" hidden="false" customHeight="false" outlineLevel="0" collapsed="false">
      <c r="A128" s="27" t="n">
        <v>41000</v>
      </c>
      <c r="B128" s="28" t="str">
        <f aca="true">IFERROR(IF(IFERROR(INDEX(INDIRECT(Index!$M$18),MATCH(EDATE($A128,2),INDIRECT(Index!$L$18),0)),AVERAGEIFS(INDIRECT(Index!$M$18),INDIRECT(Index!$L$18),"&gt;="&amp;$A128,INDIRECT(Index!$L$18),"&lt;"&amp;EDATE($A128,3)))=0,"",IFERROR(INDEX(INDIRECT(Index!$M$18),MATCH(EDATE($A128,2),INDIRECT(Index!$L$18),0)),AVERAGEIFS(INDIRECT(Index!$M$18),INDIRECT(Index!$L$18),"&gt;="&amp;$A128,INDIRECT(Index!$L$18),"&lt;"&amp;EDATE($A128,3)))),"")</f>
        <v/>
      </c>
      <c r="C128" s="29" t="str">
        <f aca="false">IFERROR(B128/B127-1,"")</f>
        <v/>
      </c>
      <c r="D128" s="29" t="str">
        <f aca="false">IFERROR(B128/B124-1,"")</f>
        <v/>
      </c>
      <c r="E128" s="31" t="str">
        <f aca="false">IFERROR(IF(AND(B128="",ISNUMBER($C$108),ISNUMBER($G$108)),$C$108*(1+$G$108)^(($A128-$E$108)/365.25),""),"")</f>
        <v/>
      </c>
      <c r="F128" s="31" t="str">
        <f aca="false">IFERROR(IF(AND(B128="",ISNUMBER($C$108),ISNUMBER($G$108)),$C$108*(1+$G$108*0.85^MAX(0,($A128-$E$108)/91.25))^(($A128-$E$108)/365.25),""),"")</f>
        <v/>
      </c>
      <c r="J128" s="32" t="n">
        <v>2025</v>
      </c>
      <c r="K128" s="31" t="str">
        <f aca="false">IFERROR(INDEX($B$111:$B$202,MATCH(DATE(J128,10,1),$A$111:$A$202,0)),"")</f>
        <v/>
      </c>
      <c r="L128" s="29" t="str">
        <f aca="false">IFERROR(K128/K127-1,"")</f>
        <v/>
      </c>
      <c r="M128" s="31" t="str">
        <f aca="false">IFERROR(INDEX($E$111:$E$202,MATCH(DATE(J128,10,1),$A$111:$A$202,0)),"")</f>
        <v/>
      </c>
    </row>
    <row r="129" customFormat="false" ht="15" hidden="false" customHeight="false" outlineLevel="0" collapsed="false">
      <c r="A129" s="15" t="n">
        <v>41091</v>
      </c>
      <c r="B129" s="20" t="str">
        <f aca="true">IFERROR(IF(IFERROR(INDEX(INDIRECT(Index!$M$18),MATCH(EDATE($A129,2),INDIRECT(Index!$L$18),0)),AVERAGEIFS(INDIRECT(Index!$M$18),INDIRECT(Index!$L$18),"&gt;="&amp;$A129,INDIRECT(Index!$L$18),"&lt;"&amp;EDATE($A129,3)))=0,"",IFERROR(INDEX(INDIRECT(Index!$M$18),MATCH(EDATE($A129,2),INDIRECT(Index!$L$18),0)),AVERAGEIFS(INDIRECT(Index!$M$18),INDIRECT(Index!$L$18),"&gt;="&amp;$A129,INDIRECT(Index!$L$18),"&lt;"&amp;EDATE($A129,3)))),"")</f>
        <v/>
      </c>
      <c r="C129" s="33" t="str">
        <f aca="false">IFERROR(B129/B128-1,"")</f>
        <v/>
      </c>
      <c r="D129" s="33" t="str">
        <f aca="false">IFERROR(B129/B125-1,"")</f>
        <v/>
      </c>
      <c r="E129" s="25" t="str">
        <f aca="false">IFERROR(IF(AND(B129="",ISNUMBER($C$108),ISNUMBER($G$108)),$C$108*(1+$G$108)^(($A129-$E$108)/365.25),""),"")</f>
        <v/>
      </c>
      <c r="F129" s="25" t="str">
        <f aca="false">IFERROR(IF(AND(B129="",ISNUMBER($C$108),ISNUMBER($G$108)),$C$108*(1+$G$108*0.85^MAX(0,($A129-$E$108)/91.25))^(($A129-$E$108)/365.25),""),"")</f>
        <v/>
      </c>
      <c r="J129" s="26" t="n">
        <v>2026</v>
      </c>
      <c r="K129" s="25" t="str">
        <f aca="false">IFERROR(INDEX($B$111:$B$202,MATCH(DATE(J129,10,1),$A$111:$A$202,0)),"")</f>
        <v/>
      </c>
      <c r="L129" s="33" t="str">
        <f aca="false">IFERROR(K129/K128-1,"")</f>
        <v/>
      </c>
      <c r="M129" s="25" t="str">
        <f aca="false">IFERROR(INDEX($E$111:$E$202,MATCH(DATE(J129,10,1),$A$111:$A$202,0)),"")</f>
        <v/>
      </c>
    </row>
    <row r="130" customFormat="false" ht="15" hidden="false" customHeight="false" outlineLevel="0" collapsed="false">
      <c r="A130" s="27" t="n">
        <v>41183</v>
      </c>
      <c r="B130" s="28" t="str">
        <f aca="true">IFERROR(IF(IFERROR(INDEX(INDIRECT(Index!$M$18),MATCH(EDATE($A130,2),INDIRECT(Index!$L$18),0)),AVERAGEIFS(INDIRECT(Index!$M$18),INDIRECT(Index!$L$18),"&gt;="&amp;$A130,INDIRECT(Index!$L$18),"&lt;"&amp;EDATE($A130,3)))=0,"",IFERROR(INDEX(INDIRECT(Index!$M$18),MATCH(EDATE($A130,2),INDIRECT(Index!$L$18),0)),AVERAGEIFS(INDIRECT(Index!$M$18),INDIRECT(Index!$L$18),"&gt;="&amp;$A130,INDIRECT(Index!$L$18),"&lt;"&amp;EDATE($A130,3)))),"")</f>
        <v/>
      </c>
      <c r="C130" s="29" t="str">
        <f aca="false">IFERROR(B130/B129-1,"")</f>
        <v/>
      </c>
      <c r="D130" s="29" t="str">
        <f aca="false">IFERROR(B130/B126-1,"")</f>
        <v/>
      </c>
      <c r="E130" s="31" t="str">
        <f aca="false">IFERROR(IF(AND(B130="",ISNUMBER($C$108),ISNUMBER($G$108)),$C$108*(1+$G$108)^(($A130-$E$108)/365.25),""),"")</f>
        <v/>
      </c>
      <c r="F130" s="31" t="str">
        <f aca="false">IFERROR(IF(AND(B130="",ISNUMBER($C$108),ISNUMBER($G$108)),$C$108*(1+$G$108*0.85^MAX(0,($A130-$E$108)/91.25))^(($A130-$E$108)/365.25),""),"")</f>
        <v/>
      </c>
      <c r="J130" s="32" t="n">
        <v>2027</v>
      </c>
      <c r="K130" s="31" t="str">
        <f aca="false">IFERROR(INDEX($B$111:$B$202,MATCH(DATE(J130,10,1),$A$111:$A$202,0)),"")</f>
        <v/>
      </c>
      <c r="L130" s="29" t="str">
        <f aca="false">IFERROR(K130/K129-1,"")</f>
        <v/>
      </c>
      <c r="M130" s="31" t="str">
        <f aca="false">IFERROR(INDEX($E$111:$E$202,MATCH(DATE(J130,10,1),$A$111:$A$202,0)),"")</f>
        <v/>
      </c>
    </row>
    <row r="131" customFormat="false" ht="15" hidden="false" customHeight="false" outlineLevel="0" collapsed="false">
      <c r="A131" s="15" t="n">
        <v>41275</v>
      </c>
      <c r="B131" s="20" t="str">
        <f aca="true">IFERROR(IF(IFERROR(INDEX(INDIRECT(Index!$M$18),MATCH(EDATE($A131,2),INDIRECT(Index!$L$18),0)),AVERAGEIFS(INDIRECT(Index!$M$18),INDIRECT(Index!$L$18),"&gt;="&amp;$A131,INDIRECT(Index!$L$18),"&lt;"&amp;EDATE($A131,3)))=0,"",IFERROR(INDEX(INDIRECT(Index!$M$18),MATCH(EDATE($A131,2),INDIRECT(Index!$L$18),0)),AVERAGEIFS(INDIRECT(Index!$M$18),INDIRECT(Index!$L$18),"&gt;="&amp;$A131,INDIRECT(Index!$L$18),"&lt;"&amp;EDATE($A131,3)))),"")</f>
        <v/>
      </c>
      <c r="C131" s="33" t="str">
        <f aca="false">IFERROR(B131/B130-1,"")</f>
        <v/>
      </c>
      <c r="D131" s="33" t="str">
        <f aca="false">IFERROR(B131/B127-1,"")</f>
        <v/>
      </c>
      <c r="E131" s="25" t="str">
        <f aca="false">IFERROR(IF(AND(B131="",ISNUMBER($C$108),ISNUMBER($G$108)),$C$108*(1+$G$108)^(($A131-$E$108)/365.25),""),"")</f>
        <v/>
      </c>
      <c r="F131" s="25" t="str">
        <f aca="false">IFERROR(IF(AND(B131="",ISNUMBER($C$108),ISNUMBER($G$108)),$C$108*(1+$G$108*0.85^MAX(0,($A131-$E$108)/91.25))^(($A131-$E$108)/365.25),""),"")</f>
        <v/>
      </c>
      <c r="J131" s="26" t="n">
        <v>2028</v>
      </c>
      <c r="K131" s="25" t="str">
        <f aca="false">IFERROR(INDEX($B$111:$B$202,MATCH(DATE(J131,10,1),$A$111:$A$202,0)),"")</f>
        <v/>
      </c>
      <c r="L131" s="33" t="str">
        <f aca="false">IFERROR(K131/K130-1,"")</f>
        <v/>
      </c>
      <c r="M131" s="25" t="str">
        <f aca="false">IFERROR(INDEX($E$111:$E$202,MATCH(DATE(J131,10,1),$A$111:$A$202,0)),"")</f>
        <v/>
      </c>
    </row>
    <row r="132" customFormat="false" ht="15" hidden="false" customHeight="false" outlineLevel="0" collapsed="false">
      <c r="A132" s="27" t="n">
        <v>41365</v>
      </c>
      <c r="B132" s="28" t="str">
        <f aca="true">IFERROR(IF(IFERROR(INDEX(INDIRECT(Index!$M$18),MATCH(EDATE($A132,2),INDIRECT(Index!$L$18),0)),AVERAGEIFS(INDIRECT(Index!$M$18),INDIRECT(Index!$L$18),"&gt;="&amp;$A132,INDIRECT(Index!$L$18),"&lt;"&amp;EDATE($A132,3)))=0,"",IFERROR(INDEX(INDIRECT(Index!$M$18),MATCH(EDATE($A132,2),INDIRECT(Index!$L$18),0)),AVERAGEIFS(INDIRECT(Index!$M$18),INDIRECT(Index!$L$18),"&gt;="&amp;$A132,INDIRECT(Index!$L$18),"&lt;"&amp;EDATE($A132,3)))),"")</f>
        <v/>
      </c>
      <c r="C132" s="29" t="str">
        <f aca="false">IFERROR(B132/B131-1,"")</f>
        <v/>
      </c>
      <c r="D132" s="29" t="str">
        <f aca="false">IFERROR(B132/B128-1,"")</f>
        <v/>
      </c>
      <c r="E132" s="31" t="str">
        <f aca="false">IFERROR(IF(AND(B132="",ISNUMBER($C$108),ISNUMBER($G$108)),$C$108*(1+$G$108)^(($A132-$E$108)/365.25),""),"")</f>
        <v/>
      </c>
      <c r="F132" s="31" t="str">
        <f aca="false">IFERROR(IF(AND(B132="",ISNUMBER($C$108),ISNUMBER($G$108)),$C$108*(1+$G$108*0.85^MAX(0,($A132-$E$108)/91.25))^(($A132-$E$108)/365.25),""),"")</f>
        <v/>
      </c>
      <c r="J132" s="32" t="n">
        <v>2029</v>
      </c>
      <c r="K132" s="31" t="str">
        <f aca="false">IFERROR(INDEX($B$111:$B$202,MATCH(DATE(J132,10,1),$A$111:$A$202,0)),"")</f>
        <v/>
      </c>
      <c r="L132" s="29" t="str">
        <f aca="false">IFERROR(K132/K131-1,"")</f>
        <v/>
      </c>
      <c r="M132" s="31" t="str">
        <f aca="false">IFERROR(INDEX($E$111:$E$202,MATCH(DATE(J132,10,1),$A$111:$A$202,0)),"")</f>
        <v/>
      </c>
    </row>
    <row r="133" customFormat="false" ht="15" hidden="false" customHeight="false" outlineLevel="0" collapsed="false">
      <c r="A133" s="15" t="n">
        <v>41456</v>
      </c>
      <c r="B133" s="20" t="str">
        <f aca="true">IFERROR(IF(IFERROR(INDEX(INDIRECT(Index!$M$18),MATCH(EDATE($A133,2),INDIRECT(Index!$L$18),0)),AVERAGEIFS(INDIRECT(Index!$M$18),INDIRECT(Index!$L$18),"&gt;="&amp;$A133,INDIRECT(Index!$L$18),"&lt;"&amp;EDATE($A133,3)))=0,"",IFERROR(INDEX(INDIRECT(Index!$M$18),MATCH(EDATE($A133,2),INDIRECT(Index!$L$18),0)),AVERAGEIFS(INDIRECT(Index!$M$18),INDIRECT(Index!$L$18),"&gt;="&amp;$A133,INDIRECT(Index!$L$18),"&lt;"&amp;EDATE($A133,3)))),"")</f>
        <v/>
      </c>
      <c r="C133" s="33" t="str">
        <f aca="false">IFERROR(B133/B132-1,"")</f>
        <v/>
      </c>
      <c r="D133" s="33" t="str">
        <f aca="false">IFERROR(B133/B129-1,"")</f>
        <v/>
      </c>
      <c r="E133" s="25" t="str">
        <f aca="false">IFERROR(IF(AND(B133="",ISNUMBER($C$108),ISNUMBER($G$108)),$C$108*(1+$G$108)^(($A133-$E$108)/365.25),""),"")</f>
        <v/>
      </c>
      <c r="F133" s="25" t="str">
        <f aca="false">IFERROR(IF(AND(B133="",ISNUMBER($C$108),ISNUMBER($G$108)),$C$108*(1+$G$108*0.85^MAX(0,($A133-$E$108)/91.25))^(($A133-$E$108)/365.25),""),"")</f>
        <v/>
      </c>
      <c r="J133" s="26" t="n">
        <v>2030</v>
      </c>
      <c r="K133" s="25" t="str">
        <f aca="false">IFERROR(INDEX($B$111:$B$202,MATCH(DATE(J133,10,1),$A$111:$A$202,0)),"")</f>
        <v/>
      </c>
      <c r="L133" s="33" t="str">
        <f aca="false">IFERROR(K133/K132-1,"")</f>
        <v/>
      </c>
      <c r="M133" s="25" t="str">
        <f aca="false">IFERROR(INDEX($E$111:$E$202,MATCH(DATE(J133,10,1),$A$111:$A$202,0)),"")</f>
        <v/>
      </c>
    </row>
    <row r="134" customFormat="false" ht="15" hidden="false" customHeight="false" outlineLevel="0" collapsed="false">
      <c r="A134" s="27" t="n">
        <v>41548</v>
      </c>
      <c r="B134" s="28" t="str">
        <f aca="true">IFERROR(IF(IFERROR(INDEX(INDIRECT(Index!$M$18),MATCH(EDATE($A134,2),INDIRECT(Index!$L$18),0)),AVERAGEIFS(INDIRECT(Index!$M$18),INDIRECT(Index!$L$18),"&gt;="&amp;$A134,INDIRECT(Index!$L$18),"&lt;"&amp;EDATE($A134,3)))=0,"",IFERROR(INDEX(INDIRECT(Index!$M$18),MATCH(EDATE($A134,2),INDIRECT(Index!$L$18),0)),AVERAGEIFS(INDIRECT(Index!$M$18),INDIRECT(Index!$L$18),"&gt;="&amp;$A134,INDIRECT(Index!$L$18),"&lt;"&amp;EDATE($A134,3)))),"")</f>
        <v/>
      </c>
      <c r="C134" s="29" t="str">
        <f aca="false">IFERROR(B134/B133-1,"")</f>
        <v/>
      </c>
      <c r="D134" s="29" t="str">
        <f aca="false">IFERROR(B134/B130-1,"")</f>
        <v/>
      </c>
      <c r="E134" s="31" t="str">
        <f aca="false">IFERROR(IF(AND(B134="",ISNUMBER($C$108),ISNUMBER($G$108)),$C$108*(1+$G$108)^(($A134-$E$108)/365.25),""),"")</f>
        <v/>
      </c>
      <c r="F134" s="31" t="str">
        <f aca="false">IFERROR(IF(AND(B134="",ISNUMBER($C$108),ISNUMBER($G$108)),$C$108*(1+$G$108*0.85^MAX(0,($A134-$E$108)/91.25))^(($A134-$E$108)/365.25),""),"")</f>
        <v/>
      </c>
    </row>
    <row r="135" customFormat="false" ht="15" hidden="false" customHeight="false" outlineLevel="0" collapsed="false">
      <c r="A135" s="15" t="n">
        <v>41640</v>
      </c>
      <c r="B135" s="20" t="str">
        <f aca="true">IFERROR(IF(IFERROR(INDEX(INDIRECT(Index!$M$18),MATCH(EDATE($A135,2),INDIRECT(Index!$L$18),0)),AVERAGEIFS(INDIRECT(Index!$M$18),INDIRECT(Index!$L$18),"&gt;="&amp;$A135,INDIRECT(Index!$L$18),"&lt;"&amp;EDATE($A135,3)))=0,"",IFERROR(INDEX(INDIRECT(Index!$M$18),MATCH(EDATE($A135,2),INDIRECT(Index!$L$18),0)),AVERAGEIFS(INDIRECT(Index!$M$18),INDIRECT(Index!$L$18),"&gt;="&amp;$A135,INDIRECT(Index!$L$18),"&lt;"&amp;EDATE($A135,3)))),"")</f>
        <v/>
      </c>
      <c r="C135" s="33" t="str">
        <f aca="false">IFERROR(B135/B134-1,"")</f>
        <v/>
      </c>
      <c r="D135" s="33" t="str">
        <f aca="false">IFERROR(B135/B131-1,"")</f>
        <v/>
      </c>
      <c r="E135" s="25" t="str">
        <f aca="false">IFERROR(IF(AND(B135="",ISNUMBER($C$108),ISNUMBER($G$108)),$C$108*(1+$G$108)^(($A135-$E$108)/365.25),""),"")</f>
        <v/>
      </c>
      <c r="F135" s="25" t="str">
        <f aca="false">IFERROR(IF(AND(B135="",ISNUMBER($C$108),ISNUMBER($G$108)),$C$108*(1+$G$108*0.85^MAX(0,($A135-$E$108)/91.25))^(($A135-$E$108)/365.25),""),"")</f>
        <v/>
      </c>
    </row>
    <row r="136" customFormat="false" ht="15" hidden="false" customHeight="false" outlineLevel="0" collapsed="false">
      <c r="A136" s="27" t="n">
        <v>41730</v>
      </c>
      <c r="B136" s="28" t="str">
        <f aca="true">IFERROR(IF(IFERROR(INDEX(INDIRECT(Index!$M$18),MATCH(EDATE($A136,2),INDIRECT(Index!$L$18),0)),AVERAGEIFS(INDIRECT(Index!$M$18),INDIRECT(Index!$L$18),"&gt;="&amp;$A136,INDIRECT(Index!$L$18),"&lt;"&amp;EDATE($A136,3)))=0,"",IFERROR(INDEX(INDIRECT(Index!$M$18),MATCH(EDATE($A136,2),INDIRECT(Index!$L$18),0)),AVERAGEIFS(INDIRECT(Index!$M$18),INDIRECT(Index!$L$18),"&gt;="&amp;$A136,INDIRECT(Index!$L$18),"&lt;"&amp;EDATE($A136,3)))),"")</f>
        <v/>
      </c>
      <c r="C136" s="29" t="str">
        <f aca="false">IFERROR(B136/B135-1,"")</f>
        <v/>
      </c>
      <c r="D136" s="29" t="str">
        <f aca="false">IFERROR(B136/B132-1,"")</f>
        <v/>
      </c>
      <c r="E136" s="31" t="str">
        <f aca="false">IFERROR(IF(AND(B136="",ISNUMBER($C$108),ISNUMBER($G$108)),$C$108*(1+$G$108)^(($A136-$E$108)/365.25),""),"")</f>
        <v/>
      </c>
      <c r="F136" s="31" t="str">
        <f aca="false">IFERROR(IF(AND(B136="",ISNUMBER($C$108),ISNUMBER($G$108)),$C$108*(1+$G$108*0.85^MAX(0,($A136-$E$108)/91.25))^(($A136-$E$108)/365.25),""),"")</f>
        <v/>
      </c>
    </row>
    <row r="137" customFormat="false" ht="15" hidden="false" customHeight="false" outlineLevel="0" collapsed="false">
      <c r="A137" s="15" t="n">
        <v>41821</v>
      </c>
      <c r="B137" s="20" t="str">
        <f aca="true">IFERROR(IF(IFERROR(INDEX(INDIRECT(Index!$M$18),MATCH(EDATE($A137,2),INDIRECT(Index!$L$18),0)),AVERAGEIFS(INDIRECT(Index!$M$18),INDIRECT(Index!$L$18),"&gt;="&amp;$A137,INDIRECT(Index!$L$18),"&lt;"&amp;EDATE($A137,3)))=0,"",IFERROR(INDEX(INDIRECT(Index!$M$18),MATCH(EDATE($A137,2),INDIRECT(Index!$L$18),0)),AVERAGEIFS(INDIRECT(Index!$M$18),INDIRECT(Index!$L$18),"&gt;="&amp;$A137,INDIRECT(Index!$L$18),"&lt;"&amp;EDATE($A137,3)))),"")</f>
        <v/>
      </c>
      <c r="C137" s="33" t="str">
        <f aca="false">IFERROR(B137/B136-1,"")</f>
        <v/>
      </c>
      <c r="D137" s="33" t="str">
        <f aca="false">IFERROR(B137/B133-1,"")</f>
        <v/>
      </c>
      <c r="E137" s="25" t="str">
        <f aca="false">IFERROR(IF(AND(B137="",ISNUMBER($C$108),ISNUMBER($G$108)),$C$108*(1+$G$108)^(($A137-$E$108)/365.25),""),"")</f>
        <v/>
      </c>
      <c r="F137" s="25" t="str">
        <f aca="false">IFERROR(IF(AND(B137="",ISNUMBER($C$108),ISNUMBER($G$108)),$C$108*(1+$G$108*0.85^MAX(0,($A137-$E$108)/91.25))^(($A137-$E$108)/365.25),""),"")</f>
        <v/>
      </c>
    </row>
    <row r="138" customFormat="false" ht="15" hidden="false" customHeight="false" outlineLevel="0" collapsed="false">
      <c r="A138" s="27" t="n">
        <v>41913</v>
      </c>
      <c r="B138" s="28" t="str">
        <f aca="true">IFERROR(IF(IFERROR(INDEX(INDIRECT(Index!$M$18),MATCH(EDATE($A138,2),INDIRECT(Index!$L$18),0)),AVERAGEIFS(INDIRECT(Index!$M$18),INDIRECT(Index!$L$18),"&gt;="&amp;$A138,INDIRECT(Index!$L$18),"&lt;"&amp;EDATE($A138,3)))=0,"",IFERROR(INDEX(INDIRECT(Index!$M$18),MATCH(EDATE($A138,2),INDIRECT(Index!$L$18),0)),AVERAGEIFS(INDIRECT(Index!$M$18),INDIRECT(Index!$L$18),"&gt;="&amp;$A138,INDIRECT(Index!$L$18),"&lt;"&amp;EDATE($A138,3)))),"")</f>
        <v/>
      </c>
      <c r="C138" s="29" t="str">
        <f aca="false">IFERROR(B138/B137-1,"")</f>
        <v/>
      </c>
      <c r="D138" s="29" t="str">
        <f aca="false">IFERROR(B138/B134-1,"")</f>
        <v/>
      </c>
      <c r="E138" s="31" t="str">
        <f aca="false">IFERROR(IF(AND(B138="",ISNUMBER($C$108),ISNUMBER($G$108)),$C$108*(1+$G$108)^(($A138-$E$108)/365.25),""),"")</f>
        <v/>
      </c>
      <c r="F138" s="31" t="str">
        <f aca="false">IFERROR(IF(AND(B138="",ISNUMBER($C$108),ISNUMBER($G$108)),$C$108*(1+$G$108*0.85^MAX(0,($A138-$E$108)/91.25))^(($A138-$E$108)/365.25),""),"")</f>
        <v/>
      </c>
    </row>
    <row r="139" customFormat="false" ht="15" hidden="false" customHeight="false" outlineLevel="0" collapsed="false">
      <c r="A139" s="15" t="n">
        <v>42005</v>
      </c>
      <c r="B139" s="20" t="str">
        <f aca="true">IFERROR(IF(IFERROR(INDEX(INDIRECT(Index!$M$18),MATCH(EDATE($A139,2),INDIRECT(Index!$L$18),0)),AVERAGEIFS(INDIRECT(Index!$M$18),INDIRECT(Index!$L$18),"&gt;="&amp;$A139,INDIRECT(Index!$L$18),"&lt;"&amp;EDATE($A139,3)))=0,"",IFERROR(INDEX(INDIRECT(Index!$M$18),MATCH(EDATE($A139,2),INDIRECT(Index!$L$18),0)),AVERAGEIFS(INDIRECT(Index!$M$18),INDIRECT(Index!$L$18),"&gt;="&amp;$A139,INDIRECT(Index!$L$18),"&lt;"&amp;EDATE($A139,3)))),"")</f>
        <v/>
      </c>
      <c r="C139" s="33" t="str">
        <f aca="false">IFERROR(B139/B138-1,"")</f>
        <v/>
      </c>
      <c r="D139" s="33" t="str">
        <f aca="false">IFERROR(B139/B135-1,"")</f>
        <v/>
      </c>
      <c r="E139" s="25" t="str">
        <f aca="false">IFERROR(IF(AND(B139="",ISNUMBER($C$108),ISNUMBER($G$108)),$C$108*(1+$G$108)^(($A139-$E$108)/365.25),""),"")</f>
        <v/>
      </c>
      <c r="F139" s="25" t="str">
        <f aca="false">IFERROR(IF(AND(B139="",ISNUMBER($C$108),ISNUMBER($G$108)),$C$108*(1+$G$108*0.85^MAX(0,($A139-$E$108)/91.25))^(($A139-$E$108)/365.25),""),"")</f>
        <v/>
      </c>
    </row>
    <row r="140" customFormat="false" ht="15" hidden="false" customHeight="false" outlineLevel="0" collapsed="false">
      <c r="A140" s="27" t="n">
        <v>42095</v>
      </c>
      <c r="B140" s="28" t="str">
        <f aca="true">IFERROR(IF(IFERROR(INDEX(INDIRECT(Index!$M$18),MATCH(EDATE($A140,2),INDIRECT(Index!$L$18),0)),AVERAGEIFS(INDIRECT(Index!$M$18),INDIRECT(Index!$L$18),"&gt;="&amp;$A140,INDIRECT(Index!$L$18),"&lt;"&amp;EDATE($A140,3)))=0,"",IFERROR(INDEX(INDIRECT(Index!$M$18),MATCH(EDATE($A140,2),INDIRECT(Index!$L$18),0)),AVERAGEIFS(INDIRECT(Index!$M$18),INDIRECT(Index!$L$18),"&gt;="&amp;$A140,INDIRECT(Index!$L$18),"&lt;"&amp;EDATE($A140,3)))),"")</f>
        <v/>
      </c>
      <c r="C140" s="29" t="str">
        <f aca="false">IFERROR(B140/B139-1,"")</f>
        <v/>
      </c>
      <c r="D140" s="29" t="str">
        <f aca="false">IFERROR(B140/B136-1,"")</f>
        <v/>
      </c>
      <c r="E140" s="31" t="str">
        <f aca="false">IFERROR(IF(AND(B140="",ISNUMBER($C$108),ISNUMBER($G$108)),$C$108*(1+$G$108)^(($A140-$E$108)/365.25),""),"")</f>
        <v/>
      </c>
      <c r="F140" s="31" t="str">
        <f aca="false">IFERROR(IF(AND(B140="",ISNUMBER($C$108),ISNUMBER($G$108)),$C$108*(1+$G$108*0.85^MAX(0,($A140-$E$108)/91.25))^(($A140-$E$108)/365.25),""),"")</f>
        <v/>
      </c>
    </row>
    <row r="141" customFormat="false" ht="15" hidden="false" customHeight="false" outlineLevel="0" collapsed="false">
      <c r="A141" s="15" t="n">
        <v>42186</v>
      </c>
      <c r="B141" s="20" t="str">
        <f aca="true">IFERROR(IF(IFERROR(INDEX(INDIRECT(Index!$M$18),MATCH(EDATE($A141,2),INDIRECT(Index!$L$18),0)),AVERAGEIFS(INDIRECT(Index!$M$18),INDIRECT(Index!$L$18),"&gt;="&amp;$A141,INDIRECT(Index!$L$18),"&lt;"&amp;EDATE($A141,3)))=0,"",IFERROR(INDEX(INDIRECT(Index!$M$18),MATCH(EDATE($A141,2),INDIRECT(Index!$L$18),0)),AVERAGEIFS(INDIRECT(Index!$M$18),INDIRECT(Index!$L$18),"&gt;="&amp;$A141,INDIRECT(Index!$L$18),"&lt;"&amp;EDATE($A141,3)))),"")</f>
        <v/>
      </c>
      <c r="C141" s="33" t="str">
        <f aca="false">IFERROR(B141/B140-1,"")</f>
        <v/>
      </c>
      <c r="D141" s="33" t="str">
        <f aca="false">IFERROR(B141/B137-1,"")</f>
        <v/>
      </c>
      <c r="E141" s="25" t="str">
        <f aca="false">IFERROR(IF(AND(B141="",ISNUMBER($C$108),ISNUMBER($G$108)),$C$108*(1+$G$108)^(($A141-$E$108)/365.25),""),"")</f>
        <v/>
      </c>
      <c r="F141" s="25" t="str">
        <f aca="false">IFERROR(IF(AND(B141="",ISNUMBER($C$108),ISNUMBER($G$108)),$C$108*(1+$G$108*0.85^MAX(0,($A141-$E$108)/91.25))^(($A141-$E$108)/365.25),""),"")</f>
        <v/>
      </c>
    </row>
    <row r="142" customFormat="false" ht="15" hidden="false" customHeight="false" outlineLevel="0" collapsed="false">
      <c r="A142" s="27" t="n">
        <v>42278</v>
      </c>
      <c r="B142" s="28" t="str">
        <f aca="true">IFERROR(IF(IFERROR(INDEX(INDIRECT(Index!$M$18),MATCH(EDATE($A142,2),INDIRECT(Index!$L$18),0)),AVERAGEIFS(INDIRECT(Index!$M$18),INDIRECT(Index!$L$18),"&gt;="&amp;$A142,INDIRECT(Index!$L$18),"&lt;"&amp;EDATE($A142,3)))=0,"",IFERROR(INDEX(INDIRECT(Index!$M$18),MATCH(EDATE($A142,2),INDIRECT(Index!$L$18),0)),AVERAGEIFS(INDIRECT(Index!$M$18),INDIRECT(Index!$L$18),"&gt;="&amp;$A142,INDIRECT(Index!$L$18),"&lt;"&amp;EDATE($A142,3)))),"")</f>
        <v/>
      </c>
      <c r="C142" s="29" t="str">
        <f aca="false">IFERROR(B142/B141-1,"")</f>
        <v/>
      </c>
      <c r="D142" s="29" t="str">
        <f aca="false">IFERROR(B142/B138-1,"")</f>
        <v/>
      </c>
      <c r="E142" s="31" t="str">
        <f aca="false">IFERROR(IF(AND(B142="",ISNUMBER($C$108),ISNUMBER($G$108)),$C$108*(1+$G$108)^(($A142-$E$108)/365.25),""),"")</f>
        <v/>
      </c>
      <c r="F142" s="31" t="str">
        <f aca="false">IFERROR(IF(AND(B142="",ISNUMBER($C$108),ISNUMBER($G$108)),$C$108*(1+$G$108*0.85^MAX(0,($A142-$E$108)/91.25))^(($A142-$E$108)/365.25),""),"")</f>
        <v/>
      </c>
    </row>
    <row r="143" customFormat="false" ht="15" hidden="false" customHeight="false" outlineLevel="0" collapsed="false">
      <c r="A143" s="15" t="n">
        <v>42370</v>
      </c>
      <c r="B143" s="20" t="str">
        <f aca="true">IFERROR(IF(IFERROR(INDEX(INDIRECT(Index!$M$18),MATCH(EDATE($A143,2),INDIRECT(Index!$L$18),0)),AVERAGEIFS(INDIRECT(Index!$M$18),INDIRECT(Index!$L$18),"&gt;="&amp;$A143,INDIRECT(Index!$L$18),"&lt;"&amp;EDATE($A143,3)))=0,"",IFERROR(INDEX(INDIRECT(Index!$M$18),MATCH(EDATE($A143,2),INDIRECT(Index!$L$18),0)),AVERAGEIFS(INDIRECT(Index!$M$18),INDIRECT(Index!$L$18),"&gt;="&amp;$A143,INDIRECT(Index!$L$18),"&lt;"&amp;EDATE($A143,3)))),"")</f>
        <v/>
      </c>
      <c r="C143" s="33" t="str">
        <f aca="false">IFERROR(B143/B142-1,"")</f>
        <v/>
      </c>
      <c r="D143" s="33" t="str">
        <f aca="false">IFERROR(B143/B139-1,"")</f>
        <v/>
      </c>
      <c r="E143" s="25" t="str">
        <f aca="false">IFERROR(IF(AND(B143="",ISNUMBER($C$108),ISNUMBER($G$108)),$C$108*(1+$G$108)^(($A143-$E$108)/365.25),""),"")</f>
        <v/>
      </c>
      <c r="F143" s="25" t="str">
        <f aca="false">IFERROR(IF(AND(B143="",ISNUMBER($C$108),ISNUMBER($G$108)),$C$108*(1+$G$108*0.85^MAX(0,($A143-$E$108)/91.25))^(($A143-$E$108)/365.25),""),"")</f>
        <v/>
      </c>
    </row>
    <row r="144" customFormat="false" ht="15" hidden="false" customHeight="false" outlineLevel="0" collapsed="false">
      <c r="A144" s="27" t="n">
        <v>42461</v>
      </c>
      <c r="B144" s="28" t="str">
        <f aca="true">IFERROR(IF(IFERROR(INDEX(INDIRECT(Index!$M$18),MATCH(EDATE($A144,2),INDIRECT(Index!$L$18),0)),AVERAGEIFS(INDIRECT(Index!$M$18),INDIRECT(Index!$L$18),"&gt;="&amp;$A144,INDIRECT(Index!$L$18),"&lt;"&amp;EDATE($A144,3)))=0,"",IFERROR(INDEX(INDIRECT(Index!$M$18),MATCH(EDATE($A144,2),INDIRECT(Index!$L$18),0)),AVERAGEIFS(INDIRECT(Index!$M$18),INDIRECT(Index!$L$18),"&gt;="&amp;$A144,INDIRECT(Index!$L$18),"&lt;"&amp;EDATE($A144,3)))),"")</f>
        <v/>
      </c>
      <c r="C144" s="29" t="str">
        <f aca="false">IFERROR(B144/B143-1,"")</f>
        <v/>
      </c>
      <c r="D144" s="29" t="str">
        <f aca="false">IFERROR(B144/B140-1,"")</f>
        <v/>
      </c>
      <c r="E144" s="31" t="str">
        <f aca="false">IFERROR(IF(AND(B144="",ISNUMBER($C$108),ISNUMBER($G$108)),$C$108*(1+$G$108)^(($A144-$E$108)/365.25),""),"")</f>
        <v/>
      </c>
      <c r="F144" s="31" t="str">
        <f aca="false">IFERROR(IF(AND(B144="",ISNUMBER($C$108),ISNUMBER($G$108)),$C$108*(1+$G$108*0.85^MAX(0,($A144-$E$108)/91.25))^(($A144-$E$108)/365.25),""),"")</f>
        <v/>
      </c>
    </row>
    <row r="145" customFormat="false" ht="15" hidden="false" customHeight="false" outlineLevel="0" collapsed="false">
      <c r="A145" s="15" t="n">
        <v>42552</v>
      </c>
      <c r="B145" s="20" t="str">
        <f aca="true">IFERROR(IF(IFERROR(INDEX(INDIRECT(Index!$M$18),MATCH(EDATE($A145,2),INDIRECT(Index!$L$18),0)),AVERAGEIFS(INDIRECT(Index!$M$18),INDIRECT(Index!$L$18),"&gt;="&amp;$A145,INDIRECT(Index!$L$18),"&lt;"&amp;EDATE($A145,3)))=0,"",IFERROR(INDEX(INDIRECT(Index!$M$18),MATCH(EDATE($A145,2),INDIRECT(Index!$L$18),0)),AVERAGEIFS(INDIRECT(Index!$M$18),INDIRECT(Index!$L$18),"&gt;="&amp;$A145,INDIRECT(Index!$L$18),"&lt;"&amp;EDATE($A145,3)))),"")</f>
        <v/>
      </c>
      <c r="C145" s="33" t="str">
        <f aca="false">IFERROR(B145/B144-1,"")</f>
        <v/>
      </c>
      <c r="D145" s="33" t="str">
        <f aca="false">IFERROR(B145/B141-1,"")</f>
        <v/>
      </c>
      <c r="E145" s="25" t="str">
        <f aca="false">IFERROR(IF(AND(B145="",ISNUMBER($C$108),ISNUMBER($G$108)),$C$108*(1+$G$108)^(($A145-$E$108)/365.25),""),"")</f>
        <v/>
      </c>
      <c r="F145" s="25" t="str">
        <f aca="false">IFERROR(IF(AND(B145="",ISNUMBER($C$108),ISNUMBER($G$108)),$C$108*(1+$G$108*0.85^MAX(0,($A145-$E$108)/91.25))^(($A145-$E$108)/365.25),""),"")</f>
        <v/>
      </c>
    </row>
    <row r="146" customFormat="false" ht="15" hidden="false" customHeight="false" outlineLevel="0" collapsed="false">
      <c r="A146" s="27" t="n">
        <v>42644</v>
      </c>
      <c r="B146" s="28" t="str">
        <f aca="true">IFERROR(IF(IFERROR(INDEX(INDIRECT(Index!$M$18),MATCH(EDATE($A146,2),INDIRECT(Index!$L$18),0)),AVERAGEIFS(INDIRECT(Index!$M$18),INDIRECT(Index!$L$18),"&gt;="&amp;$A146,INDIRECT(Index!$L$18),"&lt;"&amp;EDATE($A146,3)))=0,"",IFERROR(INDEX(INDIRECT(Index!$M$18),MATCH(EDATE($A146,2),INDIRECT(Index!$L$18),0)),AVERAGEIFS(INDIRECT(Index!$M$18),INDIRECT(Index!$L$18),"&gt;="&amp;$A146,INDIRECT(Index!$L$18),"&lt;"&amp;EDATE($A146,3)))),"")</f>
        <v/>
      </c>
      <c r="C146" s="29" t="str">
        <f aca="false">IFERROR(B146/B145-1,"")</f>
        <v/>
      </c>
      <c r="D146" s="29" t="str">
        <f aca="false">IFERROR(B146/B142-1,"")</f>
        <v/>
      </c>
      <c r="E146" s="31" t="str">
        <f aca="false">IFERROR(IF(AND(B146="",ISNUMBER($C$108),ISNUMBER($G$108)),$C$108*(1+$G$108)^(($A146-$E$108)/365.25),""),"")</f>
        <v/>
      </c>
      <c r="F146" s="31" t="str">
        <f aca="false">IFERROR(IF(AND(B146="",ISNUMBER($C$108),ISNUMBER($G$108)),$C$108*(1+$G$108*0.85^MAX(0,($A146-$E$108)/91.25))^(($A146-$E$108)/365.25),""),"")</f>
        <v/>
      </c>
    </row>
    <row r="147" customFormat="false" ht="15" hidden="false" customHeight="false" outlineLevel="0" collapsed="false">
      <c r="A147" s="15" t="n">
        <v>42736</v>
      </c>
      <c r="B147" s="20" t="str">
        <f aca="true">IFERROR(IF(IFERROR(INDEX(INDIRECT(Index!$M$18),MATCH(EDATE($A147,2),INDIRECT(Index!$L$18),0)),AVERAGEIFS(INDIRECT(Index!$M$18),INDIRECT(Index!$L$18),"&gt;="&amp;$A147,INDIRECT(Index!$L$18),"&lt;"&amp;EDATE($A147,3)))=0,"",IFERROR(INDEX(INDIRECT(Index!$M$18),MATCH(EDATE($A147,2),INDIRECT(Index!$L$18),0)),AVERAGEIFS(INDIRECT(Index!$M$18),INDIRECT(Index!$L$18),"&gt;="&amp;$A147,INDIRECT(Index!$L$18),"&lt;"&amp;EDATE($A147,3)))),"")</f>
        <v/>
      </c>
      <c r="C147" s="33" t="str">
        <f aca="false">IFERROR(B147/B146-1,"")</f>
        <v/>
      </c>
      <c r="D147" s="33" t="str">
        <f aca="false">IFERROR(B147/B143-1,"")</f>
        <v/>
      </c>
      <c r="E147" s="25" t="str">
        <f aca="false">IFERROR(IF(AND(B147="",ISNUMBER($C$108),ISNUMBER($G$108)),$C$108*(1+$G$108)^(($A147-$E$108)/365.25),""),"")</f>
        <v/>
      </c>
      <c r="F147" s="25" t="str">
        <f aca="false">IFERROR(IF(AND(B147="",ISNUMBER($C$108),ISNUMBER($G$108)),$C$108*(1+$G$108*0.85^MAX(0,($A147-$E$108)/91.25))^(($A147-$E$108)/365.25),""),"")</f>
        <v/>
      </c>
    </row>
    <row r="148" customFormat="false" ht="15" hidden="false" customHeight="false" outlineLevel="0" collapsed="false">
      <c r="A148" s="27" t="n">
        <v>42826</v>
      </c>
      <c r="B148" s="28" t="str">
        <f aca="true">IFERROR(IF(IFERROR(INDEX(INDIRECT(Index!$M$18),MATCH(EDATE($A148,2),INDIRECT(Index!$L$18),0)),AVERAGEIFS(INDIRECT(Index!$M$18),INDIRECT(Index!$L$18),"&gt;="&amp;$A148,INDIRECT(Index!$L$18),"&lt;"&amp;EDATE($A148,3)))=0,"",IFERROR(INDEX(INDIRECT(Index!$M$18),MATCH(EDATE($A148,2),INDIRECT(Index!$L$18),0)),AVERAGEIFS(INDIRECT(Index!$M$18),INDIRECT(Index!$L$18),"&gt;="&amp;$A148,INDIRECT(Index!$L$18),"&lt;"&amp;EDATE($A148,3)))),"")</f>
        <v/>
      </c>
      <c r="C148" s="29" t="str">
        <f aca="false">IFERROR(B148/B147-1,"")</f>
        <v/>
      </c>
      <c r="D148" s="29" t="str">
        <f aca="false">IFERROR(B148/B144-1,"")</f>
        <v/>
      </c>
      <c r="E148" s="31" t="str">
        <f aca="false">IFERROR(IF(AND(B148="",ISNUMBER($C$108),ISNUMBER($G$108)),$C$108*(1+$G$108)^(($A148-$E$108)/365.25),""),"")</f>
        <v/>
      </c>
      <c r="F148" s="31" t="str">
        <f aca="false">IFERROR(IF(AND(B148="",ISNUMBER($C$108),ISNUMBER($G$108)),$C$108*(1+$G$108*0.85^MAX(0,($A148-$E$108)/91.25))^(($A148-$E$108)/365.25),""),"")</f>
        <v/>
      </c>
    </row>
    <row r="149" customFormat="false" ht="15" hidden="false" customHeight="false" outlineLevel="0" collapsed="false">
      <c r="A149" s="15" t="n">
        <v>42917</v>
      </c>
      <c r="B149" s="20" t="str">
        <f aca="true">IFERROR(IF(IFERROR(INDEX(INDIRECT(Index!$M$18),MATCH(EDATE($A149,2),INDIRECT(Index!$L$18),0)),AVERAGEIFS(INDIRECT(Index!$M$18),INDIRECT(Index!$L$18),"&gt;="&amp;$A149,INDIRECT(Index!$L$18),"&lt;"&amp;EDATE($A149,3)))=0,"",IFERROR(INDEX(INDIRECT(Index!$M$18),MATCH(EDATE($A149,2),INDIRECT(Index!$L$18),0)),AVERAGEIFS(INDIRECT(Index!$M$18),INDIRECT(Index!$L$18),"&gt;="&amp;$A149,INDIRECT(Index!$L$18),"&lt;"&amp;EDATE($A149,3)))),"")</f>
        <v/>
      </c>
      <c r="C149" s="33" t="str">
        <f aca="false">IFERROR(B149/B148-1,"")</f>
        <v/>
      </c>
      <c r="D149" s="33" t="str">
        <f aca="false">IFERROR(B149/B145-1,"")</f>
        <v/>
      </c>
      <c r="E149" s="25" t="str">
        <f aca="false">IFERROR(IF(AND(B149="",ISNUMBER($C$108),ISNUMBER($G$108)),$C$108*(1+$G$108)^(($A149-$E$108)/365.25),""),"")</f>
        <v/>
      </c>
      <c r="F149" s="25" t="str">
        <f aca="false">IFERROR(IF(AND(B149="",ISNUMBER($C$108),ISNUMBER($G$108)),$C$108*(1+$G$108*0.85^MAX(0,($A149-$E$108)/91.25))^(($A149-$E$108)/365.25),""),"")</f>
        <v/>
      </c>
    </row>
    <row r="150" customFormat="false" ht="15" hidden="false" customHeight="false" outlineLevel="0" collapsed="false">
      <c r="A150" s="27" t="n">
        <v>43009</v>
      </c>
      <c r="B150" s="28" t="str">
        <f aca="true">IFERROR(IF(IFERROR(INDEX(INDIRECT(Index!$M$18),MATCH(EDATE($A150,2),INDIRECT(Index!$L$18),0)),AVERAGEIFS(INDIRECT(Index!$M$18),INDIRECT(Index!$L$18),"&gt;="&amp;$A150,INDIRECT(Index!$L$18),"&lt;"&amp;EDATE($A150,3)))=0,"",IFERROR(INDEX(INDIRECT(Index!$M$18),MATCH(EDATE($A150,2),INDIRECT(Index!$L$18),0)),AVERAGEIFS(INDIRECT(Index!$M$18),INDIRECT(Index!$L$18),"&gt;="&amp;$A150,INDIRECT(Index!$L$18),"&lt;"&amp;EDATE($A150,3)))),"")</f>
        <v/>
      </c>
      <c r="C150" s="29" t="str">
        <f aca="false">IFERROR(B150/B149-1,"")</f>
        <v/>
      </c>
      <c r="D150" s="29" t="str">
        <f aca="false">IFERROR(B150/B146-1,"")</f>
        <v/>
      </c>
      <c r="E150" s="31" t="str">
        <f aca="false">IFERROR(IF(AND(B150="",ISNUMBER($C$108),ISNUMBER($G$108)),$C$108*(1+$G$108)^(($A150-$E$108)/365.25),""),"")</f>
        <v/>
      </c>
      <c r="F150" s="31" t="str">
        <f aca="false">IFERROR(IF(AND(B150="",ISNUMBER($C$108),ISNUMBER($G$108)),$C$108*(1+$G$108*0.85^MAX(0,($A150-$E$108)/91.25))^(($A150-$E$108)/365.25),""),"")</f>
        <v/>
      </c>
    </row>
    <row r="151" customFormat="false" ht="15" hidden="false" customHeight="false" outlineLevel="0" collapsed="false">
      <c r="A151" s="15" t="n">
        <v>43101</v>
      </c>
      <c r="B151" s="20" t="str">
        <f aca="true">IFERROR(IF(IFERROR(INDEX(INDIRECT(Index!$M$18),MATCH(EDATE($A151,2),INDIRECT(Index!$L$18),0)),AVERAGEIFS(INDIRECT(Index!$M$18),INDIRECT(Index!$L$18),"&gt;="&amp;$A151,INDIRECT(Index!$L$18),"&lt;"&amp;EDATE($A151,3)))=0,"",IFERROR(INDEX(INDIRECT(Index!$M$18),MATCH(EDATE($A151,2),INDIRECT(Index!$L$18),0)),AVERAGEIFS(INDIRECT(Index!$M$18),INDIRECT(Index!$L$18),"&gt;="&amp;$A151,INDIRECT(Index!$L$18),"&lt;"&amp;EDATE($A151,3)))),"")</f>
        <v/>
      </c>
      <c r="C151" s="33" t="str">
        <f aca="false">IFERROR(B151/B150-1,"")</f>
        <v/>
      </c>
      <c r="D151" s="33" t="str">
        <f aca="false">IFERROR(B151/B147-1,"")</f>
        <v/>
      </c>
      <c r="E151" s="25" t="str">
        <f aca="false">IFERROR(IF(AND(B151="",ISNUMBER($C$108),ISNUMBER($G$108)),$C$108*(1+$G$108)^(($A151-$E$108)/365.25),""),"")</f>
        <v/>
      </c>
      <c r="F151" s="25" t="str">
        <f aca="false">IFERROR(IF(AND(B151="",ISNUMBER($C$108),ISNUMBER($G$108)),$C$108*(1+$G$108*0.85^MAX(0,($A151-$E$108)/91.25))^(($A151-$E$108)/365.25),""),"")</f>
        <v/>
      </c>
    </row>
    <row r="152" customFormat="false" ht="15" hidden="false" customHeight="false" outlineLevel="0" collapsed="false">
      <c r="A152" s="27" t="n">
        <v>43191</v>
      </c>
      <c r="B152" s="28" t="str">
        <f aca="true">IFERROR(IF(IFERROR(INDEX(INDIRECT(Index!$M$18),MATCH(EDATE($A152,2),INDIRECT(Index!$L$18),0)),AVERAGEIFS(INDIRECT(Index!$M$18),INDIRECT(Index!$L$18),"&gt;="&amp;$A152,INDIRECT(Index!$L$18),"&lt;"&amp;EDATE($A152,3)))=0,"",IFERROR(INDEX(INDIRECT(Index!$M$18),MATCH(EDATE($A152,2),INDIRECT(Index!$L$18),0)),AVERAGEIFS(INDIRECT(Index!$M$18),INDIRECT(Index!$L$18),"&gt;="&amp;$A152,INDIRECT(Index!$L$18),"&lt;"&amp;EDATE($A152,3)))),"")</f>
        <v/>
      </c>
      <c r="C152" s="29" t="str">
        <f aca="false">IFERROR(B152/B151-1,"")</f>
        <v/>
      </c>
      <c r="D152" s="29" t="str">
        <f aca="false">IFERROR(B152/B148-1,"")</f>
        <v/>
      </c>
      <c r="E152" s="31" t="str">
        <f aca="false">IFERROR(IF(AND(B152="",ISNUMBER($C$108),ISNUMBER($G$108)),$C$108*(1+$G$108)^(($A152-$E$108)/365.25),""),"")</f>
        <v/>
      </c>
      <c r="F152" s="31" t="str">
        <f aca="false">IFERROR(IF(AND(B152="",ISNUMBER($C$108),ISNUMBER($G$108)),$C$108*(1+$G$108*0.85^MAX(0,($A152-$E$108)/91.25))^(($A152-$E$108)/365.25),""),"")</f>
        <v/>
      </c>
    </row>
    <row r="153" customFormat="false" ht="15" hidden="false" customHeight="false" outlineLevel="0" collapsed="false">
      <c r="A153" s="15" t="n">
        <v>43282</v>
      </c>
      <c r="B153" s="20" t="str">
        <f aca="true">IFERROR(IF(IFERROR(INDEX(INDIRECT(Index!$M$18),MATCH(EDATE($A153,2),INDIRECT(Index!$L$18),0)),AVERAGEIFS(INDIRECT(Index!$M$18),INDIRECT(Index!$L$18),"&gt;="&amp;$A153,INDIRECT(Index!$L$18),"&lt;"&amp;EDATE($A153,3)))=0,"",IFERROR(INDEX(INDIRECT(Index!$M$18),MATCH(EDATE($A153,2),INDIRECT(Index!$L$18),0)),AVERAGEIFS(INDIRECT(Index!$M$18),INDIRECT(Index!$L$18),"&gt;="&amp;$A153,INDIRECT(Index!$L$18),"&lt;"&amp;EDATE($A153,3)))),"")</f>
        <v/>
      </c>
      <c r="C153" s="33" t="str">
        <f aca="false">IFERROR(B153/B152-1,"")</f>
        <v/>
      </c>
      <c r="D153" s="33" t="str">
        <f aca="false">IFERROR(B153/B149-1,"")</f>
        <v/>
      </c>
      <c r="E153" s="25" t="str">
        <f aca="false">IFERROR(IF(AND(B153="",ISNUMBER($C$108),ISNUMBER($G$108)),$C$108*(1+$G$108)^(($A153-$E$108)/365.25),""),"")</f>
        <v/>
      </c>
      <c r="F153" s="25" t="str">
        <f aca="false">IFERROR(IF(AND(B153="",ISNUMBER($C$108),ISNUMBER($G$108)),$C$108*(1+$G$108*0.85^MAX(0,($A153-$E$108)/91.25))^(($A153-$E$108)/365.25),""),"")</f>
        <v/>
      </c>
    </row>
    <row r="154" customFormat="false" ht="15" hidden="false" customHeight="false" outlineLevel="0" collapsed="false">
      <c r="A154" s="27" t="n">
        <v>43374</v>
      </c>
      <c r="B154" s="28" t="str">
        <f aca="true">IFERROR(IF(IFERROR(INDEX(INDIRECT(Index!$M$18),MATCH(EDATE($A154,2),INDIRECT(Index!$L$18),0)),AVERAGEIFS(INDIRECT(Index!$M$18),INDIRECT(Index!$L$18),"&gt;="&amp;$A154,INDIRECT(Index!$L$18),"&lt;"&amp;EDATE($A154,3)))=0,"",IFERROR(INDEX(INDIRECT(Index!$M$18),MATCH(EDATE($A154,2),INDIRECT(Index!$L$18),0)),AVERAGEIFS(INDIRECT(Index!$M$18),INDIRECT(Index!$L$18),"&gt;="&amp;$A154,INDIRECT(Index!$L$18),"&lt;"&amp;EDATE($A154,3)))),"")</f>
        <v/>
      </c>
      <c r="C154" s="29" t="str">
        <f aca="false">IFERROR(B154/B153-1,"")</f>
        <v/>
      </c>
      <c r="D154" s="29" t="str">
        <f aca="false">IFERROR(B154/B150-1,"")</f>
        <v/>
      </c>
      <c r="E154" s="31" t="str">
        <f aca="false">IFERROR(IF(AND(B154="",ISNUMBER($C$108),ISNUMBER($G$108)),$C$108*(1+$G$108)^(($A154-$E$108)/365.25),""),"")</f>
        <v/>
      </c>
      <c r="F154" s="31" t="str">
        <f aca="false">IFERROR(IF(AND(B154="",ISNUMBER($C$108),ISNUMBER($G$108)),$C$108*(1+$G$108*0.85^MAX(0,($A154-$E$108)/91.25))^(($A154-$E$108)/365.25),""),"")</f>
        <v/>
      </c>
    </row>
    <row r="155" customFormat="false" ht="15" hidden="false" customHeight="false" outlineLevel="0" collapsed="false">
      <c r="A155" s="15" t="n">
        <v>43466</v>
      </c>
      <c r="B155" s="20" t="str">
        <f aca="true">IFERROR(IF(IFERROR(INDEX(INDIRECT(Index!$M$18),MATCH(EDATE($A155,2),INDIRECT(Index!$L$18),0)),AVERAGEIFS(INDIRECT(Index!$M$18),INDIRECT(Index!$L$18),"&gt;="&amp;$A155,INDIRECT(Index!$L$18),"&lt;"&amp;EDATE($A155,3)))=0,"",IFERROR(INDEX(INDIRECT(Index!$M$18),MATCH(EDATE($A155,2),INDIRECT(Index!$L$18),0)),AVERAGEIFS(INDIRECT(Index!$M$18),INDIRECT(Index!$L$18),"&gt;="&amp;$A155,INDIRECT(Index!$L$18),"&lt;"&amp;EDATE($A155,3)))),"")</f>
        <v/>
      </c>
      <c r="C155" s="33" t="str">
        <f aca="false">IFERROR(B155/B154-1,"")</f>
        <v/>
      </c>
      <c r="D155" s="33" t="str">
        <f aca="false">IFERROR(B155/B151-1,"")</f>
        <v/>
      </c>
      <c r="E155" s="25" t="str">
        <f aca="false">IFERROR(IF(AND(B155="",ISNUMBER($C$108),ISNUMBER($G$108)),$C$108*(1+$G$108)^(($A155-$E$108)/365.25),""),"")</f>
        <v/>
      </c>
      <c r="F155" s="25" t="str">
        <f aca="false">IFERROR(IF(AND(B155="",ISNUMBER($C$108),ISNUMBER($G$108)),$C$108*(1+$G$108*0.85^MAX(0,($A155-$E$108)/91.25))^(($A155-$E$108)/365.25),""),"")</f>
        <v/>
      </c>
    </row>
    <row r="156" customFormat="false" ht="15" hidden="false" customHeight="false" outlineLevel="0" collapsed="false">
      <c r="A156" s="27" t="n">
        <v>43556</v>
      </c>
      <c r="B156" s="28" t="str">
        <f aca="true">IFERROR(IF(IFERROR(INDEX(INDIRECT(Index!$M$18),MATCH(EDATE($A156,2),INDIRECT(Index!$L$18),0)),AVERAGEIFS(INDIRECT(Index!$M$18),INDIRECT(Index!$L$18),"&gt;="&amp;$A156,INDIRECT(Index!$L$18),"&lt;"&amp;EDATE($A156,3)))=0,"",IFERROR(INDEX(INDIRECT(Index!$M$18),MATCH(EDATE($A156,2),INDIRECT(Index!$L$18),0)),AVERAGEIFS(INDIRECT(Index!$M$18),INDIRECT(Index!$L$18),"&gt;="&amp;$A156,INDIRECT(Index!$L$18),"&lt;"&amp;EDATE($A156,3)))),"")</f>
        <v/>
      </c>
      <c r="C156" s="29" t="str">
        <f aca="false">IFERROR(B156/B155-1,"")</f>
        <v/>
      </c>
      <c r="D156" s="29" t="str">
        <f aca="false">IFERROR(B156/B152-1,"")</f>
        <v/>
      </c>
      <c r="E156" s="31" t="str">
        <f aca="false">IFERROR(IF(AND(B156="",ISNUMBER($C$108),ISNUMBER($G$108)),$C$108*(1+$G$108)^(($A156-$E$108)/365.25),""),"")</f>
        <v/>
      </c>
      <c r="F156" s="31" t="str">
        <f aca="false">IFERROR(IF(AND(B156="",ISNUMBER($C$108),ISNUMBER($G$108)),$C$108*(1+$G$108*0.85^MAX(0,($A156-$E$108)/91.25))^(($A156-$E$108)/365.25),""),"")</f>
        <v/>
      </c>
    </row>
    <row r="157" customFormat="false" ht="15" hidden="false" customHeight="false" outlineLevel="0" collapsed="false">
      <c r="A157" s="15" t="n">
        <v>43647</v>
      </c>
      <c r="B157" s="20" t="str">
        <f aca="true">IFERROR(IF(IFERROR(INDEX(INDIRECT(Index!$M$18),MATCH(EDATE($A157,2),INDIRECT(Index!$L$18),0)),AVERAGEIFS(INDIRECT(Index!$M$18),INDIRECT(Index!$L$18),"&gt;="&amp;$A157,INDIRECT(Index!$L$18),"&lt;"&amp;EDATE($A157,3)))=0,"",IFERROR(INDEX(INDIRECT(Index!$M$18),MATCH(EDATE($A157,2),INDIRECT(Index!$L$18),0)),AVERAGEIFS(INDIRECT(Index!$M$18),INDIRECT(Index!$L$18),"&gt;="&amp;$A157,INDIRECT(Index!$L$18),"&lt;"&amp;EDATE($A157,3)))),"")</f>
        <v/>
      </c>
      <c r="C157" s="33" t="str">
        <f aca="false">IFERROR(B157/B156-1,"")</f>
        <v/>
      </c>
      <c r="D157" s="33" t="str">
        <f aca="false">IFERROR(B157/B153-1,"")</f>
        <v/>
      </c>
      <c r="E157" s="25" t="str">
        <f aca="false">IFERROR(IF(AND(B157="",ISNUMBER($C$108),ISNUMBER($G$108)),$C$108*(1+$G$108)^(($A157-$E$108)/365.25),""),"")</f>
        <v/>
      </c>
      <c r="F157" s="25" t="str">
        <f aca="false">IFERROR(IF(AND(B157="",ISNUMBER($C$108),ISNUMBER($G$108)),$C$108*(1+$G$108*0.85^MAX(0,($A157-$E$108)/91.25))^(($A157-$E$108)/365.25),""),"")</f>
        <v/>
      </c>
    </row>
    <row r="158" customFormat="false" ht="15" hidden="false" customHeight="false" outlineLevel="0" collapsed="false">
      <c r="A158" s="27" t="n">
        <v>43739</v>
      </c>
      <c r="B158" s="28" t="str">
        <f aca="true">IFERROR(IF(IFERROR(INDEX(INDIRECT(Index!$M$18),MATCH(EDATE($A158,2),INDIRECT(Index!$L$18),0)),AVERAGEIFS(INDIRECT(Index!$M$18),INDIRECT(Index!$L$18),"&gt;="&amp;$A158,INDIRECT(Index!$L$18),"&lt;"&amp;EDATE($A158,3)))=0,"",IFERROR(INDEX(INDIRECT(Index!$M$18),MATCH(EDATE($A158,2),INDIRECT(Index!$L$18),0)),AVERAGEIFS(INDIRECT(Index!$M$18),INDIRECT(Index!$L$18),"&gt;="&amp;$A158,INDIRECT(Index!$L$18),"&lt;"&amp;EDATE($A158,3)))),"")</f>
        <v/>
      </c>
      <c r="C158" s="29" t="str">
        <f aca="false">IFERROR(B158/B157-1,"")</f>
        <v/>
      </c>
      <c r="D158" s="29" t="str">
        <f aca="false">IFERROR(B158/B154-1,"")</f>
        <v/>
      </c>
      <c r="E158" s="31" t="str">
        <f aca="false">IFERROR(IF(AND(B158="",ISNUMBER($C$108),ISNUMBER($G$108)),$C$108*(1+$G$108)^(($A158-$E$108)/365.25),""),"")</f>
        <v/>
      </c>
      <c r="F158" s="31" t="str">
        <f aca="false">IFERROR(IF(AND(B158="",ISNUMBER($C$108),ISNUMBER($G$108)),$C$108*(1+$G$108*0.85^MAX(0,($A158-$E$108)/91.25))^(($A158-$E$108)/365.25),""),"")</f>
        <v/>
      </c>
    </row>
    <row r="159" customFormat="false" ht="15" hidden="false" customHeight="false" outlineLevel="0" collapsed="false">
      <c r="A159" s="15" t="n">
        <v>43831</v>
      </c>
      <c r="B159" s="20" t="str">
        <f aca="true">IFERROR(IF(IFERROR(INDEX(INDIRECT(Index!$M$18),MATCH(EDATE($A159,2),INDIRECT(Index!$L$18),0)),AVERAGEIFS(INDIRECT(Index!$M$18),INDIRECT(Index!$L$18),"&gt;="&amp;$A159,INDIRECT(Index!$L$18),"&lt;"&amp;EDATE($A159,3)))=0,"",IFERROR(INDEX(INDIRECT(Index!$M$18),MATCH(EDATE($A159,2),INDIRECT(Index!$L$18),0)),AVERAGEIFS(INDIRECT(Index!$M$18),INDIRECT(Index!$L$18),"&gt;="&amp;$A159,INDIRECT(Index!$L$18),"&lt;"&amp;EDATE($A159,3)))),"")</f>
        <v/>
      </c>
      <c r="C159" s="33" t="str">
        <f aca="false">IFERROR(B159/B158-1,"")</f>
        <v/>
      </c>
      <c r="D159" s="33" t="str">
        <f aca="false">IFERROR(B159/B155-1,"")</f>
        <v/>
      </c>
      <c r="E159" s="25" t="str">
        <f aca="false">IFERROR(IF(AND(B159="",ISNUMBER($C$108),ISNUMBER($G$108)),$C$108*(1+$G$108)^(($A159-$E$108)/365.25),""),"")</f>
        <v/>
      </c>
      <c r="F159" s="25" t="str">
        <f aca="false">IFERROR(IF(AND(B159="",ISNUMBER($C$108),ISNUMBER($G$108)),$C$108*(1+$G$108*0.85^MAX(0,($A159-$E$108)/91.25))^(($A159-$E$108)/365.25),""),"")</f>
        <v/>
      </c>
    </row>
    <row r="160" customFormat="false" ht="15" hidden="false" customHeight="false" outlineLevel="0" collapsed="false">
      <c r="A160" s="27" t="n">
        <v>43922</v>
      </c>
      <c r="B160" s="28" t="str">
        <f aca="true">IFERROR(IF(IFERROR(INDEX(INDIRECT(Index!$M$18),MATCH(EDATE($A160,2),INDIRECT(Index!$L$18),0)),AVERAGEIFS(INDIRECT(Index!$M$18),INDIRECT(Index!$L$18),"&gt;="&amp;$A160,INDIRECT(Index!$L$18),"&lt;"&amp;EDATE($A160,3)))=0,"",IFERROR(INDEX(INDIRECT(Index!$M$18),MATCH(EDATE($A160,2),INDIRECT(Index!$L$18),0)),AVERAGEIFS(INDIRECT(Index!$M$18),INDIRECT(Index!$L$18),"&gt;="&amp;$A160,INDIRECT(Index!$L$18),"&lt;"&amp;EDATE($A160,3)))),"")</f>
        <v/>
      </c>
      <c r="C160" s="29" t="str">
        <f aca="false">IFERROR(B160/B159-1,"")</f>
        <v/>
      </c>
      <c r="D160" s="29" t="str">
        <f aca="false">IFERROR(B160/B156-1,"")</f>
        <v/>
      </c>
      <c r="E160" s="31" t="str">
        <f aca="false">IFERROR(IF(AND(B160="",ISNUMBER($C$108),ISNUMBER($G$108)),$C$108*(1+$G$108)^(($A160-$E$108)/365.25),""),"")</f>
        <v/>
      </c>
      <c r="F160" s="31" t="str">
        <f aca="false">IFERROR(IF(AND(B160="",ISNUMBER($C$108),ISNUMBER($G$108)),$C$108*(1+$G$108*0.85^MAX(0,($A160-$E$108)/91.25))^(($A160-$E$108)/365.25),""),"")</f>
        <v/>
      </c>
    </row>
    <row r="161" customFormat="false" ht="15" hidden="false" customHeight="false" outlineLevel="0" collapsed="false">
      <c r="A161" s="15" t="n">
        <v>44013</v>
      </c>
      <c r="B161" s="20" t="str">
        <f aca="true">IFERROR(IF(IFERROR(INDEX(INDIRECT(Index!$M$18),MATCH(EDATE($A161,2),INDIRECT(Index!$L$18),0)),AVERAGEIFS(INDIRECT(Index!$M$18),INDIRECT(Index!$L$18),"&gt;="&amp;$A161,INDIRECT(Index!$L$18),"&lt;"&amp;EDATE($A161,3)))=0,"",IFERROR(INDEX(INDIRECT(Index!$M$18),MATCH(EDATE($A161,2),INDIRECT(Index!$L$18),0)),AVERAGEIFS(INDIRECT(Index!$M$18),INDIRECT(Index!$L$18),"&gt;="&amp;$A161,INDIRECT(Index!$L$18),"&lt;"&amp;EDATE($A161,3)))),"")</f>
        <v/>
      </c>
      <c r="C161" s="33" t="str">
        <f aca="false">IFERROR(B161/B160-1,"")</f>
        <v/>
      </c>
      <c r="D161" s="33" t="str">
        <f aca="false">IFERROR(B161/B157-1,"")</f>
        <v/>
      </c>
      <c r="E161" s="25" t="str">
        <f aca="false">IFERROR(IF(AND(B161="",ISNUMBER($C$108),ISNUMBER($G$108)),$C$108*(1+$G$108)^(($A161-$E$108)/365.25),""),"")</f>
        <v/>
      </c>
      <c r="F161" s="25" t="str">
        <f aca="false">IFERROR(IF(AND(B161="",ISNUMBER($C$108),ISNUMBER($G$108)),$C$108*(1+$G$108*0.85^MAX(0,($A161-$E$108)/91.25))^(($A161-$E$108)/365.25),""),"")</f>
        <v/>
      </c>
    </row>
    <row r="162" customFormat="false" ht="15" hidden="false" customHeight="false" outlineLevel="0" collapsed="false">
      <c r="A162" s="27" t="n">
        <v>44105</v>
      </c>
      <c r="B162" s="28" t="str">
        <f aca="true">IFERROR(IF(IFERROR(INDEX(INDIRECT(Index!$M$18),MATCH(EDATE($A162,2),INDIRECT(Index!$L$18),0)),AVERAGEIFS(INDIRECT(Index!$M$18),INDIRECT(Index!$L$18),"&gt;="&amp;$A162,INDIRECT(Index!$L$18),"&lt;"&amp;EDATE($A162,3)))=0,"",IFERROR(INDEX(INDIRECT(Index!$M$18),MATCH(EDATE($A162,2),INDIRECT(Index!$L$18),0)),AVERAGEIFS(INDIRECT(Index!$M$18),INDIRECT(Index!$L$18),"&gt;="&amp;$A162,INDIRECT(Index!$L$18),"&lt;"&amp;EDATE($A162,3)))),"")</f>
        <v/>
      </c>
      <c r="C162" s="29" t="str">
        <f aca="false">IFERROR(B162/B161-1,"")</f>
        <v/>
      </c>
      <c r="D162" s="29" t="str">
        <f aca="false">IFERROR(B162/B158-1,"")</f>
        <v/>
      </c>
      <c r="E162" s="31" t="str">
        <f aca="false">IFERROR(IF(AND(B162="",ISNUMBER($C$108),ISNUMBER($G$108)),$C$108*(1+$G$108)^(($A162-$E$108)/365.25),""),"")</f>
        <v/>
      </c>
      <c r="F162" s="31" t="str">
        <f aca="false">IFERROR(IF(AND(B162="",ISNUMBER($C$108),ISNUMBER($G$108)),$C$108*(1+$G$108*0.85^MAX(0,($A162-$E$108)/91.25))^(($A162-$E$108)/365.25),""),"")</f>
        <v/>
      </c>
    </row>
    <row r="163" customFormat="false" ht="15" hidden="false" customHeight="false" outlineLevel="0" collapsed="false">
      <c r="A163" s="15" t="n">
        <v>44197</v>
      </c>
      <c r="B163" s="20" t="str">
        <f aca="true">IFERROR(IF(IFERROR(INDEX(INDIRECT(Index!$M$18),MATCH(EDATE($A163,2),INDIRECT(Index!$L$18),0)),AVERAGEIFS(INDIRECT(Index!$M$18),INDIRECT(Index!$L$18),"&gt;="&amp;$A163,INDIRECT(Index!$L$18),"&lt;"&amp;EDATE($A163,3)))=0,"",IFERROR(INDEX(INDIRECT(Index!$M$18),MATCH(EDATE($A163,2),INDIRECT(Index!$L$18),0)),AVERAGEIFS(INDIRECT(Index!$M$18),INDIRECT(Index!$L$18),"&gt;="&amp;$A163,INDIRECT(Index!$L$18),"&lt;"&amp;EDATE($A163,3)))),"")</f>
        <v/>
      </c>
      <c r="C163" s="33" t="str">
        <f aca="false">IFERROR(B163/B162-1,"")</f>
        <v/>
      </c>
      <c r="D163" s="33" t="str">
        <f aca="false">IFERROR(B163/B159-1,"")</f>
        <v/>
      </c>
      <c r="E163" s="25" t="str">
        <f aca="false">IFERROR(IF(AND(B163="",ISNUMBER($C$108),ISNUMBER($G$108)),$C$108*(1+$G$108)^(($A163-$E$108)/365.25),""),"")</f>
        <v/>
      </c>
      <c r="F163" s="25" t="str">
        <f aca="false">IFERROR(IF(AND(B163="",ISNUMBER($C$108),ISNUMBER($G$108)),$C$108*(1+$G$108*0.85^MAX(0,($A163-$E$108)/91.25))^(($A163-$E$108)/365.25),""),"")</f>
        <v/>
      </c>
    </row>
    <row r="164" customFormat="false" ht="15" hidden="false" customHeight="false" outlineLevel="0" collapsed="false">
      <c r="A164" s="27" t="n">
        <v>44287</v>
      </c>
      <c r="B164" s="28" t="str">
        <f aca="true">IFERROR(IF(IFERROR(INDEX(INDIRECT(Index!$M$18),MATCH(EDATE($A164,2),INDIRECT(Index!$L$18),0)),AVERAGEIFS(INDIRECT(Index!$M$18),INDIRECT(Index!$L$18),"&gt;="&amp;$A164,INDIRECT(Index!$L$18),"&lt;"&amp;EDATE($A164,3)))=0,"",IFERROR(INDEX(INDIRECT(Index!$M$18),MATCH(EDATE($A164,2),INDIRECT(Index!$L$18),0)),AVERAGEIFS(INDIRECT(Index!$M$18),INDIRECT(Index!$L$18),"&gt;="&amp;$A164,INDIRECT(Index!$L$18),"&lt;"&amp;EDATE($A164,3)))),"")</f>
        <v/>
      </c>
      <c r="C164" s="29" t="str">
        <f aca="false">IFERROR(B164/B163-1,"")</f>
        <v/>
      </c>
      <c r="D164" s="29" t="str">
        <f aca="false">IFERROR(B164/B160-1,"")</f>
        <v/>
      </c>
      <c r="E164" s="31" t="str">
        <f aca="false">IFERROR(IF(AND(B164="",ISNUMBER($C$108),ISNUMBER($G$108)),$C$108*(1+$G$108)^(($A164-$E$108)/365.25),""),"")</f>
        <v/>
      </c>
      <c r="F164" s="31" t="str">
        <f aca="false">IFERROR(IF(AND(B164="",ISNUMBER($C$108),ISNUMBER($G$108)),$C$108*(1+$G$108*0.85^MAX(0,($A164-$E$108)/91.25))^(($A164-$E$108)/365.25),""),"")</f>
        <v/>
      </c>
    </row>
    <row r="165" customFormat="false" ht="15" hidden="false" customHeight="false" outlineLevel="0" collapsed="false">
      <c r="A165" s="15" t="n">
        <v>44378</v>
      </c>
      <c r="B165" s="20" t="str">
        <f aca="true">IFERROR(IF(IFERROR(INDEX(INDIRECT(Index!$M$18),MATCH(EDATE($A165,2),INDIRECT(Index!$L$18),0)),AVERAGEIFS(INDIRECT(Index!$M$18),INDIRECT(Index!$L$18),"&gt;="&amp;$A165,INDIRECT(Index!$L$18),"&lt;"&amp;EDATE($A165,3)))=0,"",IFERROR(INDEX(INDIRECT(Index!$M$18),MATCH(EDATE($A165,2),INDIRECT(Index!$L$18),0)),AVERAGEIFS(INDIRECT(Index!$M$18),INDIRECT(Index!$L$18),"&gt;="&amp;$A165,INDIRECT(Index!$L$18),"&lt;"&amp;EDATE($A165,3)))),"")</f>
        <v/>
      </c>
      <c r="C165" s="33" t="str">
        <f aca="false">IFERROR(B165/B164-1,"")</f>
        <v/>
      </c>
      <c r="D165" s="33" t="str">
        <f aca="false">IFERROR(B165/B161-1,"")</f>
        <v/>
      </c>
      <c r="E165" s="25" t="str">
        <f aca="false">IFERROR(IF(AND(B165="",ISNUMBER($C$108),ISNUMBER($G$108)),$C$108*(1+$G$108)^(($A165-$E$108)/365.25),""),"")</f>
        <v/>
      </c>
      <c r="F165" s="25" t="str">
        <f aca="false">IFERROR(IF(AND(B165="",ISNUMBER($C$108),ISNUMBER($G$108)),$C$108*(1+$G$108*0.85^MAX(0,($A165-$E$108)/91.25))^(($A165-$E$108)/365.25),""),"")</f>
        <v/>
      </c>
    </row>
    <row r="166" customFormat="false" ht="15" hidden="false" customHeight="false" outlineLevel="0" collapsed="false">
      <c r="A166" s="27" t="n">
        <v>44470</v>
      </c>
      <c r="B166" s="28" t="str">
        <f aca="true">IFERROR(IF(IFERROR(INDEX(INDIRECT(Index!$M$18),MATCH(EDATE($A166,2),INDIRECT(Index!$L$18),0)),AVERAGEIFS(INDIRECT(Index!$M$18),INDIRECT(Index!$L$18),"&gt;="&amp;$A166,INDIRECT(Index!$L$18),"&lt;"&amp;EDATE($A166,3)))=0,"",IFERROR(INDEX(INDIRECT(Index!$M$18),MATCH(EDATE($A166,2),INDIRECT(Index!$L$18),0)),AVERAGEIFS(INDIRECT(Index!$M$18),INDIRECT(Index!$L$18),"&gt;="&amp;$A166,INDIRECT(Index!$L$18),"&lt;"&amp;EDATE($A166,3)))),"")</f>
        <v/>
      </c>
      <c r="C166" s="29" t="str">
        <f aca="false">IFERROR(B166/B165-1,"")</f>
        <v/>
      </c>
      <c r="D166" s="29" t="str">
        <f aca="false">IFERROR(B166/B162-1,"")</f>
        <v/>
      </c>
      <c r="E166" s="31" t="str">
        <f aca="false">IFERROR(IF(AND(B166="",ISNUMBER($C$108),ISNUMBER($G$108)),$C$108*(1+$G$108)^(($A166-$E$108)/365.25),""),"")</f>
        <v/>
      </c>
      <c r="F166" s="31" t="str">
        <f aca="false">IFERROR(IF(AND(B166="",ISNUMBER($C$108),ISNUMBER($G$108)),$C$108*(1+$G$108*0.85^MAX(0,($A166-$E$108)/91.25))^(($A166-$E$108)/365.25),""),"")</f>
        <v/>
      </c>
    </row>
    <row r="167" customFormat="false" ht="15" hidden="false" customHeight="false" outlineLevel="0" collapsed="false">
      <c r="A167" s="15" t="n">
        <v>44562</v>
      </c>
      <c r="B167" s="20" t="str">
        <f aca="true">IFERROR(IF(IFERROR(INDEX(INDIRECT(Index!$M$18),MATCH(EDATE($A167,2),INDIRECT(Index!$L$18),0)),AVERAGEIFS(INDIRECT(Index!$M$18),INDIRECT(Index!$L$18),"&gt;="&amp;$A167,INDIRECT(Index!$L$18),"&lt;"&amp;EDATE($A167,3)))=0,"",IFERROR(INDEX(INDIRECT(Index!$M$18),MATCH(EDATE($A167,2),INDIRECT(Index!$L$18),0)),AVERAGEIFS(INDIRECT(Index!$M$18),INDIRECT(Index!$L$18),"&gt;="&amp;$A167,INDIRECT(Index!$L$18),"&lt;"&amp;EDATE($A167,3)))),"")</f>
        <v/>
      </c>
      <c r="C167" s="33" t="str">
        <f aca="false">IFERROR(B167/B166-1,"")</f>
        <v/>
      </c>
      <c r="D167" s="33" t="str">
        <f aca="false">IFERROR(B167/B163-1,"")</f>
        <v/>
      </c>
      <c r="E167" s="25" t="str">
        <f aca="false">IFERROR(IF(AND(B167="",ISNUMBER($C$108),ISNUMBER($G$108)),$C$108*(1+$G$108)^(($A167-$E$108)/365.25),""),"")</f>
        <v/>
      </c>
      <c r="F167" s="25" t="str">
        <f aca="false">IFERROR(IF(AND(B167="",ISNUMBER($C$108),ISNUMBER($G$108)),$C$108*(1+$G$108*0.85^MAX(0,($A167-$E$108)/91.25))^(($A167-$E$108)/365.25),""),"")</f>
        <v/>
      </c>
    </row>
    <row r="168" customFormat="false" ht="15" hidden="false" customHeight="false" outlineLevel="0" collapsed="false">
      <c r="A168" s="27" t="n">
        <v>44652</v>
      </c>
      <c r="B168" s="28" t="str">
        <f aca="true">IFERROR(IF(IFERROR(INDEX(INDIRECT(Index!$M$18),MATCH(EDATE($A168,2),INDIRECT(Index!$L$18),0)),AVERAGEIFS(INDIRECT(Index!$M$18),INDIRECT(Index!$L$18),"&gt;="&amp;$A168,INDIRECT(Index!$L$18),"&lt;"&amp;EDATE($A168,3)))=0,"",IFERROR(INDEX(INDIRECT(Index!$M$18),MATCH(EDATE($A168,2),INDIRECT(Index!$L$18),0)),AVERAGEIFS(INDIRECT(Index!$M$18),INDIRECT(Index!$L$18),"&gt;="&amp;$A168,INDIRECT(Index!$L$18),"&lt;"&amp;EDATE($A168,3)))),"")</f>
        <v/>
      </c>
      <c r="C168" s="29" t="str">
        <f aca="false">IFERROR(B168/B167-1,"")</f>
        <v/>
      </c>
      <c r="D168" s="29" t="str">
        <f aca="false">IFERROR(B168/B164-1,"")</f>
        <v/>
      </c>
      <c r="E168" s="31" t="str">
        <f aca="false">IFERROR(IF(AND(B168="",ISNUMBER($C$108),ISNUMBER($G$108)),$C$108*(1+$G$108)^(($A168-$E$108)/365.25),""),"")</f>
        <v/>
      </c>
      <c r="F168" s="31" t="str">
        <f aca="false">IFERROR(IF(AND(B168="",ISNUMBER($C$108),ISNUMBER($G$108)),$C$108*(1+$G$108*0.85^MAX(0,($A168-$E$108)/91.25))^(($A168-$E$108)/365.25),""),"")</f>
        <v/>
      </c>
    </row>
    <row r="169" customFormat="false" ht="15" hidden="false" customHeight="false" outlineLevel="0" collapsed="false">
      <c r="A169" s="15" t="n">
        <v>44743</v>
      </c>
      <c r="B169" s="20" t="str">
        <f aca="true">IFERROR(IF(IFERROR(INDEX(INDIRECT(Index!$M$18),MATCH(EDATE($A169,2),INDIRECT(Index!$L$18),0)),AVERAGEIFS(INDIRECT(Index!$M$18),INDIRECT(Index!$L$18),"&gt;="&amp;$A169,INDIRECT(Index!$L$18),"&lt;"&amp;EDATE($A169,3)))=0,"",IFERROR(INDEX(INDIRECT(Index!$M$18),MATCH(EDATE($A169,2),INDIRECT(Index!$L$18),0)),AVERAGEIFS(INDIRECT(Index!$M$18),INDIRECT(Index!$L$18),"&gt;="&amp;$A169,INDIRECT(Index!$L$18),"&lt;"&amp;EDATE($A169,3)))),"")</f>
        <v/>
      </c>
      <c r="C169" s="33" t="str">
        <f aca="false">IFERROR(B169/B168-1,"")</f>
        <v/>
      </c>
      <c r="D169" s="33" t="str">
        <f aca="false">IFERROR(B169/B165-1,"")</f>
        <v/>
      </c>
      <c r="E169" s="25" t="str">
        <f aca="false">IFERROR(IF(AND(B169="",ISNUMBER($C$108),ISNUMBER($G$108)),$C$108*(1+$G$108)^(($A169-$E$108)/365.25),""),"")</f>
        <v/>
      </c>
      <c r="F169" s="25" t="str">
        <f aca="false">IFERROR(IF(AND(B169="",ISNUMBER($C$108),ISNUMBER($G$108)),$C$108*(1+$G$108*0.85^MAX(0,($A169-$E$108)/91.25))^(($A169-$E$108)/365.25),""),"")</f>
        <v/>
      </c>
    </row>
    <row r="170" customFormat="false" ht="15" hidden="false" customHeight="false" outlineLevel="0" collapsed="false">
      <c r="A170" s="27" t="n">
        <v>44835</v>
      </c>
      <c r="B170" s="28" t="str">
        <f aca="true">IFERROR(IF(IFERROR(INDEX(INDIRECT(Index!$M$18),MATCH(EDATE($A170,2),INDIRECT(Index!$L$18),0)),AVERAGEIFS(INDIRECT(Index!$M$18),INDIRECT(Index!$L$18),"&gt;="&amp;$A170,INDIRECT(Index!$L$18),"&lt;"&amp;EDATE($A170,3)))=0,"",IFERROR(INDEX(INDIRECT(Index!$M$18),MATCH(EDATE($A170,2),INDIRECT(Index!$L$18),0)),AVERAGEIFS(INDIRECT(Index!$M$18),INDIRECT(Index!$L$18),"&gt;="&amp;$A170,INDIRECT(Index!$L$18),"&lt;"&amp;EDATE($A170,3)))),"")</f>
        <v/>
      </c>
      <c r="C170" s="29" t="str">
        <f aca="false">IFERROR(B170/B169-1,"")</f>
        <v/>
      </c>
      <c r="D170" s="29" t="str">
        <f aca="false">IFERROR(B170/B166-1,"")</f>
        <v/>
      </c>
      <c r="E170" s="31" t="str">
        <f aca="false">IFERROR(IF(AND(B170="",ISNUMBER($C$108),ISNUMBER($G$108)),$C$108*(1+$G$108)^(($A170-$E$108)/365.25),""),"")</f>
        <v/>
      </c>
      <c r="F170" s="31" t="str">
        <f aca="false">IFERROR(IF(AND(B170="",ISNUMBER($C$108),ISNUMBER($G$108)),$C$108*(1+$G$108*0.85^MAX(0,($A170-$E$108)/91.25))^(($A170-$E$108)/365.25),""),"")</f>
        <v/>
      </c>
    </row>
    <row r="171" customFormat="false" ht="15" hidden="false" customHeight="false" outlineLevel="0" collapsed="false">
      <c r="A171" s="15" t="n">
        <v>44927</v>
      </c>
      <c r="B171" s="20" t="str">
        <f aca="true">IFERROR(IF(IFERROR(INDEX(INDIRECT(Index!$M$18),MATCH(EDATE($A171,2),INDIRECT(Index!$L$18),0)),AVERAGEIFS(INDIRECT(Index!$M$18),INDIRECT(Index!$L$18),"&gt;="&amp;$A171,INDIRECT(Index!$L$18),"&lt;"&amp;EDATE($A171,3)))=0,"",IFERROR(INDEX(INDIRECT(Index!$M$18),MATCH(EDATE($A171,2),INDIRECT(Index!$L$18),0)),AVERAGEIFS(INDIRECT(Index!$M$18),INDIRECT(Index!$L$18),"&gt;="&amp;$A171,INDIRECT(Index!$L$18),"&lt;"&amp;EDATE($A171,3)))),"")</f>
        <v/>
      </c>
      <c r="C171" s="33" t="str">
        <f aca="false">IFERROR(B171/B170-1,"")</f>
        <v/>
      </c>
      <c r="D171" s="33" t="str">
        <f aca="false">IFERROR(B171/B167-1,"")</f>
        <v/>
      </c>
      <c r="E171" s="25" t="str">
        <f aca="false">IFERROR(IF(AND(B171="",ISNUMBER($C$108),ISNUMBER($G$108)),$C$108*(1+$G$108)^(($A171-$E$108)/365.25),""),"")</f>
        <v/>
      </c>
      <c r="F171" s="25" t="str">
        <f aca="false">IFERROR(IF(AND(B171="",ISNUMBER($C$108),ISNUMBER($G$108)),$C$108*(1+$G$108*0.85^MAX(0,($A171-$E$108)/91.25))^(($A171-$E$108)/365.25),""),"")</f>
        <v/>
      </c>
    </row>
    <row r="172" customFormat="false" ht="15" hidden="false" customHeight="false" outlineLevel="0" collapsed="false">
      <c r="A172" s="27" t="n">
        <v>45017</v>
      </c>
      <c r="B172" s="28" t="str">
        <f aca="true">IFERROR(IF(IFERROR(INDEX(INDIRECT(Index!$M$18),MATCH(EDATE($A172,2),INDIRECT(Index!$L$18),0)),AVERAGEIFS(INDIRECT(Index!$M$18),INDIRECT(Index!$L$18),"&gt;="&amp;$A172,INDIRECT(Index!$L$18),"&lt;"&amp;EDATE($A172,3)))=0,"",IFERROR(INDEX(INDIRECT(Index!$M$18),MATCH(EDATE($A172,2),INDIRECT(Index!$L$18),0)),AVERAGEIFS(INDIRECT(Index!$M$18),INDIRECT(Index!$L$18),"&gt;="&amp;$A172,INDIRECT(Index!$L$18),"&lt;"&amp;EDATE($A172,3)))),"")</f>
        <v/>
      </c>
      <c r="C172" s="29" t="str">
        <f aca="false">IFERROR(B172/B171-1,"")</f>
        <v/>
      </c>
      <c r="D172" s="29" t="str">
        <f aca="false">IFERROR(B172/B168-1,"")</f>
        <v/>
      </c>
      <c r="E172" s="31" t="str">
        <f aca="false">IFERROR(IF(AND(B172="",ISNUMBER($C$108),ISNUMBER($G$108)),$C$108*(1+$G$108)^(($A172-$E$108)/365.25),""),"")</f>
        <v/>
      </c>
      <c r="F172" s="31" t="str">
        <f aca="false">IFERROR(IF(AND(B172="",ISNUMBER($C$108),ISNUMBER($G$108)),$C$108*(1+$G$108*0.85^MAX(0,($A172-$E$108)/91.25))^(($A172-$E$108)/365.25),""),"")</f>
        <v/>
      </c>
    </row>
    <row r="173" customFormat="false" ht="15" hidden="false" customHeight="false" outlineLevel="0" collapsed="false">
      <c r="A173" s="15" t="n">
        <v>45108</v>
      </c>
      <c r="B173" s="20" t="str">
        <f aca="true">IFERROR(IF(IFERROR(INDEX(INDIRECT(Index!$M$18),MATCH(EDATE($A173,2),INDIRECT(Index!$L$18),0)),AVERAGEIFS(INDIRECT(Index!$M$18),INDIRECT(Index!$L$18),"&gt;="&amp;$A173,INDIRECT(Index!$L$18),"&lt;"&amp;EDATE($A173,3)))=0,"",IFERROR(INDEX(INDIRECT(Index!$M$18),MATCH(EDATE($A173,2),INDIRECT(Index!$L$18),0)),AVERAGEIFS(INDIRECT(Index!$M$18),INDIRECT(Index!$L$18),"&gt;="&amp;$A173,INDIRECT(Index!$L$18),"&lt;"&amp;EDATE($A173,3)))),"")</f>
        <v/>
      </c>
      <c r="C173" s="33" t="str">
        <f aca="false">IFERROR(B173/B172-1,"")</f>
        <v/>
      </c>
      <c r="D173" s="33" t="str">
        <f aca="false">IFERROR(B173/B169-1,"")</f>
        <v/>
      </c>
      <c r="E173" s="25" t="str">
        <f aca="false">IFERROR(IF(AND(B173="",ISNUMBER($C$108),ISNUMBER($G$108)),$C$108*(1+$G$108)^(($A173-$E$108)/365.25),""),"")</f>
        <v/>
      </c>
      <c r="F173" s="25" t="str">
        <f aca="false">IFERROR(IF(AND(B173="",ISNUMBER($C$108),ISNUMBER($G$108)),$C$108*(1+$G$108*0.85^MAX(0,($A173-$E$108)/91.25))^(($A173-$E$108)/365.25),""),"")</f>
        <v/>
      </c>
    </row>
    <row r="174" customFormat="false" ht="15" hidden="false" customHeight="false" outlineLevel="0" collapsed="false">
      <c r="A174" s="27" t="n">
        <v>45200</v>
      </c>
      <c r="B174" s="28" t="str">
        <f aca="true">IFERROR(IF(IFERROR(INDEX(INDIRECT(Index!$M$18),MATCH(EDATE($A174,2),INDIRECT(Index!$L$18),0)),AVERAGEIFS(INDIRECT(Index!$M$18),INDIRECT(Index!$L$18),"&gt;="&amp;$A174,INDIRECT(Index!$L$18),"&lt;"&amp;EDATE($A174,3)))=0,"",IFERROR(INDEX(INDIRECT(Index!$M$18),MATCH(EDATE($A174,2),INDIRECT(Index!$L$18),0)),AVERAGEIFS(INDIRECT(Index!$M$18),INDIRECT(Index!$L$18),"&gt;="&amp;$A174,INDIRECT(Index!$L$18),"&lt;"&amp;EDATE($A174,3)))),"")</f>
        <v/>
      </c>
      <c r="C174" s="29" t="str">
        <f aca="false">IFERROR(B174/B173-1,"")</f>
        <v/>
      </c>
      <c r="D174" s="29" t="str">
        <f aca="false">IFERROR(B174/B170-1,"")</f>
        <v/>
      </c>
      <c r="E174" s="31" t="str">
        <f aca="false">IFERROR(IF(AND(B174="",ISNUMBER($C$108),ISNUMBER($G$108)),$C$108*(1+$G$108)^(($A174-$E$108)/365.25),""),"")</f>
        <v/>
      </c>
      <c r="F174" s="31" t="str">
        <f aca="false">IFERROR(IF(AND(B174="",ISNUMBER($C$108),ISNUMBER($G$108)),$C$108*(1+$G$108*0.85^MAX(0,($A174-$E$108)/91.25))^(($A174-$E$108)/365.25),""),"")</f>
        <v/>
      </c>
    </row>
    <row r="175" customFormat="false" ht="15" hidden="false" customHeight="false" outlineLevel="0" collapsed="false">
      <c r="A175" s="15" t="n">
        <v>45292</v>
      </c>
      <c r="B175" s="20" t="str">
        <f aca="true">IFERROR(IF(IFERROR(INDEX(INDIRECT(Index!$M$18),MATCH(EDATE($A175,2),INDIRECT(Index!$L$18),0)),AVERAGEIFS(INDIRECT(Index!$M$18),INDIRECT(Index!$L$18),"&gt;="&amp;$A175,INDIRECT(Index!$L$18),"&lt;"&amp;EDATE($A175,3)))=0,"",IFERROR(INDEX(INDIRECT(Index!$M$18),MATCH(EDATE($A175,2),INDIRECT(Index!$L$18),0)),AVERAGEIFS(INDIRECT(Index!$M$18),INDIRECT(Index!$L$18),"&gt;="&amp;$A175,INDIRECT(Index!$L$18),"&lt;"&amp;EDATE($A175,3)))),"")</f>
        <v/>
      </c>
      <c r="C175" s="33" t="str">
        <f aca="false">IFERROR(B175/B174-1,"")</f>
        <v/>
      </c>
      <c r="D175" s="33" t="str">
        <f aca="false">IFERROR(B175/B171-1,"")</f>
        <v/>
      </c>
      <c r="E175" s="25" t="str">
        <f aca="false">IFERROR(IF(AND(B175="",ISNUMBER($C$108),ISNUMBER($G$108)),$C$108*(1+$G$108)^(($A175-$E$108)/365.25),""),"")</f>
        <v/>
      </c>
      <c r="F175" s="25" t="str">
        <f aca="false">IFERROR(IF(AND(B175="",ISNUMBER($C$108),ISNUMBER($G$108)),$C$108*(1+$G$108*0.85^MAX(0,($A175-$E$108)/91.25))^(($A175-$E$108)/365.25),""),"")</f>
        <v/>
      </c>
    </row>
    <row r="176" customFormat="false" ht="15" hidden="false" customHeight="false" outlineLevel="0" collapsed="false">
      <c r="A176" s="27" t="n">
        <v>45383</v>
      </c>
      <c r="B176" s="28" t="str">
        <f aca="true">IFERROR(IF(IFERROR(INDEX(INDIRECT(Index!$M$18),MATCH(EDATE($A176,2),INDIRECT(Index!$L$18),0)),AVERAGEIFS(INDIRECT(Index!$M$18),INDIRECT(Index!$L$18),"&gt;="&amp;$A176,INDIRECT(Index!$L$18),"&lt;"&amp;EDATE($A176,3)))=0,"",IFERROR(INDEX(INDIRECT(Index!$M$18),MATCH(EDATE($A176,2),INDIRECT(Index!$L$18),0)),AVERAGEIFS(INDIRECT(Index!$M$18),INDIRECT(Index!$L$18),"&gt;="&amp;$A176,INDIRECT(Index!$L$18),"&lt;"&amp;EDATE($A176,3)))),"")</f>
        <v/>
      </c>
      <c r="C176" s="29" t="str">
        <f aca="false">IFERROR(B176/B175-1,"")</f>
        <v/>
      </c>
      <c r="D176" s="29" t="str">
        <f aca="false">IFERROR(B176/B172-1,"")</f>
        <v/>
      </c>
      <c r="E176" s="31" t="str">
        <f aca="false">IFERROR(IF(AND(B176="",ISNUMBER($C$108),ISNUMBER($G$108)),$C$108*(1+$G$108)^(($A176-$E$108)/365.25),""),"")</f>
        <v/>
      </c>
      <c r="F176" s="31" t="str">
        <f aca="false">IFERROR(IF(AND(B176="",ISNUMBER($C$108),ISNUMBER($G$108)),$C$108*(1+$G$108*0.85^MAX(0,($A176-$E$108)/91.25))^(($A176-$E$108)/365.25),""),"")</f>
        <v/>
      </c>
    </row>
    <row r="177" customFormat="false" ht="15" hidden="false" customHeight="false" outlineLevel="0" collapsed="false">
      <c r="A177" s="15" t="n">
        <v>45474</v>
      </c>
      <c r="B177" s="20" t="str">
        <f aca="true">IFERROR(IF(IFERROR(INDEX(INDIRECT(Index!$M$18),MATCH(EDATE($A177,2),INDIRECT(Index!$L$18),0)),AVERAGEIFS(INDIRECT(Index!$M$18),INDIRECT(Index!$L$18),"&gt;="&amp;$A177,INDIRECT(Index!$L$18),"&lt;"&amp;EDATE($A177,3)))=0,"",IFERROR(INDEX(INDIRECT(Index!$M$18),MATCH(EDATE($A177,2),INDIRECT(Index!$L$18),0)),AVERAGEIFS(INDIRECT(Index!$M$18),INDIRECT(Index!$L$18),"&gt;="&amp;$A177,INDIRECT(Index!$L$18),"&lt;"&amp;EDATE($A177,3)))),"")</f>
        <v/>
      </c>
      <c r="C177" s="33" t="str">
        <f aca="false">IFERROR(B177/B176-1,"")</f>
        <v/>
      </c>
      <c r="D177" s="33" t="str">
        <f aca="false">IFERROR(B177/B173-1,"")</f>
        <v/>
      </c>
      <c r="E177" s="25" t="str">
        <f aca="false">IFERROR(IF(AND(B177="",ISNUMBER($C$108),ISNUMBER($G$108)),$C$108*(1+$G$108)^(($A177-$E$108)/365.25),""),"")</f>
        <v/>
      </c>
      <c r="F177" s="25" t="str">
        <f aca="false">IFERROR(IF(AND(B177="",ISNUMBER($C$108),ISNUMBER($G$108)),$C$108*(1+$G$108*0.85^MAX(0,($A177-$E$108)/91.25))^(($A177-$E$108)/365.25),""),"")</f>
        <v/>
      </c>
    </row>
    <row r="178" customFormat="false" ht="15" hidden="false" customHeight="false" outlineLevel="0" collapsed="false">
      <c r="A178" s="27" t="n">
        <v>45566</v>
      </c>
      <c r="B178" s="28" t="str">
        <f aca="true">IFERROR(IF(IFERROR(INDEX(INDIRECT(Index!$M$18),MATCH(EDATE($A178,2),INDIRECT(Index!$L$18),0)),AVERAGEIFS(INDIRECT(Index!$M$18),INDIRECT(Index!$L$18),"&gt;="&amp;$A178,INDIRECT(Index!$L$18),"&lt;"&amp;EDATE($A178,3)))=0,"",IFERROR(INDEX(INDIRECT(Index!$M$18),MATCH(EDATE($A178,2),INDIRECT(Index!$L$18),0)),AVERAGEIFS(INDIRECT(Index!$M$18),INDIRECT(Index!$L$18),"&gt;="&amp;$A178,INDIRECT(Index!$L$18),"&lt;"&amp;EDATE($A178,3)))),"")</f>
        <v/>
      </c>
      <c r="C178" s="29" t="str">
        <f aca="false">IFERROR(B178/B177-1,"")</f>
        <v/>
      </c>
      <c r="D178" s="29" t="str">
        <f aca="false">IFERROR(B178/B174-1,"")</f>
        <v/>
      </c>
      <c r="E178" s="31" t="str">
        <f aca="false">IFERROR(IF(AND(B178="",ISNUMBER($C$108),ISNUMBER($G$108)),$C$108*(1+$G$108)^(($A178-$E$108)/365.25),""),"")</f>
        <v/>
      </c>
      <c r="F178" s="31" t="str">
        <f aca="false">IFERROR(IF(AND(B178="",ISNUMBER($C$108),ISNUMBER($G$108)),$C$108*(1+$G$108*0.85^MAX(0,($A178-$E$108)/91.25))^(($A178-$E$108)/365.25),""),"")</f>
        <v/>
      </c>
    </row>
    <row r="179" customFormat="false" ht="15" hidden="false" customHeight="false" outlineLevel="0" collapsed="false">
      <c r="A179" s="15" t="n">
        <v>45658</v>
      </c>
      <c r="B179" s="20" t="str">
        <f aca="true">IFERROR(IF(IFERROR(INDEX(INDIRECT(Index!$M$18),MATCH(EDATE($A179,2),INDIRECT(Index!$L$18),0)),AVERAGEIFS(INDIRECT(Index!$M$18),INDIRECT(Index!$L$18),"&gt;="&amp;$A179,INDIRECT(Index!$L$18),"&lt;"&amp;EDATE($A179,3)))=0,"",IFERROR(INDEX(INDIRECT(Index!$M$18),MATCH(EDATE($A179,2),INDIRECT(Index!$L$18),0)),AVERAGEIFS(INDIRECT(Index!$M$18),INDIRECT(Index!$L$18),"&gt;="&amp;$A179,INDIRECT(Index!$L$18),"&lt;"&amp;EDATE($A179,3)))),"")</f>
        <v/>
      </c>
      <c r="C179" s="33" t="str">
        <f aca="false">IFERROR(B179/B178-1,"")</f>
        <v/>
      </c>
      <c r="D179" s="33" t="str">
        <f aca="false">IFERROR(B179/B175-1,"")</f>
        <v/>
      </c>
      <c r="E179" s="25" t="str">
        <f aca="false">IFERROR(IF(AND(B179="",ISNUMBER($C$108),ISNUMBER($G$108)),$C$108*(1+$G$108)^(($A179-$E$108)/365.25),""),"")</f>
        <v/>
      </c>
      <c r="F179" s="25" t="str">
        <f aca="false">IFERROR(IF(AND(B179="",ISNUMBER($C$108),ISNUMBER($G$108)),$C$108*(1+$G$108*0.85^MAX(0,($A179-$E$108)/91.25))^(($A179-$E$108)/365.25),""),"")</f>
        <v/>
      </c>
    </row>
    <row r="180" customFormat="false" ht="15" hidden="false" customHeight="false" outlineLevel="0" collapsed="false">
      <c r="A180" s="27" t="n">
        <v>45748</v>
      </c>
      <c r="B180" s="28" t="str">
        <f aca="true">IFERROR(IF(IFERROR(INDEX(INDIRECT(Index!$M$18),MATCH(EDATE($A180,2),INDIRECT(Index!$L$18),0)),AVERAGEIFS(INDIRECT(Index!$M$18),INDIRECT(Index!$L$18),"&gt;="&amp;$A180,INDIRECT(Index!$L$18),"&lt;"&amp;EDATE($A180,3)))=0,"",IFERROR(INDEX(INDIRECT(Index!$M$18),MATCH(EDATE($A180,2),INDIRECT(Index!$L$18),0)),AVERAGEIFS(INDIRECT(Index!$M$18),INDIRECT(Index!$L$18),"&gt;="&amp;$A180,INDIRECT(Index!$L$18),"&lt;"&amp;EDATE($A180,3)))),"")</f>
        <v/>
      </c>
      <c r="C180" s="29" t="str">
        <f aca="false">IFERROR(B180/B179-1,"")</f>
        <v/>
      </c>
      <c r="D180" s="29" t="str">
        <f aca="false">IFERROR(B180/B176-1,"")</f>
        <v/>
      </c>
      <c r="E180" s="31" t="str">
        <f aca="false">IFERROR(IF(AND(B180="",ISNUMBER($C$108),ISNUMBER($G$108)),$C$108*(1+$G$108)^(($A180-$E$108)/365.25),""),"")</f>
        <v/>
      </c>
      <c r="F180" s="31" t="str">
        <f aca="false">IFERROR(IF(AND(B180="",ISNUMBER($C$108),ISNUMBER($G$108)),$C$108*(1+$G$108*0.85^MAX(0,($A180-$E$108)/91.25))^(($A180-$E$108)/365.25),""),"")</f>
        <v/>
      </c>
    </row>
    <row r="181" customFormat="false" ht="15" hidden="false" customHeight="false" outlineLevel="0" collapsed="false">
      <c r="A181" s="15" t="n">
        <v>45839</v>
      </c>
      <c r="B181" s="20" t="str">
        <f aca="true">IFERROR(IF(IFERROR(INDEX(INDIRECT(Index!$M$18),MATCH(EDATE($A181,2),INDIRECT(Index!$L$18),0)),AVERAGEIFS(INDIRECT(Index!$M$18),INDIRECT(Index!$L$18),"&gt;="&amp;$A181,INDIRECT(Index!$L$18),"&lt;"&amp;EDATE($A181,3)))=0,"",IFERROR(INDEX(INDIRECT(Index!$M$18),MATCH(EDATE($A181,2),INDIRECT(Index!$L$18),0)),AVERAGEIFS(INDIRECT(Index!$M$18),INDIRECT(Index!$L$18),"&gt;="&amp;$A181,INDIRECT(Index!$L$18),"&lt;"&amp;EDATE($A181,3)))),"")</f>
        <v/>
      </c>
      <c r="C181" s="33" t="str">
        <f aca="false">IFERROR(B181/B180-1,"")</f>
        <v/>
      </c>
      <c r="D181" s="33" t="str">
        <f aca="false">IFERROR(B181/B177-1,"")</f>
        <v/>
      </c>
      <c r="E181" s="25" t="str">
        <f aca="false">IFERROR(IF(AND(B181="",ISNUMBER($C$108),ISNUMBER($G$108)),$C$108*(1+$G$108)^(($A181-$E$108)/365.25),""),"")</f>
        <v/>
      </c>
      <c r="F181" s="25" t="str">
        <f aca="false">IFERROR(IF(AND(B181="",ISNUMBER($C$108),ISNUMBER($G$108)),$C$108*(1+$G$108*0.85^MAX(0,($A181-$E$108)/91.25))^(($A181-$E$108)/365.25),""),"")</f>
        <v/>
      </c>
    </row>
    <row r="182" customFormat="false" ht="15" hidden="false" customHeight="false" outlineLevel="0" collapsed="false">
      <c r="A182" s="27" t="n">
        <v>45931</v>
      </c>
      <c r="B182" s="28" t="str">
        <f aca="true">IFERROR(IF(IFERROR(INDEX(INDIRECT(Index!$M$18),MATCH(EDATE($A182,2),INDIRECT(Index!$L$18),0)),AVERAGEIFS(INDIRECT(Index!$M$18),INDIRECT(Index!$L$18),"&gt;="&amp;$A182,INDIRECT(Index!$L$18),"&lt;"&amp;EDATE($A182,3)))=0,"",IFERROR(INDEX(INDIRECT(Index!$M$18),MATCH(EDATE($A182,2),INDIRECT(Index!$L$18),0)),AVERAGEIFS(INDIRECT(Index!$M$18),INDIRECT(Index!$L$18),"&gt;="&amp;$A182,INDIRECT(Index!$L$18),"&lt;"&amp;EDATE($A182,3)))),"")</f>
        <v/>
      </c>
      <c r="C182" s="29" t="str">
        <f aca="false">IFERROR(B182/B181-1,"")</f>
        <v/>
      </c>
      <c r="D182" s="29" t="str">
        <f aca="false">IFERROR(B182/B178-1,"")</f>
        <v/>
      </c>
      <c r="E182" s="31" t="str">
        <f aca="false">IFERROR(IF(AND(B182="",ISNUMBER($C$108),ISNUMBER($G$108)),$C$108*(1+$G$108)^(($A182-$E$108)/365.25),""),"")</f>
        <v/>
      </c>
      <c r="F182" s="31" t="str">
        <f aca="false">IFERROR(IF(AND(B182="",ISNUMBER($C$108),ISNUMBER($G$108)),$C$108*(1+$G$108*0.85^MAX(0,($A182-$E$108)/91.25))^(($A182-$E$108)/365.25),""),"")</f>
        <v/>
      </c>
    </row>
    <row r="183" customFormat="false" ht="15" hidden="false" customHeight="false" outlineLevel="0" collapsed="false">
      <c r="A183" s="15" t="n">
        <v>46023</v>
      </c>
      <c r="B183" s="20" t="str">
        <f aca="true">IFERROR(IF(IFERROR(INDEX(INDIRECT(Index!$M$18),MATCH(EDATE($A183,2),INDIRECT(Index!$L$18),0)),AVERAGEIFS(INDIRECT(Index!$M$18),INDIRECT(Index!$L$18),"&gt;="&amp;$A183,INDIRECT(Index!$L$18),"&lt;"&amp;EDATE($A183,3)))=0,"",IFERROR(INDEX(INDIRECT(Index!$M$18),MATCH(EDATE($A183,2),INDIRECT(Index!$L$18),0)),AVERAGEIFS(INDIRECT(Index!$M$18),INDIRECT(Index!$L$18),"&gt;="&amp;$A183,INDIRECT(Index!$L$18),"&lt;"&amp;EDATE($A183,3)))),"")</f>
        <v/>
      </c>
      <c r="C183" s="33" t="str">
        <f aca="false">IFERROR(B183/B182-1,"")</f>
        <v/>
      </c>
      <c r="D183" s="33" t="str">
        <f aca="false">IFERROR(B183/B179-1,"")</f>
        <v/>
      </c>
      <c r="E183" s="25" t="str">
        <f aca="false">IFERROR(IF(AND(B183="",ISNUMBER($C$108),ISNUMBER($G$108)),$C$108*(1+$G$108)^(($A183-$E$108)/365.25),""),"")</f>
        <v/>
      </c>
      <c r="F183" s="25" t="str">
        <f aca="false">IFERROR(IF(AND(B183="",ISNUMBER($C$108),ISNUMBER($G$108)),$C$108*(1+$G$108*0.85^MAX(0,($A183-$E$108)/91.25))^(($A183-$E$108)/365.25),""),"")</f>
        <v/>
      </c>
    </row>
    <row r="184" customFormat="false" ht="15" hidden="false" customHeight="false" outlineLevel="0" collapsed="false">
      <c r="A184" s="27" t="n">
        <v>46113</v>
      </c>
      <c r="B184" s="28" t="str">
        <f aca="true">IFERROR(IF(IFERROR(INDEX(INDIRECT(Index!$M$18),MATCH(EDATE($A184,2),INDIRECT(Index!$L$18),0)),AVERAGEIFS(INDIRECT(Index!$M$18),INDIRECT(Index!$L$18),"&gt;="&amp;$A184,INDIRECT(Index!$L$18),"&lt;"&amp;EDATE($A184,3)))=0,"",IFERROR(INDEX(INDIRECT(Index!$M$18),MATCH(EDATE($A184,2),INDIRECT(Index!$L$18),0)),AVERAGEIFS(INDIRECT(Index!$M$18),INDIRECT(Index!$L$18),"&gt;="&amp;$A184,INDIRECT(Index!$L$18),"&lt;"&amp;EDATE($A184,3)))),"")</f>
        <v/>
      </c>
      <c r="C184" s="29" t="str">
        <f aca="false">IFERROR(B184/B183-1,"")</f>
        <v/>
      </c>
      <c r="D184" s="29" t="str">
        <f aca="false">IFERROR(B184/B180-1,"")</f>
        <v/>
      </c>
      <c r="E184" s="31" t="str">
        <f aca="false">IFERROR(IF(AND(B184="",ISNUMBER($C$108),ISNUMBER($G$108)),$C$108*(1+$G$108)^(($A184-$E$108)/365.25),""),"")</f>
        <v/>
      </c>
      <c r="F184" s="31" t="str">
        <f aca="false">IFERROR(IF(AND(B184="",ISNUMBER($C$108),ISNUMBER($G$108)),$C$108*(1+$G$108*0.85^MAX(0,($A184-$E$108)/91.25))^(($A184-$E$108)/365.25),""),"")</f>
        <v/>
      </c>
    </row>
    <row r="185" customFormat="false" ht="15" hidden="false" customHeight="false" outlineLevel="0" collapsed="false">
      <c r="A185" s="15" t="n">
        <v>46204</v>
      </c>
      <c r="B185" s="20" t="str">
        <f aca="true">IFERROR(IF(IFERROR(INDEX(INDIRECT(Index!$M$18),MATCH(EDATE($A185,2),INDIRECT(Index!$L$18),0)),AVERAGEIFS(INDIRECT(Index!$M$18),INDIRECT(Index!$L$18),"&gt;="&amp;$A185,INDIRECT(Index!$L$18),"&lt;"&amp;EDATE($A185,3)))=0,"",IFERROR(INDEX(INDIRECT(Index!$M$18),MATCH(EDATE($A185,2),INDIRECT(Index!$L$18),0)),AVERAGEIFS(INDIRECT(Index!$M$18),INDIRECT(Index!$L$18),"&gt;="&amp;$A185,INDIRECT(Index!$L$18),"&lt;"&amp;EDATE($A185,3)))),"")</f>
        <v/>
      </c>
      <c r="C185" s="33" t="str">
        <f aca="false">IFERROR(B185/B184-1,"")</f>
        <v/>
      </c>
      <c r="D185" s="33" t="str">
        <f aca="false">IFERROR(B185/B181-1,"")</f>
        <v/>
      </c>
      <c r="E185" s="25" t="str">
        <f aca="false">IFERROR(IF(AND(B185="",ISNUMBER($C$108),ISNUMBER($G$108)),$C$108*(1+$G$108)^(($A185-$E$108)/365.25),""),"")</f>
        <v/>
      </c>
      <c r="F185" s="25" t="str">
        <f aca="false">IFERROR(IF(AND(B185="",ISNUMBER($C$108),ISNUMBER($G$108)),$C$108*(1+$G$108*0.85^MAX(0,($A185-$E$108)/91.25))^(($A185-$E$108)/365.25),""),"")</f>
        <v/>
      </c>
    </row>
    <row r="186" customFormat="false" ht="15" hidden="false" customHeight="false" outlineLevel="0" collapsed="false">
      <c r="A186" s="27" t="n">
        <v>46296</v>
      </c>
      <c r="B186" s="28" t="str">
        <f aca="true">IFERROR(IF(IFERROR(INDEX(INDIRECT(Index!$M$18),MATCH(EDATE($A186,2),INDIRECT(Index!$L$18),0)),AVERAGEIFS(INDIRECT(Index!$M$18),INDIRECT(Index!$L$18),"&gt;="&amp;$A186,INDIRECT(Index!$L$18),"&lt;"&amp;EDATE($A186,3)))=0,"",IFERROR(INDEX(INDIRECT(Index!$M$18),MATCH(EDATE($A186,2),INDIRECT(Index!$L$18),0)),AVERAGEIFS(INDIRECT(Index!$M$18),INDIRECT(Index!$L$18),"&gt;="&amp;$A186,INDIRECT(Index!$L$18),"&lt;"&amp;EDATE($A186,3)))),"")</f>
        <v/>
      </c>
      <c r="C186" s="29" t="str">
        <f aca="false">IFERROR(B186/B185-1,"")</f>
        <v/>
      </c>
      <c r="D186" s="29" t="str">
        <f aca="false">IFERROR(B186/B182-1,"")</f>
        <v/>
      </c>
      <c r="E186" s="31" t="str">
        <f aca="false">IFERROR(IF(AND(B186="",ISNUMBER($C$108),ISNUMBER($G$108)),$C$108*(1+$G$108)^(($A186-$E$108)/365.25),""),"")</f>
        <v/>
      </c>
      <c r="F186" s="31" t="str">
        <f aca="false">IFERROR(IF(AND(B186="",ISNUMBER($C$108),ISNUMBER($G$108)),$C$108*(1+$G$108*0.85^MAX(0,($A186-$E$108)/91.25))^(($A186-$E$108)/365.25),""),"")</f>
        <v/>
      </c>
    </row>
    <row r="187" customFormat="false" ht="15" hidden="false" customHeight="false" outlineLevel="0" collapsed="false">
      <c r="A187" s="15" t="n">
        <v>46388</v>
      </c>
      <c r="B187" s="20" t="str">
        <f aca="true">IFERROR(IF(IFERROR(INDEX(INDIRECT(Index!$M$18),MATCH(EDATE($A187,2),INDIRECT(Index!$L$18),0)),AVERAGEIFS(INDIRECT(Index!$M$18),INDIRECT(Index!$L$18),"&gt;="&amp;$A187,INDIRECT(Index!$L$18),"&lt;"&amp;EDATE($A187,3)))=0,"",IFERROR(INDEX(INDIRECT(Index!$M$18),MATCH(EDATE($A187,2),INDIRECT(Index!$L$18),0)),AVERAGEIFS(INDIRECT(Index!$M$18),INDIRECT(Index!$L$18),"&gt;="&amp;$A187,INDIRECT(Index!$L$18),"&lt;"&amp;EDATE($A187,3)))),"")</f>
        <v/>
      </c>
      <c r="C187" s="33" t="str">
        <f aca="false">IFERROR(B187/B186-1,"")</f>
        <v/>
      </c>
      <c r="D187" s="33" t="str">
        <f aca="false">IFERROR(B187/B183-1,"")</f>
        <v/>
      </c>
      <c r="E187" s="25" t="str">
        <f aca="false">IFERROR(IF(AND(B187="",ISNUMBER($C$108),ISNUMBER($G$108)),$C$108*(1+$G$108)^(($A187-$E$108)/365.25),""),"")</f>
        <v/>
      </c>
      <c r="F187" s="25" t="str">
        <f aca="false">IFERROR(IF(AND(B187="",ISNUMBER($C$108),ISNUMBER($G$108)),$C$108*(1+$G$108*0.85^MAX(0,($A187-$E$108)/91.25))^(($A187-$E$108)/365.25),""),"")</f>
        <v/>
      </c>
    </row>
    <row r="188" customFormat="false" ht="15" hidden="false" customHeight="false" outlineLevel="0" collapsed="false">
      <c r="A188" s="27" t="n">
        <v>46478</v>
      </c>
      <c r="B188" s="28" t="str">
        <f aca="true">IFERROR(IF(IFERROR(INDEX(INDIRECT(Index!$M$18),MATCH(EDATE($A188,2),INDIRECT(Index!$L$18),0)),AVERAGEIFS(INDIRECT(Index!$M$18),INDIRECT(Index!$L$18),"&gt;="&amp;$A188,INDIRECT(Index!$L$18),"&lt;"&amp;EDATE($A188,3)))=0,"",IFERROR(INDEX(INDIRECT(Index!$M$18),MATCH(EDATE($A188,2),INDIRECT(Index!$L$18),0)),AVERAGEIFS(INDIRECT(Index!$M$18),INDIRECT(Index!$L$18),"&gt;="&amp;$A188,INDIRECT(Index!$L$18),"&lt;"&amp;EDATE($A188,3)))),"")</f>
        <v/>
      </c>
      <c r="C188" s="29" t="str">
        <f aca="false">IFERROR(B188/B187-1,"")</f>
        <v/>
      </c>
      <c r="D188" s="29" t="str">
        <f aca="false">IFERROR(B188/B184-1,"")</f>
        <v/>
      </c>
      <c r="E188" s="31" t="str">
        <f aca="false">IFERROR(IF(AND(B188="",ISNUMBER($C$108),ISNUMBER($G$108)),$C$108*(1+$G$108)^(($A188-$E$108)/365.25),""),"")</f>
        <v/>
      </c>
      <c r="F188" s="31" t="str">
        <f aca="false">IFERROR(IF(AND(B188="",ISNUMBER($C$108),ISNUMBER($G$108)),$C$108*(1+$G$108*0.85^MAX(0,($A188-$E$108)/91.25))^(($A188-$E$108)/365.25),""),"")</f>
        <v/>
      </c>
    </row>
    <row r="189" customFormat="false" ht="15" hidden="false" customHeight="false" outlineLevel="0" collapsed="false">
      <c r="A189" s="15" t="n">
        <v>46569</v>
      </c>
      <c r="B189" s="20" t="str">
        <f aca="true">IFERROR(IF(IFERROR(INDEX(INDIRECT(Index!$M$18),MATCH(EDATE($A189,2),INDIRECT(Index!$L$18),0)),AVERAGEIFS(INDIRECT(Index!$M$18),INDIRECT(Index!$L$18),"&gt;="&amp;$A189,INDIRECT(Index!$L$18),"&lt;"&amp;EDATE($A189,3)))=0,"",IFERROR(INDEX(INDIRECT(Index!$M$18),MATCH(EDATE($A189,2),INDIRECT(Index!$L$18),0)),AVERAGEIFS(INDIRECT(Index!$M$18),INDIRECT(Index!$L$18),"&gt;="&amp;$A189,INDIRECT(Index!$L$18),"&lt;"&amp;EDATE($A189,3)))),"")</f>
        <v/>
      </c>
      <c r="C189" s="33" t="str">
        <f aca="false">IFERROR(B189/B188-1,"")</f>
        <v/>
      </c>
      <c r="D189" s="33" t="str">
        <f aca="false">IFERROR(B189/B185-1,"")</f>
        <v/>
      </c>
      <c r="E189" s="25" t="str">
        <f aca="false">IFERROR(IF(AND(B189="",ISNUMBER($C$108),ISNUMBER($G$108)),$C$108*(1+$G$108)^(($A189-$E$108)/365.25),""),"")</f>
        <v/>
      </c>
      <c r="F189" s="25" t="str">
        <f aca="false">IFERROR(IF(AND(B189="",ISNUMBER($C$108),ISNUMBER($G$108)),$C$108*(1+$G$108*0.85^MAX(0,($A189-$E$108)/91.25))^(($A189-$E$108)/365.25),""),"")</f>
        <v/>
      </c>
    </row>
    <row r="190" customFormat="false" ht="15" hidden="false" customHeight="false" outlineLevel="0" collapsed="false">
      <c r="A190" s="27" t="n">
        <v>46661</v>
      </c>
      <c r="B190" s="28" t="str">
        <f aca="true">IFERROR(IF(IFERROR(INDEX(INDIRECT(Index!$M$18),MATCH(EDATE($A190,2),INDIRECT(Index!$L$18),0)),AVERAGEIFS(INDIRECT(Index!$M$18),INDIRECT(Index!$L$18),"&gt;="&amp;$A190,INDIRECT(Index!$L$18),"&lt;"&amp;EDATE($A190,3)))=0,"",IFERROR(INDEX(INDIRECT(Index!$M$18),MATCH(EDATE($A190,2),INDIRECT(Index!$L$18),0)),AVERAGEIFS(INDIRECT(Index!$M$18),INDIRECT(Index!$L$18),"&gt;="&amp;$A190,INDIRECT(Index!$L$18),"&lt;"&amp;EDATE($A190,3)))),"")</f>
        <v/>
      </c>
      <c r="C190" s="29" t="str">
        <f aca="false">IFERROR(B190/B189-1,"")</f>
        <v/>
      </c>
      <c r="D190" s="29" t="str">
        <f aca="false">IFERROR(B190/B186-1,"")</f>
        <v/>
      </c>
      <c r="E190" s="31" t="str">
        <f aca="false">IFERROR(IF(AND(B190="",ISNUMBER($C$108),ISNUMBER($G$108)),$C$108*(1+$G$108)^(($A190-$E$108)/365.25),""),"")</f>
        <v/>
      </c>
      <c r="F190" s="31" t="str">
        <f aca="false">IFERROR(IF(AND(B190="",ISNUMBER($C$108),ISNUMBER($G$108)),$C$108*(1+$G$108*0.85^MAX(0,($A190-$E$108)/91.25))^(($A190-$E$108)/365.25),""),"")</f>
        <v/>
      </c>
    </row>
    <row r="191" customFormat="false" ht="15" hidden="false" customHeight="false" outlineLevel="0" collapsed="false">
      <c r="A191" s="15" t="n">
        <v>46753</v>
      </c>
      <c r="B191" s="20" t="str">
        <f aca="true">IFERROR(IF(IFERROR(INDEX(INDIRECT(Index!$M$18),MATCH(EDATE($A191,2),INDIRECT(Index!$L$18),0)),AVERAGEIFS(INDIRECT(Index!$M$18),INDIRECT(Index!$L$18),"&gt;="&amp;$A191,INDIRECT(Index!$L$18),"&lt;"&amp;EDATE($A191,3)))=0,"",IFERROR(INDEX(INDIRECT(Index!$M$18),MATCH(EDATE($A191,2),INDIRECT(Index!$L$18),0)),AVERAGEIFS(INDIRECT(Index!$M$18),INDIRECT(Index!$L$18),"&gt;="&amp;$A191,INDIRECT(Index!$L$18),"&lt;"&amp;EDATE($A191,3)))),"")</f>
        <v/>
      </c>
      <c r="C191" s="33" t="str">
        <f aca="false">IFERROR(B191/B190-1,"")</f>
        <v/>
      </c>
      <c r="D191" s="33" t="str">
        <f aca="false">IFERROR(B191/B187-1,"")</f>
        <v/>
      </c>
      <c r="E191" s="25" t="str">
        <f aca="false">IFERROR(IF(AND(B191="",ISNUMBER($C$108),ISNUMBER($G$108)),$C$108*(1+$G$108)^(($A191-$E$108)/365.25),""),"")</f>
        <v/>
      </c>
      <c r="F191" s="25" t="str">
        <f aca="false">IFERROR(IF(AND(B191="",ISNUMBER($C$108),ISNUMBER($G$108)),$C$108*(1+$G$108*0.85^MAX(0,($A191-$E$108)/91.25))^(($A191-$E$108)/365.25),""),"")</f>
        <v/>
      </c>
    </row>
    <row r="192" customFormat="false" ht="15" hidden="false" customHeight="false" outlineLevel="0" collapsed="false">
      <c r="A192" s="27" t="n">
        <v>46844</v>
      </c>
      <c r="B192" s="28" t="str">
        <f aca="true">IFERROR(IF(IFERROR(INDEX(INDIRECT(Index!$M$18),MATCH(EDATE($A192,2),INDIRECT(Index!$L$18),0)),AVERAGEIFS(INDIRECT(Index!$M$18),INDIRECT(Index!$L$18),"&gt;="&amp;$A192,INDIRECT(Index!$L$18),"&lt;"&amp;EDATE($A192,3)))=0,"",IFERROR(INDEX(INDIRECT(Index!$M$18),MATCH(EDATE($A192,2),INDIRECT(Index!$L$18),0)),AVERAGEIFS(INDIRECT(Index!$M$18),INDIRECT(Index!$L$18),"&gt;="&amp;$A192,INDIRECT(Index!$L$18),"&lt;"&amp;EDATE($A192,3)))),"")</f>
        <v/>
      </c>
      <c r="C192" s="29" t="str">
        <f aca="false">IFERROR(B192/B191-1,"")</f>
        <v/>
      </c>
      <c r="D192" s="29" t="str">
        <f aca="false">IFERROR(B192/B188-1,"")</f>
        <v/>
      </c>
      <c r="E192" s="31" t="str">
        <f aca="false">IFERROR(IF(AND(B192="",ISNUMBER($C$108),ISNUMBER($G$108)),$C$108*(1+$G$108)^(($A192-$E$108)/365.25),""),"")</f>
        <v/>
      </c>
      <c r="F192" s="31" t="str">
        <f aca="false">IFERROR(IF(AND(B192="",ISNUMBER($C$108),ISNUMBER($G$108)),$C$108*(1+$G$108*0.85^MAX(0,($A192-$E$108)/91.25))^(($A192-$E$108)/365.25),""),"")</f>
        <v/>
      </c>
    </row>
    <row r="193" customFormat="false" ht="15" hidden="false" customHeight="false" outlineLevel="0" collapsed="false">
      <c r="A193" s="15" t="n">
        <v>46935</v>
      </c>
      <c r="B193" s="20" t="str">
        <f aca="true">IFERROR(IF(IFERROR(INDEX(INDIRECT(Index!$M$18),MATCH(EDATE($A193,2),INDIRECT(Index!$L$18),0)),AVERAGEIFS(INDIRECT(Index!$M$18),INDIRECT(Index!$L$18),"&gt;="&amp;$A193,INDIRECT(Index!$L$18),"&lt;"&amp;EDATE($A193,3)))=0,"",IFERROR(INDEX(INDIRECT(Index!$M$18),MATCH(EDATE($A193,2),INDIRECT(Index!$L$18),0)),AVERAGEIFS(INDIRECT(Index!$M$18),INDIRECT(Index!$L$18),"&gt;="&amp;$A193,INDIRECT(Index!$L$18),"&lt;"&amp;EDATE($A193,3)))),"")</f>
        <v/>
      </c>
      <c r="C193" s="33" t="str">
        <f aca="false">IFERROR(B193/B192-1,"")</f>
        <v/>
      </c>
      <c r="D193" s="33" t="str">
        <f aca="false">IFERROR(B193/B189-1,"")</f>
        <v/>
      </c>
      <c r="E193" s="25" t="str">
        <f aca="false">IFERROR(IF(AND(B193="",ISNUMBER($C$108),ISNUMBER($G$108)),$C$108*(1+$G$108)^(($A193-$E$108)/365.25),""),"")</f>
        <v/>
      </c>
      <c r="F193" s="25" t="str">
        <f aca="false">IFERROR(IF(AND(B193="",ISNUMBER($C$108),ISNUMBER($G$108)),$C$108*(1+$G$108*0.85^MAX(0,($A193-$E$108)/91.25))^(($A193-$E$108)/365.25),""),"")</f>
        <v/>
      </c>
    </row>
    <row r="194" customFormat="false" ht="15" hidden="false" customHeight="false" outlineLevel="0" collapsed="false">
      <c r="A194" s="27" t="n">
        <v>47027</v>
      </c>
      <c r="B194" s="28" t="str">
        <f aca="true">IFERROR(IF(IFERROR(INDEX(INDIRECT(Index!$M$18),MATCH(EDATE($A194,2),INDIRECT(Index!$L$18),0)),AVERAGEIFS(INDIRECT(Index!$M$18),INDIRECT(Index!$L$18),"&gt;="&amp;$A194,INDIRECT(Index!$L$18),"&lt;"&amp;EDATE($A194,3)))=0,"",IFERROR(INDEX(INDIRECT(Index!$M$18),MATCH(EDATE($A194,2),INDIRECT(Index!$L$18),0)),AVERAGEIFS(INDIRECT(Index!$M$18),INDIRECT(Index!$L$18),"&gt;="&amp;$A194,INDIRECT(Index!$L$18),"&lt;"&amp;EDATE($A194,3)))),"")</f>
        <v/>
      </c>
      <c r="C194" s="29" t="str">
        <f aca="false">IFERROR(B194/B193-1,"")</f>
        <v/>
      </c>
      <c r="D194" s="29" t="str">
        <f aca="false">IFERROR(B194/B190-1,"")</f>
        <v/>
      </c>
      <c r="E194" s="31" t="str">
        <f aca="false">IFERROR(IF(AND(B194="",ISNUMBER($C$108),ISNUMBER($G$108)),$C$108*(1+$G$108)^(($A194-$E$108)/365.25),""),"")</f>
        <v/>
      </c>
      <c r="F194" s="31" t="str">
        <f aca="false">IFERROR(IF(AND(B194="",ISNUMBER($C$108),ISNUMBER($G$108)),$C$108*(1+$G$108*0.85^MAX(0,($A194-$E$108)/91.25))^(($A194-$E$108)/365.25),""),"")</f>
        <v/>
      </c>
    </row>
    <row r="195" customFormat="false" ht="15" hidden="false" customHeight="false" outlineLevel="0" collapsed="false">
      <c r="A195" s="15" t="n">
        <v>47119</v>
      </c>
      <c r="B195" s="20" t="str">
        <f aca="true">IFERROR(IF(IFERROR(INDEX(INDIRECT(Index!$M$18),MATCH(EDATE($A195,2),INDIRECT(Index!$L$18),0)),AVERAGEIFS(INDIRECT(Index!$M$18),INDIRECT(Index!$L$18),"&gt;="&amp;$A195,INDIRECT(Index!$L$18),"&lt;"&amp;EDATE($A195,3)))=0,"",IFERROR(INDEX(INDIRECT(Index!$M$18),MATCH(EDATE($A195,2),INDIRECT(Index!$L$18),0)),AVERAGEIFS(INDIRECT(Index!$M$18),INDIRECT(Index!$L$18),"&gt;="&amp;$A195,INDIRECT(Index!$L$18),"&lt;"&amp;EDATE($A195,3)))),"")</f>
        <v/>
      </c>
      <c r="C195" s="33" t="str">
        <f aca="false">IFERROR(B195/B194-1,"")</f>
        <v/>
      </c>
      <c r="D195" s="33" t="str">
        <f aca="false">IFERROR(B195/B191-1,"")</f>
        <v/>
      </c>
      <c r="E195" s="25" t="str">
        <f aca="false">IFERROR(IF(AND(B195="",ISNUMBER($C$108),ISNUMBER($G$108)),$C$108*(1+$G$108)^(($A195-$E$108)/365.25),""),"")</f>
        <v/>
      </c>
      <c r="F195" s="25" t="str">
        <f aca="false">IFERROR(IF(AND(B195="",ISNUMBER($C$108),ISNUMBER($G$108)),$C$108*(1+$G$108*0.85^MAX(0,($A195-$E$108)/91.25))^(($A195-$E$108)/365.25),""),"")</f>
        <v/>
      </c>
    </row>
    <row r="196" customFormat="false" ht="15" hidden="false" customHeight="false" outlineLevel="0" collapsed="false">
      <c r="A196" s="27" t="n">
        <v>47209</v>
      </c>
      <c r="B196" s="28" t="str">
        <f aca="true">IFERROR(IF(IFERROR(INDEX(INDIRECT(Index!$M$18),MATCH(EDATE($A196,2),INDIRECT(Index!$L$18),0)),AVERAGEIFS(INDIRECT(Index!$M$18),INDIRECT(Index!$L$18),"&gt;="&amp;$A196,INDIRECT(Index!$L$18),"&lt;"&amp;EDATE($A196,3)))=0,"",IFERROR(INDEX(INDIRECT(Index!$M$18),MATCH(EDATE($A196,2),INDIRECT(Index!$L$18),0)),AVERAGEIFS(INDIRECT(Index!$M$18),INDIRECT(Index!$L$18),"&gt;="&amp;$A196,INDIRECT(Index!$L$18),"&lt;"&amp;EDATE($A196,3)))),"")</f>
        <v/>
      </c>
      <c r="C196" s="29" t="str">
        <f aca="false">IFERROR(B196/B195-1,"")</f>
        <v/>
      </c>
      <c r="D196" s="29" t="str">
        <f aca="false">IFERROR(B196/B192-1,"")</f>
        <v/>
      </c>
      <c r="E196" s="31" t="str">
        <f aca="false">IFERROR(IF(AND(B196="",ISNUMBER($C$108),ISNUMBER($G$108)),$C$108*(1+$G$108)^(($A196-$E$108)/365.25),""),"")</f>
        <v/>
      </c>
      <c r="F196" s="31" t="str">
        <f aca="false">IFERROR(IF(AND(B196="",ISNUMBER($C$108),ISNUMBER($G$108)),$C$108*(1+$G$108*0.85^MAX(0,($A196-$E$108)/91.25))^(($A196-$E$108)/365.25),""),"")</f>
        <v/>
      </c>
    </row>
    <row r="197" customFormat="false" ht="15" hidden="false" customHeight="false" outlineLevel="0" collapsed="false">
      <c r="A197" s="15" t="n">
        <v>47300</v>
      </c>
      <c r="B197" s="20" t="str">
        <f aca="true">IFERROR(IF(IFERROR(INDEX(INDIRECT(Index!$M$18),MATCH(EDATE($A197,2),INDIRECT(Index!$L$18),0)),AVERAGEIFS(INDIRECT(Index!$M$18),INDIRECT(Index!$L$18),"&gt;="&amp;$A197,INDIRECT(Index!$L$18),"&lt;"&amp;EDATE($A197,3)))=0,"",IFERROR(INDEX(INDIRECT(Index!$M$18),MATCH(EDATE($A197,2),INDIRECT(Index!$L$18),0)),AVERAGEIFS(INDIRECT(Index!$M$18),INDIRECT(Index!$L$18),"&gt;="&amp;$A197,INDIRECT(Index!$L$18),"&lt;"&amp;EDATE($A197,3)))),"")</f>
        <v/>
      </c>
      <c r="C197" s="33" t="str">
        <f aca="false">IFERROR(B197/B196-1,"")</f>
        <v/>
      </c>
      <c r="D197" s="33" t="str">
        <f aca="false">IFERROR(B197/B193-1,"")</f>
        <v/>
      </c>
      <c r="E197" s="25" t="str">
        <f aca="false">IFERROR(IF(AND(B197="",ISNUMBER($C$108),ISNUMBER($G$108)),$C$108*(1+$G$108)^(($A197-$E$108)/365.25),""),"")</f>
        <v/>
      </c>
      <c r="F197" s="25" t="str">
        <f aca="false">IFERROR(IF(AND(B197="",ISNUMBER($C$108),ISNUMBER($G$108)),$C$108*(1+$G$108*0.85^MAX(0,($A197-$E$108)/91.25))^(($A197-$E$108)/365.25),""),"")</f>
        <v/>
      </c>
    </row>
    <row r="198" customFormat="false" ht="15" hidden="false" customHeight="false" outlineLevel="0" collapsed="false">
      <c r="A198" s="27" t="n">
        <v>47392</v>
      </c>
      <c r="B198" s="28" t="str">
        <f aca="true">IFERROR(IF(IFERROR(INDEX(INDIRECT(Index!$M$18),MATCH(EDATE($A198,2),INDIRECT(Index!$L$18),0)),AVERAGEIFS(INDIRECT(Index!$M$18),INDIRECT(Index!$L$18),"&gt;="&amp;$A198,INDIRECT(Index!$L$18),"&lt;"&amp;EDATE($A198,3)))=0,"",IFERROR(INDEX(INDIRECT(Index!$M$18),MATCH(EDATE($A198,2),INDIRECT(Index!$L$18),0)),AVERAGEIFS(INDIRECT(Index!$M$18),INDIRECT(Index!$L$18),"&gt;="&amp;$A198,INDIRECT(Index!$L$18),"&lt;"&amp;EDATE($A198,3)))),"")</f>
        <v/>
      </c>
      <c r="C198" s="29" t="str">
        <f aca="false">IFERROR(B198/B197-1,"")</f>
        <v/>
      </c>
      <c r="D198" s="29" t="str">
        <f aca="false">IFERROR(B198/B194-1,"")</f>
        <v/>
      </c>
      <c r="E198" s="31" t="str">
        <f aca="false">IFERROR(IF(AND(B198="",ISNUMBER($C$108),ISNUMBER($G$108)),$C$108*(1+$G$108)^(($A198-$E$108)/365.25),""),"")</f>
        <v/>
      </c>
      <c r="F198" s="31" t="str">
        <f aca="false">IFERROR(IF(AND(B198="",ISNUMBER($C$108),ISNUMBER($G$108)),$C$108*(1+$G$108*0.85^MAX(0,($A198-$E$108)/91.25))^(($A198-$E$108)/365.25),""),"")</f>
        <v/>
      </c>
    </row>
    <row r="199" customFormat="false" ht="15" hidden="false" customHeight="false" outlineLevel="0" collapsed="false">
      <c r="A199" s="15" t="n">
        <v>47484</v>
      </c>
      <c r="B199" s="20" t="str">
        <f aca="true">IFERROR(IF(IFERROR(INDEX(INDIRECT(Index!$M$18),MATCH(EDATE($A199,2),INDIRECT(Index!$L$18),0)),AVERAGEIFS(INDIRECT(Index!$M$18),INDIRECT(Index!$L$18),"&gt;="&amp;$A199,INDIRECT(Index!$L$18),"&lt;"&amp;EDATE($A199,3)))=0,"",IFERROR(INDEX(INDIRECT(Index!$M$18),MATCH(EDATE($A199,2),INDIRECT(Index!$L$18),0)),AVERAGEIFS(INDIRECT(Index!$M$18),INDIRECT(Index!$L$18),"&gt;="&amp;$A199,INDIRECT(Index!$L$18),"&lt;"&amp;EDATE($A199,3)))),"")</f>
        <v/>
      </c>
      <c r="C199" s="33" t="str">
        <f aca="false">IFERROR(B199/B198-1,"")</f>
        <v/>
      </c>
      <c r="D199" s="33" t="str">
        <f aca="false">IFERROR(B199/B195-1,"")</f>
        <v/>
      </c>
      <c r="E199" s="25" t="str">
        <f aca="false">IFERROR(IF(AND(B199="",ISNUMBER($C$108),ISNUMBER($G$108)),$C$108*(1+$G$108)^(($A199-$E$108)/365.25),""),"")</f>
        <v/>
      </c>
      <c r="F199" s="25" t="str">
        <f aca="false">IFERROR(IF(AND(B199="",ISNUMBER($C$108),ISNUMBER($G$108)),$C$108*(1+$G$108*0.85^MAX(0,($A199-$E$108)/91.25))^(($A199-$E$108)/365.25),""),"")</f>
        <v/>
      </c>
    </row>
    <row r="200" customFormat="false" ht="15" hidden="false" customHeight="false" outlineLevel="0" collapsed="false">
      <c r="A200" s="27" t="n">
        <v>47574</v>
      </c>
      <c r="B200" s="28" t="str">
        <f aca="true">IFERROR(IF(IFERROR(INDEX(INDIRECT(Index!$M$18),MATCH(EDATE($A200,2),INDIRECT(Index!$L$18),0)),AVERAGEIFS(INDIRECT(Index!$M$18),INDIRECT(Index!$L$18),"&gt;="&amp;$A200,INDIRECT(Index!$L$18),"&lt;"&amp;EDATE($A200,3)))=0,"",IFERROR(INDEX(INDIRECT(Index!$M$18),MATCH(EDATE($A200,2),INDIRECT(Index!$L$18),0)),AVERAGEIFS(INDIRECT(Index!$M$18),INDIRECT(Index!$L$18),"&gt;="&amp;$A200,INDIRECT(Index!$L$18),"&lt;"&amp;EDATE($A200,3)))),"")</f>
        <v/>
      </c>
      <c r="C200" s="29" t="str">
        <f aca="false">IFERROR(B200/B199-1,"")</f>
        <v/>
      </c>
      <c r="D200" s="29" t="str">
        <f aca="false">IFERROR(B200/B196-1,"")</f>
        <v/>
      </c>
      <c r="E200" s="31" t="str">
        <f aca="false">IFERROR(IF(AND(B200="",ISNUMBER($C$108),ISNUMBER($G$108)),$C$108*(1+$G$108)^(($A200-$E$108)/365.25),""),"")</f>
        <v/>
      </c>
      <c r="F200" s="31" t="str">
        <f aca="false">IFERROR(IF(AND(B200="",ISNUMBER($C$108),ISNUMBER($G$108)),$C$108*(1+$G$108*0.85^MAX(0,($A200-$E$108)/91.25))^(($A200-$E$108)/365.25),""),"")</f>
        <v/>
      </c>
    </row>
    <row r="201" customFormat="false" ht="15" hidden="false" customHeight="false" outlineLevel="0" collapsed="false">
      <c r="A201" s="15" t="n">
        <v>47665</v>
      </c>
      <c r="B201" s="20" t="str">
        <f aca="true">IFERROR(IF(IFERROR(INDEX(INDIRECT(Index!$M$18),MATCH(EDATE($A201,2),INDIRECT(Index!$L$18),0)),AVERAGEIFS(INDIRECT(Index!$M$18),INDIRECT(Index!$L$18),"&gt;="&amp;$A201,INDIRECT(Index!$L$18),"&lt;"&amp;EDATE($A201,3)))=0,"",IFERROR(INDEX(INDIRECT(Index!$M$18),MATCH(EDATE($A201,2),INDIRECT(Index!$L$18),0)),AVERAGEIFS(INDIRECT(Index!$M$18),INDIRECT(Index!$L$18),"&gt;="&amp;$A201,INDIRECT(Index!$L$18),"&lt;"&amp;EDATE($A201,3)))),"")</f>
        <v/>
      </c>
      <c r="C201" s="33" t="str">
        <f aca="false">IFERROR(B201/B200-1,"")</f>
        <v/>
      </c>
      <c r="D201" s="33" t="str">
        <f aca="false">IFERROR(B201/B197-1,"")</f>
        <v/>
      </c>
      <c r="E201" s="25" t="str">
        <f aca="false">IFERROR(IF(AND(B201="",ISNUMBER($C$108),ISNUMBER($G$108)),$C$108*(1+$G$108)^(($A201-$E$108)/365.25),""),"")</f>
        <v/>
      </c>
      <c r="F201" s="25" t="str">
        <f aca="false">IFERROR(IF(AND(B201="",ISNUMBER($C$108),ISNUMBER($G$108)),$C$108*(1+$G$108*0.85^MAX(0,($A201-$E$108)/91.25))^(($A201-$E$108)/365.25),""),"")</f>
        <v/>
      </c>
    </row>
    <row r="202" customFormat="false" ht="15" hidden="false" customHeight="false" outlineLevel="0" collapsed="false">
      <c r="A202" s="27" t="n">
        <v>47757</v>
      </c>
      <c r="B202" s="28" t="str">
        <f aca="true">IFERROR(IF(IFERROR(INDEX(INDIRECT(Index!$M$18),MATCH(EDATE($A202,2),INDIRECT(Index!$L$18),0)),AVERAGEIFS(INDIRECT(Index!$M$18),INDIRECT(Index!$L$18),"&gt;="&amp;$A202,INDIRECT(Index!$L$18),"&lt;"&amp;EDATE($A202,3)))=0,"",IFERROR(INDEX(INDIRECT(Index!$M$18),MATCH(EDATE($A202,2),INDIRECT(Index!$L$18),0)),AVERAGEIFS(INDIRECT(Index!$M$18),INDIRECT(Index!$L$18),"&gt;="&amp;$A202,INDIRECT(Index!$L$18),"&lt;"&amp;EDATE($A202,3)))),"")</f>
        <v/>
      </c>
      <c r="C202" s="29" t="str">
        <f aca="false">IFERROR(B202/B201-1,"")</f>
        <v/>
      </c>
      <c r="D202" s="29" t="str">
        <f aca="false">IFERROR(B202/B198-1,"")</f>
        <v/>
      </c>
      <c r="E202" s="31" t="str">
        <f aca="false">IFERROR(IF(AND(B202="",ISNUMBER($C$108),ISNUMBER($G$108)),$C$108*(1+$G$108)^(($A202-$E$108)/365.25),""),"")</f>
        <v/>
      </c>
      <c r="F202" s="31" t="str">
        <f aca="false">IFERROR(IF(AND(B202="",ISNUMBER($C$108),ISNUMBER($G$108)),$C$108*(1+$G$108*0.85^MAX(0,($A202-$E$108)/91.25))^(($A202-$E$108)/365.25),""),"")</f>
        <v/>
      </c>
    </row>
  </sheetData>
  <mergeCells count="11">
    <mergeCell ref="A2:N2"/>
    <mergeCell ref="A4:M4"/>
    <mergeCell ref="D5:H5"/>
    <mergeCell ref="B6:M6"/>
    <mergeCell ref="A8:F8"/>
    <mergeCell ref="J8:M8"/>
    <mergeCell ref="A105:M105"/>
    <mergeCell ref="D106:H106"/>
    <mergeCell ref="B107:M107"/>
    <mergeCell ref="A109:F109"/>
    <mergeCell ref="J109:M10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8"/>
    <col collapsed="false" customWidth="true" hidden="false" outlineLevel="0" max="3" min="3" style="0" width="16"/>
    <col collapsed="false" customWidth="true" hidden="false" outlineLevel="0" max="5" min="4" style="0" width="12"/>
    <col collapsed="false" customWidth="true" hidden="false" outlineLevel="0" max="6" min="6" style="0" width="18"/>
    <col collapsed="false" customWidth="true" hidden="false" outlineLevel="0" max="7" min="7" style="0" width="22"/>
  </cols>
  <sheetData>
    <row r="1" customFormat="false" ht="22.05" hidden="false" customHeight="false" outlineLevel="0" collapsed="false">
      <c r="A1" s="1" t="s">
        <v>126</v>
      </c>
    </row>
    <row r="2" customFormat="false" ht="15" hidden="false" customHeight="false" outlineLevel="0" collapsed="false">
      <c r="A2" s="6" t="s">
        <v>127</v>
      </c>
      <c r="B2" s="6"/>
      <c r="C2" s="6"/>
      <c r="D2" s="6"/>
      <c r="E2" s="6"/>
      <c r="F2" s="6"/>
      <c r="G2" s="6"/>
    </row>
    <row r="4" customFormat="false" ht="15" hidden="false" customHeight="false" outlineLevel="0" collapsed="false">
      <c r="A4" s="7" t="s">
        <v>33</v>
      </c>
      <c r="B4" s="7" t="s">
        <v>32</v>
      </c>
      <c r="C4" s="7" t="s">
        <v>128</v>
      </c>
      <c r="D4" s="7" t="s">
        <v>116</v>
      </c>
      <c r="E4" s="7" t="s">
        <v>117</v>
      </c>
      <c r="F4" s="7" t="s">
        <v>129</v>
      </c>
      <c r="G4" s="7" t="s">
        <v>130</v>
      </c>
    </row>
    <row r="5" customFormat="false" ht="15" hidden="false" customHeight="false" outlineLevel="0" collapsed="false">
      <c r="A5" s="8" t="s">
        <v>45</v>
      </c>
      <c r="B5" s="8" t="s">
        <v>44</v>
      </c>
      <c r="C5" s="20" t="str">
        <f aca="false">IFERROR(LOOKUP(2,1/(GDP!$B$10:$B$101&lt;&gt;""),GDP!$B$10:$B$101),"")</f>
        <v/>
      </c>
      <c r="D5" s="22" t="str">
        <f aca="false">IFERROR(LOOKUP(2,1/(GDP!$C$10:$C$101&lt;&gt;""),GDP!$C$10:$C$101),"")</f>
        <v/>
      </c>
      <c r="E5" s="22" t="str">
        <f aca="false">IFERROR(LOOKUP(2,1/(GDP!$D$10:$D$101&lt;&gt;""),GDP!$D$10:$D$101),"")</f>
        <v/>
      </c>
      <c r="F5" s="20" t="str">
        <f aca="false">IFERROR(GDP!$E$101,"")</f>
        <v/>
      </c>
      <c r="G5" s="12" t="str">
        <f aca="false">Index!$D$5&amp;"!"&amp;Index!$F$5</f>
        <v>Data_Quarterly!B</v>
      </c>
    </row>
    <row r="6" customFormat="false" ht="15" hidden="false" customHeight="false" outlineLevel="0" collapsed="false">
      <c r="A6" s="34" t="s">
        <v>45</v>
      </c>
      <c r="B6" s="34" t="s">
        <v>52</v>
      </c>
      <c r="C6" s="28" t="str">
        <f aca="false">IFERROR(LOOKUP(2,1/(GDP!$B$111:$B$202&lt;&gt;""),GDP!$B$111:$B$202),"")</f>
        <v/>
      </c>
      <c r="D6" s="35" t="str">
        <f aca="false">IFERROR(LOOKUP(2,1/(GDP!$C$111:$C$202&lt;&gt;""),GDP!$C$111:$C$202),"")</f>
        <v/>
      </c>
      <c r="E6" s="35" t="str">
        <f aca="false">IFERROR(LOOKUP(2,1/(GDP!$D$111:$D$202&lt;&gt;""),GDP!$D$111:$D$202),"")</f>
        <v/>
      </c>
      <c r="F6" s="28" t="str">
        <f aca="false">IFERROR(GDP!$E$202,"")</f>
        <v/>
      </c>
      <c r="G6" s="36" t="str">
        <f aca="false">Index!$D$6&amp;"!"&amp;Index!$F$6</f>
        <v>Data_Quarterly!C</v>
      </c>
    </row>
    <row r="7" customFormat="false" ht="15" hidden="false" customHeight="false" outlineLevel="0" collapsed="false">
      <c r="A7" s="8" t="s">
        <v>45</v>
      </c>
      <c r="B7" s="8" t="s">
        <v>55</v>
      </c>
      <c r="C7" s="20" t="str">
        <f aca="false">IFERROR(LOOKUP(2,1/(GDP!$B$212:$B$303&lt;&gt;""),GDP!$B$212:$B$303),"")</f>
        <v/>
      </c>
      <c r="D7" s="22" t="str">
        <f aca="false">IFERROR(LOOKUP(2,1/(GDP!$C$212:$C$303&lt;&gt;""),GDP!$C$212:$C$303),"")</f>
        <v/>
      </c>
      <c r="E7" s="22" t="str">
        <f aca="false">IFERROR(LOOKUP(2,1/(GDP!$D$212:$D$303&lt;&gt;""),GDP!$D$212:$D$303),"")</f>
        <v/>
      </c>
      <c r="F7" s="20" t="str">
        <f aca="false">IFERROR(GDP!$E$303,"")</f>
        <v/>
      </c>
      <c r="G7" s="12" t="str">
        <f aca="false">Index!$D$7&amp;"!"&amp;Index!$F$7</f>
        <v>Data_Monthly!B</v>
      </c>
    </row>
    <row r="8" customFormat="false" ht="15" hidden="false" customHeight="false" outlineLevel="0" collapsed="false">
      <c r="A8" s="34" t="s">
        <v>61</v>
      </c>
      <c r="B8" s="34" t="s">
        <v>60</v>
      </c>
      <c r="C8" s="28" t="str">
        <f aca="false">IFERROR(LOOKUP(2,1/(Inflation!$B$10:$B$101&lt;&gt;""),Inflation!$B$10:$B$101),"")</f>
        <v/>
      </c>
      <c r="D8" s="35" t="str">
        <f aca="false">IFERROR(LOOKUP(2,1/(Inflation!$C$10:$C$101&lt;&gt;""),Inflation!$C$10:$C$101),"")</f>
        <v/>
      </c>
      <c r="E8" s="35" t="str">
        <f aca="false">IFERROR(LOOKUP(2,1/(Inflation!$D$10:$D$101&lt;&gt;""),Inflation!$D$10:$D$101),"")</f>
        <v/>
      </c>
      <c r="F8" s="28" t="str">
        <f aca="false">IFERROR(Inflation!$E$101,"")</f>
        <v/>
      </c>
      <c r="G8" s="36" t="str">
        <f aca="false">Index!$D$8&amp;"!"&amp;Index!$F$8</f>
        <v>Data_Monthly!C</v>
      </c>
    </row>
    <row r="9" customFormat="false" ht="15" hidden="false" customHeight="false" outlineLevel="0" collapsed="false">
      <c r="A9" s="8" t="s">
        <v>61</v>
      </c>
      <c r="B9" s="8" t="s">
        <v>64</v>
      </c>
      <c r="C9" s="20" t="str">
        <f aca="false">IFERROR(LOOKUP(2,1/(Inflation!$B$111:$B$202&lt;&gt;""),Inflation!$B$111:$B$202),"")</f>
        <v/>
      </c>
      <c r="D9" s="22" t="str">
        <f aca="false">IFERROR(LOOKUP(2,1/(Inflation!$C$111:$C$202&lt;&gt;""),Inflation!$C$111:$C$202),"")</f>
        <v/>
      </c>
      <c r="E9" s="22" t="str">
        <f aca="false">IFERROR(LOOKUP(2,1/(Inflation!$D$111:$D$202&lt;&gt;""),Inflation!$D$111:$D$202),"")</f>
        <v/>
      </c>
      <c r="F9" s="20" t="str">
        <f aca="false">IFERROR(Inflation!$E$202,"")</f>
        <v/>
      </c>
      <c r="G9" s="12" t="str">
        <f aca="false">Index!$D$9&amp;"!"&amp;Index!$F$9</f>
        <v>Data_Monthly!D</v>
      </c>
    </row>
    <row r="10" customFormat="false" ht="15" hidden="false" customHeight="false" outlineLevel="0" collapsed="false">
      <c r="A10" s="34" t="s">
        <v>61</v>
      </c>
      <c r="B10" s="34" t="s">
        <v>67</v>
      </c>
      <c r="C10" s="28" t="str">
        <f aca="false">IFERROR(LOOKUP(2,1/(Inflation!$B$212:$B$303&lt;&gt;""),Inflation!$B$212:$B$303),"")</f>
        <v/>
      </c>
      <c r="D10" s="35" t="str">
        <f aca="false">IFERROR(LOOKUP(2,1/(Inflation!$C$212:$C$303&lt;&gt;""),Inflation!$C$212:$C$303),"")</f>
        <v/>
      </c>
      <c r="E10" s="35" t="str">
        <f aca="false">IFERROR(LOOKUP(2,1/(Inflation!$D$212:$D$303&lt;&gt;""),Inflation!$D$212:$D$303),"")</f>
        <v/>
      </c>
      <c r="F10" s="28" t="str">
        <f aca="false">IFERROR(Inflation!$E$303,"")</f>
        <v/>
      </c>
      <c r="G10" s="36" t="str">
        <f aca="false">Index!$D$10&amp;"!"&amp;Index!$F$10</f>
        <v>Data_Monthly!E</v>
      </c>
    </row>
    <row r="11" customFormat="false" ht="15" hidden="false" customHeight="false" outlineLevel="0" collapsed="false">
      <c r="A11" s="8" t="s">
        <v>70</v>
      </c>
      <c r="B11" s="8" t="s">
        <v>69</v>
      </c>
      <c r="C11" s="20" t="str">
        <f aca="false">IFERROR(LOOKUP(2,1/(Fiscal!$B$10:$B$101&lt;&gt;""),Fiscal!$B$10:$B$101),"")</f>
        <v/>
      </c>
      <c r="D11" s="22" t="str">
        <f aca="false">IFERROR(LOOKUP(2,1/(Fiscal!$C$10:$C$101&lt;&gt;""),Fiscal!$C$10:$C$101),"")</f>
        <v/>
      </c>
      <c r="E11" s="22" t="str">
        <f aca="false">IFERROR(LOOKUP(2,1/(Fiscal!$D$10:$D$101&lt;&gt;""),Fiscal!$D$10:$D$101),"")</f>
        <v/>
      </c>
      <c r="F11" s="20" t="str">
        <f aca="false">IFERROR(Fiscal!$E$101,"")</f>
        <v/>
      </c>
      <c r="G11" s="12" t="str">
        <f aca="false">Index!$D$11&amp;"!"&amp;Index!$F$11</f>
        <v>Data_Monthly!F</v>
      </c>
    </row>
    <row r="12" customFormat="false" ht="15" hidden="false" customHeight="false" outlineLevel="0" collapsed="false">
      <c r="A12" s="34" t="s">
        <v>70</v>
      </c>
      <c r="B12" s="34" t="s">
        <v>74</v>
      </c>
      <c r="C12" s="28" t="str">
        <f aca="false">IFERROR(LOOKUP(2,1/(Fiscal!$B$111:$B$202&lt;&gt;""),Fiscal!$B$111:$B$202),"")</f>
        <v/>
      </c>
      <c r="D12" s="35" t="str">
        <f aca="false">IFERROR(LOOKUP(2,1/(Fiscal!$C$111:$C$202&lt;&gt;""),Fiscal!$C$111:$C$202),"")</f>
        <v/>
      </c>
      <c r="E12" s="35" t="str">
        <f aca="false">IFERROR(LOOKUP(2,1/(Fiscal!$D$111:$D$202&lt;&gt;""),Fiscal!$D$111:$D$202),"")</f>
        <v/>
      </c>
      <c r="F12" s="28" t="str">
        <f aca="false">IFERROR(Fiscal!$E$202,"")</f>
        <v/>
      </c>
      <c r="G12" s="36" t="str">
        <f aca="false">Index!$D$12&amp;"!"&amp;Index!$F$12</f>
        <v>Data_Monthly!G</v>
      </c>
    </row>
    <row r="13" customFormat="false" ht="15" hidden="false" customHeight="false" outlineLevel="0" collapsed="false">
      <c r="A13" s="8" t="s">
        <v>70</v>
      </c>
      <c r="B13" s="8" t="s">
        <v>76</v>
      </c>
      <c r="C13" s="20" t="str">
        <f aca="false">IFERROR(LOOKUP(2,1/(Fiscal!$B$212:$B$303&lt;&gt;""),Fiscal!$B$212:$B$303),"")</f>
        <v/>
      </c>
      <c r="D13" s="22" t="str">
        <f aca="false">IFERROR(LOOKUP(2,1/(Fiscal!$C$212:$C$303&lt;&gt;""),Fiscal!$C$212:$C$303),"")</f>
        <v/>
      </c>
      <c r="E13" s="22" t="str">
        <f aca="false">IFERROR(LOOKUP(2,1/(Fiscal!$D$212:$D$303&lt;&gt;""),Fiscal!$D$212:$D$303),"")</f>
        <v/>
      </c>
      <c r="F13" s="20" t="str">
        <f aca="false">IFERROR(Fiscal!$E$303,"")</f>
        <v/>
      </c>
      <c r="G13" s="12" t="str">
        <f aca="false">Index!$D$13&amp;"!"&amp;Index!$F$13</f>
        <v>Data_Quarterly!D</v>
      </c>
    </row>
    <row r="14" customFormat="false" ht="15" hidden="false" customHeight="false" outlineLevel="0" collapsed="false">
      <c r="A14" s="34" t="s">
        <v>81</v>
      </c>
      <c r="B14" s="34" t="s">
        <v>80</v>
      </c>
      <c r="C14" s="28" t="str">
        <f aca="false">IFERROR(LOOKUP(2,1/(BoP!$B$10:$B$101&lt;&gt;""),BoP!$B$10:$B$101),"")</f>
        <v/>
      </c>
      <c r="D14" s="35" t="str">
        <f aca="false">IFERROR(LOOKUP(2,1/(BoP!$C$10:$C$101&lt;&gt;""),BoP!$C$10:$C$101),"")</f>
        <v/>
      </c>
      <c r="E14" s="35" t="str">
        <f aca="false">IFERROR(LOOKUP(2,1/(BoP!$D$10:$D$101&lt;&gt;""),BoP!$D$10:$D$101),"")</f>
        <v/>
      </c>
      <c r="F14" s="28" t="str">
        <f aca="false">IFERROR(BoP!$E$101,"")</f>
        <v/>
      </c>
      <c r="G14" s="36" t="str">
        <f aca="false">Index!$D$14&amp;"!"&amp;Index!$F$14</f>
        <v>Data_Quarterly!E</v>
      </c>
    </row>
    <row r="15" customFormat="false" ht="15" hidden="false" customHeight="false" outlineLevel="0" collapsed="false">
      <c r="A15" s="8" t="s">
        <v>81</v>
      </c>
      <c r="B15" s="8" t="s">
        <v>82</v>
      </c>
      <c r="C15" s="20" t="str">
        <f aca="false">IFERROR(LOOKUP(2,1/(BoP!$B$111:$B$202&lt;&gt;""),BoP!$B$111:$B$202),"")</f>
        <v/>
      </c>
      <c r="D15" s="22" t="str">
        <f aca="false">IFERROR(LOOKUP(2,1/(BoP!$C$111:$C$202&lt;&gt;""),BoP!$C$111:$C$202),"")</f>
        <v/>
      </c>
      <c r="E15" s="22" t="str">
        <f aca="false">IFERROR(LOOKUP(2,1/(BoP!$D$111:$D$202&lt;&gt;""),BoP!$D$111:$D$202),"")</f>
        <v/>
      </c>
      <c r="F15" s="20" t="str">
        <f aca="false">IFERROR(BoP!$E$202,"")</f>
        <v/>
      </c>
      <c r="G15" s="12" t="str">
        <f aca="false">Index!$D$15&amp;"!"&amp;Index!$F$15</f>
        <v>Data_Monthly!H</v>
      </c>
    </row>
    <row r="16" customFormat="false" ht="15" hidden="false" customHeight="false" outlineLevel="0" collapsed="false">
      <c r="A16" s="34" t="s">
        <v>81</v>
      </c>
      <c r="B16" s="34" t="s">
        <v>85</v>
      </c>
      <c r="C16" s="28" t="str">
        <f aca="false">IFERROR(LOOKUP(2,1/(BoP!$B$212:$B$303&lt;&gt;""),BoP!$B$212:$B$303),"")</f>
        <v/>
      </c>
      <c r="D16" s="35" t="str">
        <f aca="false">IFERROR(LOOKUP(2,1/(BoP!$C$212:$C$303&lt;&gt;""),BoP!$C$212:$C$303),"")</f>
        <v/>
      </c>
      <c r="E16" s="35" t="str">
        <f aca="false">IFERROR(LOOKUP(2,1/(BoP!$D$212:$D$303&lt;&gt;""),BoP!$D$212:$D$303),"")</f>
        <v/>
      </c>
      <c r="F16" s="28" t="str">
        <f aca="false">IFERROR(BoP!$E$303,"")</f>
        <v/>
      </c>
      <c r="G16" s="36" t="str">
        <f aca="false">Index!$D$16&amp;"!"&amp;Index!$F$16</f>
        <v>Data_Quarterly!F</v>
      </c>
    </row>
    <row r="17" customFormat="false" ht="15" hidden="false" customHeight="false" outlineLevel="0" collapsed="false">
      <c r="A17" s="8" t="s">
        <v>87</v>
      </c>
      <c r="B17" s="8" t="s">
        <v>86</v>
      </c>
      <c r="C17" s="20" t="str">
        <f aca="false">IFERROR(LOOKUP(2,1/(Reserves!$B$10:$B$101&lt;&gt;""),Reserves!$B$10:$B$101),"")</f>
        <v/>
      </c>
      <c r="D17" s="22" t="str">
        <f aca="false">IFERROR(LOOKUP(2,1/(Reserves!$C$10:$C$101&lt;&gt;""),Reserves!$C$10:$C$101),"")</f>
        <v/>
      </c>
      <c r="E17" s="22" t="str">
        <f aca="false">IFERROR(LOOKUP(2,1/(Reserves!$D$10:$D$101&lt;&gt;""),Reserves!$D$10:$D$101),"")</f>
        <v/>
      </c>
      <c r="F17" s="20" t="str">
        <f aca="false">IFERROR(Reserves!$E$101,"")</f>
        <v/>
      </c>
      <c r="G17" s="12" t="str">
        <f aca="false">Index!$D$17&amp;"!"&amp;Index!$F$17</f>
        <v>Data_Monthly!I</v>
      </c>
    </row>
    <row r="18" customFormat="false" ht="15" hidden="false" customHeight="false" outlineLevel="0" collapsed="false">
      <c r="A18" s="34" t="s">
        <v>87</v>
      </c>
      <c r="B18" s="34" t="s">
        <v>90</v>
      </c>
      <c r="C18" s="28" t="str">
        <f aca="false">IFERROR(LOOKUP(2,1/(Reserves!$B$111:$B$202&lt;&gt;""),Reserves!$B$111:$B$202),"")</f>
        <v/>
      </c>
      <c r="D18" s="35" t="str">
        <f aca="false">IFERROR(LOOKUP(2,1/(Reserves!$C$111:$C$202&lt;&gt;""),Reserves!$C$111:$C$202),"")</f>
        <v/>
      </c>
      <c r="E18" s="35" t="str">
        <f aca="false">IFERROR(LOOKUP(2,1/(Reserves!$D$111:$D$202&lt;&gt;""),Reserves!$D$111:$D$202),"")</f>
        <v/>
      </c>
      <c r="F18" s="28" t="str">
        <f aca="false">IFERROR(Reserves!$E$202,"")</f>
        <v/>
      </c>
      <c r="G18" s="36" t="str">
        <f aca="false">Index!$D$18&amp;"!"&amp;Index!$F$18</f>
        <v>Data_Monthly!J</v>
      </c>
    </row>
  </sheetData>
  <mergeCells count="1"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2026-05-03T22:13:58Z</dcterms:created>
  <dc:creator>openpyxl</dc:creator>
  <dc:description/>
  <dc:language>en-US</dc:language>
  <cp:lastModifiedBy/>
  <dcterms:modified xsi:type="dcterms:W3CDTF">2026-05-03T22:13:59Z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