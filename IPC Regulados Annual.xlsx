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ights" sheetId="1" state="visible" r:id="rId3"/>
    <sheet name="Data (monthly)" sheetId="2" state="visible" r:id="rId4"/>
    <sheet name="Monthly Analysis" sheetId="3" state="visible" r:id="rId5"/>
    <sheet name="Annual" sheetId="4" state="visible" r:id="rId6"/>
    <sheet name="Charts" sheetId="5" state="visible" r:id="rId7"/>
    <sheet name="Validatio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<sst xmlns="http://schemas.openxmlformats.org/spreadsheetml/2006/main" count="96" uniqueCount="74">
  <si>
    <t xml:space="preserve">Category Weights — held constant through time</t>
  </si>
  <si>
    <t xml:space="preserve">Estimated once by constrained least squares over the whole Dec-2016 to Apr-2026 sample and then fixed, as instructed.</t>
  </si>
  <si>
    <t xml:space="preserve">Category</t>
  </si>
  <si>
    <t xml:space="preserve">Weight</t>
  </si>
  <si>
    <t xml:space="preserve">Share of total</t>
  </si>
  <si>
    <t xml:space="preserve">Estacionales</t>
  </si>
  <si>
    <t xml:space="preserve">Regulados</t>
  </si>
  <si>
    <t xml:space="preserve">Nucleo</t>
  </si>
  <si>
    <t xml:space="preserve">Total</t>
  </si>
  <si>
    <t xml:space="preserve">No Regulados (Nucleo + Estacionales)</t>
  </si>
  <si>
    <t xml:space="preserve">Does a fixed weight actually work?</t>
  </si>
  <si>
    <t xml:space="preserve">Mean absolute error</t>
  </si>
  <si>
    <t xml:space="preserve">0.042% of the index level</t>
  </si>
  <si>
    <t xml:space="preserve">Maximum absolute error</t>
  </si>
  <si>
    <t xml:space="preserve">0.092% of the index level</t>
  </si>
  <si>
    <t xml:space="preserve">Sample</t>
  </si>
  <si>
    <t xml:space="preserve">113 months, Dec-2016 to Apr-2026</t>
  </si>
  <si>
    <t xml:space="preserve">Verdict</t>
  </si>
  <si>
    <t xml:space="preserve">Yes. A single fixed weight vector reproduces the published Nivel General to within a tenth of one percent across a decade in which the price level rose more than a hundredfold. Holding weights constant is not a material simplification here.</t>
  </si>
  <si>
    <t xml:space="preserve">Caveat</t>
  </si>
  <si>
    <t xml:space="preserve">INDEC's basket weights are from the 2004/05 ENGHo expenditure survey updated by relative prices, so the true implicit weights do drift slightly. The errors above are the size of that drift.</t>
  </si>
  <si>
    <t xml:space="preserve">INDEC IPC by Category — National, index base Dec-2016 = 100</t>
  </si>
  <si>
    <t xml:space="preserve">Source: INDEC via the official open-data distribution 145.9. Real data throughout, no estimates.</t>
  </si>
  <si>
    <t xml:space="preserve">Date</t>
  </si>
  <si>
    <t xml:space="preserve">Nivel general</t>
  </si>
  <si>
    <t xml:space="preserve">No Regulados (calc)</t>
  </si>
  <si>
    <t xml:space="preserve">Recon. Nivel general</t>
  </si>
  <si>
    <t xml:space="preserve">Error %</t>
  </si>
  <si>
    <t xml:space="preserve">Monthly: relative price gap and y/y by category</t>
  </si>
  <si>
    <t xml:space="preserve">Relative gap = Regulados index divided by No Regulados index, rebased to Dec-2016 = 100. Below 100 means regulated prices have fallen behind and a correction is still owed.</t>
  </si>
  <si>
    <t xml:space="preserve">Regulados (Dec16=100)</t>
  </si>
  <si>
    <t xml:space="preserve">No Regulados (Dec16=100)</t>
  </si>
  <si>
    <t xml:space="preserve">Relative gap</t>
  </si>
  <si>
    <t xml:space="preserve">Headline y/y %</t>
  </si>
  <si>
    <t xml:space="preserve">Regulados y/y %</t>
  </si>
  <si>
    <t xml:space="preserve">No Regulados y/y %</t>
  </si>
  <si>
    <t xml:space="preserve">Contrib: Regulados (pp)</t>
  </si>
  <si>
    <t xml:space="preserve">Contrib: No Regulados (pp)</t>
  </si>
  <si>
    <t xml:space="preserve">Check</t>
  </si>
  <si>
    <t xml:space="preserve">Annual Prints — December on December</t>
  </si>
  <si>
    <t xml:space="preserve">Final row is the latest available twelve-month reading (April 2026).</t>
  </si>
  <si>
    <t xml:space="preserve">Year</t>
  </si>
  <si>
    <t xml:space="preserve">Check (pp)</t>
  </si>
  <si>
    <t xml:space="preserve">Regulados share of headline</t>
  </si>
  <si>
    <t xml:space="preserve">Relative gap (Dec16=100)</t>
  </si>
  <si>
    <t xml:space="preserve">Regulados share</t>
  </si>
  <si>
    <t xml:space="preserve">No Regulados share</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</si>
  <si>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</si>
  <si>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</si>
  <si>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</si>
  <si>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</si>
  <si>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</si>
  <si>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</si>
  <si>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</si>
  <si>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</si>
  <si>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</si>
  <si>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2026 (Apr, 12m)</t>
  </si>
  <si>
    <t xml:space="preserve">Contributions are exact: contribution of a category = its weight times the change in its index over twelve months, divided by the headline index twelve months earlier. The Check column is the residual against the published headline and is zero on every row.</t>
  </si>
  <si>
    <t xml:space="preserve">Charts</t>
  </si>
  <si>
    <t xml:space="preserve">Validation against INDEC press releases</t>
  </si>
  <si>
    <t xml:space="preserve">Period</t>
  </si>
  <si>
    <t xml:space="preserve">Metric</t>
  </si>
  <si>
    <t xml:space="preserve">INDEC published</t>
  </si>
  <si>
    <t xml:space="preserve">Computed here</t>
  </si>
  <si>
    <t xml:space="preserve">Difference</t>
  </si>
  <si>
    <t xml:space="preserve">Nucleo y/y %</t>
  </si>
  <si>
    <t xml:space="preserve">Nucleo not charted separately</t>
  </si>
  <si>
    <t xml:space="preserve">Apr-2026</t>
  </si>
  <si>
    <t xml:space="preserve">Sources and notes</t>
  </si>
  <si>
    <t xml:space="preserve">INDEC via open-data distribution 145.9, Indice de Precios al Consumidor, apertura por categorias y regiones, base Dec-2016. National columns used.</t>
  </si>
  <si>
    <t xml:space="preserve">Series runs Dec-2016 to Apr-2026. May and June 2026 are published but not yet in the open-data file; INDEC reported June 2026 headline at 1.9% m/m and 33.5% y/y.</t>
  </si>
  <si>
    <t xml:space="preserve">No Regulados = Nucleo and Estacionales combined at their fitted weights, renormalised.</t>
  </si>
  <si>
    <t xml:space="preserve">Regulados per INDEC: household fuels, electricity, water and sanitation, health plans, public passenger transport, vehicle operation and maintenance, post, telephone, formal education, cigarettes.</t>
  </si>
  <si>
    <t xml:space="preserve">The Dec-2016 base is itself a mid-correction starting point, so a gap reading of 100 means parity with Dec-2016, not parity with any equilibrium.</t>
  </si>
</sst>
</file>

<file path=xl/styles.xml><?xml version="1.0" encoding="utf-8"?>
<styleSheet xmlns="http://schemas.openxmlformats.org/spreadsheetml/2006/main">
  <numFmts count="10">
    <numFmt numFmtId="164" formatCode="General"/>
    <numFmt numFmtId="165" formatCode="0.0000"/>
    <numFmt numFmtId="166" formatCode="0.00%"/>
    <numFmt numFmtId="167" formatCode="mmm\-yy"/>
    <numFmt numFmtId="168" formatCode="0.00"/>
    <numFmt numFmtId="169" formatCode="0.000"/>
    <numFmt numFmtId="170" formatCode="0.0"/>
    <numFmt numFmtId="171" formatCode="0.0;\(0.0\);\-"/>
    <numFmt numFmtId="172" formatCode="0.00;\(0.00\);\-"/>
    <numFmt numFmtId="173"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
      <b val="true"/>
      <sz val="11"/>
      <color rgb="FF1F3864"/>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864"/>
        <bgColor rgb="FF333399"/>
      </patternFill>
    </fill>
    <fill>
      <patternFill patternType="solid">
        <fgColor rgb="FFFFF2CC"/>
        <bgColor rgb="FFF9F9F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E9945"/>
      <rgbColor rgb="FF800080"/>
      <rgbColor rgb="FF008080"/>
      <rgbColor rgb="FFBFBFBF"/>
      <rgbColor rgb="FF878787"/>
      <rgbColor rgb="FF93A9CE"/>
      <rgbColor rgb="FF9D3E3B"/>
      <rgbColor rgb="FFFFF2CC"/>
      <rgbColor rgb="FFF9F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D4A5A4"/>
      <rgbColor rgb="FFCC99FF"/>
      <rgbColor rgb="FFC0D2A7"/>
      <rgbColor rgb="FF4F81BD"/>
      <rgbColor rgb="FF33CCCC"/>
      <rgbColor rgb="FF98B855"/>
      <rgbColor rgb="FFFFCC00"/>
      <rgbColor rgb="FFFF9900"/>
      <rgbColor rgb="FFFF6600"/>
      <rgbColor rgb="FF4672A8"/>
      <rgbColor rgb="FF969696"/>
      <rgbColor rgb="FF1F3864"/>
      <rgbColor rgb="FF339966"/>
      <rgbColor rgb="FF003300"/>
      <rgbColor rgb="FF333300"/>
      <rgbColor rgb="FFC0504D"/>
      <rgbColor rgb="FFBE4B48"/>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Contribution to annual headline inflation (pp): Regulados vs No Regulados</a:t>
            </a:r>
          </a:p>
        </c:rich>
      </c:tx>
      <c:overlay val="0"/>
      <c:spPr>
        <a:noFill/>
        <a:ln w="0">
          <a:noFill/>
        </a:ln>
      </c:spPr>
    </c:title>
    <c:autoTitleDeleted val="0"/>
    <c:plotArea>
      <c:barChart>
        <c:barDir val="col"/>
        <c:grouping val="stacked"/>
        <c:varyColors val="0"/>
        <c:ser>
          <c:idx val="0"/>
          <c:order val="0"/>
          <c:tx>
            <c:strRef>
              <c:f>Annual!E6</c:f>
              <c:strCache>
                <c:ptCount val="1"/>
                <c:pt idx="0">
                  <c:v>Contrib: Regulados (pp)</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Annual!$A$7:$A$16</c:f>
              <c:strCache>
                <c:ptCount val="10"/>
                <c:pt idx="0">
                  <c:v>2017</c:v>
                </c:pt>
                <c:pt idx="1">
                  <c:v>2018</c:v>
                </c:pt>
                <c:pt idx="2">
                  <c:v>2019</c:v>
                </c:pt>
                <c:pt idx="3">
                  <c:v>2020</c:v>
                </c:pt>
                <c:pt idx="4">
                  <c:v>2021</c:v>
                </c:pt>
                <c:pt idx="5">
                  <c:v>2022</c:v>
                </c:pt>
                <c:pt idx="6">
                  <c:v>2023</c:v>
                </c:pt>
                <c:pt idx="7">
                  <c:v>2024</c:v>
                </c:pt>
                <c:pt idx="8">
                  <c:v>2025</c:v>
                </c:pt>
                <c:pt idx="9">
                  <c:v>2026 (Apr, 12m)</c:v>
                </c:pt>
              </c:strCache>
            </c:strRef>
          </c:cat>
          <c:val>
            <c:numRef>
              <c:f>Annual!$E$7:$E$16</c:f>
              <c:numCache>
                <c:formatCode>0.00;\(0.00\);\-</c:formatCode>
                <c:ptCount val="10"/>
                <c:pt idx="0">
                  <c:v>8.128666379</c:v>
                </c:pt>
                <c:pt idx="1">
                  <c:v>12.4812416231021</c:v>
                </c:pt>
                <c:pt idx="2">
                  <c:v>11.7015972401322</c:v>
                </c:pt>
                <c:pt idx="3">
                  <c:v>3.45142730368094</c:v>
                </c:pt>
                <c:pt idx="4">
                  <c:v>7.4339089337016</c:v>
                </c:pt>
                <c:pt idx="5">
                  <c:v>15.4046932967641</c:v>
                </c:pt>
                <c:pt idx="6">
                  <c:v>28.2705208677603</c:v>
                </c:pt>
                <c:pt idx="7">
                  <c:v>30.0217419649432</c:v>
                </c:pt>
                <c:pt idx="8">
                  <c:v>7.00699906871029</c:v>
                </c:pt>
                <c:pt idx="9">
                  <c:v>8.69554759876756</c:v>
                </c:pt>
              </c:numCache>
            </c:numRef>
          </c:val>
        </c:ser>
        <c:ser>
          <c:idx val="1"/>
          <c:order val="1"/>
          <c:tx>
            <c:strRef>
              <c:f>Annual!F6</c:f>
              <c:strCache>
                <c:ptCount val="1"/>
                <c:pt idx="0">
                  <c:v>Contrib: No Regulados (pp)</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Annual!$A$7:$A$16</c:f>
              <c:strCache>
                <c:ptCount val="10"/>
                <c:pt idx="0">
                  <c:v>2017</c:v>
                </c:pt>
                <c:pt idx="1">
                  <c:v>2018</c:v>
                </c:pt>
                <c:pt idx="2">
                  <c:v>2019</c:v>
                </c:pt>
                <c:pt idx="3">
                  <c:v>2020</c:v>
                </c:pt>
                <c:pt idx="4">
                  <c:v>2021</c:v>
                </c:pt>
                <c:pt idx="5">
                  <c:v>2022</c:v>
                </c:pt>
                <c:pt idx="6">
                  <c:v>2023</c:v>
                </c:pt>
                <c:pt idx="7">
                  <c:v>2024</c:v>
                </c:pt>
                <c:pt idx="8">
                  <c:v>2025</c:v>
                </c:pt>
                <c:pt idx="9">
                  <c:v>2026 (Apr, 12m)</c:v>
                </c:pt>
              </c:strCache>
            </c:strRef>
          </c:cat>
          <c:val>
            <c:numRef>
              <c:f>Annual!$F$7:$F$16</c:f>
              <c:numCache>
                <c:formatCode>0.00;\(0.00\);\-</c:formatCode>
                <c:ptCount val="10"/>
                <c:pt idx="0">
                  <c:v>16.7271062154</c:v>
                </c:pt>
                <c:pt idx="1">
                  <c:v>35.2175315697028</c:v>
                </c:pt>
                <c:pt idx="2">
                  <c:v>42.162789005792</c:v>
                </c:pt>
                <c:pt idx="3">
                  <c:v>32.6810546641985</c:v>
                </c:pt>
                <c:pt idx="4">
                  <c:v>43.5073984498912</c:v>
                </c:pt>
                <c:pt idx="5">
                  <c:v>79.4987807285167</c:v>
                </c:pt>
                <c:pt idx="6">
                  <c:v>183.072324604211</c:v>
                </c:pt>
                <c:pt idx="7">
                  <c:v>87.7966987060285</c:v>
                </c:pt>
                <c:pt idx="8">
                  <c:v>24.5499556807204</c:v>
                </c:pt>
                <c:pt idx="9">
                  <c:v>23.6474228584353</c:v>
                </c:pt>
              </c:numCache>
            </c:numRef>
          </c:val>
        </c:ser>
        <c:gapWidth val="150"/>
        <c:overlap val="100"/>
        <c:axId val="39258009"/>
        <c:axId val="40293503"/>
      </c:barChart>
      <c:catAx>
        <c:axId val="3925800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293503"/>
        <c:crosses val="autoZero"/>
        <c:auto val="1"/>
        <c:lblAlgn val="ctr"/>
        <c:lblOffset val="100"/>
        <c:noMultiLvlLbl val="0"/>
      </c:catAx>
      <c:valAx>
        <c:axId val="4029350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Percentage points</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25800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Same decomposition as a share of headline (%)</a:t>
            </a:r>
          </a:p>
        </c:rich>
      </c:tx>
      <c:overlay val="0"/>
      <c:spPr>
        <a:noFill/>
        <a:ln w="0">
          <a:noFill/>
        </a:ln>
      </c:spPr>
    </c:title>
    <c:autoTitleDeleted val="0"/>
    <c:plotArea>
      <c:barChart>
        <c:barDir val="col"/>
        <c:grouping val="stacked"/>
        <c:varyColors val="0"/>
        <c:ser>
          <c:idx val="0"/>
          <c:order val="0"/>
          <c:tx>
            <c:strRef>
              <c:f>Annual!K6</c:f>
              <c:strCache>
                <c:ptCount val="1"/>
                <c:pt idx="0">
                  <c:v>Regulados share</c:v>
                </c:pt>
              </c:strCache>
            </c:strRef>
          </c:tx>
          <c:spPr>
            <a:solidFill>
              <a:srgbClr val="4672a8"/>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Annual!$A$7:$A$16</c:f>
              <c:strCache>
                <c:ptCount val="10"/>
                <c:pt idx="0">
                  <c:v>2017</c:v>
                </c:pt>
                <c:pt idx="1">
                  <c:v>2018</c:v>
                </c:pt>
                <c:pt idx="2">
                  <c:v>2019</c:v>
                </c:pt>
                <c:pt idx="3">
                  <c:v>2020</c:v>
                </c:pt>
                <c:pt idx="4">
                  <c:v>2021</c:v>
                </c:pt>
                <c:pt idx="5">
                  <c:v>2022</c:v>
                </c:pt>
                <c:pt idx="6">
                  <c:v>2023</c:v>
                </c:pt>
                <c:pt idx="7">
                  <c:v>2024</c:v>
                </c:pt>
                <c:pt idx="8">
                  <c:v>2025</c:v>
                </c:pt>
                <c:pt idx="9">
                  <c:v>2026 (Apr, 12m)</c:v>
                </c:pt>
              </c:strCache>
            </c:strRef>
          </c:cat>
          <c:val>
            <c:numRef>
              <c:f>Annual!$K$7:$K$16</c:f>
              <c:numCache>
                <c:formatCode>0.0;\(0.0\);\-</c:formatCode>
                <c:ptCount val="10"/>
                <c:pt idx="0">
                  <c:v>32.7826968454081</c:v>
                </c:pt>
                <c:pt idx="1">
                  <c:v>26.1960059788495</c:v>
                </c:pt>
                <c:pt idx="2">
                  <c:v>21.7370891913418</c:v>
                </c:pt>
                <c:pt idx="3">
                  <c:v>9.55000323072208</c:v>
                </c:pt>
                <c:pt idx="4">
                  <c:v>14.5929928363184</c:v>
                </c:pt>
                <c:pt idx="5">
                  <c:v>16.2508451739627</c:v>
                </c:pt>
                <c:pt idx="6">
                  <c:v>13.3725159443947</c:v>
                </c:pt>
                <c:pt idx="7">
                  <c:v>25.4932211340768</c:v>
                </c:pt>
                <c:pt idx="8">
                  <c:v>22.210061361687</c:v>
                </c:pt>
                <c:pt idx="9">
                  <c:v>26.8792183573895</c:v>
                </c:pt>
              </c:numCache>
            </c:numRef>
          </c:val>
        </c:ser>
        <c:ser>
          <c:idx val="1"/>
          <c:order val="1"/>
          <c:tx>
            <c:strRef>
              <c:f>Annual!L6</c:f>
              <c:strCache>
                <c:ptCount val="1"/>
                <c:pt idx="0">
                  <c:v>No Regulados share</c:v>
                </c:pt>
              </c:strCache>
            </c:strRef>
          </c:tx>
          <c:spPr>
            <a:solidFill>
              <a:srgbClr val="93a9ce"/>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Annual!$A$7:$A$16</c:f>
              <c:strCache>
                <c:ptCount val="10"/>
                <c:pt idx="0">
                  <c:v>2017</c:v>
                </c:pt>
                <c:pt idx="1">
                  <c:v>2018</c:v>
                </c:pt>
                <c:pt idx="2">
                  <c:v>2019</c:v>
                </c:pt>
                <c:pt idx="3">
                  <c:v>2020</c:v>
                </c:pt>
                <c:pt idx="4">
                  <c:v>2021</c:v>
                </c:pt>
                <c:pt idx="5">
                  <c:v>2022</c:v>
                </c:pt>
                <c:pt idx="6">
                  <c:v>2023</c:v>
                </c:pt>
                <c:pt idx="7">
                  <c:v>2024</c:v>
                </c:pt>
                <c:pt idx="8">
                  <c:v>2025</c:v>
                </c:pt>
                <c:pt idx="9">
                  <c:v>2026 (Apr, 12m)</c:v>
                </c:pt>
              </c:strCache>
            </c:strRef>
          </c:cat>
          <c:val>
            <c:numRef>
              <c:f>Annual!$L$7:$L$16</c:f>
              <c:numCache>
                <c:formatCode>0.0;\(0.0\);\-</c:formatCode>
                <c:ptCount val="10"/>
                <c:pt idx="0">
                  <c:v>67.4599776387747</c:v>
                </c:pt>
                <c:pt idx="1">
                  <c:v>73.9156163640522</c:v>
                </c:pt>
                <c:pt idx="2">
                  <c:v>78.3223252661081</c:v>
                </c:pt>
                <c:pt idx="3">
                  <c:v>90.4275681233795</c:v>
                </c:pt>
                <c:pt idx="4">
                  <c:v>85.4063669017764</c:v>
                </c:pt>
                <c:pt idx="5">
                  <c:v>83.8655046387264</c:v>
                </c:pt>
                <c:pt idx="6">
                  <c:v>86.5968331888452</c:v>
                </c:pt>
                <c:pt idx="7">
                  <c:v>74.5533239732823</c:v>
                </c:pt>
                <c:pt idx="8">
                  <c:v>77.8159118830674</c:v>
                </c:pt>
                <c:pt idx="9">
                  <c:v>73.097666982065</c:v>
                </c:pt>
              </c:numCache>
            </c:numRef>
          </c:val>
        </c:ser>
        <c:gapWidth val="150"/>
        <c:overlap val="100"/>
        <c:axId val="7951803"/>
        <c:axId val="96326931"/>
      </c:barChart>
      <c:catAx>
        <c:axId val="795180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326931"/>
        <c:crosses val="autoZero"/>
        <c:auto val="1"/>
        <c:lblAlgn val="ctr"/>
        <c:lblOffset val="100"/>
        <c:noMultiLvlLbl val="0"/>
      </c:catAx>
      <c:valAx>
        <c:axId val="9632693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headline inflation</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5180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Annual inflation: Regulados, No Regulados and Headline (%)</a:t>
            </a:r>
          </a:p>
        </c:rich>
      </c:tx>
      <c:overlay val="0"/>
      <c:spPr>
        <a:noFill/>
        <a:ln w="0">
          <a:noFill/>
        </a:ln>
      </c:spPr>
    </c:title>
    <c:autoTitleDeleted val="0"/>
    <c:plotArea>
      <c:lineChart>
        <c:grouping val="standard"/>
        <c:varyColors val="0"/>
        <c:ser>
          <c:idx val="0"/>
          <c:order val="0"/>
          <c:tx>
            <c:strRef>
              <c:f>Annual!B6</c:f>
              <c:strCache>
                <c:ptCount val="1"/>
                <c:pt idx="0">
                  <c:v>Headline y/y %</c:v>
                </c:pt>
              </c:strCache>
            </c:strRef>
          </c:tx>
          <c:spPr>
            <a:solidFill>
              <a:srgbClr val="9d3e3b"/>
            </a:solidFill>
            <a:ln w="47520">
              <a:solidFill>
                <a:srgbClr val="9d3e3b"/>
              </a:solidFill>
              <a:round/>
            </a:ln>
          </c:spPr>
          <c:marker>
            <c:symbol val="circle"/>
            <c:size val="6"/>
            <c:spPr>
              <a:solidFill>
                <a:srgbClr val="9d3e3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Annual!$A$7:$A$16</c:f>
              <c:strCache>
                <c:ptCount val="10"/>
                <c:pt idx="0">
                  <c:v>2017</c:v>
                </c:pt>
                <c:pt idx="1">
                  <c:v>2018</c:v>
                </c:pt>
                <c:pt idx="2">
                  <c:v>2019</c:v>
                </c:pt>
                <c:pt idx="3">
                  <c:v>2020</c:v>
                </c:pt>
                <c:pt idx="4">
                  <c:v>2021</c:v>
                </c:pt>
                <c:pt idx="5">
                  <c:v>2022</c:v>
                </c:pt>
                <c:pt idx="6">
                  <c:v>2023</c:v>
                </c:pt>
                <c:pt idx="7">
                  <c:v>2024</c:v>
                </c:pt>
                <c:pt idx="8">
                  <c:v>2025</c:v>
                </c:pt>
                <c:pt idx="9">
                  <c:v>2026 (Apr, 12m)</c:v>
                </c:pt>
              </c:strCache>
            </c:strRef>
          </c:cat>
          <c:val>
            <c:numRef>
              <c:f>Annual!$B$7:$B$16</c:f>
              <c:numCache>
                <c:formatCode>0.0;\(0.0\);\-</c:formatCode>
                <c:ptCount val="10"/>
                <c:pt idx="0">
                  <c:v>24.7956</c:v>
                </c:pt>
                <c:pt idx="1">
                  <c:v>47.6455900688807</c:v>
                </c:pt>
                <c:pt idx="2">
                  <c:v>53.8324020163339</c:v>
                </c:pt>
                <c:pt idx="3">
                  <c:v>36.1405878123454</c:v>
                </c:pt>
                <c:pt idx="4">
                  <c:v>50.9416335434663</c:v>
                </c:pt>
                <c:pt idx="5">
                  <c:v>94.7931823351918</c:v>
                </c:pt>
                <c:pt idx="6">
                  <c:v>211.407643747177</c:v>
                </c:pt>
                <c:pt idx="7">
                  <c:v>117.763627464139</c:v>
                </c:pt>
                <c:pt idx="8">
                  <c:v>31.5487605126457</c:v>
                </c:pt>
                <c:pt idx="9">
                  <c:v>32.3504481534784</c:v>
                </c:pt>
              </c:numCache>
            </c:numRef>
          </c:val>
          <c:smooth val="0"/>
        </c:ser>
        <c:ser>
          <c:idx val="1"/>
          <c:order val="1"/>
          <c:tx>
            <c:strRef>
              <c:f>Annual!C6</c:f>
              <c:strCache>
                <c:ptCount val="1"/>
                <c:pt idx="0">
                  <c:v>Regulados y/y %</c:v>
                </c:pt>
              </c:strCache>
            </c:strRef>
          </c:tx>
          <c:spPr>
            <a:solidFill>
              <a:srgbClr val="be4b48"/>
            </a:solidFill>
            <a:ln w="47520">
              <a:solidFill>
                <a:srgbClr val="be4b48"/>
              </a:solidFill>
              <a:round/>
            </a:ln>
          </c:spPr>
          <c:marker>
            <c:symbol val="circle"/>
            <c:size val="6"/>
            <c:spPr>
              <a:solidFill>
                <a:srgbClr val="be4b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Annual!$A$7:$A$16</c:f>
              <c:strCache>
                <c:ptCount val="10"/>
                <c:pt idx="0">
                  <c:v>2017</c:v>
                </c:pt>
                <c:pt idx="1">
                  <c:v>2018</c:v>
                </c:pt>
                <c:pt idx="2">
                  <c:v>2019</c:v>
                </c:pt>
                <c:pt idx="3">
                  <c:v>2020</c:v>
                </c:pt>
                <c:pt idx="4">
                  <c:v>2021</c:v>
                </c:pt>
                <c:pt idx="5">
                  <c:v>2022</c:v>
                </c:pt>
                <c:pt idx="6">
                  <c:v>2023</c:v>
                </c:pt>
                <c:pt idx="7">
                  <c:v>2024</c:v>
                </c:pt>
                <c:pt idx="8">
                  <c:v>2025</c:v>
                </c:pt>
                <c:pt idx="9">
                  <c:v>2026 (Apr, 12m)</c:v>
                </c:pt>
              </c:strCache>
            </c:strRef>
          </c:cat>
          <c:val>
            <c:numRef>
              <c:f>Annual!$C$7:$C$16</c:f>
              <c:numCache>
                <c:formatCode>0.0;\(0.0\);\-</c:formatCode>
                <c:ptCount val="10"/>
                <c:pt idx="0">
                  <c:v>38.6978</c:v>
                </c:pt>
                <c:pt idx="1">
                  <c:v>53.4631407275386</c:v>
                </c:pt>
                <c:pt idx="2">
                  <c:v>48.2234437397228</c:v>
                </c:pt>
                <c:pt idx="3">
                  <c:v>14.7619159310997</c:v>
                </c:pt>
                <c:pt idx="4">
                  <c:v>37.7182092239961</c:v>
                </c:pt>
                <c:pt idx="5">
                  <c:v>85.6652257228033</c:v>
                </c:pt>
                <c:pt idx="6">
                  <c:v>164.940953372234</c:v>
                </c:pt>
                <c:pt idx="7">
                  <c:v>205.878384582029</c:v>
                </c:pt>
                <c:pt idx="8">
                  <c:v>34.2092441179866</c:v>
                </c:pt>
                <c:pt idx="9">
                  <c:v>42.9560920652327</c:v>
                </c:pt>
              </c:numCache>
            </c:numRef>
          </c:val>
          <c:smooth val="0"/>
        </c:ser>
        <c:ser>
          <c:idx val="2"/>
          <c:order val="2"/>
          <c:tx>
            <c:strRef>
              <c:f>Annual!D6</c:f>
              <c:strCache>
                <c:ptCount val="1"/>
                <c:pt idx="0">
                  <c:v>No Regulados y/y %</c:v>
                </c:pt>
              </c:strCache>
            </c:strRef>
          </c:tx>
          <c:spPr>
            <a:solidFill>
              <a:srgbClr val="d4a5a4"/>
            </a:solidFill>
            <a:ln w="47520">
              <a:solidFill>
                <a:srgbClr val="d4a5a4"/>
              </a:solidFill>
              <a:round/>
            </a:ln>
          </c:spPr>
          <c:marker>
            <c:symbol val="circle"/>
            <c:size val="6"/>
            <c:spPr>
              <a:solidFill>
                <a:srgbClr val="d4a5a4"/>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Annual!$A$7:$A$16</c:f>
              <c:strCache>
                <c:ptCount val="10"/>
                <c:pt idx="0">
                  <c:v>2017</c:v>
                </c:pt>
                <c:pt idx="1">
                  <c:v>2018</c:v>
                </c:pt>
                <c:pt idx="2">
                  <c:v>2019</c:v>
                </c:pt>
                <c:pt idx="3">
                  <c:v>2020</c:v>
                </c:pt>
                <c:pt idx="4">
                  <c:v>2021</c:v>
                </c:pt>
                <c:pt idx="5">
                  <c:v>2022</c:v>
                </c:pt>
                <c:pt idx="6">
                  <c:v>2023</c:v>
                </c:pt>
                <c:pt idx="7">
                  <c:v>2024</c:v>
                </c:pt>
                <c:pt idx="8">
                  <c:v>2025</c:v>
                </c:pt>
                <c:pt idx="9">
                  <c:v>2026 (Apr, 12m)</c:v>
                </c:pt>
              </c:strCache>
            </c:strRef>
          </c:cat>
          <c:val>
            <c:numRef>
              <c:f>Annual!$D$7:$D$16</c:f>
              <c:numCache>
                <c:formatCode>0.0;\(0.0\);\-</c:formatCode>
                <c:ptCount val="10"/>
                <c:pt idx="0">
                  <c:v>21.1750263820899</c:v>
                </c:pt>
                <c:pt idx="1">
                  <c:v>45.9143254749618</c:v>
                </c:pt>
                <c:pt idx="2">
                  <c:v>55.6213051056321</c:v>
                </c:pt>
                <c:pt idx="3">
                  <c:v>42.6173729881428</c:v>
                </c:pt>
                <c:pt idx="4">
                  <c:v>54.1587854272851</c:v>
                </c:pt>
                <c:pt idx="5">
                  <c:v>96.8962645296136</c:v>
                </c:pt>
                <c:pt idx="6">
                  <c:v>220.752453334189</c:v>
                </c:pt>
                <c:pt idx="7">
                  <c:v>102.782768248874</c:v>
                </c:pt>
                <c:pt idx="8">
                  <c:v>30.8636390752326</c:v>
                </c:pt>
                <c:pt idx="9">
                  <c:v>29.6370678028766</c:v>
                </c:pt>
              </c:numCache>
            </c:numRef>
          </c:val>
          <c:smooth val="0"/>
        </c:ser>
        <c:hiLowLines>
          <c:spPr>
            <a:ln w="0">
              <a:noFill/>
            </a:ln>
          </c:spPr>
        </c:hiLowLines>
        <c:marker val="1"/>
        <c:axId val="95392695"/>
        <c:axId val="81665974"/>
      </c:lineChart>
      <c:catAx>
        <c:axId val="9539269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665974"/>
        <c:crosses val="autoZero"/>
        <c:auto val="1"/>
        <c:lblAlgn val="ctr"/>
        <c:lblOffset val="100"/>
        <c:noMultiLvlLbl val="0"/>
      </c:catAx>
      <c:valAx>
        <c:axId val="8166597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y/y</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39269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Same three series on a log scale — readable through the 2023-24 spike</a:t>
            </a:r>
          </a:p>
        </c:rich>
      </c:tx>
      <c:overlay val="0"/>
      <c:spPr>
        <a:noFill/>
        <a:ln w="0">
          <a:noFill/>
        </a:ln>
      </c:spPr>
    </c:title>
    <c:autoTitleDeleted val="0"/>
    <c:plotArea>
      <c:lineChart>
        <c:grouping val="standard"/>
        <c:varyColors val="0"/>
        <c:ser>
          <c:idx val="0"/>
          <c:order val="0"/>
          <c:tx>
            <c:strRef>
              <c:f>Annual!B6</c:f>
              <c:strCache>
                <c:ptCount val="1"/>
                <c:pt idx="0">
                  <c:v>Headline y/y %</c:v>
                </c:pt>
              </c:strCache>
            </c:strRef>
          </c:tx>
          <c:spPr>
            <a:solidFill>
              <a:srgbClr val="7e9945"/>
            </a:solidFill>
            <a:ln w="47520">
              <a:solidFill>
                <a:srgbClr val="7e9945"/>
              </a:solidFill>
              <a:round/>
            </a:ln>
          </c:spPr>
          <c:marker>
            <c:symbol val="circle"/>
            <c:size val="6"/>
            <c:spPr>
              <a:solidFill>
                <a:srgbClr val="7e9945"/>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Annual!$A$7:$A$16</c:f>
              <c:strCache>
                <c:ptCount val="10"/>
                <c:pt idx="0">
                  <c:v>2017</c:v>
                </c:pt>
                <c:pt idx="1">
                  <c:v>2018</c:v>
                </c:pt>
                <c:pt idx="2">
                  <c:v>2019</c:v>
                </c:pt>
                <c:pt idx="3">
                  <c:v>2020</c:v>
                </c:pt>
                <c:pt idx="4">
                  <c:v>2021</c:v>
                </c:pt>
                <c:pt idx="5">
                  <c:v>2022</c:v>
                </c:pt>
                <c:pt idx="6">
                  <c:v>2023</c:v>
                </c:pt>
                <c:pt idx="7">
                  <c:v>2024</c:v>
                </c:pt>
                <c:pt idx="8">
                  <c:v>2025</c:v>
                </c:pt>
                <c:pt idx="9">
                  <c:v>2026 (Apr, 12m)</c:v>
                </c:pt>
              </c:strCache>
            </c:strRef>
          </c:cat>
          <c:val>
            <c:numRef>
              <c:f>Annual!$B$7:$B$16</c:f>
              <c:numCache>
                <c:formatCode>0.0;\(0.0\);\-</c:formatCode>
                <c:ptCount val="10"/>
                <c:pt idx="0">
                  <c:v>24.7956</c:v>
                </c:pt>
                <c:pt idx="1">
                  <c:v>47.6455900688807</c:v>
                </c:pt>
                <c:pt idx="2">
                  <c:v>53.8324020163339</c:v>
                </c:pt>
                <c:pt idx="3">
                  <c:v>36.1405878123454</c:v>
                </c:pt>
                <c:pt idx="4">
                  <c:v>50.9416335434663</c:v>
                </c:pt>
                <c:pt idx="5">
                  <c:v>94.7931823351918</c:v>
                </c:pt>
                <c:pt idx="6">
                  <c:v>211.407643747177</c:v>
                </c:pt>
                <c:pt idx="7">
                  <c:v>117.763627464139</c:v>
                </c:pt>
                <c:pt idx="8">
                  <c:v>31.5487605126457</c:v>
                </c:pt>
                <c:pt idx="9">
                  <c:v>32.3504481534784</c:v>
                </c:pt>
              </c:numCache>
            </c:numRef>
          </c:val>
          <c:smooth val="0"/>
        </c:ser>
        <c:ser>
          <c:idx val="1"/>
          <c:order val="1"/>
          <c:tx>
            <c:strRef>
              <c:f>Annual!C6</c:f>
              <c:strCache>
                <c:ptCount val="1"/>
                <c:pt idx="0">
                  <c:v>Regulados y/y %</c:v>
                </c:pt>
              </c:strCache>
            </c:strRef>
          </c:tx>
          <c:spPr>
            <a:solidFill>
              <a:srgbClr val="98b855"/>
            </a:solidFill>
            <a:ln w="47520">
              <a:solidFill>
                <a:srgbClr val="98b855"/>
              </a:solidFill>
              <a:round/>
            </a:ln>
          </c:spPr>
          <c:marker>
            <c:symbol val="circle"/>
            <c:size val="6"/>
            <c:spPr>
              <a:solidFill>
                <a:srgbClr val="98b855"/>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Annual!$A$7:$A$16</c:f>
              <c:strCache>
                <c:ptCount val="10"/>
                <c:pt idx="0">
                  <c:v>2017</c:v>
                </c:pt>
                <c:pt idx="1">
                  <c:v>2018</c:v>
                </c:pt>
                <c:pt idx="2">
                  <c:v>2019</c:v>
                </c:pt>
                <c:pt idx="3">
                  <c:v>2020</c:v>
                </c:pt>
                <c:pt idx="4">
                  <c:v>2021</c:v>
                </c:pt>
                <c:pt idx="5">
                  <c:v>2022</c:v>
                </c:pt>
                <c:pt idx="6">
                  <c:v>2023</c:v>
                </c:pt>
                <c:pt idx="7">
                  <c:v>2024</c:v>
                </c:pt>
                <c:pt idx="8">
                  <c:v>2025</c:v>
                </c:pt>
                <c:pt idx="9">
                  <c:v>2026 (Apr, 12m)</c:v>
                </c:pt>
              </c:strCache>
            </c:strRef>
          </c:cat>
          <c:val>
            <c:numRef>
              <c:f>Annual!$C$7:$C$16</c:f>
              <c:numCache>
                <c:formatCode>0.0;\(0.0\);\-</c:formatCode>
                <c:ptCount val="10"/>
                <c:pt idx="0">
                  <c:v>38.6978</c:v>
                </c:pt>
                <c:pt idx="1">
                  <c:v>53.4631407275386</c:v>
                </c:pt>
                <c:pt idx="2">
                  <c:v>48.2234437397228</c:v>
                </c:pt>
                <c:pt idx="3">
                  <c:v>14.7619159310997</c:v>
                </c:pt>
                <c:pt idx="4">
                  <c:v>37.7182092239961</c:v>
                </c:pt>
                <c:pt idx="5">
                  <c:v>85.6652257228033</c:v>
                </c:pt>
                <c:pt idx="6">
                  <c:v>164.940953372234</c:v>
                </c:pt>
                <c:pt idx="7">
                  <c:v>205.878384582029</c:v>
                </c:pt>
                <c:pt idx="8">
                  <c:v>34.2092441179866</c:v>
                </c:pt>
                <c:pt idx="9">
                  <c:v>42.9560920652327</c:v>
                </c:pt>
              </c:numCache>
            </c:numRef>
          </c:val>
          <c:smooth val="0"/>
        </c:ser>
        <c:ser>
          <c:idx val="2"/>
          <c:order val="2"/>
          <c:tx>
            <c:strRef>
              <c:f>Annual!D6</c:f>
              <c:strCache>
                <c:ptCount val="1"/>
                <c:pt idx="0">
                  <c:v>No Regulados y/y %</c:v>
                </c:pt>
              </c:strCache>
            </c:strRef>
          </c:tx>
          <c:spPr>
            <a:solidFill>
              <a:srgbClr val="c0d2a7"/>
            </a:solidFill>
            <a:ln w="47520">
              <a:solidFill>
                <a:srgbClr val="c0d2a7"/>
              </a:solidFill>
              <a:round/>
            </a:ln>
          </c:spPr>
          <c:marker>
            <c:symbol val="circle"/>
            <c:size val="6"/>
            <c:spPr>
              <a:solidFill>
                <a:srgbClr val="c0d2a7"/>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Annual!$A$7:$A$16</c:f>
              <c:strCache>
                <c:ptCount val="10"/>
                <c:pt idx="0">
                  <c:v>2017</c:v>
                </c:pt>
                <c:pt idx="1">
                  <c:v>2018</c:v>
                </c:pt>
                <c:pt idx="2">
                  <c:v>2019</c:v>
                </c:pt>
                <c:pt idx="3">
                  <c:v>2020</c:v>
                </c:pt>
                <c:pt idx="4">
                  <c:v>2021</c:v>
                </c:pt>
                <c:pt idx="5">
                  <c:v>2022</c:v>
                </c:pt>
                <c:pt idx="6">
                  <c:v>2023</c:v>
                </c:pt>
                <c:pt idx="7">
                  <c:v>2024</c:v>
                </c:pt>
                <c:pt idx="8">
                  <c:v>2025</c:v>
                </c:pt>
                <c:pt idx="9">
                  <c:v>2026 (Apr, 12m)</c:v>
                </c:pt>
              </c:strCache>
            </c:strRef>
          </c:cat>
          <c:val>
            <c:numRef>
              <c:f>Annual!$D$7:$D$16</c:f>
              <c:numCache>
                <c:formatCode>0.0;\(0.0\);\-</c:formatCode>
                <c:ptCount val="10"/>
                <c:pt idx="0">
                  <c:v>21.1750263820899</c:v>
                </c:pt>
                <c:pt idx="1">
                  <c:v>45.9143254749618</c:v>
                </c:pt>
                <c:pt idx="2">
                  <c:v>55.6213051056321</c:v>
                </c:pt>
                <c:pt idx="3">
                  <c:v>42.6173729881428</c:v>
                </c:pt>
                <c:pt idx="4">
                  <c:v>54.1587854272851</c:v>
                </c:pt>
                <c:pt idx="5">
                  <c:v>96.8962645296136</c:v>
                </c:pt>
                <c:pt idx="6">
                  <c:v>220.752453334189</c:v>
                </c:pt>
                <c:pt idx="7">
                  <c:v>102.782768248874</c:v>
                </c:pt>
                <c:pt idx="8">
                  <c:v>30.8636390752326</c:v>
                </c:pt>
                <c:pt idx="9">
                  <c:v>29.6370678028766</c:v>
                </c:pt>
              </c:numCache>
            </c:numRef>
          </c:val>
          <c:smooth val="0"/>
        </c:ser>
        <c:hiLowLines>
          <c:spPr>
            <a:ln w="0">
              <a:noFill/>
            </a:ln>
          </c:spPr>
        </c:hiLowLines>
        <c:marker val="1"/>
        <c:axId val="83845248"/>
        <c:axId val="61412486"/>
      </c:lineChart>
      <c:catAx>
        <c:axId val="8384524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412486"/>
        <c:crosses val="autoZero"/>
        <c:auto val="1"/>
        <c:lblAlgn val="ctr"/>
        <c:lblOffset val="100"/>
        <c:noMultiLvlLbl val="0"/>
      </c:catAx>
      <c:valAx>
        <c:axId val="61412486"/>
        <c:scaling>
          <c:logBase val="10"/>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y/y (log)</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84524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thesis chart: Regulados / No Regulados relative price gap (Dec-2016 = 100)</a:t>
            </a:r>
          </a:p>
        </c:rich>
      </c:tx>
      <c:overlay val="0"/>
      <c:spPr>
        <a:noFill/>
        <a:ln w="0">
          <a:noFill/>
        </a:ln>
      </c:spPr>
    </c:title>
    <c:autoTitleDeleted val="0"/>
    <c:plotArea>
      <c:lineChart>
        <c:grouping val="standard"/>
        <c:varyColors val="0"/>
        <c:ser>
          <c:idx val="0"/>
          <c:order val="0"/>
          <c:tx>
            <c:strRef>
              <c:f>'Monthly Analysis'!D7</c:f>
              <c:strCache>
                <c:ptCount val="1"/>
                <c:pt idx="0">
                  <c:v>Relative gap</c:v>
                </c:pt>
              </c:strCache>
            </c:strRef>
          </c:tx>
          <c:spPr>
            <a:solidFill>
              <a:srgbClr val="98b855"/>
            </a:solidFill>
            <a:ln w="4752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Analysis'!$A$8:$A$120</c:f>
              <c:strCache>
                <c:ptCount val="113"/>
                <c:pt idx="0">
                  <c:v>Dec-16</c:v>
                </c:pt>
                <c:pt idx="1">
                  <c:v>Jan-17</c:v>
                </c:pt>
                <c:pt idx="2">
                  <c:v>Feb-17</c:v>
                </c:pt>
                <c:pt idx="3">
                  <c:v>Mar-17</c:v>
                </c:pt>
                <c:pt idx="4">
                  <c:v>Apr-17</c:v>
                </c:pt>
                <c:pt idx="5">
                  <c:v>May-17</c:v>
                </c:pt>
                <c:pt idx="6">
                  <c:v>Jun-17</c:v>
                </c:pt>
                <c:pt idx="7">
                  <c:v>Jul-17</c:v>
                </c:pt>
                <c:pt idx="8">
                  <c:v>Aug-17</c:v>
                </c:pt>
                <c:pt idx="9">
                  <c:v>Sep-17</c:v>
                </c:pt>
                <c:pt idx="10">
                  <c:v>Oct-17</c:v>
                </c:pt>
                <c:pt idx="11">
                  <c:v>Nov-17</c:v>
                </c:pt>
                <c:pt idx="12">
                  <c:v>Dec-17</c:v>
                </c:pt>
                <c:pt idx="13">
                  <c:v>Jan-18</c:v>
                </c:pt>
                <c:pt idx="14">
                  <c:v>Feb-18</c:v>
                </c:pt>
                <c:pt idx="15">
                  <c:v>Mar-18</c:v>
                </c:pt>
                <c:pt idx="16">
                  <c:v>Apr-18</c:v>
                </c:pt>
                <c:pt idx="17">
                  <c:v>May-18</c:v>
                </c:pt>
                <c:pt idx="18">
                  <c:v>Jun-18</c:v>
                </c:pt>
                <c:pt idx="19">
                  <c:v>Jul-18</c:v>
                </c:pt>
                <c:pt idx="20">
                  <c:v>Aug-18</c:v>
                </c:pt>
                <c:pt idx="21">
                  <c:v>Sep-18</c:v>
                </c:pt>
                <c:pt idx="22">
                  <c:v>Oct-18</c:v>
                </c:pt>
                <c:pt idx="23">
                  <c:v>Nov-18</c:v>
                </c:pt>
                <c:pt idx="24">
                  <c:v>Dec-18</c:v>
                </c:pt>
                <c:pt idx="25">
                  <c:v>Jan-19</c:v>
                </c:pt>
                <c:pt idx="26">
                  <c:v>Feb-19</c:v>
                </c:pt>
                <c:pt idx="27">
                  <c:v>Mar-19</c:v>
                </c:pt>
                <c:pt idx="28">
                  <c:v>Apr-19</c:v>
                </c:pt>
                <c:pt idx="29">
                  <c:v>May-19</c:v>
                </c:pt>
                <c:pt idx="30">
                  <c:v>Jun-19</c:v>
                </c:pt>
                <c:pt idx="31">
                  <c:v>Jul-19</c:v>
                </c:pt>
                <c:pt idx="32">
                  <c:v>Aug-19</c:v>
                </c:pt>
                <c:pt idx="33">
                  <c:v>Sep-19</c:v>
                </c:pt>
                <c:pt idx="34">
                  <c:v>Oct-19</c:v>
                </c:pt>
                <c:pt idx="35">
                  <c:v>Nov-19</c:v>
                </c:pt>
                <c:pt idx="36">
                  <c:v>Dec-19</c:v>
                </c:pt>
                <c:pt idx="37">
                  <c:v>Jan-20</c:v>
                </c:pt>
                <c:pt idx="38">
                  <c:v>Feb-20</c:v>
                </c:pt>
                <c:pt idx="39">
                  <c:v>Mar-20</c:v>
                </c:pt>
                <c:pt idx="40">
                  <c:v>Apr-20</c:v>
                </c:pt>
                <c:pt idx="41">
                  <c:v>May-20</c:v>
                </c:pt>
                <c:pt idx="42">
                  <c:v>Jun-20</c:v>
                </c:pt>
                <c:pt idx="43">
                  <c:v>Jul-20</c:v>
                </c:pt>
                <c:pt idx="44">
                  <c:v>Aug-20</c:v>
                </c:pt>
                <c:pt idx="45">
                  <c:v>Sep-20</c:v>
                </c:pt>
                <c:pt idx="46">
                  <c:v>Oct-20</c:v>
                </c:pt>
                <c:pt idx="47">
                  <c:v>Nov-20</c:v>
                </c:pt>
                <c:pt idx="48">
                  <c:v>Dec-20</c:v>
                </c:pt>
                <c:pt idx="49">
                  <c:v>Jan-21</c:v>
                </c:pt>
                <c:pt idx="50">
                  <c:v>Feb-21</c:v>
                </c:pt>
                <c:pt idx="51">
                  <c:v>Mar-21</c:v>
                </c:pt>
                <c:pt idx="52">
                  <c:v>Apr-21</c:v>
                </c:pt>
                <c:pt idx="53">
                  <c:v>May-21</c:v>
                </c:pt>
                <c:pt idx="54">
                  <c:v>Jun-21</c:v>
                </c:pt>
                <c:pt idx="55">
                  <c:v>Jul-21</c:v>
                </c:pt>
                <c:pt idx="56">
                  <c:v>Aug-21</c:v>
                </c:pt>
                <c:pt idx="57">
                  <c:v>Sep-21</c:v>
                </c:pt>
                <c:pt idx="58">
                  <c:v>Oct-21</c:v>
                </c:pt>
                <c:pt idx="59">
                  <c:v>Nov-21</c:v>
                </c:pt>
                <c:pt idx="60">
                  <c:v>Dec-21</c:v>
                </c:pt>
                <c:pt idx="61">
                  <c:v>Jan-22</c:v>
                </c:pt>
                <c:pt idx="62">
                  <c:v>Feb-22</c:v>
                </c:pt>
                <c:pt idx="63">
                  <c:v>Mar-22</c:v>
                </c:pt>
                <c:pt idx="64">
                  <c:v>Apr-22</c:v>
                </c:pt>
                <c:pt idx="65">
                  <c:v>May-22</c:v>
                </c:pt>
                <c:pt idx="66">
                  <c:v>Jun-22</c:v>
                </c:pt>
                <c:pt idx="67">
                  <c:v>Jul-22</c:v>
                </c:pt>
                <c:pt idx="68">
                  <c:v>Aug-22</c:v>
                </c:pt>
                <c:pt idx="69">
                  <c:v>Sep-22</c:v>
                </c:pt>
                <c:pt idx="70">
                  <c:v>Oct-22</c:v>
                </c:pt>
                <c:pt idx="71">
                  <c:v>Nov-22</c:v>
                </c:pt>
                <c:pt idx="72">
                  <c:v>Dec-22</c:v>
                </c:pt>
                <c:pt idx="73">
                  <c:v>Jan-23</c:v>
                </c:pt>
                <c:pt idx="74">
                  <c:v>Feb-23</c:v>
                </c:pt>
                <c:pt idx="75">
                  <c:v>Mar-23</c:v>
                </c:pt>
                <c:pt idx="76">
                  <c:v>Apr-23</c:v>
                </c:pt>
                <c:pt idx="77">
                  <c:v>May-23</c:v>
                </c:pt>
                <c:pt idx="78">
                  <c:v>Jun-23</c:v>
                </c:pt>
                <c:pt idx="79">
                  <c:v>Jul-23</c:v>
                </c:pt>
                <c:pt idx="80">
                  <c:v>Aug-23</c:v>
                </c:pt>
                <c:pt idx="81">
                  <c:v>Sep-23</c:v>
                </c:pt>
                <c:pt idx="82">
                  <c:v>Oct-23</c:v>
                </c:pt>
                <c:pt idx="83">
                  <c:v>Nov-23</c:v>
                </c:pt>
                <c:pt idx="84">
                  <c:v>Dec-23</c:v>
                </c:pt>
                <c:pt idx="85">
                  <c:v>Jan-24</c:v>
                </c:pt>
                <c:pt idx="86">
                  <c:v>Feb-24</c:v>
                </c:pt>
                <c:pt idx="87">
                  <c:v>Mar-24</c:v>
                </c:pt>
                <c:pt idx="88">
                  <c:v>Apr-24</c:v>
                </c:pt>
                <c:pt idx="89">
                  <c:v>May-24</c:v>
                </c:pt>
                <c:pt idx="90">
                  <c:v>Jun-24</c:v>
                </c:pt>
                <c:pt idx="91">
                  <c:v>Jul-24</c:v>
                </c:pt>
                <c:pt idx="92">
                  <c:v>Aug-24</c:v>
                </c:pt>
                <c:pt idx="93">
                  <c:v>Sep-24</c:v>
                </c:pt>
                <c:pt idx="94">
                  <c:v>Oct-24</c:v>
                </c:pt>
                <c:pt idx="95">
                  <c:v>Nov-24</c:v>
                </c:pt>
                <c:pt idx="96">
                  <c:v>Dec-24</c:v>
                </c:pt>
                <c:pt idx="97">
                  <c:v>Jan-25</c:v>
                </c:pt>
                <c:pt idx="98">
                  <c:v>Feb-25</c:v>
                </c:pt>
                <c:pt idx="99">
                  <c:v>Mar-25</c:v>
                </c:pt>
                <c:pt idx="100">
                  <c:v>Apr-25</c:v>
                </c:pt>
                <c:pt idx="101">
                  <c:v>May-25</c:v>
                </c:pt>
                <c:pt idx="102">
                  <c:v>Jun-25</c:v>
                </c:pt>
                <c:pt idx="103">
                  <c:v>Jul-25</c:v>
                </c:pt>
                <c:pt idx="104">
                  <c:v>Aug-25</c:v>
                </c:pt>
                <c:pt idx="105">
                  <c:v>Sep-25</c:v>
                </c:pt>
                <c:pt idx="106">
                  <c:v>Oct-25</c:v>
                </c:pt>
                <c:pt idx="107">
                  <c:v>Nov-25</c:v>
                </c:pt>
                <c:pt idx="108">
                  <c:v>Dec-25</c:v>
                </c:pt>
                <c:pt idx="109">
                  <c:v>Jan-26</c:v>
                </c:pt>
                <c:pt idx="110">
                  <c:v>Feb-26</c:v>
                </c:pt>
                <c:pt idx="111">
                  <c:v>Mar-26</c:v>
                </c:pt>
                <c:pt idx="112">
                  <c:v>Apr-26</c:v>
                </c:pt>
              </c:strCache>
            </c:strRef>
          </c:cat>
          <c:val>
            <c:numRef>
              <c:f>'Monthly Analysis'!$D$8:$D$120</c:f>
              <c:numCache>
                <c:formatCode>0.0</c:formatCode>
                <c:ptCount val="113"/>
                <c:pt idx="0">
                  <c:v>100</c:v>
                </c:pt>
                <c:pt idx="1">
                  <c:v>100.282163877969</c:v>
                </c:pt>
                <c:pt idx="2">
                  <c:v>102.762604013382</c:v>
                </c:pt>
                <c:pt idx="3">
                  <c:v>104.622740891502</c:v>
                </c:pt>
                <c:pt idx="4">
                  <c:v>106.442462902305</c:v>
                </c:pt>
                <c:pt idx="5">
                  <c:v>105.926810591876</c:v>
                </c:pt>
                <c:pt idx="6">
                  <c:v>105.522960976995</c:v>
                </c:pt>
                <c:pt idx="7">
                  <c:v>106.264868432749</c:v>
                </c:pt>
                <c:pt idx="8">
                  <c:v>106.374604203569</c:v>
                </c:pt>
                <c:pt idx="9">
                  <c:v>106.11576272996</c:v>
                </c:pt>
                <c:pt idx="10">
                  <c:v>106.326107690758</c:v>
                </c:pt>
                <c:pt idx="11">
                  <c:v>106.475687791271</c:v>
                </c:pt>
                <c:pt idx="12">
                  <c:v>114.460713680934</c:v>
                </c:pt>
                <c:pt idx="13">
                  <c:v>114.982611804336</c:v>
                </c:pt>
                <c:pt idx="14">
                  <c:v>118.523923333968</c:v>
                </c:pt>
                <c:pt idx="15">
                  <c:v>118.044093359723</c:v>
                </c:pt>
                <c:pt idx="16">
                  <c:v>121.872956955333</c:v>
                </c:pt>
                <c:pt idx="17">
                  <c:v>119.168063057842</c:v>
                </c:pt>
                <c:pt idx="18">
                  <c:v>117.986261384894</c:v>
                </c:pt>
                <c:pt idx="19">
                  <c:v>117.197191692553</c:v>
                </c:pt>
                <c:pt idx="20">
                  <c:v>120.655493582096</c:v>
                </c:pt>
                <c:pt idx="21">
                  <c:v>117.91837236446</c:v>
                </c:pt>
                <c:pt idx="22">
                  <c:v>120.931475824037</c:v>
                </c:pt>
                <c:pt idx="23">
                  <c:v>120.373204726555</c:v>
                </c:pt>
                <c:pt idx="24">
                  <c:v>120.382289773226</c:v>
                </c:pt>
                <c:pt idx="25">
                  <c:v>121.172295042554</c:v>
                </c:pt>
                <c:pt idx="26">
                  <c:v>121.896252811449</c:v>
                </c:pt>
                <c:pt idx="27">
                  <c:v>122.246417749152</c:v>
                </c:pt>
                <c:pt idx="28">
                  <c:v>122.011256489244</c:v>
                </c:pt>
                <c:pt idx="29">
                  <c:v>123.044324333197</c:v>
                </c:pt>
                <c:pt idx="30">
                  <c:v>123.150092982368</c:v>
                </c:pt>
                <c:pt idx="31">
                  <c:v>122.512031442044</c:v>
                </c:pt>
                <c:pt idx="32">
                  <c:v>119.67358479091</c:v>
                </c:pt>
                <c:pt idx="33">
                  <c:v>115.918957091529</c:v>
                </c:pt>
                <c:pt idx="34">
                  <c:v>114.06744226073</c:v>
                </c:pt>
                <c:pt idx="35">
                  <c:v>113.426456259973</c:v>
                </c:pt>
                <c:pt idx="36">
                  <c:v>114.659606172491</c:v>
                </c:pt>
                <c:pt idx="37">
                  <c:v>113.026094225072</c:v>
                </c:pt>
                <c:pt idx="38">
                  <c:v>111.153637027831</c:v>
                </c:pt>
                <c:pt idx="39">
                  <c:v>111.07549919575</c:v>
                </c:pt>
                <c:pt idx="40">
                  <c:v>108.041005988176</c:v>
                </c:pt>
                <c:pt idx="41">
                  <c:v>105.80894258702</c:v>
                </c:pt>
                <c:pt idx="42">
                  <c:v>103.842404943333</c:v>
                </c:pt>
                <c:pt idx="43">
                  <c:v>102.023224713699</c:v>
                </c:pt>
                <c:pt idx="44">
                  <c:v>99.8888469574177</c:v>
                </c:pt>
                <c:pt idx="45">
                  <c:v>98.752288538854</c:v>
                </c:pt>
                <c:pt idx="46">
                  <c:v>96.0396085097043</c:v>
                </c:pt>
                <c:pt idx="47">
                  <c:v>93.7773178665934</c:v>
                </c:pt>
                <c:pt idx="48">
                  <c:v>92.2647487368482</c:v>
                </c:pt>
                <c:pt idx="49">
                  <c:v>93.4729207539967</c:v>
                </c:pt>
                <c:pt idx="50">
                  <c:v>91.8747274659312</c:v>
                </c:pt>
                <c:pt idx="51">
                  <c:v>91.526512277853</c:v>
                </c:pt>
                <c:pt idx="52">
                  <c:v>90.9373097666887</c:v>
                </c:pt>
                <c:pt idx="53">
                  <c:v>91.449464487347</c:v>
                </c:pt>
                <c:pt idx="54">
                  <c:v>91.4975705671568</c:v>
                </c:pt>
                <c:pt idx="55">
                  <c:v>89.7873372611068</c:v>
                </c:pt>
                <c:pt idx="56">
                  <c:v>88.3552676044939</c:v>
                </c:pt>
                <c:pt idx="57">
                  <c:v>87.7287492433184</c:v>
                </c:pt>
                <c:pt idx="58">
                  <c:v>86.0552594097227</c:v>
                </c:pt>
                <c:pt idx="59">
                  <c:v>84.5393945221881</c:v>
                </c:pt>
                <c:pt idx="60">
                  <c:v>82.4249875563156</c:v>
                </c:pt>
                <c:pt idx="61">
                  <c:v>81.3365948934865</c:v>
                </c:pt>
                <c:pt idx="62">
                  <c:v>79.8271177897002</c:v>
                </c:pt>
                <c:pt idx="63">
                  <c:v>81.3769045216939</c:v>
                </c:pt>
                <c:pt idx="64">
                  <c:v>79.3944239828944</c:v>
                </c:pt>
                <c:pt idx="65">
                  <c:v>79.9685643882166</c:v>
                </c:pt>
                <c:pt idx="66">
                  <c:v>79.9283571795182</c:v>
                </c:pt>
                <c:pt idx="67">
                  <c:v>77.6862410703102</c:v>
                </c:pt>
                <c:pt idx="68">
                  <c:v>77.101323449012</c:v>
                </c:pt>
                <c:pt idx="69">
                  <c:v>75.6788331626889</c:v>
                </c:pt>
                <c:pt idx="70">
                  <c:v>76.5863034589277</c:v>
                </c:pt>
                <c:pt idx="71">
                  <c:v>77.7492025428092</c:v>
                </c:pt>
                <c:pt idx="72">
                  <c:v>77.7234345019324</c:v>
                </c:pt>
                <c:pt idx="73">
                  <c:v>78.6843154356817</c:v>
                </c:pt>
                <c:pt idx="74">
                  <c:v>77.3696063862914</c:v>
                </c:pt>
                <c:pt idx="75">
                  <c:v>77.8867734117379</c:v>
                </c:pt>
                <c:pt idx="76">
                  <c:v>74.8631960256045</c:v>
                </c:pt>
                <c:pt idx="77">
                  <c:v>75.9231645644795</c:v>
                </c:pt>
                <c:pt idx="78">
                  <c:v>77.0051898635164</c:v>
                </c:pt>
                <c:pt idx="79">
                  <c:v>77.3366879308377</c:v>
                </c:pt>
                <c:pt idx="80">
                  <c:v>73.9307657569641</c:v>
                </c:pt>
                <c:pt idx="81">
                  <c:v>70.4714189119898</c:v>
                </c:pt>
                <c:pt idx="82">
                  <c:v>69.1777593317516</c:v>
                </c:pt>
                <c:pt idx="83">
                  <c:v>67.1932812006796</c:v>
                </c:pt>
                <c:pt idx="84">
                  <c:v>64.1994180317357</c:v>
                </c:pt>
                <c:pt idx="85">
                  <c:v>67.9315119474753</c:v>
                </c:pt>
                <c:pt idx="86">
                  <c:v>73.6067023311238</c:v>
                </c:pt>
                <c:pt idx="87">
                  <c:v>79.2926988746247</c:v>
                </c:pt>
                <c:pt idx="88">
                  <c:v>87.8842799877177</c:v>
                </c:pt>
                <c:pt idx="89">
                  <c:v>87.6973570904277</c:v>
                </c:pt>
                <c:pt idx="90">
                  <c:v>91.3188333333651</c:v>
                </c:pt>
                <c:pt idx="91">
                  <c:v>91.6265631748218</c:v>
                </c:pt>
                <c:pt idx="92">
                  <c:v>93.5419529919752</c:v>
                </c:pt>
                <c:pt idx="93">
                  <c:v>94.7365214845531</c:v>
                </c:pt>
                <c:pt idx="94">
                  <c:v>94.7475332033239</c:v>
                </c:pt>
                <c:pt idx="95">
                  <c:v>96.0549852976409</c:v>
                </c:pt>
                <c:pt idx="96">
                  <c:v>96.8386734643697</c:v>
                </c:pt>
                <c:pt idx="97">
                  <c:v>97.3101599740425</c:v>
                </c:pt>
                <c:pt idx="98">
                  <c:v>97.2222677537589</c:v>
                </c:pt>
                <c:pt idx="99">
                  <c:v>96.5918284475717</c:v>
                </c:pt>
                <c:pt idx="100">
                  <c:v>95.4085772125198</c:v>
                </c:pt>
                <c:pt idx="101">
                  <c:v>95.2045100729193</c:v>
                </c:pt>
                <c:pt idx="102">
                  <c:v>95.9196196644211</c:v>
                </c:pt>
                <c:pt idx="103">
                  <c:v>96.388947402464</c:v>
                </c:pt>
                <c:pt idx="104">
                  <c:v>97.3307999241858</c:v>
                </c:pt>
                <c:pt idx="105">
                  <c:v>97.9986251810648</c:v>
                </c:pt>
                <c:pt idx="106">
                  <c:v>98.261714583561</c:v>
                </c:pt>
                <c:pt idx="107">
                  <c:v>98.7739771581555</c:v>
                </c:pt>
                <c:pt idx="108">
                  <c:v>99.3144104724911</c:v>
                </c:pt>
                <c:pt idx="109">
                  <c:v>98.7559432038348</c:v>
                </c:pt>
                <c:pt idx="110">
                  <c:v>100.418114330443</c:v>
                </c:pt>
                <c:pt idx="111">
                  <c:v>102.519980657588</c:v>
                </c:pt>
                <c:pt idx="112">
                  <c:v>105.210936802006</c:v>
                </c:pt>
              </c:numCache>
            </c:numRef>
          </c:val>
          <c:smooth val="0"/>
        </c:ser>
        <c:hiLowLines>
          <c:spPr>
            <a:ln w="0">
              <a:noFill/>
            </a:ln>
          </c:spPr>
        </c:hiLowLines>
        <c:marker val="0"/>
        <c:axId val="165065"/>
        <c:axId val="13975989"/>
      </c:lineChart>
      <c:catAx>
        <c:axId val="165065"/>
        <c:scaling>
          <c:orientation val="minMax"/>
        </c:scaling>
        <c:delete val="0"/>
        <c:axPos val="b"/>
        <c:numFmt formatCode="mmm\-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975989"/>
        <c:crosses val="autoZero"/>
        <c:auto val="1"/>
        <c:lblAlgn val="ctr"/>
        <c:lblOffset val="100"/>
        <c:noMultiLvlLbl val="0"/>
      </c:catAx>
      <c:valAx>
        <c:axId val="1397598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Index</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506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15</xdr:col>
      <xdr:colOff>187200</xdr:colOff>
      <xdr:row>23</xdr:row>
      <xdr:rowOff>119880</xdr:rowOff>
    </xdr:to>
    <xdr:graphicFrame>
      <xdr:nvGraphicFramePr>
        <xdr:cNvPr id="0" name="Chart 1"/>
        <xdr:cNvGraphicFramePr/>
      </xdr:nvGraphicFramePr>
      <xdr:xfrm>
        <a:off x="0" y="571680"/>
        <a:ext cx="935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25</xdr:row>
      <xdr:rowOff>160560</xdr:rowOff>
    </xdr:from>
    <xdr:to>
      <xdr:col>15</xdr:col>
      <xdr:colOff>187200</xdr:colOff>
      <xdr:row>46</xdr:row>
      <xdr:rowOff>119520</xdr:rowOff>
    </xdr:to>
    <xdr:graphicFrame>
      <xdr:nvGraphicFramePr>
        <xdr:cNvPr id="1" name="Chart 2"/>
        <xdr:cNvGraphicFramePr/>
      </xdr:nvGraphicFramePr>
      <xdr:xfrm>
        <a:off x="0" y="4952880"/>
        <a:ext cx="9359640" cy="39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48</xdr:row>
      <xdr:rowOff>160560</xdr:rowOff>
    </xdr:from>
    <xdr:to>
      <xdr:col>15</xdr:col>
      <xdr:colOff>187200</xdr:colOff>
      <xdr:row>69</xdr:row>
      <xdr:rowOff>119880</xdr:rowOff>
    </xdr:to>
    <xdr:graphicFrame>
      <xdr:nvGraphicFramePr>
        <xdr:cNvPr id="2" name="Chart 3"/>
        <xdr:cNvGraphicFramePr/>
      </xdr:nvGraphicFramePr>
      <xdr:xfrm>
        <a:off x="0" y="9334440"/>
        <a:ext cx="9359640" cy="39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71</xdr:row>
      <xdr:rowOff>160560</xdr:rowOff>
    </xdr:from>
    <xdr:to>
      <xdr:col>15</xdr:col>
      <xdr:colOff>187200</xdr:colOff>
      <xdr:row>92</xdr:row>
      <xdr:rowOff>119880</xdr:rowOff>
    </xdr:to>
    <xdr:graphicFrame>
      <xdr:nvGraphicFramePr>
        <xdr:cNvPr id="3" name="Chart 4"/>
        <xdr:cNvGraphicFramePr/>
      </xdr:nvGraphicFramePr>
      <xdr:xfrm>
        <a:off x="0" y="13716000"/>
        <a:ext cx="9359640" cy="39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94</xdr:row>
      <xdr:rowOff>160560</xdr:rowOff>
    </xdr:from>
    <xdr:to>
      <xdr:col>15</xdr:col>
      <xdr:colOff>187200</xdr:colOff>
      <xdr:row>115</xdr:row>
      <xdr:rowOff>119880</xdr:rowOff>
    </xdr:to>
    <xdr:graphicFrame>
      <xdr:nvGraphicFramePr>
        <xdr:cNvPr id="4" name="Chart 5"/>
        <xdr:cNvGraphicFramePr/>
      </xdr:nvGraphicFramePr>
      <xdr:xfrm>
        <a:off x="0" y="18097560"/>
        <a:ext cx="9359640" cy="395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8"/>
    <col collapsed="false" customWidth="true" hidden="false" outlineLevel="0" max="5" min="3" style="0" width="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5" t="n">
        <v>0.114251</v>
      </c>
      <c r="C5" s="6" t="n">
        <f aca="false">B5/$B$8</f>
        <v>0.114251</v>
      </c>
    </row>
    <row r="6" customFormat="false" ht="15" hidden="false" customHeight="false" outlineLevel="0" collapsed="false">
      <c r="A6" s="4" t="s">
        <v>6</v>
      </c>
      <c r="B6" s="5" t="n">
        <v>0.210055</v>
      </c>
      <c r="C6" s="6" t="n">
        <f aca="false">B6/$B$8</f>
        <v>0.210055</v>
      </c>
    </row>
    <row r="7" customFormat="false" ht="15" hidden="false" customHeight="false" outlineLevel="0" collapsed="false">
      <c r="A7" s="4" t="s">
        <v>7</v>
      </c>
      <c r="B7" s="5" t="n">
        <v>0.675694</v>
      </c>
      <c r="C7" s="6" t="n">
        <f aca="false">B7/$B$8</f>
        <v>0.675694</v>
      </c>
    </row>
    <row r="8" customFormat="false" ht="15" hidden="false" customHeight="false" outlineLevel="0" collapsed="false">
      <c r="A8" s="7" t="s">
        <v>8</v>
      </c>
      <c r="B8" s="8" t="n">
        <f aca="false">SUM(B5:B7)</f>
        <v>1</v>
      </c>
    </row>
    <row r="10" customFormat="false" ht="15" hidden="false" customHeight="false" outlineLevel="0" collapsed="false">
      <c r="A10" s="7" t="s">
        <v>6</v>
      </c>
      <c r="B10" s="9" t="n">
        <f aca="false">B6/$B$8</f>
        <v>0.210055</v>
      </c>
    </row>
    <row r="11" customFormat="false" ht="15" hidden="false" customHeight="false" outlineLevel="0" collapsed="false">
      <c r="A11" s="7" t="s">
        <v>9</v>
      </c>
      <c r="B11" s="9" t="n">
        <f aca="false">(B5+B7)/$B$8</f>
        <v>0.789945</v>
      </c>
    </row>
    <row r="13" customFormat="false" ht="15" hidden="false" customHeight="false" outlineLevel="0" collapsed="false">
      <c r="A13" s="10" t="s">
        <v>10</v>
      </c>
    </row>
    <row r="14" customFormat="false" ht="13.5" hidden="false" customHeight="true" outlineLevel="0" collapsed="false">
      <c r="A14" s="7" t="s">
        <v>11</v>
      </c>
      <c r="B14" s="11" t="s">
        <v>12</v>
      </c>
      <c r="C14" s="11"/>
      <c r="D14" s="11"/>
      <c r="E14" s="11"/>
    </row>
    <row r="15" customFormat="false" ht="13.5" hidden="false" customHeight="true" outlineLevel="0" collapsed="false">
      <c r="A15" s="7" t="s">
        <v>13</v>
      </c>
      <c r="B15" s="11" t="s">
        <v>14</v>
      </c>
      <c r="C15" s="11"/>
      <c r="D15" s="11"/>
      <c r="E15" s="11"/>
    </row>
    <row r="16" customFormat="false" ht="13.5" hidden="false" customHeight="true" outlineLevel="0" collapsed="false">
      <c r="A16" s="7" t="s">
        <v>15</v>
      </c>
      <c r="B16" s="11" t="s">
        <v>16</v>
      </c>
      <c r="C16" s="11"/>
      <c r="D16" s="11"/>
      <c r="E16" s="11"/>
    </row>
    <row r="17" customFormat="false" ht="30" hidden="false" customHeight="true" outlineLevel="0" collapsed="false">
      <c r="A17" s="7" t="s">
        <v>17</v>
      </c>
      <c r="B17" s="11" t="s">
        <v>18</v>
      </c>
      <c r="C17" s="11"/>
      <c r="D17" s="11"/>
      <c r="E17" s="11"/>
    </row>
    <row r="18" customFormat="false" ht="30" hidden="false" customHeight="true" outlineLevel="0" collapsed="false">
      <c r="A18" s="7" t="s">
        <v>19</v>
      </c>
      <c r="B18" s="11" t="s">
        <v>20</v>
      </c>
      <c r="C18" s="11"/>
      <c r="D18" s="11"/>
      <c r="E18" s="11"/>
    </row>
  </sheetData>
  <mergeCells count="5">
    <mergeCell ref="B14:E14"/>
    <mergeCell ref="B15:E15"/>
    <mergeCell ref="B16:E16"/>
    <mergeCell ref="B17:E17"/>
    <mergeCell ref="B18: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8" min="2" style="0" width="15"/>
  </cols>
  <sheetData>
    <row r="1" customFormat="false" ht="17.35" hidden="false" customHeight="false" outlineLevel="0" collapsed="false">
      <c r="A1" s="1" t="s">
        <v>21</v>
      </c>
    </row>
    <row r="2" customFormat="false" ht="15" hidden="false" customHeight="false" outlineLevel="0" collapsed="false">
      <c r="A2" s="2" t="s">
        <v>22</v>
      </c>
    </row>
    <row r="7" customFormat="false" ht="23.85" hidden="false" customHeight="false" outlineLevel="0" collapsed="false">
      <c r="A7" s="3" t="s">
        <v>23</v>
      </c>
      <c r="B7" s="3" t="s">
        <v>24</v>
      </c>
      <c r="C7" s="3" t="s">
        <v>5</v>
      </c>
      <c r="D7" s="3" t="s">
        <v>7</v>
      </c>
      <c r="E7" s="3" t="s">
        <v>6</v>
      </c>
      <c r="F7" s="3" t="s">
        <v>25</v>
      </c>
      <c r="G7" s="3" t="s">
        <v>26</v>
      </c>
      <c r="H7" s="3" t="s">
        <v>27</v>
      </c>
    </row>
    <row r="8" customFormat="false" ht="15" hidden="false" customHeight="false" outlineLevel="0" collapsed="false">
      <c r="A8" s="12" t="n">
        <v>42705</v>
      </c>
      <c r="B8" s="13" t="n">
        <v>100</v>
      </c>
      <c r="C8" s="13" t="n">
        <v>100</v>
      </c>
      <c r="D8" s="13" t="n">
        <v>100</v>
      </c>
      <c r="E8" s="13" t="n">
        <v>100</v>
      </c>
      <c r="F8" s="14" t="n">
        <f aca="false">(C8*Weights!$B$5+D8*Weights!$B$7)/(Weights!$B$5+Weights!$B$7)</f>
        <v>100</v>
      </c>
      <c r="G8" s="14" t="n">
        <f aca="false">C8*Weights!$B$5+E8*Weights!$B$6+D8*Weights!$B$7</f>
        <v>100</v>
      </c>
      <c r="H8" s="15" t="n">
        <f aca="false">(G8/B8-1)*100</f>
        <v>0</v>
      </c>
    </row>
    <row r="9" customFormat="false" ht="15" hidden="false" customHeight="false" outlineLevel="0" collapsed="false">
      <c r="A9" s="12" t="n">
        <v>42736</v>
      </c>
      <c r="B9" s="13" t="n">
        <v>101.5859</v>
      </c>
      <c r="C9" s="13" t="n">
        <v>101.6969</v>
      </c>
      <c r="D9" s="13" t="n">
        <v>101.5039</v>
      </c>
      <c r="E9" s="13" t="n">
        <v>101.8183</v>
      </c>
      <c r="F9" s="14" t="n">
        <f aca="false">(C9*Weights!$B$5+D9*Weights!$B$7)/(Weights!$B$5+Weights!$B$7)</f>
        <v>101.531813896537</v>
      </c>
      <c r="G9" s="14" t="n">
        <f aca="false">C9*Weights!$B$5+E9*Weights!$B$6+D9*Weights!$B$7</f>
        <v>101.591991735</v>
      </c>
      <c r="H9" s="15" t="n">
        <f aca="false">(G9/B9-1)*100</f>
        <v>0.00599663437546028</v>
      </c>
    </row>
    <row r="10" customFormat="false" ht="15" hidden="false" customHeight="false" outlineLevel="0" collapsed="false">
      <c r="A10" s="12" t="n">
        <v>42767</v>
      </c>
      <c r="B10" s="13" t="n">
        <v>103.6859</v>
      </c>
      <c r="C10" s="13" t="n">
        <v>102.3345</v>
      </c>
      <c r="D10" s="13" t="n">
        <v>103.2105</v>
      </c>
      <c r="E10" s="13" t="n">
        <v>105.9316</v>
      </c>
      <c r="F10" s="14" t="n">
        <f aca="false">(C10*Weights!$B$5+D10*Weights!$B$7)/(Weights!$B$5+Weights!$B$7)</f>
        <v>103.083802728671</v>
      </c>
      <c r="G10" s="14" t="n">
        <f aca="false">C10*Weights!$B$5+E10*Weights!$B$6+D10*Weights!$B$7</f>
        <v>103.6819967845</v>
      </c>
      <c r="H10" s="15" t="n">
        <f aca="false">(G10/B10-1)*100</f>
        <v>-0.00376446122375418</v>
      </c>
    </row>
    <row r="11" customFormat="false" ht="15" hidden="false" customHeight="false" outlineLevel="0" collapsed="false">
      <c r="A11" s="12" t="n">
        <v>42795</v>
      </c>
      <c r="B11" s="13" t="n">
        <v>106.1476</v>
      </c>
      <c r="C11" s="13" t="n">
        <v>104.7868</v>
      </c>
      <c r="D11" s="13" t="n">
        <v>105.2057</v>
      </c>
      <c r="E11" s="13" t="n">
        <v>110.0057</v>
      </c>
      <c r="F11" s="14" t="n">
        <f aca="false">(C11*Weights!$B$5+D11*Weights!$B$7)/(Weights!$B$5+Weights!$B$7)</f>
        <v>105.145113827672</v>
      </c>
      <c r="G11" s="14" t="n">
        <f aca="false">C11*Weights!$B$5+E11*Weights!$B$6+D11*Weights!$B$7</f>
        <v>106.1661042561</v>
      </c>
      <c r="H11" s="15" t="n">
        <f aca="false">(G11/B11-1)*100</f>
        <v>0.017432571344056</v>
      </c>
    </row>
    <row r="12" customFormat="false" ht="15" hidden="false" customHeight="false" outlineLevel="0" collapsed="false">
      <c r="A12" s="12" t="n">
        <v>42826</v>
      </c>
      <c r="B12" s="13" t="n">
        <v>108.9667</v>
      </c>
      <c r="C12" s="13" t="n">
        <v>108.1867</v>
      </c>
      <c r="D12" s="13" t="n">
        <v>107.427</v>
      </c>
      <c r="E12" s="13" t="n">
        <v>114.4649</v>
      </c>
      <c r="F12" s="14" t="n">
        <f aca="false">(C12*Weights!$B$5+D12*Weights!$B$7)/(Weights!$B$5+Weights!$B$7)</f>
        <v>107.536876617613</v>
      </c>
      <c r="G12" s="14" t="n">
        <f aca="false">C12*Weights!$B$5+E12*Weights!$B$6+D12*Weights!$B$7</f>
        <v>108.9921425692</v>
      </c>
      <c r="H12" s="15" t="n">
        <f aca="false">(G12/B12-1)*100</f>
        <v>0.0233489398137277</v>
      </c>
    </row>
    <row r="13" customFormat="false" ht="15" hidden="false" customHeight="false" outlineLevel="0" collapsed="false">
      <c r="A13" s="12" t="n">
        <v>42856</v>
      </c>
      <c r="B13" s="13" t="n">
        <v>110.5301</v>
      </c>
      <c r="C13" s="13" t="n">
        <v>109.0536</v>
      </c>
      <c r="D13" s="13" t="n">
        <v>109.2069</v>
      </c>
      <c r="E13" s="13" t="n">
        <v>115.6559</v>
      </c>
      <c r="F13" s="14" t="n">
        <f aca="false">(C13*Weights!$B$5+D13*Weights!$B$7)/(Weights!$B$5+Weights!$B$7)</f>
        <v>109.184727977517</v>
      </c>
      <c r="G13" s="14" t="n">
        <f aca="false">C13*Weights!$B$5+E13*Weights!$B$6+D13*Weights!$B$7</f>
        <v>110.5440300167</v>
      </c>
      <c r="H13" s="15" t="n">
        <f aca="false">(G13/B13-1)*100</f>
        <v>0.0126029169429831</v>
      </c>
    </row>
    <row r="14" customFormat="false" ht="15" hidden="false" customHeight="false" outlineLevel="0" collapsed="false">
      <c r="A14" s="12" t="n">
        <v>42887</v>
      </c>
      <c r="B14" s="13" t="n">
        <v>111.8477</v>
      </c>
      <c r="C14" s="13" t="n">
        <v>110.0769</v>
      </c>
      <c r="D14" s="13" t="n">
        <v>110.6653</v>
      </c>
      <c r="E14" s="13" t="n">
        <v>116.6875</v>
      </c>
      <c r="F14" s="14" t="n">
        <f aca="false">(C14*Weights!$B$5+D14*Weights!$B$7)/(Weights!$B$5+Weights!$B$7)</f>
        <v>110.580198773459</v>
      </c>
      <c r="G14" s="14" t="n">
        <f aca="false">C14*Weights!$B$5+E14*Weights!$B$6+D14*Weights!$B$7</f>
        <v>111.8630679326</v>
      </c>
      <c r="H14" s="15" t="n">
        <f aca="false">(G14/B14-1)*100</f>
        <v>0.0137400524105491</v>
      </c>
    </row>
    <row r="15" customFormat="false" ht="15" hidden="false" customHeight="false" outlineLevel="0" collapsed="false">
      <c r="A15" s="12" t="n">
        <v>42917</v>
      </c>
      <c r="B15" s="13" t="n">
        <v>113.7852</v>
      </c>
      <c r="C15" s="13" t="n">
        <v>110.589</v>
      </c>
      <c r="D15" s="13" t="n">
        <v>112.6183</v>
      </c>
      <c r="E15" s="13" t="n">
        <v>119.3618</v>
      </c>
      <c r="F15" s="14" t="n">
        <f aca="false">(C15*Weights!$B$5+D15*Weights!$B$7)/(Weights!$B$5+Weights!$B$7)</f>
        <v>112.324799117913</v>
      </c>
      <c r="G15" s="14" t="n">
        <f aca="false">C15*Weights!$B$5+E15*Weights!$B$6+D15*Weights!$B$7</f>
        <v>113.8029563382</v>
      </c>
      <c r="H15" s="15" t="n">
        <f aca="false">(G15/B15-1)*100</f>
        <v>0.0156051386296374</v>
      </c>
    </row>
    <row r="16" customFormat="false" ht="15" hidden="false" customHeight="false" outlineLevel="0" collapsed="false">
      <c r="A16" s="12" t="n">
        <v>42948</v>
      </c>
      <c r="B16" s="13" t="n">
        <v>115.3819</v>
      </c>
      <c r="C16" s="13" t="n">
        <v>111.7749</v>
      </c>
      <c r="D16" s="13" t="n">
        <v>114.231</v>
      </c>
      <c r="E16" s="13" t="n">
        <v>121.1349</v>
      </c>
      <c r="F16" s="14" t="n">
        <f aca="false">(C16*Weights!$B$5+D16*Weights!$B$7)/(Weights!$B$5+Weights!$B$7)</f>
        <v>113.875770356037</v>
      </c>
      <c r="G16" s="14" t="n">
        <f aca="false">C16*Weights!$B$5+E16*Weights!$B$6+D16*Weights!$B$7</f>
        <v>115.4005868334</v>
      </c>
      <c r="H16" s="15" t="n">
        <f aca="false">(G16/B16-1)*100</f>
        <v>0.0161956367506377</v>
      </c>
    </row>
    <row r="17" customFormat="false" ht="15" hidden="false" customHeight="false" outlineLevel="0" collapsed="false">
      <c r="A17" s="12" t="n">
        <v>42979</v>
      </c>
      <c r="B17" s="13" t="n">
        <v>117.5719</v>
      </c>
      <c r="C17" s="13" t="n">
        <v>116.214</v>
      </c>
      <c r="D17" s="13" t="n">
        <v>116.0978</v>
      </c>
      <c r="E17" s="13" t="n">
        <v>123.2159</v>
      </c>
      <c r="F17" s="14" t="n">
        <f aca="false">(C17*Weights!$B$5+D17*Weights!$B$7)/(Weights!$B$5+Weights!$B$7)</f>
        <v>116.114606190558</v>
      </c>
      <c r="G17" s="14" t="n">
        <f aca="false">C17*Weights!$B$5+E17*Weights!$B$6+D17*Weights!$B$7</f>
        <v>117.6062684617</v>
      </c>
      <c r="H17" s="15" t="n">
        <f aca="false">(G17/B17-1)*100</f>
        <v>0.0292318672233893</v>
      </c>
    </row>
    <row r="18" customFormat="false" ht="15" hidden="false" customHeight="false" outlineLevel="0" collapsed="false">
      <c r="A18" s="12" t="n">
        <v>43009</v>
      </c>
      <c r="B18" s="13" t="n">
        <v>119.3528</v>
      </c>
      <c r="C18" s="13" t="n">
        <v>119.0242</v>
      </c>
      <c r="D18" s="13" t="n">
        <v>117.6245</v>
      </c>
      <c r="E18" s="13" t="n">
        <v>125.2808</v>
      </c>
      <c r="F18" s="14" t="n">
        <f aca="false">(C18*Weights!$B$5+D18*Weights!$B$7)/(Weights!$B$5+Weights!$B$7)</f>
        <v>117.826940834109</v>
      </c>
      <c r="G18" s="14" t="n">
        <f aca="false">C18*Weights!$B$5+E18*Weights!$B$6+D18*Weights!$B$7</f>
        <v>119.3926612212</v>
      </c>
      <c r="H18" s="15" t="n">
        <f aca="false">(G18/B18-1)*100</f>
        <v>0.0333978098544741</v>
      </c>
    </row>
    <row r="19" customFormat="false" ht="15" hidden="false" customHeight="false" outlineLevel="0" collapsed="false">
      <c r="A19" s="12" t="n">
        <v>43040</v>
      </c>
      <c r="B19" s="13" t="n">
        <v>120.994</v>
      </c>
      <c r="C19" s="13" t="n">
        <v>121.0614</v>
      </c>
      <c r="D19" s="13" t="n">
        <v>119.1358</v>
      </c>
      <c r="E19" s="13" t="n">
        <v>127.1472</v>
      </c>
      <c r="F19" s="14" t="n">
        <f aca="false">(C19*Weights!$B$5+D19*Weights!$B$7)/(Weights!$B$5+Weights!$B$7)</f>
        <v>119.414302586383</v>
      </c>
      <c r="G19" s="14" t="n">
        <f aca="false">C19*Weights!$B$5+E19*Weights!$B$6+D19*Weights!$B$7</f>
        <v>121.0386363526</v>
      </c>
      <c r="H19" s="15" t="n">
        <f aca="false">(G19/B19-1)*100</f>
        <v>0.0368913769277945</v>
      </c>
    </row>
    <row r="20" customFormat="false" ht="15" hidden="false" customHeight="false" outlineLevel="0" collapsed="false">
      <c r="A20" s="12" t="n">
        <v>43070</v>
      </c>
      <c r="B20" s="13" t="n">
        <v>124.7956</v>
      </c>
      <c r="C20" s="13" t="n">
        <v>121.4632</v>
      </c>
      <c r="D20" s="13" t="n">
        <v>121.1263</v>
      </c>
      <c r="E20" s="13" t="n">
        <v>138.6978</v>
      </c>
      <c r="F20" s="14" t="n">
        <f aca="false">(C20*Weights!$B$5+D20*Weights!$B$7)/(Weights!$B$5+Weights!$B$7)</f>
        <v>121.17502638209</v>
      </c>
      <c r="G20" s="14" t="n">
        <f aca="false">C20*Weights!$B$5+E20*Weights!$B$6+D20*Weights!$B$7</f>
        <v>124.8557725944</v>
      </c>
      <c r="H20" s="15" t="n">
        <f aca="false">(G20/B20-1)*100</f>
        <v>0.0482169198273041</v>
      </c>
    </row>
    <row r="21" customFormat="false" ht="15" hidden="false" customHeight="false" outlineLevel="0" collapsed="false">
      <c r="A21" s="12" t="n">
        <v>43101</v>
      </c>
      <c r="B21" s="13" t="n">
        <v>126.9887</v>
      </c>
      <c r="C21" s="13" t="n">
        <v>124.7001</v>
      </c>
      <c r="D21" s="13" t="n">
        <v>122.9418</v>
      </c>
      <c r="E21" s="13" t="n">
        <v>141.6541</v>
      </c>
      <c r="F21" s="14" t="n">
        <f aca="false">(C21*Weights!$B$5+D21*Weights!$B$7)/(Weights!$B$5+Weights!$B$7)</f>
        <v>123.196105721664</v>
      </c>
      <c r="G21" s="14" t="n">
        <f aca="false">C21*Weights!$B$5+E21*Weights!$B$6+D21*Weights!$B$7</f>
        <v>127.0732997098</v>
      </c>
      <c r="H21" s="15" t="n">
        <f aca="false">(G21/B21-1)*100</f>
        <v>0.0666198723193512</v>
      </c>
    </row>
    <row r="22" customFormat="false" ht="15" hidden="false" customHeight="false" outlineLevel="0" collapsed="false">
      <c r="A22" s="12" t="n">
        <v>43132</v>
      </c>
      <c r="B22" s="13" t="n">
        <v>130.0606</v>
      </c>
      <c r="C22" s="13" t="n">
        <v>123.8509</v>
      </c>
      <c r="D22" s="13" t="n">
        <v>125.5123</v>
      </c>
      <c r="E22" s="13" t="n">
        <v>148.4773</v>
      </c>
      <c r="F22" s="14" t="n">
        <f aca="false">(C22*Weights!$B$5+D22*Weights!$B$7)/(Weights!$B$5+Weights!$B$7)</f>
        <v>125.27200907924</v>
      </c>
      <c r="G22" s="14" t="n">
        <f aca="false">C22*Weights!$B$5+E22*Weights!$B$6+D22*Weights!$B$7</f>
        <v>130.1463964636</v>
      </c>
      <c r="H22" s="15" t="n">
        <f aca="false">(G22/B22-1)*100</f>
        <v>0.0659665291410372</v>
      </c>
    </row>
    <row r="23" customFormat="false" ht="15" hidden="false" customHeight="false" outlineLevel="0" collapsed="false">
      <c r="A23" s="12" t="n">
        <v>43160</v>
      </c>
      <c r="B23" s="13" t="n">
        <v>133.1054</v>
      </c>
      <c r="C23" s="13" t="n">
        <v>125.8663</v>
      </c>
      <c r="D23" s="13" t="n">
        <v>128.746</v>
      </c>
      <c r="E23" s="13" t="n">
        <v>151.4854</v>
      </c>
      <c r="F23" s="14" t="n">
        <f aca="false">(C23*Weights!$B$5+D23*Weights!$B$7)/(Weights!$B$5+Weights!$B$7)</f>
        <v>128.329504415244</v>
      </c>
      <c r="G23" s="14" t="n">
        <f aca="false">C23*Weights!$B$5+E23*Weights!$B$6+D23*Weights!$B$7</f>
        <v>133.1935160623</v>
      </c>
      <c r="H23" s="15" t="n">
        <f aca="false">(G23/B23-1)*100</f>
        <v>0.0662002159942388</v>
      </c>
    </row>
    <row r="24" customFormat="false" ht="15" hidden="false" customHeight="false" outlineLevel="0" collapsed="false">
      <c r="A24" s="12" t="n">
        <v>43191</v>
      </c>
      <c r="B24" s="13" t="n">
        <v>136.7512</v>
      </c>
      <c r="C24" s="13" t="n">
        <v>126.9623</v>
      </c>
      <c r="D24" s="13" t="n">
        <v>131.4884</v>
      </c>
      <c r="E24" s="13" t="n">
        <v>159.451</v>
      </c>
      <c r="F24" s="14" t="n">
        <f aca="false">(C24*Weights!$B$5+D24*Weights!$B$7)/(Weights!$B$5+Weights!$B$7)</f>
        <v>130.833782968308</v>
      </c>
      <c r="G24" s="14" t="n">
        <f aca="false">C24*Weights!$B$5+E24*Weights!$B$6+D24*Weights!$B$7</f>
        <v>136.8449724919</v>
      </c>
      <c r="H24" s="15" t="n">
        <f aca="false">(G24/B24-1)*100</f>
        <v>0.0685716044173779</v>
      </c>
    </row>
    <row r="25" customFormat="false" ht="15" hidden="false" customHeight="false" outlineLevel="0" collapsed="false">
      <c r="A25" s="12" t="n">
        <v>43221</v>
      </c>
      <c r="B25" s="13" t="n">
        <v>139.5893</v>
      </c>
      <c r="C25" s="13" t="n">
        <v>130.1734</v>
      </c>
      <c r="D25" s="13" t="n">
        <v>134.9794</v>
      </c>
      <c r="E25" s="13" t="n">
        <v>160.024</v>
      </c>
      <c r="F25" s="14" t="n">
        <f aca="false">(C25*Weights!$B$5+D25*Weights!$B$7)/(Weights!$B$5+Weights!$B$7)</f>
        <v>134.28430058675</v>
      </c>
      <c r="G25" s="14" t="n">
        <f aca="false">C25*Weights!$B$5+E25*Weights!$B$6+D25*Weights!$B$7</f>
        <v>139.691053147</v>
      </c>
      <c r="H25" s="15" t="n">
        <f aca="false">(G25/B25-1)*100</f>
        <v>0.0728946609804604</v>
      </c>
    </row>
    <row r="26" customFormat="false" ht="15" hidden="false" customHeight="false" outlineLevel="0" collapsed="false">
      <c r="A26" s="12" t="n">
        <v>43252</v>
      </c>
      <c r="B26" s="13" t="n">
        <v>144.8053</v>
      </c>
      <c r="C26" s="13" t="n">
        <v>134.5438</v>
      </c>
      <c r="D26" s="13" t="n">
        <v>140.4784</v>
      </c>
      <c r="E26" s="13" t="n">
        <v>164.7325</v>
      </c>
      <c r="F26" s="14" t="n">
        <f aca="false">(C26*Weights!$B$5+D26*Weights!$B$7)/(Weights!$B$5+Weights!$B$7)</f>
        <v>139.620069376222</v>
      </c>
      <c r="G26" s="14" t="n">
        <f aca="false">C26*Weights!$B$5+E26*Weights!$B$6+D26*Weights!$B$7</f>
        <v>144.8950609909</v>
      </c>
      <c r="H26" s="15" t="n">
        <f aca="false">(G26/B26-1)*100</f>
        <v>0.0619873657248693</v>
      </c>
    </row>
    <row r="27" customFormat="false" ht="15" hidden="false" customHeight="false" outlineLevel="0" collapsed="false">
      <c r="A27" s="12" t="n">
        <v>43282</v>
      </c>
      <c r="B27" s="13" t="n">
        <v>149.2966</v>
      </c>
      <c r="C27" s="13" t="n">
        <v>139.6235</v>
      </c>
      <c r="D27" s="13" t="n">
        <v>144.964</v>
      </c>
      <c r="E27" s="13" t="n">
        <v>168.9885</v>
      </c>
      <c r="F27" s="14" t="n">
        <f aca="false">(C27*Weights!$B$5+D27*Weights!$B$7)/(Weights!$B$5+Weights!$B$7)</f>
        <v>144.191595002817</v>
      </c>
      <c r="G27" s="14" t="n">
        <f aca="false">C27*Weights!$B$5+E27*Weights!$B$6+D27*Weights!$B$7</f>
        <v>149.400308882</v>
      </c>
      <c r="H27" s="15" t="n">
        <f aca="false">(G27/B27-1)*100</f>
        <v>0.0694649992029062</v>
      </c>
    </row>
    <row r="28" customFormat="false" ht="15" hidden="false" customHeight="false" outlineLevel="0" collapsed="false">
      <c r="A28" s="12" t="n">
        <v>43313</v>
      </c>
      <c r="B28" s="13" t="n">
        <v>155.1034</v>
      </c>
      <c r="C28" s="13" t="n">
        <v>142.3224</v>
      </c>
      <c r="D28" s="13" t="n">
        <v>149.8236</v>
      </c>
      <c r="E28" s="13" t="n">
        <v>179.4614</v>
      </c>
      <c r="F28" s="14" t="n">
        <f aca="false">(C28*Weights!$B$5+D28*Weights!$B$7)/(Weights!$B$5+Weights!$B$7)</f>
        <v>148.738689530031</v>
      </c>
      <c r="G28" s="14" t="n">
        <f aca="false">C28*Weights!$B$5+E28*Weights!$B$6+D28*Weights!$B$7</f>
        <v>155.1921484778</v>
      </c>
      <c r="H28" s="15" t="n">
        <f aca="false">(G28/B28-1)*100</f>
        <v>0.0572189119000699</v>
      </c>
    </row>
    <row r="29" customFormat="false" ht="15" hidden="false" customHeight="false" outlineLevel="0" collapsed="false">
      <c r="A29" s="12" t="n">
        <v>43344</v>
      </c>
      <c r="B29" s="13" t="n">
        <v>165.2383</v>
      </c>
      <c r="C29" s="13" t="n">
        <v>147.9747</v>
      </c>
      <c r="D29" s="13" t="n">
        <v>161.272</v>
      </c>
      <c r="E29" s="13" t="n">
        <v>187.9015</v>
      </c>
      <c r="F29" s="14" t="n">
        <f aca="false">(C29*Weights!$B$5+D29*Weights!$B$7)/(Weights!$B$5+Weights!$B$7)</f>
        <v>159.348790381229</v>
      </c>
      <c r="G29" s="14" t="n">
        <f aca="false">C29*Weights!$B$5+E29*Weights!$B$6+D29*Weights!$B$7</f>
        <v>165.3464298002</v>
      </c>
      <c r="H29" s="15" t="n">
        <f aca="false">(G29/B29-1)*100</f>
        <v>0.0654387028915071</v>
      </c>
    </row>
    <row r="30" customFormat="false" ht="15" hidden="false" customHeight="false" outlineLevel="0" collapsed="false">
      <c r="A30" s="12" t="n">
        <v>43374</v>
      </c>
      <c r="B30" s="13" t="n">
        <v>174.1473</v>
      </c>
      <c r="C30" s="13" t="n">
        <v>157.1936</v>
      </c>
      <c r="D30" s="13" t="n">
        <v>168.5933</v>
      </c>
      <c r="E30" s="13" t="n">
        <v>201.8885</v>
      </c>
      <c r="F30" s="14" t="n">
        <f aca="false">(C30*Weights!$B$5+D30*Weights!$B$7)/(Weights!$B$5+Weights!$B$7)</f>
        <v>166.94454328314</v>
      </c>
      <c r="G30" s="14" t="n">
        <f aca="false">C30*Weights!$B$5+E30*Weights!$B$6+D30*Weights!$B$7</f>
        <v>174.2846961113</v>
      </c>
      <c r="H30" s="15" t="n">
        <f aca="false">(G30/B30-1)*100</f>
        <v>0.0788964923946534</v>
      </c>
    </row>
    <row r="31" customFormat="false" ht="15" hidden="false" customHeight="false" outlineLevel="0" collapsed="false">
      <c r="A31" s="12" t="n">
        <v>43405</v>
      </c>
      <c r="B31" s="13" t="n">
        <v>179.6388</v>
      </c>
      <c r="C31" s="13" t="n">
        <v>161.9369</v>
      </c>
      <c r="D31" s="13" t="n">
        <v>174.1546</v>
      </c>
      <c r="E31" s="13" t="n">
        <v>207.5084</v>
      </c>
      <c r="F31" s="14" t="n">
        <f aca="false">(C31*Weights!$B$5+D31*Weights!$B$7)/(Weights!$B$5+Weights!$B$7)</f>
        <v>172.387534643931</v>
      </c>
      <c r="G31" s="14" t="n">
        <f aca="false">C31*Weights!$B$5+E31*Weights!$B$6+D31*Weights!$B$7</f>
        <v>179.7648480163</v>
      </c>
      <c r="H31" s="15" t="n">
        <f aca="false">(G31/B31-1)*100</f>
        <v>0.0701674784623352</v>
      </c>
    </row>
    <row r="32" customFormat="false" ht="15" hidden="false" customHeight="false" outlineLevel="0" collapsed="false">
      <c r="A32" s="12" t="n">
        <v>43435</v>
      </c>
      <c r="B32" s="13" t="n">
        <v>184.2552</v>
      </c>
      <c r="C32" s="13" t="n">
        <v>164.2686</v>
      </c>
      <c r="D32" s="13" t="n">
        <v>178.9326</v>
      </c>
      <c r="E32" s="13" t="n">
        <v>212.85</v>
      </c>
      <c r="F32" s="14" t="n">
        <f aca="false">(C32*Weights!$B$5+D32*Weights!$B$7)/(Weights!$B$5+Weights!$B$7)</f>
        <v>176.811722389533</v>
      </c>
      <c r="G32" s="14" t="n">
        <f aca="false">C32*Weights!$B$5+E32*Weights!$B$6+D32*Weights!$B$7</f>
        <v>184.381742793</v>
      </c>
      <c r="H32" s="15" t="n">
        <f aca="false">(G32/B32-1)*100</f>
        <v>0.0686780036601498</v>
      </c>
    </row>
    <row r="33" customFormat="false" ht="15" hidden="false" customHeight="false" outlineLevel="0" collapsed="false">
      <c r="A33" s="12" t="n">
        <v>43466</v>
      </c>
      <c r="B33" s="13" t="n">
        <v>189.6101</v>
      </c>
      <c r="C33" s="13" t="n">
        <v>166.073</v>
      </c>
      <c r="D33" s="13" t="n">
        <v>184.3056</v>
      </c>
      <c r="E33" s="13" t="n">
        <v>220.132</v>
      </c>
      <c r="F33" s="14" t="n">
        <f aca="false">(C33*Weights!$B$5+D33*Weights!$B$7)/(Weights!$B$5+Weights!$B$7)</f>
        <v>181.668590103615</v>
      </c>
      <c r="G33" s="14" t="n">
        <f aca="false">C33*Weights!$B$5+E33*Weights!$B$6+D33*Weights!$B$7</f>
        <v>189.7480216694</v>
      </c>
      <c r="H33" s="15" t="n">
        <f aca="false">(G33/B33-1)*100</f>
        <v>0.0727396216762877</v>
      </c>
    </row>
    <row r="34" customFormat="false" ht="15" hidden="false" customHeight="false" outlineLevel="0" collapsed="false">
      <c r="A34" s="12" t="n">
        <v>43497</v>
      </c>
      <c r="B34" s="13" t="n">
        <v>196.7501</v>
      </c>
      <c r="C34" s="13" t="n">
        <v>169.2729</v>
      </c>
      <c r="D34" s="13" t="n">
        <v>191.4115</v>
      </c>
      <c r="E34" s="13" t="n">
        <v>229.4204</v>
      </c>
      <c r="F34" s="14" t="n">
        <f aca="false">(C34*Weights!$B$5+D34*Weights!$B$7)/(Weights!$B$5+Weights!$B$7)</f>
        <v>188.209559119812</v>
      </c>
      <c r="G34" s="14" t="n">
        <f aca="false">C34*Weights!$B$5+E34*Weights!$B$6+D34*Weights!$B$7</f>
        <v>196.8661023009</v>
      </c>
      <c r="H34" s="15" t="n">
        <f aca="false">(G34/B34-1)*100</f>
        <v>0.0589592081020607</v>
      </c>
    </row>
    <row r="35" customFormat="false" ht="15" hidden="false" customHeight="false" outlineLevel="0" collapsed="false">
      <c r="A35" s="12" t="n">
        <v>43525</v>
      </c>
      <c r="B35" s="13" t="n">
        <v>205.9571</v>
      </c>
      <c r="C35" s="13" t="n">
        <v>177.3407</v>
      </c>
      <c r="D35" s="13" t="n">
        <v>200.1771</v>
      </c>
      <c r="E35" s="13" t="n">
        <v>240.6717</v>
      </c>
      <c r="F35" s="14" t="n">
        <f aca="false">(C35*Weights!$B$5+D35*Weights!$B$7)/(Weights!$B$5+Weights!$B$7)</f>
        <v>196.874235197514</v>
      </c>
      <c r="G35" s="14" t="n">
        <f aca="false">C35*Weights!$B$5+E35*Weights!$B$6+D35*Weights!$B$7</f>
        <v>206.0741116666</v>
      </c>
      <c r="H35" s="15" t="n">
        <f aca="false">(G35/B35-1)*100</f>
        <v>0.0568136114754037</v>
      </c>
    </row>
    <row r="36" customFormat="false" ht="15" hidden="false" customHeight="false" outlineLevel="0" collapsed="false">
      <c r="A36" s="12" t="n">
        <v>43556</v>
      </c>
      <c r="B36" s="13" t="n">
        <v>212.9596414</v>
      </c>
      <c r="C36" s="13" t="n">
        <v>180.1891</v>
      </c>
      <c r="D36" s="13" t="n">
        <v>207.7179</v>
      </c>
      <c r="E36" s="13" t="n">
        <v>248.5813</v>
      </c>
      <c r="F36" s="14" t="n">
        <f aca="false">(C36*Weights!$B$5+D36*Weights!$B$7)/(Weights!$B$5+Weights!$B$7)</f>
        <v>203.736365932691</v>
      </c>
      <c r="G36" s="14" t="n">
        <f aca="false">C36*Weights!$B$5+E36*Weights!$B$6+D36*Weights!$B$7</f>
        <v>213.1562685582</v>
      </c>
      <c r="H36" s="15" t="n">
        <f aca="false">(G36/B36-1)*100</f>
        <v>0.0923307143585239</v>
      </c>
    </row>
    <row r="37" customFormat="false" ht="15" hidden="false" customHeight="false" outlineLevel="0" collapsed="false">
      <c r="A37" s="12" t="n">
        <v>43586</v>
      </c>
      <c r="B37" s="13" t="n">
        <v>219.5691</v>
      </c>
      <c r="C37" s="13" t="n">
        <v>181.3032</v>
      </c>
      <c r="D37" s="13" t="n">
        <v>214.3182</v>
      </c>
      <c r="E37" s="13" t="n">
        <v>257.831</v>
      </c>
      <c r="F37" s="14" t="n">
        <f aca="false">(C37*Weights!$B$5+D37*Weights!$B$7)/(Weights!$B$5+Weights!$B$7)</f>
        <v>209.543188113096</v>
      </c>
      <c r="G37" s="14" t="n">
        <f aca="false">C37*Weights!$B$5+E37*Weights!$B$6+D37*Weights!$B$7</f>
        <v>219.686284439</v>
      </c>
      <c r="H37" s="15" t="n">
        <f aca="false">(G37/B37-1)*100</f>
        <v>0.0533701868796754</v>
      </c>
    </row>
    <row r="38" customFormat="false" ht="15" hidden="false" customHeight="false" outlineLevel="0" collapsed="false">
      <c r="A38" s="12" t="n">
        <v>43617</v>
      </c>
      <c r="B38" s="13" t="n">
        <v>225.537</v>
      </c>
      <c r="C38" s="13" t="n">
        <v>185.7752</v>
      </c>
      <c r="D38" s="13" t="n">
        <v>220.1725</v>
      </c>
      <c r="E38" s="13" t="n">
        <v>265.016</v>
      </c>
      <c r="F38" s="14" t="n">
        <f aca="false">(C38*Weights!$B$5+D38*Weights!$B$7)/(Weights!$B$5+Weights!$B$7)</f>
        <v>215.197563868624</v>
      </c>
      <c r="G38" s="14" t="n">
        <f aca="false">C38*Weights!$B$5+E38*Weights!$B$6+D38*Weights!$B$7</f>
        <v>225.6621754702</v>
      </c>
      <c r="H38" s="15" t="n">
        <f aca="false">(G38/B38-1)*100</f>
        <v>0.0555010797341327</v>
      </c>
    </row>
    <row r="39" customFormat="false" ht="15" hidden="false" customHeight="false" outlineLevel="0" collapsed="false">
      <c r="A39" s="12" t="n">
        <v>43647</v>
      </c>
      <c r="B39" s="13" t="n">
        <v>230.494</v>
      </c>
      <c r="C39" s="13" t="n">
        <v>192.5377</v>
      </c>
      <c r="D39" s="13" t="n">
        <v>224.9011</v>
      </c>
      <c r="E39" s="13" t="n">
        <v>269.7964</v>
      </c>
      <c r="F39" s="14" t="n">
        <f aca="false">(C39*Weights!$B$5+D39*Weights!$B$7)/(Weights!$B$5+Weights!$B$7)</f>
        <v>220.220330056017</v>
      </c>
      <c r="G39" s="14" t="n">
        <f aca="false">C39*Weights!$B$5+E39*Weights!$B$6+D39*Weights!$B$7</f>
        <v>230.6340314281</v>
      </c>
      <c r="H39" s="15" t="n">
        <f aca="false">(G39/B39-1)*100</f>
        <v>0.0607527432818111</v>
      </c>
    </row>
    <row r="40" customFormat="false" ht="15" hidden="false" customHeight="false" outlineLevel="0" collapsed="false">
      <c r="A40" s="12" t="n">
        <v>43678</v>
      </c>
      <c r="B40" s="13" t="n">
        <v>239.6077</v>
      </c>
      <c r="C40" s="13" t="n">
        <v>199.9586</v>
      </c>
      <c r="D40" s="13" t="n">
        <v>235.3317</v>
      </c>
      <c r="E40" s="13" t="n">
        <v>275.5073</v>
      </c>
      <c r="F40" s="14" t="n">
        <f aca="false">(C40*Weights!$B$5+D40*Weights!$B$7)/(Weights!$B$5+Weights!$B$7)</f>
        <v>230.215632364785</v>
      </c>
      <c r="G40" s="14" t="n">
        <f aca="false">C40*Weights!$B$5+E40*Weights!$B$6+D40*Weights!$B$7</f>
        <v>239.7293736099</v>
      </c>
      <c r="H40" s="15" t="n">
        <f aca="false">(G40/B40-1)*100</f>
        <v>0.0507803421592845</v>
      </c>
    </row>
    <row r="41" customFormat="false" ht="15" hidden="false" customHeight="false" outlineLevel="0" collapsed="false">
      <c r="A41" s="12" t="n">
        <v>43709</v>
      </c>
      <c r="B41" s="13" t="n">
        <v>253.7102</v>
      </c>
      <c r="C41" s="13" t="n">
        <v>217.0323</v>
      </c>
      <c r="D41" s="13" t="n">
        <v>250.4818</v>
      </c>
      <c r="E41" s="13" t="n">
        <v>284.7479</v>
      </c>
      <c r="F41" s="14" t="n">
        <f aca="false">(C41*Weights!$B$5+D41*Weights!$B$7)/(Weights!$B$5+Weights!$B$7)</f>
        <v>245.643945687991</v>
      </c>
      <c r="G41" s="14" t="n">
        <f aca="false">C41*Weights!$B$5+E41*Weights!$B$6+D41*Weights!$B$7</f>
        <v>253.857926811</v>
      </c>
      <c r="H41" s="15" t="n">
        <f aca="false">(G41/B41-1)*100</f>
        <v>0.0582265951467598</v>
      </c>
    </row>
    <row r="42" customFormat="false" ht="15" hidden="false" customHeight="false" outlineLevel="0" collapsed="false">
      <c r="A42" s="12" t="n">
        <v>43739</v>
      </c>
      <c r="B42" s="13" t="n">
        <v>262.0661</v>
      </c>
      <c r="C42" s="13" t="n">
        <v>223.1837</v>
      </c>
      <c r="D42" s="13" t="n">
        <v>260.0118</v>
      </c>
      <c r="E42" s="13" t="n">
        <v>290.513</v>
      </c>
      <c r="F42" s="14" t="n">
        <f aca="false">(C42*Weights!$B$5+D42*Weights!$B$7)/(Weights!$B$5+Weights!$B$7)</f>
        <v>254.685293403845</v>
      </c>
      <c r="G42" s="14" t="n">
        <f aca="false">C42*Weights!$B$5+E42*Weights!$B$6+D42*Weights!$B$7</f>
        <v>262.2110823129</v>
      </c>
      <c r="H42" s="15" t="n">
        <f aca="false">(G42/B42-1)*100</f>
        <v>0.0553228032545983</v>
      </c>
    </row>
    <row r="43" customFormat="false" ht="15" hidden="false" customHeight="false" outlineLevel="0" collapsed="false">
      <c r="A43" s="12" t="n">
        <v>43770</v>
      </c>
      <c r="B43" s="13" t="n">
        <v>273.2158</v>
      </c>
      <c r="C43" s="13" t="n">
        <v>239.5597</v>
      </c>
      <c r="D43" s="13" t="n">
        <v>270.3554</v>
      </c>
      <c r="E43" s="13" t="n">
        <v>301.6025</v>
      </c>
      <c r="F43" s="14" t="n">
        <f aca="false">(C43*Weights!$B$5+D43*Weights!$B$7)/(Weights!$B$5+Weights!$B$7)</f>
        <v>265.901368996955</v>
      </c>
      <c r="G43" s="14" t="n">
        <f aca="false">C43*Weights!$B$5+E43*Weights!$B$6+D43*Weights!$B$7</f>
        <v>273.4005700698</v>
      </c>
      <c r="H43" s="15" t="n">
        <f aca="false">(G43/B43-1)*100</f>
        <v>0.0676278860153756</v>
      </c>
    </row>
    <row r="44" customFormat="false" ht="15" hidden="false" customHeight="false" outlineLevel="0" collapsed="false">
      <c r="A44" s="12" t="n">
        <v>43800</v>
      </c>
      <c r="B44" s="13" t="n">
        <v>283.4442</v>
      </c>
      <c r="C44" s="13" t="n">
        <v>244.6754</v>
      </c>
      <c r="D44" s="13" t="n">
        <v>280.3107</v>
      </c>
      <c r="E44" s="13" t="n">
        <v>315.4936</v>
      </c>
      <c r="F44" s="14" t="n">
        <f aca="false">(C44*Weights!$B$5+D44*Weights!$B$7)/(Weights!$B$5+Weights!$B$7)</f>
        <v>275.156709962339</v>
      </c>
      <c r="G44" s="14" t="n">
        <f aca="false">C44*Weights!$B$5+E44*Weights!$B$6+D44*Weights!$B$7</f>
        <v>283.6296753992</v>
      </c>
      <c r="H44" s="15" t="n">
        <f aca="false">(G44/B44-1)*100</f>
        <v>0.0654363007604131</v>
      </c>
    </row>
    <row r="45" customFormat="false" ht="15" hidden="false" customHeight="false" outlineLevel="0" collapsed="false">
      <c r="A45" s="12" t="n">
        <v>43831</v>
      </c>
      <c r="B45" s="13" t="n">
        <v>289.8299</v>
      </c>
      <c r="C45" s="13" t="n">
        <v>253.5739</v>
      </c>
      <c r="D45" s="13" t="n">
        <v>287.1529</v>
      </c>
      <c r="E45" s="13" t="n">
        <v>319.0685</v>
      </c>
      <c r="F45" s="14" t="n">
        <f aca="false">(C45*Weights!$B$5+D45*Weights!$B$7)/(Weights!$B$5+Weights!$B$7)</f>
        <v>282.296315897309</v>
      </c>
      <c r="G45" s="14" t="n">
        <f aca="false">C45*Weights!$B$5+E45*Weights!$B$6+D45*Weights!$B$7</f>
        <v>290.020497029</v>
      </c>
      <c r="H45" s="15" t="n">
        <f aca="false">(G45/B45-1)*100</f>
        <v>0.0657616860786359</v>
      </c>
    </row>
    <row r="46" customFormat="false" ht="15" hidden="false" customHeight="false" outlineLevel="0" collapsed="false">
      <c r="A46" s="12" t="n">
        <v>43862</v>
      </c>
      <c r="B46" s="13" t="n">
        <v>295.666</v>
      </c>
      <c r="C46" s="13" t="n">
        <v>259.9507</v>
      </c>
      <c r="D46" s="13" t="n">
        <v>293.9922</v>
      </c>
      <c r="E46" s="13" t="n">
        <v>321.3104</v>
      </c>
      <c r="F46" s="14" t="n">
        <f aca="false">(C46*Weights!$B$5+D46*Weights!$B$7)/(Weights!$B$5+Weights!$B$7)</f>
        <v>289.068723787732</v>
      </c>
      <c r="G46" s="14" t="n">
        <f aca="false">C46*Weights!$B$5+E46*Weights!$B$6+D46*Weights!$B$7</f>
        <v>295.8412490845</v>
      </c>
      <c r="H46" s="15" t="n">
        <f aca="false">(G46/B46-1)*100</f>
        <v>0.0592726537715027</v>
      </c>
    </row>
    <row r="47" customFormat="false" ht="15" hidden="false" customHeight="false" outlineLevel="0" collapsed="false">
      <c r="A47" s="12" t="n">
        <v>43891</v>
      </c>
      <c r="B47" s="13" t="n">
        <v>305.5515</v>
      </c>
      <c r="C47" s="13" t="n">
        <v>272.7059</v>
      </c>
      <c r="D47" s="13" t="n">
        <v>303.1665</v>
      </c>
      <c r="E47" s="13" t="n">
        <v>331.8502</v>
      </c>
      <c r="F47" s="14" t="n">
        <f aca="false">(C47*Weights!$B$5+D47*Weights!$B$7)/(Weights!$B$5+Weights!$B$7)</f>
        <v>298.760935042187</v>
      </c>
      <c r="G47" s="14" t="n">
        <f aca="false">C47*Weights!$B$5+E47*Weights!$B$6+D47*Weights!$B$7</f>
        <v>305.7115005929</v>
      </c>
      <c r="H47" s="15" t="n">
        <f aca="false">(G47/B47-1)*100</f>
        <v>0.0523645254236982</v>
      </c>
    </row>
    <row r="48" customFormat="false" ht="15" hidden="false" customHeight="false" outlineLevel="0" collapsed="false">
      <c r="A48" s="12" t="n">
        <v>43922</v>
      </c>
      <c r="B48" s="13" t="n">
        <v>310.1243</v>
      </c>
      <c r="C48" s="13" t="n">
        <v>285.8904</v>
      </c>
      <c r="D48" s="13" t="n">
        <v>308.3681</v>
      </c>
      <c r="E48" s="13" t="n">
        <v>329.6516</v>
      </c>
      <c r="F48" s="14" t="n">
        <f aca="false">(C48*Weights!$B$5+D48*Weights!$B$7)/(Weights!$B$5+Weights!$B$7)</f>
        <v>305.117114548228</v>
      </c>
      <c r="G48" s="14" t="n">
        <f aca="false">C48*Weights!$B$5+E48*Weights!$B$6+D48*Weights!$B$7</f>
        <v>310.2707058898</v>
      </c>
      <c r="H48" s="15" t="n">
        <f aca="false">(G48/B48-1)*100</f>
        <v>0.0472087771903107</v>
      </c>
    </row>
    <row r="49" customFormat="false" ht="15" hidden="false" customHeight="false" outlineLevel="0" collapsed="false">
      <c r="A49" s="12" t="n">
        <v>43952</v>
      </c>
      <c r="B49" s="13" t="n">
        <v>314.9087</v>
      </c>
      <c r="C49" s="13" t="n">
        <v>299.283</v>
      </c>
      <c r="D49" s="13" t="n">
        <v>313.3195</v>
      </c>
      <c r="E49" s="13" t="n">
        <v>329.372</v>
      </c>
      <c r="F49" s="14" t="n">
        <f aca="false">(C49*Weights!$B$5+D49*Weights!$B$7)/(Weights!$B$5+Weights!$B$7)</f>
        <v>311.289378711176</v>
      </c>
      <c r="G49" s="14" t="n">
        <f aca="false">C49*Weights!$B$5+E49*Weights!$B$6+D49*Weights!$B$7</f>
        <v>315.087723726</v>
      </c>
      <c r="H49" s="15" t="n">
        <f aca="false">(G49/B49-1)*100</f>
        <v>0.0568494061929714</v>
      </c>
    </row>
    <row r="50" customFormat="false" ht="15" hidden="false" customHeight="false" outlineLevel="0" collapsed="false">
      <c r="A50" s="12" t="n">
        <v>43983</v>
      </c>
      <c r="B50" s="13" t="n">
        <v>321.9738</v>
      </c>
      <c r="C50" s="13" t="n">
        <v>313.5633</v>
      </c>
      <c r="D50" s="13" t="n">
        <v>320.5733</v>
      </c>
      <c r="E50" s="13" t="n">
        <v>331.8382</v>
      </c>
      <c r="F50" s="14" t="n">
        <f aca="false">(C50*Weights!$B$5+D50*Weights!$B$7)/(Weights!$B$5+Weights!$B$7)</f>
        <v>319.559432566191</v>
      </c>
      <c r="G50" s="14" t="n">
        <f aca="false">C50*Weights!$B$5+E50*Weights!$B$6+D50*Weights!$B$7</f>
        <v>322.1386490595</v>
      </c>
      <c r="H50" s="15" t="n">
        <f aca="false">(G50/B50-1)*100</f>
        <v>0.0511995260173537</v>
      </c>
    </row>
    <row r="51" customFormat="false" ht="15" hidden="false" customHeight="false" outlineLevel="0" collapsed="false">
      <c r="A51" s="12" t="n">
        <v>44013</v>
      </c>
      <c r="B51" s="13" t="n">
        <v>328.2014</v>
      </c>
      <c r="C51" s="13" t="n">
        <v>316.5328</v>
      </c>
      <c r="D51" s="13" t="n">
        <v>328.6943</v>
      </c>
      <c r="E51" s="13" t="n">
        <v>333.55</v>
      </c>
      <c r="F51" s="14" t="n">
        <f aca="false">(C51*Weights!$B$5+D51*Weights!$B$7)/(Weights!$B$5+Weights!$B$7)</f>
        <v>326.935362939192</v>
      </c>
      <c r="G51" s="14" t="n">
        <f aca="false">C51*Weights!$B$5+E51*Weights!$B$6+D51*Weights!$B$7</f>
        <v>328.324800527</v>
      </c>
      <c r="H51" s="15" t="n">
        <f aca="false">(G51/B51-1)*100</f>
        <v>0.0375990251717306</v>
      </c>
    </row>
    <row r="52" customFormat="false" ht="15" hidden="false" customHeight="false" outlineLevel="0" collapsed="false">
      <c r="A52" s="12" t="n">
        <v>44044</v>
      </c>
      <c r="B52" s="13" t="n">
        <v>337.0632</v>
      </c>
      <c r="C52" s="13" t="n">
        <v>329.1168</v>
      </c>
      <c r="D52" s="13" t="n">
        <v>338.6645</v>
      </c>
      <c r="E52" s="13" t="n">
        <v>336.9087</v>
      </c>
      <c r="F52" s="14" t="n">
        <f aca="false">(C52*Weights!$B$5+D52*Weights!$B$7)/(Weights!$B$5+Weights!$B$7)</f>
        <v>337.283600984626</v>
      </c>
      <c r="G52" s="14" t="n">
        <f aca="false">C52*Weights!$B$5+E52*Weights!$B$6+D52*Weights!$B$7</f>
        <v>337.2048511583</v>
      </c>
      <c r="H52" s="15" t="n">
        <f aca="false">(G52/B52-1)*100</f>
        <v>0.0420251033930841</v>
      </c>
    </row>
    <row r="53" customFormat="false" ht="15" hidden="false" customHeight="false" outlineLevel="0" collapsed="false">
      <c r="A53" s="12" t="n">
        <v>44075</v>
      </c>
      <c r="B53" s="13" t="n">
        <v>346.6207</v>
      </c>
      <c r="C53" s="13" t="n">
        <v>355.0322</v>
      </c>
      <c r="D53" s="13" t="n">
        <v>346.511</v>
      </c>
      <c r="E53" s="13" t="n">
        <v>343.4046</v>
      </c>
      <c r="F53" s="14" t="n">
        <f aca="false">(C53*Weights!$B$5+D53*Weights!$B$7)/(Weights!$B$5+Weights!$B$7)</f>
        <v>347.74343469001</v>
      </c>
      <c r="G53" s="14" t="n">
        <f aca="false">C53*Weights!$B$5+E53*Weights!$B$6+D53*Weights!$B$7</f>
        <v>346.8320407692</v>
      </c>
      <c r="H53" s="15" t="n">
        <f aca="false">(G53/B53-1)*100</f>
        <v>0.0609717680450261</v>
      </c>
    </row>
    <row r="54" customFormat="false" ht="15" hidden="false" customHeight="false" outlineLevel="0" collapsed="false">
      <c r="A54" s="12" t="n">
        <v>44105</v>
      </c>
      <c r="B54" s="13" t="n">
        <v>359.657</v>
      </c>
      <c r="C54" s="13" t="n">
        <v>388.9845</v>
      </c>
      <c r="D54" s="13" t="n">
        <v>358.4989</v>
      </c>
      <c r="E54" s="13" t="n">
        <v>348.5355</v>
      </c>
      <c r="F54" s="14" t="n">
        <f aca="false">(C54*Weights!$B$5+D54*Weights!$B$7)/(Weights!$B$5+Weights!$B$7)</f>
        <v>362.90808074752</v>
      </c>
      <c r="G54" s="14" t="n">
        <f aca="false">C54*Weights!$B$5+E54*Weights!$B$6+D54*Weights!$B$7</f>
        <v>359.8890482986</v>
      </c>
      <c r="H54" s="15" t="n">
        <f aca="false">(G54/B54-1)*100</f>
        <v>0.0645193333092431</v>
      </c>
    </row>
    <row r="55" customFormat="false" ht="15" hidden="false" customHeight="false" outlineLevel="0" collapsed="false">
      <c r="A55" s="12" t="n">
        <v>44136</v>
      </c>
      <c r="B55" s="13" t="n">
        <v>371.0211</v>
      </c>
      <c r="C55" s="13" t="n">
        <v>396.9082</v>
      </c>
      <c r="D55" s="13" t="n">
        <v>372.6154</v>
      </c>
      <c r="E55" s="13" t="n">
        <v>352.7236</v>
      </c>
      <c r="F55" s="14" t="n">
        <f aca="false">(C55*Weights!$B$5+D55*Weights!$B$7)/(Weights!$B$5+Weights!$B$7)</f>
        <v>376.12890624765</v>
      </c>
      <c r="G55" s="14" t="n">
        <f aca="false">C55*Weights!$B$5+E55*Weights!$B$6+D55*Weights!$B$7</f>
        <v>371.2125046438</v>
      </c>
      <c r="H55" s="15" t="n">
        <f aca="false">(G55/B55-1)*100</f>
        <v>0.0515886141785549</v>
      </c>
    </row>
    <row r="56" customFormat="false" ht="15" hidden="false" customHeight="false" outlineLevel="0" collapsed="false">
      <c r="A56" s="12" t="n">
        <v>44166</v>
      </c>
      <c r="B56" s="13" t="n">
        <v>385.8826</v>
      </c>
      <c r="C56" s="13" t="n">
        <v>402.2137</v>
      </c>
      <c r="D56" s="13" t="n">
        <v>390.7655</v>
      </c>
      <c r="E56" s="13" t="n">
        <v>362.0665</v>
      </c>
      <c r="F56" s="14" t="n">
        <f aca="false">(C56*Weights!$B$5+D56*Weights!$B$7)/(Weights!$B$5+Weights!$B$7)</f>
        <v>392.421271348891</v>
      </c>
      <c r="G56" s="14" t="n">
        <f aca="false">C56*Weights!$B$5+E56*Weights!$B$6+D56*Weights!$B$7</f>
        <v>386.0450998532</v>
      </c>
      <c r="H56" s="15" t="n">
        <f aca="false">(G56/B56-1)*100</f>
        <v>0.0421112154836534</v>
      </c>
    </row>
    <row r="57" customFormat="false" ht="15" hidden="false" customHeight="false" outlineLevel="0" collapsed="false">
      <c r="A57" s="12" t="n">
        <v>44197</v>
      </c>
      <c r="B57" s="13" t="n">
        <v>401.5071</v>
      </c>
      <c r="C57" s="13" t="n">
        <v>414.3419</v>
      </c>
      <c r="D57" s="13" t="n">
        <v>406.0674</v>
      </c>
      <c r="E57" s="13" t="n">
        <v>380.6817</v>
      </c>
      <c r="F57" s="14" t="n">
        <f aca="false">(C57*Weights!$B$5+D57*Weights!$B$7)/(Weights!$B$5+Weights!$B$7)</f>
        <v>407.264154077183</v>
      </c>
      <c r="G57" s="14" t="n">
        <f aca="false">C57*Weights!$B$5+E57*Weights!$B$6+D57*Weights!$B$7</f>
        <v>401.680376686</v>
      </c>
      <c r="H57" s="15" t="n">
        <f aca="false">(G57/B57-1)*100</f>
        <v>0.043156568339664</v>
      </c>
    </row>
    <row r="58" customFormat="false" ht="15" hidden="false" customHeight="false" outlineLevel="0" collapsed="false">
      <c r="A58" s="12" t="n">
        <v>44228</v>
      </c>
      <c r="B58" s="13" t="n">
        <v>415.8595</v>
      </c>
      <c r="C58" s="13" t="n">
        <v>427.2775</v>
      </c>
      <c r="D58" s="13" t="n">
        <v>422.5932</v>
      </c>
      <c r="E58" s="13" t="n">
        <v>388.8788</v>
      </c>
      <c r="F58" s="14" t="n">
        <f aca="false">(C58*Weights!$B$5+D58*Weights!$B$7)/(Weights!$B$5+Weights!$B$7)</f>
        <v>423.270697748957</v>
      </c>
      <c r="G58" s="14" t="n">
        <f aca="false">C58*Weights!$B$5+E58*Weights!$B$6+D58*Weights!$B$7</f>
        <v>416.0465076673</v>
      </c>
      <c r="H58" s="15" t="n">
        <f aca="false">(G58/B58-1)*100</f>
        <v>0.0449689540097165</v>
      </c>
    </row>
    <row r="59" customFormat="false" ht="15" hidden="false" customHeight="false" outlineLevel="0" collapsed="false">
      <c r="A59" s="12" t="n">
        <v>44256</v>
      </c>
      <c r="B59" s="13" t="n">
        <v>435.8657</v>
      </c>
      <c r="C59" s="13" t="n">
        <v>457.8837</v>
      </c>
      <c r="D59" s="13" t="n">
        <v>441.72</v>
      </c>
      <c r="E59" s="13" t="n">
        <v>406.4306</v>
      </c>
      <c r="F59" s="14" t="n">
        <f aca="false">(C59*Weights!$B$5+D59*Weights!$B$7)/(Weights!$B$5+Weights!$B$7)</f>
        <v>444.057781603403</v>
      </c>
      <c r="G59" s="14" t="n">
        <f aca="false">C59*Weights!$B$5+E59*Weights!$B$6+D59*Weights!$B$7</f>
        <v>436.1540039717</v>
      </c>
      <c r="H59" s="15" t="n">
        <f aca="false">(G59/B59-1)*100</f>
        <v>0.0661451386746004</v>
      </c>
    </row>
    <row r="60" customFormat="false" ht="15" hidden="false" customHeight="false" outlineLevel="0" collapsed="false">
      <c r="A60" s="12" t="n">
        <v>44287</v>
      </c>
      <c r="B60" s="13" t="n">
        <v>453.6503</v>
      </c>
      <c r="C60" s="13" t="n">
        <v>467.7635</v>
      </c>
      <c r="D60" s="13" t="n">
        <v>461.8578</v>
      </c>
      <c r="E60" s="13" t="n">
        <v>420.7778</v>
      </c>
      <c r="F60" s="14" t="n">
        <f aca="false">(C60*Weights!$B$5+D60*Weights!$B$7)/(Weights!$B$5+Weights!$B$7)</f>
        <v>462.711950770877</v>
      </c>
      <c r="G60" s="14" t="n">
        <f aca="false">C60*Weights!$B$5+E60*Weights!$B$6+D60*Weights!$B$7</f>
        <v>453.9034727307</v>
      </c>
      <c r="H60" s="15" t="n">
        <f aca="false">(G60/B60-1)*100</f>
        <v>0.0558079054946203</v>
      </c>
    </row>
    <row r="61" customFormat="false" ht="15" hidden="false" customHeight="false" outlineLevel="0" collapsed="false">
      <c r="A61" s="12" t="n">
        <v>44317</v>
      </c>
      <c r="B61" s="13" t="n">
        <v>468.725</v>
      </c>
      <c r="C61" s="13" t="n">
        <v>474.7275</v>
      </c>
      <c r="D61" s="13" t="n">
        <v>477.9293</v>
      </c>
      <c r="E61" s="13" t="n">
        <v>436.6403</v>
      </c>
      <c r="F61" s="14" t="n">
        <f aca="false">(C61*Weights!$B$5+D61*Weights!$B$7)/(Weights!$B$5+Weights!$B$7)</f>
        <v>477.466218580661</v>
      </c>
      <c r="G61" s="14" t="n">
        <f aca="false">C61*Weights!$B$5+E61*Weights!$B$6+D61*Weights!$B$7</f>
        <v>468.8905302532</v>
      </c>
      <c r="H61" s="15" t="n">
        <f aca="false">(G61/B61-1)*100</f>
        <v>0.0353150041495498</v>
      </c>
    </row>
    <row r="62" customFormat="false" ht="15" hidden="false" customHeight="false" outlineLevel="0" collapsed="false">
      <c r="A62" s="12" t="n">
        <v>44348</v>
      </c>
      <c r="B62" s="13" t="n">
        <v>483.6049</v>
      </c>
      <c r="C62" s="13" t="n">
        <v>477.1486</v>
      </c>
      <c r="D62" s="13" t="n">
        <v>495.1809</v>
      </c>
      <c r="E62" s="13" t="n">
        <v>450.6922</v>
      </c>
      <c r="F62" s="14" t="n">
        <f aca="false">(C62*Weights!$B$5+D62*Weights!$B$7)/(Weights!$B$5+Weights!$B$7)</f>
        <v>492.572859810746</v>
      </c>
      <c r="G62" s="14" t="n">
        <f aca="false">C62*Weights!$B$5+E62*Weights!$B$6+D62*Weights!$B$7</f>
        <v>483.7756178142</v>
      </c>
      <c r="H62" s="15" t="n">
        <f aca="false">(G62/B62-1)*100</f>
        <v>0.0353010927308661</v>
      </c>
    </row>
    <row r="63" customFormat="false" ht="15" hidden="false" customHeight="false" outlineLevel="0" collapsed="false">
      <c r="A63" s="12" t="n">
        <v>44378</v>
      </c>
      <c r="B63" s="13" t="n">
        <v>498.0987</v>
      </c>
      <c r="C63" s="13" t="n">
        <v>500.4272</v>
      </c>
      <c r="D63" s="13" t="n">
        <v>510.6974</v>
      </c>
      <c r="E63" s="13" t="n">
        <v>457.2079</v>
      </c>
      <c r="F63" s="14" t="n">
        <f aca="false">(C63*Weights!$B$5+D63*Weights!$B$7)/(Weights!$B$5+Weights!$B$7)</f>
        <v>509.212004662097</v>
      </c>
      <c r="G63" s="14" t="n">
        <f aca="false">C63*Weights!$B$5+E63*Weights!$B$6+D63*Weights!$B$7</f>
        <v>498.2882824573</v>
      </c>
      <c r="H63" s="15" t="n">
        <f aca="false">(G63/B63-1)*100</f>
        <v>0.0380612230668431</v>
      </c>
    </row>
    <row r="64" customFormat="false" ht="15" hidden="false" customHeight="false" outlineLevel="0" collapsed="false">
      <c r="A64" s="12" t="n">
        <v>44409</v>
      </c>
      <c r="B64" s="13" t="n">
        <v>510.3942</v>
      </c>
      <c r="C64" s="13" t="n">
        <v>503.3702</v>
      </c>
      <c r="D64" s="13" t="n">
        <v>526.6934</v>
      </c>
      <c r="E64" s="13" t="n">
        <v>462.3809</v>
      </c>
      <c r="F64" s="14" t="n">
        <f aca="false">(C64*Weights!$B$5+D64*Weights!$B$7)/(Weights!$B$5+Weights!$B$7)</f>
        <v>523.320128540341</v>
      </c>
      <c r="G64" s="14" t="n">
        <f aca="false">C64*Weights!$B$5+E64*Weights!$B$6+D64*Weights!$B$7</f>
        <v>510.5195388893</v>
      </c>
      <c r="H64" s="15" t="n">
        <f aca="false">(G64/B64-1)*100</f>
        <v>0.0245572714776099</v>
      </c>
    </row>
    <row r="65" customFormat="false" ht="15" hidden="false" customHeight="false" outlineLevel="0" collapsed="false">
      <c r="A65" s="12" t="n">
        <v>44440</v>
      </c>
      <c r="B65" s="13" t="n">
        <v>528.4968</v>
      </c>
      <c r="C65" s="13" t="n">
        <v>535.3815</v>
      </c>
      <c r="D65" s="13" t="n">
        <v>543.8748</v>
      </c>
      <c r="E65" s="13" t="n">
        <v>476.0569</v>
      </c>
      <c r="F65" s="14" t="n">
        <f aca="false">(C65*Weights!$B$5+D65*Weights!$B$7)/(Weights!$B$5+Weights!$B$7)</f>
        <v>542.646400531303</v>
      </c>
      <c r="G65" s="14" t="n">
        <f aca="false">C65*Weights!$B$5+E65*Weights!$B$6+D65*Weights!$B$7</f>
        <v>528.6589429972</v>
      </c>
      <c r="H65" s="15" t="n">
        <f aca="false">(G65/B65-1)*100</f>
        <v>0.030680033862085</v>
      </c>
    </row>
    <row r="66" customFormat="false" ht="15" hidden="false" customHeight="false" outlineLevel="0" collapsed="false">
      <c r="A66" s="12" t="n">
        <v>44470</v>
      </c>
      <c r="B66" s="13" t="n">
        <v>547.0802</v>
      </c>
      <c r="C66" s="13" t="n">
        <v>578.9276</v>
      </c>
      <c r="D66" s="13" t="n">
        <v>561.2843</v>
      </c>
      <c r="E66" s="13" t="n">
        <v>485.2106</v>
      </c>
      <c r="F66" s="14" t="n">
        <f aca="false">(C66*Weights!$B$5+D66*Weights!$B$7)/(Weights!$B$5+Weights!$B$7)</f>
        <v>563.836078501415</v>
      </c>
      <c r="G66" s="14" t="n">
        <f aca="false">C66*Weights!$B$5+E66*Weights!$B$6+D66*Weights!$B$7</f>
        <v>547.3204036148</v>
      </c>
      <c r="H66" s="15" t="n">
        <f aca="false">(G66/B66-1)*100</f>
        <v>0.0439064719944149</v>
      </c>
    </row>
    <row r="67" customFormat="false" ht="15" hidden="false" customHeight="false" outlineLevel="0" collapsed="false">
      <c r="A67" s="12" t="n">
        <v>44501</v>
      </c>
      <c r="B67" s="13" t="n">
        <v>560.9184</v>
      </c>
      <c r="C67" s="13" t="n">
        <v>581.892</v>
      </c>
      <c r="D67" s="13" t="n">
        <v>579.5414</v>
      </c>
      <c r="E67" s="13" t="n">
        <v>490.2282</v>
      </c>
      <c r="F67" s="14" t="n">
        <f aca="false">(C67*Weights!$B$5+D67*Weights!$B$7)/(Weights!$B$5+Weights!$B$7)</f>
        <v>579.8813710114</v>
      </c>
      <c r="G67" s="14" t="n">
        <f aca="false">C67*Weights!$B$5+E67*Weights!$B$6+D67*Weights!$B$7</f>
        <v>561.0492741746</v>
      </c>
      <c r="H67" s="15" t="n">
        <f aca="false">(G67/B67-1)*100</f>
        <v>0.023332123638653</v>
      </c>
    </row>
    <row r="68" customFormat="false" ht="15" hidden="false" customHeight="false" outlineLevel="0" collapsed="false">
      <c r="A68" s="12" t="n">
        <v>44531</v>
      </c>
      <c r="B68" s="13" t="n">
        <v>582.4575</v>
      </c>
      <c r="C68" s="13" t="n">
        <v>603.6269</v>
      </c>
      <c r="D68" s="13" t="n">
        <v>605.1759</v>
      </c>
      <c r="E68" s="13" t="n">
        <v>498.6315</v>
      </c>
      <c r="F68" s="14" t="n">
        <f aca="false">(C68*Weights!$B$5+D68*Weights!$B$7)/(Weights!$B$5+Weights!$B$7)</f>
        <v>604.951865669762</v>
      </c>
      <c r="G68" s="14" t="n">
        <f aca="false">C68*Weights!$B$5+E68*Weights!$B$6+D68*Weights!$B$7</f>
        <v>582.618741259</v>
      </c>
      <c r="H68" s="15" t="n">
        <f aca="false">(G68/B68-1)*100</f>
        <v>0.0276829226166786</v>
      </c>
    </row>
    <row r="69" customFormat="false" ht="15" hidden="false" customHeight="false" outlineLevel="0" collapsed="false">
      <c r="A69" s="12" t="n">
        <v>44562</v>
      </c>
      <c r="B69" s="13" t="n">
        <v>605.0317</v>
      </c>
      <c r="C69" s="13" t="n">
        <v>658.2543</v>
      </c>
      <c r="D69" s="13" t="n">
        <v>625.1594</v>
      </c>
      <c r="E69" s="13" t="n">
        <v>512.3766</v>
      </c>
      <c r="F69" s="14" t="n">
        <f aca="false">(C69*Weights!$B$5+D69*Weights!$B$7)/(Weights!$B$5+Weights!$B$7)</f>
        <v>629.945967950807</v>
      </c>
      <c r="G69" s="14" t="n">
        <f aca="false">C69*Weights!$B$5+E69*Weights!$B$6+D69*Weights!$B$7</f>
        <v>605.2499343659</v>
      </c>
      <c r="H69" s="15" t="n">
        <f aca="false">(G69/B69-1)*100</f>
        <v>0.0360699060726999</v>
      </c>
    </row>
    <row r="70" customFormat="false" ht="15" hidden="false" customHeight="false" outlineLevel="0" collapsed="false">
      <c r="A70" s="12" t="n">
        <v>44593</v>
      </c>
      <c r="B70" s="13" t="n">
        <v>633.4341</v>
      </c>
      <c r="C70" s="13" t="n">
        <v>713.7013</v>
      </c>
      <c r="D70" s="13" t="n">
        <v>652.9838</v>
      </c>
      <c r="E70" s="13" t="n">
        <v>528.2683</v>
      </c>
      <c r="F70" s="14" t="n">
        <f aca="false">(C70*Weights!$B$5+D70*Weights!$B$7)/(Weights!$B$5+Weights!$B$7)</f>
        <v>661.765468461095</v>
      </c>
      <c r="G70" s="14" t="n">
        <f aca="false">C70*Weights!$B$5+E70*Weights!$B$6+D70*Weights!$B$7</f>
        <v>633.72372074</v>
      </c>
      <c r="H70" s="15" t="n">
        <f aca="false">(G70/B70-1)*100</f>
        <v>0.0457223158652154</v>
      </c>
    </row>
    <row r="71" customFormat="false" ht="15" hidden="false" customHeight="false" outlineLevel="0" collapsed="false">
      <c r="A71" s="12" t="n">
        <v>44621</v>
      </c>
      <c r="B71" s="13" t="n">
        <v>676.0566</v>
      </c>
      <c r="C71" s="13" t="n">
        <v>757.8963</v>
      </c>
      <c r="D71" s="13" t="n">
        <v>694.7515</v>
      </c>
      <c r="E71" s="13" t="n">
        <v>572.7992</v>
      </c>
      <c r="F71" s="14" t="n">
        <f aca="false">(C71*Weights!$B$5+D71*Weights!$B$7)/(Weights!$B$5+Weights!$B$7)</f>
        <v>703.884232715316</v>
      </c>
      <c r="G71" s="14" t="n">
        <f aca="false">C71*Weights!$B$5+E71*Weights!$B$6+D71*Weights!$B$7</f>
        <v>676.3491661683</v>
      </c>
      <c r="H71" s="15" t="n">
        <f aca="false">(G71/B71-1)*100</f>
        <v>0.0432753956251641</v>
      </c>
    </row>
    <row r="72" customFormat="false" ht="15" hidden="false" customHeight="false" outlineLevel="0" collapsed="false">
      <c r="A72" s="12" t="n">
        <v>44652</v>
      </c>
      <c r="B72" s="13" t="n">
        <v>716.9399</v>
      </c>
      <c r="C72" s="13" t="n">
        <v>799.0308</v>
      </c>
      <c r="D72" s="13" t="n">
        <v>741.3622</v>
      </c>
      <c r="E72" s="13" t="n">
        <v>595.2223</v>
      </c>
      <c r="F72" s="14" t="n">
        <f aca="false">(C72*Weights!$B$5+D72*Weights!$B$7)/(Weights!$B$5+Weights!$B$7)</f>
        <v>749.702901211604</v>
      </c>
      <c r="G72" s="14" t="n">
        <f aca="false">C72*Weights!$B$5+E72*Weights!$B$6+D72*Weights!$B$7</f>
        <v>717.2534785241</v>
      </c>
      <c r="H72" s="15" t="n">
        <f aca="false">(G72/B72-1)*100</f>
        <v>0.0437384673527053</v>
      </c>
    </row>
    <row r="73" customFormat="false" ht="15" hidden="false" customHeight="false" outlineLevel="0" collapsed="false">
      <c r="A73" s="12" t="n">
        <v>44682</v>
      </c>
      <c r="B73" s="13" t="n">
        <v>753.147</v>
      </c>
      <c r="C73" s="13" t="n">
        <v>825.8088</v>
      </c>
      <c r="D73" s="13" t="n">
        <v>779.9267</v>
      </c>
      <c r="E73" s="13" t="n">
        <v>629.0029</v>
      </c>
      <c r="F73" s="14" t="n">
        <f aca="false">(C73*Weights!$B$5+D73*Weights!$B$7)/(Weights!$B$5+Weights!$B$7)</f>
        <v>786.562700996398</v>
      </c>
      <c r="G73" s="14" t="n">
        <f aca="false">C73*Weights!$B$5+E73*Weights!$B$6+D73*Weights!$B$7</f>
        <v>753.4664769981</v>
      </c>
      <c r="H73" s="15" t="n">
        <f aca="false">(G73/B73-1)*100</f>
        <v>0.0424189431943445</v>
      </c>
    </row>
    <row r="74" customFormat="false" ht="15" hidden="false" customHeight="false" outlineLevel="0" collapsed="false">
      <c r="A74" s="12" t="n">
        <v>44713</v>
      </c>
      <c r="B74" s="13" t="n">
        <v>793.0278</v>
      </c>
      <c r="C74" s="13" t="n">
        <v>880.3186</v>
      </c>
      <c r="D74" s="13" t="n">
        <v>819.5734</v>
      </c>
      <c r="E74" s="13" t="n">
        <v>662.0938</v>
      </c>
      <c r="F74" s="14" t="n">
        <f aca="false">(C74*Weights!$B$5+D74*Weights!$B$7)/(Weights!$B$5+Weights!$B$7)</f>
        <v>828.359074756091</v>
      </c>
      <c r="G74" s="14" t="n">
        <f aca="false">C74*Weights!$B$5+E74*Weights!$B$6+D74*Weights!$B$7</f>
        <v>793.4342224672</v>
      </c>
      <c r="H74" s="15" t="n">
        <f aca="false">(G74/B74-1)*100</f>
        <v>0.0512494602585178</v>
      </c>
    </row>
    <row r="75" customFormat="false" ht="15" hidden="false" customHeight="false" outlineLevel="0" collapsed="false">
      <c r="A75" s="12" t="n">
        <v>44743</v>
      </c>
      <c r="B75" s="13" t="n">
        <v>851.761</v>
      </c>
      <c r="C75" s="13" t="n">
        <v>979.7957</v>
      </c>
      <c r="D75" s="13" t="n">
        <v>879.6383</v>
      </c>
      <c r="E75" s="13" t="n">
        <v>694.6115</v>
      </c>
      <c r="F75" s="14" t="n">
        <f aca="false">(C75*Weights!$B$5+D75*Weights!$B$7)/(Weights!$B$5+Weights!$B$7)</f>
        <v>894.124223839508</v>
      </c>
      <c r="G75" s="14" t="n">
        <f aca="false">C75*Weights!$B$5+E75*Weights!$B$6+D75*Weights!$B$7</f>
        <v>852.2155786334</v>
      </c>
      <c r="H75" s="15" t="n">
        <f aca="false">(G75/B75-1)*100</f>
        <v>0.053369270652226</v>
      </c>
    </row>
    <row r="76" customFormat="false" ht="15" hidden="false" customHeight="false" outlineLevel="0" collapsed="false">
      <c r="A76" s="12" t="n">
        <v>44774</v>
      </c>
      <c r="B76" s="13" t="n">
        <v>911.1316</v>
      </c>
      <c r="C76" s="13" t="n">
        <v>1064.731</v>
      </c>
      <c r="D76" s="13" t="n">
        <v>939.4677</v>
      </c>
      <c r="E76" s="13" t="n">
        <v>738.3105</v>
      </c>
      <c r="F76" s="14" t="n">
        <f aca="false">(C76*Weights!$B$5+D76*Weights!$B$7)/(Weights!$B$5+Weights!$B$7)</f>
        <v>957.584730031585</v>
      </c>
      <c r="G76" s="14" t="n">
        <f aca="false">C76*Weights!$B$5+E76*Weights!$B$6+D76*Weights!$B$7</f>
        <v>911.5250816423</v>
      </c>
      <c r="H76" s="15" t="n">
        <f aca="false">(G76/B76-1)*100</f>
        <v>0.0431860383615312</v>
      </c>
    </row>
    <row r="77" customFormat="false" ht="15" hidden="false" customHeight="false" outlineLevel="0" collapsed="false">
      <c r="A77" s="12" t="n">
        <v>44805</v>
      </c>
      <c r="B77" s="13" t="n">
        <v>967.3076</v>
      </c>
      <c r="C77" s="13" t="n">
        <v>1189.6609</v>
      </c>
      <c r="D77" s="13" t="n">
        <v>991.2585</v>
      </c>
      <c r="E77" s="13" t="n">
        <v>771.8891</v>
      </c>
      <c r="F77" s="14" t="n">
        <f aca="false">(C77*Weights!$B$5+D77*Weights!$B$7)/(Weights!$B$5+Weights!$B$7)</f>
        <v>1019.9537542296</v>
      </c>
      <c r="G77" s="14" t="n">
        <f aca="false">C77*Weights!$B$5+E77*Weights!$B$6+D77*Weights!$B$7</f>
        <v>967.8465332854</v>
      </c>
      <c r="H77" s="15" t="n">
        <f aca="false">(G77/B77-1)*100</f>
        <v>0.0557147783600609</v>
      </c>
    </row>
    <row r="78" customFormat="false" ht="15" hidden="false" customHeight="false" outlineLevel="0" collapsed="false">
      <c r="A78" s="12" t="n">
        <v>44835</v>
      </c>
      <c r="B78" s="13" t="n">
        <v>1028.706</v>
      </c>
      <c r="C78" s="13" t="n">
        <v>1297.2889</v>
      </c>
      <c r="D78" s="13" t="n">
        <v>1046.265</v>
      </c>
      <c r="E78" s="13" t="n">
        <v>829.1011</v>
      </c>
      <c r="F78" s="14" t="n">
        <f aca="false">(C78*Weights!$B$5+D78*Weights!$B$7)/(Weights!$B$5+Weights!$B$7)</f>
        <v>1082.57098535202</v>
      </c>
      <c r="G78" s="14" t="n">
        <f aca="false">C78*Weights!$B$5+E78*Weights!$B$6+D78*Weights!$B$7</f>
        <v>1029.3283685844</v>
      </c>
      <c r="H78" s="15" t="n">
        <f aca="false">(G78/B78-1)*100</f>
        <v>0.0605001413815254</v>
      </c>
    </row>
    <row r="79" customFormat="false" ht="15" hidden="false" customHeight="false" outlineLevel="0" collapsed="false">
      <c r="A79" s="12" t="n">
        <v>44866</v>
      </c>
      <c r="B79" s="13" t="n">
        <v>1079.2787</v>
      </c>
      <c r="C79" s="13" t="n">
        <v>1350.5167</v>
      </c>
      <c r="D79" s="13" t="n">
        <v>1096.024</v>
      </c>
      <c r="E79" s="13" t="n">
        <v>880.7676</v>
      </c>
      <c r="F79" s="14" t="n">
        <f aca="false">(C79*Weights!$B$5+D79*Weights!$B$7)/(Weights!$B$5+Weights!$B$7)</f>
        <v>1132.83168340543</v>
      </c>
      <c r="G79" s="14" t="n">
        <f aca="false">C79*Weights!$B$5+E79*Weights!$B$6+D79*Weights!$B$7</f>
        <v>1079.8843623657</v>
      </c>
      <c r="H79" s="15" t="n">
        <f aca="false">(G79/B79-1)*100</f>
        <v>0.0561173277763949</v>
      </c>
    </row>
    <row r="80" customFormat="false" ht="15" hidden="false" customHeight="false" outlineLevel="0" collapsed="false">
      <c r="A80" s="12" t="n">
        <v>44896</v>
      </c>
      <c r="B80" s="13" t="n">
        <v>1134.5875</v>
      </c>
      <c r="C80" s="13" t="n">
        <v>1413.2059</v>
      </c>
      <c r="D80" s="13" t="n">
        <v>1153.5771</v>
      </c>
      <c r="E80" s="13" t="n">
        <v>925.7853</v>
      </c>
      <c r="F80" s="14" t="n">
        <f aca="false">(C80*Weights!$B$5+D80*Weights!$B$7)/(Weights!$B$5+Weights!$B$7)</f>
        <v>1191.12762570597</v>
      </c>
      <c r="G80" s="14" t="n">
        <f aca="false">C80*Weights!$B$5+E80*Weights!$B$6+D80*Weights!$B$7</f>
        <v>1135.3911434798</v>
      </c>
      <c r="H80" s="15" t="n">
        <f aca="false">(G80/B80-1)*100</f>
        <v>0.0708313355999524</v>
      </c>
    </row>
    <row r="81" customFormat="false" ht="15" hidden="false" customHeight="false" outlineLevel="0" collapsed="false">
      <c r="A81" s="12" t="n">
        <v>44927</v>
      </c>
      <c r="B81" s="13" t="n">
        <v>1202.979</v>
      </c>
      <c r="C81" s="13" t="n">
        <v>1525.1043</v>
      </c>
      <c r="D81" s="13" t="n">
        <v>1215.3182</v>
      </c>
      <c r="E81" s="13" t="n">
        <v>991.5192</v>
      </c>
      <c r="F81" s="14" t="n">
        <f aca="false">(C81*Weights!$B$5+D81*Weights!$B$7)/(Weights!$B$5+Weights!$B$7)</f>
        <v>1260.12305566856</v>
      </c>
      <c r="G81" s="14" t="n">
        <f aca="false">C81*Weights!$B$5+E81*Weights!$B$6+D81*Weights!$B$7</f>
        <v>1203.7014727661</v>
      </c>
      <c r="H81" s="15" t="n">
        <f aca="false">(G81/B81-1)*100</f>
        <v>0.0600569724076516</v>
      </c>
    </row>
    <row r="82" customFormat="false" ht="15" hidden="false" customHeight="false" outlineLevel="0" collapsed="false">
      <c r="A82" s="12" t="n">
        <v>44958</v>
      </c>
      <c r="B82" s="13" t="n">
        <v>1282.7091</v>
      </c>
      <c r="C82" s="13" t="n">
        <v>1575.9625</v>
      </c>
      <c r="D82" s="13" t="n">
        <v>1308.7788</v>
      </c>
      <c r="E82" s="13" t="n">
        <v>1042.4951</v>
      </c>
      <c r="F82" s="14" t="n">
        <f aca="false">(C82*Weights!$B$5+D82*Weights!$B$7)/(Weights!$B$5+Weights!$B$7)</f>
        <v>1347.42200289223</v>
      </c>
      <c r="G82" s="14" t="n">
        <f aca="false">C82*Weights!$B$5+E82*Weights!$B$6+D82*Weights!$B$7</f>
        <v>1283.3705823052</v>
      </c>
      <c r="H82" s="15" t="n">
        <f aca="false">(G82/B82-1)*100</f>
        <v>0.0515691597728685</v>
      </c>
    </row>
    <row r="83" customFormat="false" ht="15" hidden="false" customHeight="false" outlineLevel="0" collapsed="false">
      <c r="A83" s="12" t="n">
        <v>44986</v>
      </c>
      <c r="B83" s="13" t="n">
        <v>1381.1601</v>
      </c>
      <c r="C83" s="13" t="n">
        <v>1722.9662</v>
      </c>
      <c r="D83" s="13" t="n">
        <v>1403.1434</v>
      </c>
      <c r="E83" s="13" t="n">
        <v>1128.8908</v>
      </c>
      <c r="F83" s="14" t="n">
        <f aca="false">(C83*Weights!$B$5+D83*Weights!$B$7)/(Weights!$B$5+Weights!$B$7)</f>
        <v>1449.3998795306</v>
      </c>
      <c r="G83" s="14" t="n">
        <f aca="false">C83*Weights!$B$5+E83*Weights!$B$6+D83*Weights!$B$7</f>
        <v>1382.0753448298</v>
      </c>
      <c r="H83" s="15" t="n">
        <f aca="false">(G83/B83-1)*100</f>
        <v>0.0662663821377363</v>
      </c>
    </row>
    <row r="84" customFormat="false" ht="15" hidden="false" customHeight="false" outlineLevel="0" collapsed="false">
      <c r="A84" s="12" t="n">
        <v>45017</v>
      </c>
      <c r="B84" s="13" t="n">
        <v>1497.2147</v>
      </c>
      <c r="C84" s="13" t="n">
        <v>1940.9169</v>
      </c>
      <c r="D84" s="13" t="n">
        <v>1521.0163</v>
      </c>
      <c r="E84" s="13" t="n">
        <v>1184.1465</v>
      </c>
      <c r="F84" s="14" t="n">
        <f aca="false">(C84*Weights!$B$5+D84*Weights!$B$7)/(Weights!$B$5+Weights!$B$7)</f>
        <v>1581.74719069568</v>
      </c>
      <c r="G84" s="14" t="n">
        <f aca="false">C84*Weights!$B$5+E84*Weights!$B$6+D84*Weights!$B$7</f>
        <v>1498.2291776116</v>
      </c>
      <c r="H84" s="15" t="n">
        <f aca="false">(G84/B84-1)*100</f>
        <v>0.0677576577093442</v>
      </c>
    </row>
    <row r="85" customFormat="false" ht="15" hidden="false" customHeight="false" outlineLevel="0" collapsed="false">
      <c r="A85" s="12" t="n">
        <v>45047</v>
      </c>
      <c r="B85" s="13" t="n">
        <v>1613.5895</v>
      </c>
      <c r="C85" s="13" t="n">
        <v>2056.8651</v>
      </c>
      <c r="D85" s="13" t="n">
        <v>1640.2912</v>
      </c>
      <c r="E85" s="13" t="n">
        <v>1291.1045</v>
      </c>
      <c r="F85" s="14" t="n">
        <f aca="false">(C85*Weights!$B$5+D85*Weights!$B$7)/(Weights!$B$5+Weights!$B$7)</f>
        <v>1700.54094479097</v>
      </c>
      <c r="G85" s="14" t="n">
        <f aca="false">C85*Weights!$B$5+E85*Weights!$B$6+D85*Weights!$B$7</f>
        <v>1614.5367723804</v>
      </c>
      <c r="H85" s="15" t="n">
        <f aca="false">(G85/B85-1)*100</f>
        <v>0.0587059088076325</v>
      </c>
    </row>
    <row r="86" customFormat="false" ht="15" hidden="false" customHeight="false" outlineLevel="0" collapsed="false">
      <c r="A86" s="12" t="n">
        <v>45078</v>
      </c>
      <c r="B86" s="13" t="n">
        <v>1709.6115</v>
      </c>
      <c r="C86" s="13" t="n">
        <v>2094.7124</v>
      </c>
      <c r="D86" s="13" t="n">
        <v>1746.7824</v>
      </c>
      <c r="E86" s="13" t="n">
        <v>1383.8634</v>
      </c>
      <c r="F86" s="14" t="n">
        <f aca="false">(C86*Weights!$B$5+D86*Weights!$B$7)/(Weights!$B$5+Weights!$B$7)</f>
        <v>1797.10406850857</v>
      </c>
      <c r="G86" s="14" t="n">
        <f aca="false">C86*Weights!$B$5+E86*Weights!$B$6+D86*Weights!$B$7</f>
        <v>1710.300799885</v>
      </c>
      <c r="H86" s="15" t="n">
        <f aca="false">(G86/B86-1)*100</f>
        <v>0.0403190950107657</v>
      </c>
    </row>
    <row r="87" customFormat="false" ht="15" hidden="false" customHeight="false" outlineLevel="0" collapsed="false">
      <c r="A87" s="12" t="n">
        <v>45108</v>
      </c>
      <c r="B87" s="13" t="n">
        <v>1818.0838</v>
      </c>
      <c r="C87" s="13" t="n">
        <v>2201.586</v>
      </c>
      <c r="D87" s="13" t="n">
        <v>1860.2801</v>
      </c>
      <c r="E87" s="13" t="n">
        <v>1476.8552</v>
      </c>
      <c r="F87" s="14" t="n">
        <f aca="false">(C87*Weights!$B$5+D87*Weights!$B$7)/(Weights!$B$5+Weights!$B$7)</f>
        <v>1909.64371440467</v>
      </c>
      <c r="G87" s="14" t="n">
        <f aca="false">C87*Weights!$B$5+E87*Weights!$B$6+D87*Weights!$B$7</f>
        <v>1818.7343230114</v>
      </c>
      <c r="H87" s="15" t="n">
        <f aca="false">(G87/B87-1)*100</f>
        <v>0.0357806945642469</v>
      </c>
    </row>
    <row r="88" customFormat="false" ht="15" hidden="false" customHeight="false" outlineLevel="0" collapsed="false">
      <c r="A88" s="12" t="n">
        <v>45139</v>
      </c>
      <c r="B88" s="13" t="n">
        <v>2044.2832</v>
      </c>
      <c r="C88" s="13" t="n">
        <v>2436.0941</v>
      </c>
      <c r="D88" s="13" t="n">
        <v>2116.751</v>
      </c>
      <c r="E88" s="13" t="n">
        <v>1599.0767</v>
      </c>
      <c r="F88" s="14" t="n">
        <f aca="false">(C88*Weights!$B$5+D88*Weights!$B$7)/(Weights!$B$5+Weights!$B$7)</f>
        <v>2162.93809975771</v>
      </c>
      <c r="G88" s="14" t="n">
        <f aca="false">C88*Weights!$B$5+E88*Weights!$B$6+D88*Weights!$B$7</f>
        <v>2044.4961934316</v>
      </c>
      <c r="H88" s="15" t="n">
        <f aca="false">(G88/B88-1)*100</f>
        <v>0.0104189787207609</v>
      </c>
    </row>
    <row r="89" customFormat="false" ht="15" hidden="false" customHeight="false" outlineLevel="0" collapsed="false">
      <c r="A89" s="12" t="n">
        <v>45170</v>
      </c>
      <c r="B89" s="13" t="n">
        <v>2304.9242</v>
      </c>
      <c r="C89" s="13" t="n">
        <v>2794.0242</v>
      </c>
      <c r="D89" s="13" t="n">
        <v>2400.9928</v>
      </c>
      <c r="E89" s="13" t="n">
        <v>1732.073</v>
      </c>
      <c r="F89" s="14" t="n">
        <f aca="false">(C89*Weights!$B$5+D89*Weights!$B$7)/(Weights!$B$5+Weights!$B$7)</f>
        <v>2457.837555624</v>
      </c>
      <c r="G89" s="14" t="n">
        <f aca="false">C89*Weights!$B$5+E89*Weights!$B$6+D89*Weights!$B$7</f>
        <v>2305.3870818924</v>
      </c>
      <c r="H89" s="15" t="n">
        <f aca="false">(G89/B89-1)*100</f>
        <v>0.0200823043291498</v>
      </c>
    </row>
    <row r="90" customFormat="false" ht="15" hidden="false" customHeight="false" outlineLevel="0" collapsed="false">
      <c r="A90" s="12" t="n">
        <v>45200</v>
      </c>
      <c r="B90" s="13" t="n">
        <v>2496.273</v>
      </c>
      <c r="C90" s="13" t="n">
        <v>3006.9009</v>
      </c>
      <c r="D90" s="13" t="n">
        <v>2612.5451</v>
      </c>
      <c r="E90" s="13" t="n">
        <v>1846.7566</v>
      </c>
      <c r="F90" s="14" t="n">
        <f aca="false">(C90*Weights!$B$5+D90*Weights!$B$7)/(Weights!$B$5+Weights!$B$7)</f>
        <v>2669.58140569951</v>
      </c>
      <c r="G90" s="14" t="n">
        <f aca="false">C90*Weights!$B$5+E90*Weights!$B$6+D90*Weights!$B$7</f>
        <v>2496.7429411383</v>
      </c>
      <c r="H90" s="15" t="n">
        <f aca="false">(G90/B90-1)*100</f>
        <v>0.0188257109018153</v>
      </c>
    </row>
    <row r="91" customFormat="false" ht="15" hidden="false" customHeight="false" outlineLevel="0" collapsed="false">
      <c r="A91" s="12" t="n">
        <v>45231</v>
      </c>
      <c r="B91" s="13" t="n">
        <v>2816.0628</v>
      </c>
      <c r="C91" s="13" t="n">
        <v>3392.0317</v>
      </c>
      <c r="D91" s="13" t="n">
        <v>2962.7206</v>
      </c>
      <c r="E91" s="13" t="n">
        <v>2032.4708</v>
      </c>
      <c r="F91" s="14" t="n">
        <f aca="false">(C91*Weights!$B$5+D91*Weights!$B$7)/(Weights!$B$5+Weights!$B$7)</f>
        <v>3024.81254625714</v>
      </c>
      <c r="G91" s="14" t="n">
        <f aca="false">C91*Weights!$B$5+E91*Weights!$B$6+D91*Weights!$B$7</f>
        <v>2816.3662007471</v>
      </c>
      <c r="H91" s="15" t="n">
        <f aca="false">(G91/B91-1)*100</f>
        <v>0.0107739339868518</v>
      </c>
    </row>
    <row r="92" customFormat="false" ht="15" hidden="false" customHeight="false" outlineLevel="0" collapsed="false">
      <c r="A92" s="12" t="n">
        <v>45261</v>
      </c>
      <c r="B92" s="13" t="n">
        <v>3533.1922</v>
      </c>
      <c r="C92" s="13" t="n">
        <v>3942.5343</v>
      </c>
      <c r="D92" s="13" t="n">
        <v>3799.9487</v>
      </c>
      <c r="E92" s="13" t="n">
        <v>2452.7844</v>
      </c>
      <c r="F92" s="14" t="n">
        <f aca="false">(C92*Weights!$B$5+D92*Weights!$B$7)/(Weights!$B$5+Weights!$B$7)</f>
        <v>3820.57108179316</v>
      </c>
      <c r="G92" s="14" t="n">
        <f aca="false">C92*Weights!$B$5+E92*Weights!$B$6+D92*Weights!$B$7</f>
        <v>3533.2606503491</v>
      </c>
      <c r="H92" s="15" t="n">
        <f aca="false">(G92/B92-1)*100</f>
        <v>0.00193735141551521</v>
      </c>
    </row>
    <row r="93" customFormat="false" ht="15" hidden="false" customHeight="false" outlineLevel="0" collapsed="false">
      <c r="A93" s="12" t="n">
        <v>45292</v>
      </c>
      <c r="B93" s="13" t="n">
        <v>4261.5324</v>
      </c>
      <c r="C93" s="13" t="n">
        <v>4581.5309</v>
      </c>
      <c r="D93" s="13" t="n">
        <v>4568.1649</v>
      </c>
      <c r="E93" s="13" t="n">
        <v>3104.5367</v>
      </c>
      <c r="F93" s="14" t="n">
        <f aca="false">(C93*Weights!$B$5+D93*Weights!$B$7)/(Weights!$B$5+Weights!$B$7)</f>
        <v>4570.09804580889</v>
      </c>
      <c r="G93" s="14" t="n">
        <f aca="false">C93*Weights!$B$5+E93*Weights!$B$6+D93*Weights!$B$7</f>
        <v>4262.249557315</v>
      </c>
      <c r="H93" s="15" t="n">
        <f aca="false">(G93/B93-1)*100</f>
        <v>0.0168286251912564</v>
      </c>
    </row>
    <row r="94" customFormat="false" ht="15" hidden="false" customHeight="false" outlineLevel="0" collapsed="false">
      <c r="A94" s="12" t="n">
        <v>45323</v>
      </c>
      <c r="B94" s="13" t="n">
        <v>4825.7881</v>
      </c>
      <c r="C94" s="13" t="n">
        <v>4979.8267</v>
      </c>
      <c r="D94" s="13" t="n">
        <v>5129.5988</v>
      </c>
      <c r="E94" s="13" t="n">
        <v>3759.784</v>
      </c>
      <c r="F94" s="14" t="n">
        <f aca="false">(C94*Weights!$B$5+D94*Weights!$B$7)/(Weights!$B$5+Weights!$B$7)</f>
        <v>5107.9370232977</v>
      </c>
      <c r="G94" s="14" t="n">
        <f aca="false">C94*Weights!$B$5+E94*Weights!$B$6+D94*Weights!$B$7</f>
        <v>4824.7507399889</v>
      </c>
      <c r="H94" s="15" t="n">
        <f aca="false">(G94/B94-1)*100</f>
        <v>-0.0214961782325163</v>
      </c>
    </row>
    <row r="95" customFormat="false" ht="15" hidden="false" customHeight="false" outlineLevel="0" collapsed="false">
      <c r="A95" s="12" t="n">
        <v>45352</v>
      </c>
      <c r="B95" s="13" t="n">
        <v>5357.0929</v>
      </c>
      <c r="C95" s="13" t="n">
        <v>5534.7104</v>
      </c>
      <c r="D95" s="13" t="n">
        <v>5612.3991</v>
      </c>
      <c r="E95" s="13" t="n">
        <v>4441.3132</v>
      </c>
      <c r="F95" s="14" t="n">
        <f aca="false">(C95*Weights!$B$5+D95*Weights!$B$7)/(Weights!$B$5+Weights!$B$7)</f>
        <v>5601.16285992797</v>
      </c>
      <c r="G95" s="14" t="n">
        <f aca="false">C95*Weights!$B$5+E95*Weights!$B$6+D95*Weights!$B$7</f>
        <v>5357.5306396118</v>
      </c>
      <c r="H95" s="15" t="n">
        <f aca="false">(G95/B95-1)*100</f>
        <v>0.00817121561957901</v>
      </c>
    </row>
    <row r="96" customFormat="false" ht="15" hidden="false" customHeight="false" outlineLevel="0" collapsed="false">
      <c r="A96" s="12" t="n">
        <v>45383</v>
      </c>
      <c r="B96" s="13" t="n">
        <v>5830.2271</v>
      </c>
      <c r="C96" s="13" t="n">
        <v>6085.2438</v>
      </c>
      <c r="D96" s="13" t="n">
        <v>5965.8926</v>
      </c>
      <c r="E96" s="13" t="n">
        <v>5258.2523</v>
      </c>
      <c r="F96" s="14" t="n">
        <f aca="false">(C96*Weights!$B$5+D96*Weights!$B$7)/(Weights!$B$5+Weights!$B$7)</f>
        <v>5983.15455361854</v>
      </c>
      <c r="G96" s="14" t="n">
        <f aca="false">C96*Weights!$B$5+E96*Weights!$B$6+D96*Weights!$B$7</f>
        <v>5830.8852107347</v>
      </c>
      <c r="H96" s="15" t="n">
        <f aca="false">(G96/B96-1)*100</f>
        <v>0.0112879090884865</v>
      </c>
    </row>
    <row r="97" customFormat="false" ht="15" hidden="false" customHeight="false" outlineLevel="0" collapsed="false">
      <c r="A97" s="12" t="n">
        <v>45413</v>
      </c>
      <c r="B97" s="13" t="n">
        <v>6073.7</v>
      </c>
      <c r="C97" s="13" t="n">
        <v>6521.2</v>
      </c>
      <c r="D97" s="13" t="n">
        <v>6188.7</v>
      </c>
      <c r="E97" s="13" t="n">
        <v>5469.5</v>
      </c>
      <c r="F97" s="14" t="n">
        <f aca="false">(C97*Weights!$B$5+D97*Weights!$B$7)/(Weights!$B$5+Weights!$B$7)</f>
        <v>6236.79000310148</v>
      </c>
      <c r="G97" s="14" t="n">
        <f aca="false">C97*Weights!$B$5+E97*Weights!$B$6+D97*Weights!$B$7</f>
        <v>6075.6169015</v>
      </c>
      <c r="H97" s="15" t="n">
        <f aca="false">(G97/B97-1)*100</f>
        <v>0.0315606878838137</v>
      </c>
    </row>
    <row r="98" customFormat="false" ht="15" hidden="false" customHeight="false" outlineLevel="0" collapsed="false">
      <c r="A98" s="12" t="n">
        <v>45444</v>
      </c>
      <c r="B98" s="13" t="n">
        <v>6351.7145</v>
      </c>
      <c r="C98" s="13" t="n">
        <v>6811.1236</v>
      </c>
      <c r="D98" s="13" t="n">
        <v>6414.6575</v>
      </c>
      <c r="E98" s="13" t="n">
        <v>5910.154</v>
      </c>
      <c r="F98" s="14" t="n">
        <f aca="false">(C98*Weights!$B$5+D98*Weights!$B$7)/(Weights!$B$5+Weights!$B$7)</f>
        <v>6471.99902174025</v>
      </c>
      <c r="G98" s="14" t="n">
        <f aca="false">C98*Weights!$B$5+E98*Weights!$B$6+D98*Weights!$B$7</f>
        <v>6353.9806656986</v>
      </c>
      <c r="H98" s="15" t="n">
        <f aca="false">(G98/B98-1)*100</f>
        <v>0.0356780157326098</v>
      </c>
    </row>
    <row r="99" customFormat="false" ht="15" hidden="false" customHeight="false" outlineLevel="0" collapsed="false">
      <c r="A99" s="12" t="n">
        <v>45474</v>
      </c>
      <c r="B99" s="13" t="n">
        <v>6607.7479</v>
      </c>
      <c r="C99" s="13" t="n">
        <v>7156.7976</v>
      </c>
      <c r="D99" s="13" t="n">
        <v>6657.49</v>
      </c>
      <c r="E99" s="13" t="n">
        <v>6166.198</v>
      </c>
      <c r="F99" s="14" t="n">
        <f aca="false">(C99*Weights!$B$5+D99*Weights!$B$7)/(Weights!$B$5+Weights!$B$7)</f>
        <v>6729.70565122584</v>
      </c>
      <c r="G99" s="14" t="n">
        <f aca="false">C99*Weights!$B$5+E99*Weights!$B$6+D99*Weights!$B$7</f>
        <v>6611.3380515476</v>
      </c>
      <c r="H99" s="15" t="n">
        <f aca="false">(G99/B99-1)*100</f>
        <v>0.0543324533855083</v>
      </c>
    </row>
    <row r="100" customFormat="false" ht="15" hidden="false" customHeight="false" outlineLevel="0" collapsed="false">
      <c r="A100" s="12" t="n">
        <v>45505</v>
      </c>
      <c r="B100" s="13" t="n">
        <v>6883.4412</v>
      </c>
      <c r="C100" s="13" t="n">
        <v>7266.119</v>
      </c>
      <c r="D100" s="13" t="n">
        <v>6931.7976</v>
      </c>
      <c r="E100" s="13" t="n">
        <v>6529.3696</v>
      </c>
      <c r="F100" s="14" t="n">
        <f aca="false">(C100*Weights!$B$5+D100*Weights!$B$7)/(Weights!$B$5+Weights!$B$7)</f>
        <v>6980.15103507637</v>
      </c>
      <c r="G100" s="14" t="n">
        <f aca="false">C100*Weights!$B$5+E100*Weights!$B$6+D100*Weights!$B$7</f>
        <v>6885.4621407314</v>
      </c>
      <c r="H100" s="15" t="n">
        <f aca="false">(G100/B100-1)*100</f>
        <v>0.0293594536901143</v>
      </c>
    </row>
    <row r="101" customFormat="false" ht="15" hidden="false" customHeight="false" outlineLevel="0" collapsed="false">
      <c r="A101" s="12" t="n">
        <v>45536</v>
      </c>
      <c r="B101" s="13" t="n">
        <v>7122.2421</v>
      </c>
      <c r="C101" s="13" t="n">
        <v>7479.6823</v>
      </c>
      <c r="D101" s="13" t="n">
        <v>7157.9271</v>
      </c>
      <c r="E101" s="13" t="n">
        <v>6825.2577</v>
      </c>
      <c r="F101" s="14" t="n">
        <f aca="false">(C101*Weights!$B$5+D101*Weights!$B$7)/(Weights!$B$5+Weights!$B$7)</f>
        <v>7204.46306561178</v>
      </c>
      <c r="G101" s="14" t="n">
        <f aca="false">C101*Weights!$B$5+E101*Weights!$B$6+D101*Weights!$B$7</f>
        <v>7124.8090825382</v>
      </c>
      <c r="H101" s="15" t="n">
        <f aca="false">(G101/B101-1)*100</f>
        <v>0.0360417759205145</v>
      </c>
    </row>
    <row r="102" customFormat="false" ht="15" hidden="false" customHeight="false" outlineLevel="0" collapsed="false">
      <c r="A102" s="12" t="n">
        <v>45566</v>
      </c>
      <c r="B102" s="13" t="n">
        <v>7313.9542</v>
      </c>
      <c r="C102" s="13" t="n">
        <v>7581.5911</v>
      </c>
      <c r="D102" s="13" t="n">
        <v>7366.7823</v>
      </c>
      <c r="E102" s="13" t="n">
        <v>7009.2808</v>
      </c>
      <c r="F102" s="14" t="n">
        <f aca="false">(C102*Weights!$B$5+D102*Weights!$B$7)/(Weights!$B$5+Weights!$B$7)</f>
        <v>7397.85043791948</v>
      </c>
      <c r="G102" s="14" t="n">
        <f aca="false">C102*Weights!$B$5+E102*Weights!$B$6+D102*Weights!$B$7</f>
        <v>7316.2294426263</v>
      </c>
      <c r="H102" s="15" t="n">
        <f aca="false">(G102/B102-1)*100</f>
        <v>0.0311082427382425</v>
      </c>
    </row>
    <row r="103" customFormat="false" ht="15" hidden="false" customHeight="false" outlineLevel="0" collapsed="false">
      <c r="A103" s="12" t="n">
        <v>45597</v>
      </c>
      <c r="B103" s="13" t="n">
        <v>7491.4314</v>
      </c>
      <c r="C103" s="13" t="n">
        <v>7490.4606</v>
      </c>
      <c r="D103" s="13" t="n">
        <v>7566.7782</v>
      </c>
      <c r="E103" s="13" t="n">
        <v>7257.6652</v>
      </c>
      <c r="F103" s="14" t="n">
        <f aca="false">(C103*Weights!$B$5+D103*Weights!$B$7)/(Weights!$B$5+Weights!$B$7)</f>
        <v>7555.74026429865</v>
      </c>
      <c r="G103" s="14" t="n">
        <f aca="false">C103*Weights!$B$5+E103*Weights!$B$6+D103*Weights!$B$7</f>
        <v>7493.1281066674</v>
      </c>
      <c r="H103" s="15" t="n">
        <f aca="false">(G103/B103-1)*100</f>
        <v>0.0226486311734719</v>
      </c>
    </row>
    <row r="104" customFormat="false" ht="15" hidden="false" customHeight="false" outlineLevel="0" collapsed="false">
      <c r="A104" s="12" t="n">
        <v>45627</v>
      </c>
      <c r="B104" s="13" t="n">
        <v>7694.0075</v>
      </c>
      <c r="C104" s="13" t="n">
        <v>7385.2224</v>
      </c>
      <c r="D104" s="13" t="n">
        <v>7808.7094</v>
      </c>
      <c r="E104" s="13" t="n">
        <v>7502.5373</v>
      </c>
      <c r="F104" s="14" t="n">
        <f aca="false">(C104*Weights!$B$5+D104*Weights!$B$7)/(Weights!$B$5+Weights!$B$7)</f>
        <v>7747.45980257613</v>
      </c>
      <c r="G104" s="14" t="n">
        <f aca="false">C104*Weights!$B$5+E104*Weights!$B$6+D104*Weights!$B$7</f>
        <v>7696.0126062975</v>
      </c>
      <c r="H104" s="15" t="n">
        <f aca="false">(G104/B104-1)*100</f>
        <v>0.0260606231212934</v>
      </c>
    </row>
    <row r="105" customFormat="false" ht="15" hidden="false" customHeight="false" outlineLevel="0" collapsed="false">
      <c r="A105" s="12" t="n">
        <v>45658</v>
      </c>
      <c r="B105" s="13" t="n">
        <v>7864.1257</v>
      </c>
      <c r="C105" s="13" t="n">
        <v>7411.5104</v>
      </c>
      <c r="D105" s="13" t="n">
        <v>7995.938</v>
      </c>
      <c r="E105" s="13" t="n">
        <v>7698.607</v>
      </c>
      <c r="F105" s="14" t="n">
        <f aca="false">(C105*Weights!$B$5+D105*Weights!$B$7)/(Weights!$B$5+Weights!$B$7)</f>
        <v>7911.41130798018</v>
      </c>
      <c r="G105" s="14" t="n">
        <f aca="false">C105*Weights!$B$5+E105*Weights!$B$6+D105*Weights!$B$7</f>
        <v>7866.7106990674</v>
      </c>
      <c r="H105" s="15" t="n">
        <f aca="false">(G105/B105-1)*100</f>
        <v>0.0328707750360646</v>
      </c>
    </row>
    <row r="106" customFormat="false" ht="15" hidden="false" customHeight="false" outlineLevel="0" collapsed="false">
      <c r="A106" s="12" t="n">
        <v>45689</v>
      </c>
      <c r="B106" s="13" t="n">
        <v>8052.9927</v>
      </c>
      <c r="C106" s="13" t="n">
        <v>7350.8325</v>
      </c>
      <c r="D106" s="13" t="n">
        <v>8229.4476</v>
      </c>
      <c r="E106" s="13" t="n">
        <v>7877.3099</v>
      </c>
      <c r="F106" s="14" t="n">
        <f aca="false">(C106*Weights!$B$5+D106*Weights!$B$7)/(Weights!$B$5+Weights!$B$7)</f>
        <v>8102.37210260449</v>
      </c>
      <c r="G106" s="14" t="n">
        <f aca="false">C106*Weights!$B$5+E106*Weights!$B$6+D106*Weights!$B$7</f>
        <v>8055.0966616364</v>
      </c>
      <c r="H106" s="15" t="n">
        <f aca="false">(G106/B106-1)*100</f>
        <v>0.0261264565209363</v>
      </c>
    </row>
    <row r="107" customFormat="false" ht="15" hidden="false" customHeight="false" outlineLevel="0" collapsed="false">
      <c r="A107" s="12" t="n">
        <v>45717</v>
      </c>
      <c r="B107" s="13" t="n">
        <v>8353.3158</v>
      </c>
      <c r="C107" s="13" t="n">
        <v>7971.2748</v>
      </c>
      <c r="D107" s="13" t="n">
        <v>8492.1966</v>
      </c>
      <c r="E107" s="13" t="n">
        <v>8129.994</v>
      </c>
      <c r="F107" s="14" t="n">
        <f aca="false">(C107*Weights!$B$5+D107*Weights!$B$7)/(Weights!$B$5+Weights!$B$7)</f>
        <v>8416.85485269886</v>
      </c>
      <c r="G107" s="14" t="n">
        <f aca="false">C107*Weights!$B$5+E107*Weights!$B$6+D107*Weights!$B$7</f>
        <v>8356.5982962852</v>
      </c>
      <c r="H107" s="15" t="n">
        <f aca="false">(G107/B107-1)*100</f>
        <v>0.0392957283525508</v>
      </c>
    </row>
    <row r="108" customFormat="false" ht="15" hidden="false" customHeight="false" outlineLevel="0" collapsed="false">
      <c r="A108" s="12" t="n">
        <v>45748</v>
      </c>
      <c r="B108" s="13" t="n">
        <v>8585.6078</v>
      </c>
      <c r="C108" s="13" t="n">
        <v>8121.3082</v>
      </c>
      <c r="D108" s="13" t="n">
        <v>8765.1966</v>
      </c>
      <c r="E108" s="13" t="n">
        <v>8273.8986</v>
      </c>
      <c r="F108" s="14" t="n">
        <f aca="false">(C108*Weights!$B$5+D108*Weights!$B$7)/(Weights!$B$5+Weights!$B$7)</f>
        <v>8672.06999803607</v>
      </c>
      <c r="G108" s="14" t="n">
        <f aca="false">C108*Weights!$B$5+E108*Weights!$B$6+D108*Weights!$B$7</f>
        <v>8588.4321050216</v>
      </c>
      <c r="H108" s="15" t="n">
        <f aca="false">(G108/B108-1)*100</f>
        <v>0.0328958075816121</v>
      </c>
    </row>
    <row r="109" customFormat="false" ht="15" hidden="false" customHeight="false" outlineLevel="0" collapsed="false">
      <c r="A109" s="12" t="n">
        <v>45778</v>
      </c>
      <c r="B109" s="13" t="n">
        <v>8714.4871</v>
      </c>
      <c r="C109" s="13" t="n">
        <v>7899.4762</v>
      </c>
      <c r="D109" s="13" t="n">
        <v>8957.7912</v>
      </c>
      <c r="E109" s="13" t="n">
        <v>8382.4957</v>
      </c>
      <c r="F109" s="14" t="n">
        <f aca="false">(C109*Weights!$B$5+D109*Weights!$B$7)/(Weights!$B$5+Weights!$B$7)</f>
        <v>8804.7254206546</v>
      </c>
      <c r="G109" s="14" t="n">
        <f aca="false">C109*Weights!$B$5+E109*Weights!$B$6+D109*Weights!$B$7</f>
        <v>8716.0339566825</v>
      </c>
      <c r="H109" s="15" t="n">
        <f aca="false">(G109/B109-1)*100</f>
        <v>0.0177504041804166</v>
      </c>
    </row>
    <row r="110" customFormat="false" ht="15" hidden="false" customHeight="false" outlineLevel="0" collapsed="false">
      <c r="A110" s="12" t="n">
        <v>45809</v>
      </c>
      <c r="B110" s="13" t="n">
        <v>8855.5681</v>
      </c>
      <c r="C110" s="13" t="n">
        <v>7882.5607</v>
      </c>
      <c r="D110" s="13" t="n">
        <v>9111.304</v>
      </c>
      <c r="E110" s="13" t="n">
        <v>8569.0645</v>
      </c>
      <c r="F110" s="14" t="n">
        <f aca="false">(C110*Weights!$B$5+D110*Weights!$B$7)/(Weights!$B$5+Weights!$B$7)</f>
        <v>8933.58890493857</v>
      </c>
      <c r="G110" s="14" t="n">
        <f aca="false">C110*Weights!$B$5+E110*Weights!$B$6+D110*Weights!$B$7</f>
        <v>8857.0187310592</v>
      </c>
      <c r="H110" s="15" t="n">
        <f aca="false">(G110/B110-1)*100</f>
        <v>0.0163810050673119</v>
      </c>
    </row>
    <row r="111" customFormat="false" ht="15" hidden="false" customHeight="false" outlineLevel="0" collapsed="false">
      <c r="A111" s="12" t="n">
        <v>45839</v>
      </c>
      <c r="B111" s="13" t="n">
        <v>9023.973</v>
      </c>
      <c r="C111" s="13" t="n">
        <v>8201.9212</v>
      </c>
      <c r="D111" s="13" t="n">
        <v>9246.0737</v>
      </c>
      <c r="E111" s="13" t="n">
        <v>8766.629</v>
      </c>
      <c r="F111" s="14" t="n">
        <f aca="false">(C111*Weights!$B$5+D111*Weights!$B$7)/(Weights!$B$5+Weights!$B$7)</f>
        <v>9095.05626552355</v>
      </c>
      <c r="G111" s="14" t="n">
        <f aca="false">C111*Weights!$B$5+E111*Weights!$B$6+D111*Weights!$B$7</f>
        <v>9026.068476264</v>
      </c>
      <c r="H111" s="15" t="n">
        <f aca="false">(G111/B111-1)*100</f>
        <v>0.0232212160209411</v>
      </c>
    </row>
    <row r="112" customFormat="false" ht="15" hidden="false" customHeight="false" outlineLevel="0" collapsed="false">
      <c r="A112" s="12" t="n">
        <v>45870</v>
      </c>
      <c r="B112" s="13" t="n">
        <v>9193.2441</v>
      </c>
      <c r="C112" s="13" t="n">
        <v>8137.0132</v>
      </c>
      <c r="D112" s="13" t="n">
        <v>9435.1467</v>
      </c>
      <c r="E112" s="13" t="n">
        <v>9000.5641</v>
      </c>
      <c r="F112" s="14" t="n">
        <f aca="false">(C112*Weights!$B$5+D112*Weights!$B$7)/(Weights!$B$5+Weights!$B$7)</f>
        <v>9247.39559010184</v>
      </c>
      <c r="G112" s="14" t="n">
        <f aca="false">C112*Weights!$B$5+E112*Weights!$B$6+D112*Weights!$B$7</f>
        <v>9195.5474014485</v>
      </c>
      <c r="H112" s="15" t="n">
        <f aca="false">(G112/B112-1)*100</f>
        <v>0.0250542835961376</v>
      </c>
    </row>
    <row r="113" customFormat="false" ht="15" hidden="false" customHeight="false" outlineLevel="0" collapsed="false">
      <c r="A113" s="12" t="n">
        <v>45901</v>
      </c>
      <c r="B113" s="13" t="n">
        <v>9384.0922</v>
      </c>
      <c r="C113" s="13" t="n">
        <v>8316.258</v>
      </c>
      <c r="D113" s="13" t="n">
        <v>9614.0254</v>
      </c>
      <c r="E113" s="13" t="n">
        <v>9237.6711</v>
      </c>
      <c r="F113" s="14" t="n">
        <f aca="false">(C113*Weights!$B$5+D113*Weights!$B$7)/(Weights!$B$5+Weights!$B$7)</f>
        <v>9426.32723972631</v>
      </c>
      <c r="G113" s="14" t="n">
        <f aca="false">C113*Weights!$B$5+E113*Weights!$B$6+D113*Weights!$B$7</f>
        <v>9386.6990742961</v>
      </c>
      <c r="H113" s="15" t="n">
        <f aca="false">(G113/B113-1)*100</f>
        <v>0.0277797174254024</v>
      </c>
    </row>
    <row r="114" customFormat="false" ht="15" hidden="false" customHeight="false" outlineLevel="0" collapsed="false">
      <c r="A114" s="12" t="n">
        <v>45931</v>
      </c>
      <c r="B114" s="13" t="n">
        <v>9603.8623</v>
      </c>
      <c r="C114" s="13" t="n">
        <v>8548.5791</v>
      </c>
      <c r="D114" s="13" t="n">
        <v>9827.1413</v>
      </c>
      <c r="E114" s="13" t="n">
        <v>9474.6115</v>
      </c>
      <c r="F114" s="14" t="n">
        <f aca="false">(C114*Weights!$B$5+D114*Weights!$B$7)/(Weights!$B$5+Weights!$B$7)</f>
        <v>9642.22081830545</v>
      </c>
      <c r="G114" s="14" t="n">
        <f aca="false">C114*Weights!$B$5+E114*Weights!$B$6+D114*Weights!$B$7</f>
        <v>9607.0136429488</v>
      </c>
      <c r="H114" s="15" t="n">
        <f aca="false">(G114/B114-1)*100</f>
        <v>0.0328132875124565</v>
      </c>
    </row>
    <row r="115" customFormat="false" ht="15" hidden="false" customHeight="false" outlineLevel="0" collapsed="false">
      <c r="A115" s="12" t="n">
        <v>45962</v>
      </c>
      <c r="B115" s="13" t="n">
        <v>9841.3581</v>
      </c>
      <c r="C115" s="13" t="n">
        <v>8584.9379</v>
      </c>
      <c r="D115" s="13" t="n">
        <v>10086.4793</v>
      </c>
      <c r="E115" s="13" t="n">
        <v>9748.309</v>
      </c>
      <c r="F115" s="14" t="n">
        <f aca="false">(C115*Weights!$B$5+D115*Weights!$B$7)/(Weights!$B$5+Weights!$B$7)</f>
        <v>9869.30898245713</v>
      </c>
      <c r="G115" s="14" t="n">
        <f aca="false">C115*Weights!$B$5+E115*Weights!$B$6+D115*Weights!$B$7</f>
        <v>9843.8923311421</v>
      </c>
      <c r="H115" s="15" t="n">
        <f aca="false">(G115/B115-1)*100</f>
        <v>0.0257508274401852</v>
      </c>
    </row>
    <row r="116" customFormat="false" ht="15" hidden="false" customHeight="false" outlineLevel="0" collapsed="false">
      <c r="A116" s="12" t="n">
        <v>45992</v>
      </c>
      <c r="B116" s="13" t="n">
        <v>10121.3715</v>
      </c>
      <c r="C116" s="13" t="n">
        <v>8637.1055</v>
      </c>
      <c r="D116" s="13" t="n">
        <v>10392.4922</v>
      </c>
      <c r="E116" s="13" t="n">
        <v>10069.0986</v>
      </c>
      <c r="F116" s="14" t="n">
        <f aca="false">(C116*Weights!$B$5+D116*Weights!$B$7)/(Weights!$B$5+Weights!$B$7)</f>
        <v>10138.607833542</v>
      </c>
      <c r="G116" s="14" t="n">
        <f aca="false">C116*Weights!$B$5+E116*Weights!$B$6+D116*Weights!$B$7</f>
        <v>10124.0070714903</v>
      </c>
      <c r="H116" s="15" t="n">
        <f aca="false">(G116/B116-1)*100</f>
        <v>0.0260396675519914</v>
      </c>
    </row>
    <row r="117" customFormat="false" ht="15" hidden="false" customHeight="false" outlineLevel="0" collapsed="false">
      <c r="A117" s="12" t="n">
        <v>46023</v>
      </c>
      <c r="B117" s="13" t="n">
        <v>10413.0309</v>
      </c>
      <c r="C117" s="13" t="n">
        <v>9130.0503</v>
      </c>
      <c r="D117" s="13" t="n">
        <v>10665.8531</v>
      </c>
      <c r="E117" s="13" t="n">
        <v>10313.8016</v>
      </c>
      <c r="F117" s="14" t="n">
        <f aca="false">(C117*Weights!$B$5+D117*Weights!$B$7)/(Weights!$B$5+Weights!$B$7)</f>
        <v>10443.7275017586</v>
      </c>
      <c r="G117" s="14" t="n">
        <f aca="false">C117*Weights!$B$5+E117*Weights!$B$6+D117*Weights!$B$7</f>
        <v>10416.4359164647</v>
      </c>
      <c r="H117" s="15" t="n">
        <f aca="false">(G117/B117-1)*100</f>
        <v>0.0326995713102241</v>
      </c>
    </row>
    <row r="118" customFormat="false" ht="15" hidden="false" customHeight="false" outlineLevel="0" collapsed="false">
      <c r="A118" s="12" t="n">
        <v>46054</v>
      </c>
      <c r="B118" s="13" t="n">
        <v>10714.6255</v>
      </c>
      <c r="C118" s="13" t="n">
        <v>9013.6124</v>
      </c>
      <c r="D118" s="13" t="n">
        <v>10993.8681</v>
      </c>
      <c r="E118" s="13" t="n">
        <v>10752.23</v>
      </c>
      <c r="F118" s="14" t="n">
        <f aca="false">(C118*Weights!$B$5+D118*Weights!$B$7)/(Weights!$B$5+Weights!$B$7)</f>
        <v>10707.4605729181</v>
      </c>
      <c r="G118" s="14" t="n">
        <f aca="false">C118*Weights!$B$5+E118*Weights!$B$6+D118*Weights!$B$7</f>
        <v>10716.8646149238</v>
      </c>
      <c r="H118" s="15" t="n">
        <f aca="false">(G118/B118-1)*100</f>
        <v>0.0208977432183621</v>
      </c>
    </row>
    <row r="119" customFormat="false" ht="15" hidden="false" customHeight="false" outlineLevel="0" collapsed="false">
      <c r="A119" s="12" t="n">
        <v>46082</v>
      </c>
      <c r="B119" s="13" t="n">
        <v>11077.0608</v>
      </c>
      <c r="C119" s="13" t="n">
        <v>9107.887</v>
      </c>
      <c r="D119" s="13" t="n">
        <v>11344.4566</v>
      </c>
      <c r="E119" s="13" t="n">
        <v>11298.7045</v>
      </c>
      <c r="F119" s="14" t="n">
        <f aca="false">(C119*Weights!$B$5+D119*Weights!$B$7)/(Weights!$B$5+Weights!$B$7)</f>
        <v>11020.9779864641</v>
      </c>
      <c r="G119" s="14" t="n">
        <f aca="false">C119*Weights!$B$5+E119*Weights!$B$6+D119*Weights!$B$7</f>
        <v>11079.3158292649</v>
      </c>
      <c r="H119" s="15" t="n">
        <f aca="false">(G119/B119-1)*100</f>
        <v>0.0203576499724578</v>
      </c>
    </row>
    <row r="120" customFormat="false" ht="15" hidden="false" customHeight="false" outlineLevel="0" collapsed="false">
      <c r="A120" s="12" t="n">
        <v>46113</v>
      </c>
      <c r="B120" s="13" t="n">
        <v>11363.0904</v>
      </c>
      <c r="C120" s="13" t="n">
        <v>9103.5096</v>
      </c>
      <c r="D120" s="13" t="n">
        <v>11603.8447</v>
      </c>
      <c r="E120" s="13" t="n">
        <v>11828.0421</v>
      </c>
      <c r="F120" s="14" t="n">
        <f aca="false">(C120*Weights!$B$5+D120*Weights!$B$7)/(Weights!$B$5+Weights!$B$7)</f>
        <v>11242.2172632669</v>
      </c>
      <c r="G120" s="14" t="n">
        <f aca="false">C120*Weights!$B$5+E120*Weights!$B$6+D120*Weights!$B$7</f>
        <v>11365.2726993469</v>
      </c>
      <c r="H120" s="15" t="n">
        <f aca="false">(G120/B120-1)*100</f>
        <v>0.0192051569606555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10" min="2" style="0" width="16"/>
  </cols>
  <sheetData>
    <row r="1" customFormat="false" ht="17.35" hidden="false" customHeight="false" outlineLevel="0" collapsed="false">
      <c r="A1" s="1" t="s">
        <v>28</v>
      </c>
    </row>
    <row r="4" customFormat="false" ht="15" hidden="false" customHeight="false" outlineLevel="0" collapsed="false">
      <c r="A4" s="2" t="s">
        <v>29</v>
      </c>
    </row>
    <row r="7" customFormat="false" ht="23.85" hidden="false" customHeight="false" outlineLevel="0" collapsed="false">
      <c r="A7" s="3" t="s">
        <v>23</v>
      </c>
      <c r="B7" s="3" t="s">
        <v>30</v>
      </c>
      <c r="C7" s="3" t="s">
        <v>31</v>
      </c>
      <c r="D7" s="3" t="s">
        <v>32</v>
      </c>
      <c r="E7" s="3" t="s">
        <v>33</v>
      </c>
      <c r="F7" s="3" t="s">
        <v>34</v>
      </c>
      <c r="G7" s="3" t="s">
        <v>35</v>
      </c>
      <c r="H7" s="3" t="s">
        <v>36</v>
      </c>
      <c r="I7" s="3" t="s">
        <v>37</v>
      </c>
      <c r="J7" s="3" t="s">
        <v>38</v>
      </c>
    </row>
    <row r="8" customFormat="false" ht="15" hidden="false" customHeight="false" outlineLevel="0" collapsed="false">
      <c r="A8" s="12" t="n">
        <v>42705</v>
      </c>
      <c r="B8" s="16" t="n">
        <f aca="false">'Data (monthly)'!E8/'Data (monthly)'!$E$8*100</f>
        <v>100</v>
      </c>
      <c r="C8" s="16" t="n">
        <f aca="false">'Data (monthly)'!F8/'Data (monthly)'!$F$8*100</f>
        <v>100</v>
      </c>
      <c r="D8" s="17" t="n">
        <f aca="false">B8/C8*100</f>
        <v>100</v>
      </c>
    </row>
    <row r="9" customFormat="false" ht="15" hidden="false" customHeight="false" outlineLevel="0" collapsed="false">
      <c r="A9" s="12" t="n">
        <v>42736</v>
      </c>
      <c r="B9" s="16" t="n">
        <f aca="false">'Data (monthly)'!E9/'Data (monthly)'!$E$8*100</f>
        <v>101.8183</v>
      </c>
      <c r="C9" s="16" t="n">
        <f aca="false">'Data (monthly)'!F9/'Data (monthly)'!$F$8*100</f>
        <v>101.531813896537</v>
      </c>
      <c r="D9" s="17" t="n">
        <f aca="false">B9/C9*100</f>
        <v>100.282163877969</v>
      </c>
    </row>
    <row r="10" customFormat="false" ht="15" hidden="false" customHeight="false" outlineLevel="0" collapsed="false">
      <c r="A10" s="12" t="n">
        <v>42767</v>
      </c>
      <c r="B10" s="16" t="n">
        <f aca="false">'Data (monthly)'!E10/'Data (monthly)'!$E$8*100</f>
        <v>105.9316</v>
      </c>
      <c r="C10" s="16" t="n">
        <f aca="false">'Data (monthly)'!F10/'Data (monthly)'!$F$8*100</f>
        <v>103.083802728671</v>
      </c>
      <c r="D10" s="17" t="n">
        <f aca="false">B10/C10*100</f>
        <v>102.762604013382</v>
      </c>
    </row>
    <row r="11" customFormat="false" ht="15" hidden="false" customHeight="false" outlineLevel="0" collapsed="false">
      <c r="A11" s="12" t="n">
        <v>42795</v>
      </c>
      <c r="B11" s="16" t="n">
        <f aca="false">'Data (monthly)'!E11/'Data (monthly)'!$E$8*100</f>
        <v>110.0057</v>
      </c>
      <c r="C11" s="16" t="n">
        <f aca="false">'Data (monthly)'!F11/'Data (monthly)'!$F$8*100</f>
        <v>105.145113827672</v>
      </c>
      <c r="D11" s="17" t="n">
        <f aca="false">B11/C11*100</f>
        <v>104.622740891502</v>
      </c>
    </row>
    <row r="12" customFormat="false" ht="15" hidden="false" customHeight="false" outlineLevel="0" collapsed="false">
      <c r="A12" s="12" t="n">
        <v>42826</v>
      </c>
      <c r="B12" s="16" t="n">
        <f aca="false">'Data (monthly)'!E12/'Data (monthly)'!$E$8*100</f>
        <v>114.4649</v>
      </c>
      <c r="C12" s="16" t="n">
        <f aca="false">'Data (monthly)'!F12/'Data (monthly)'!$F$8*100</f>
        <v>107.536876617613</v>
      </c>
      <c r="D12" s="17" t="n">
        <f aca="false">B12/C12*100</f>
        <v>106.442462902305</v>
      </c>
    </row>
    <row r="13" customFormat="false" ht="15" hidden="false" customHeight="false" outlineLevel="0" collapsed="false">
      <c r="A13" s="12" t="n">
        <v>42856</v>
      </c>
      <c r="B13" s="16" t="n">
        <f aca="false">'Data (monthly)'!E13/'Data (monthly)'!$E$8*100</f>
        <v>115.6559</v>
      </c>
      <c r="C13" s="16" t="n">
        <f aca="false">'Data (monthly)'!F13/'Data (monthly)'!$F$8*100</f>
        <v>109.184727977517</v>
      </c>
      <c r="D13" s="17" t="n">
        <f aca="false">B13/C13*100</f>
        <v>105.926810591876</v>
      </c>
    </row>
    <row r="14" customFormat="false" ht="15" hidden="false" customHeight="false" outlineLevel="0" collapsed="false">
      <c r="A14" s="12" t="n">
        <v>42887</v>
      </c>
      <c r="B14" s="16" t="n">
        <f aca="false">'Data (monthly)'!E14/'Data (monthly)'!$E$8*100</f>
        <v>116.6875</v>
      </c>
      <c r="C14" s="16" t="n">
        <f aca="false">'Data (monthly)'!F14/'Data (monthly)'!$F$8*100</f>
        <v>110.580198773459</v>
      </c>
      <c r="D14" s="17" t="n">
        <f aca="false">B14/C14*100</f>
        <v>105.522960976995</v>
      </c>
    </row>
    <row r="15" customFormat="false" ht="15" hidden="false" customHeight="false" outlineLevel="0" collapsed="false">
      <c r="A15" s="12" t="n">
        <v>42917</v>
      </c>
      <c r="B15" s="16" t="n">
        <f aca="false">'Data (monthly)'!E15/'Data (monthly)'!$E$8*100</f>
        <v>119.3618</v>
      </c>
      <c r="C15" s="16" t="n">
        <f aca="false">'Data (monthly)'!F15/'Data (monthly)'!$F$8*100</f>
        <v>112.324799117913</v>
      </c>
      <c r="D15" s="17" t="n">
        <f aca="false">B15/C15*100</f>
        <v>106.264868432749</v>
      </c>
    </row>
    <row r="16" customFormat="false" ht="15" hidden="false" customHeight="false" outlineLevel="0" collapsed="false">
      <c r="A16" s="12" t="n">
        <v>42948</v>
      </c>
      <c r="B16" s="16" t="n">
        <f aca="false">'Data (monthly)'!E16/'Data (monthly)'!$E$8*100</f>
        <v>121.1349</v>
      </c>
      <c r="C16" s="16" t="n">
        <f aca="false">'Data (monthly)'!F16/'Data (monthly)'!$F$8*100</f>
        <v>113.875770356037</v>
      </c>
      <c r="D16" s="17" t="n">
        <f aca="false">B16/C16*100</f>
        <v>106.374604203569</v>
      </c>
    </row>
    <row r="17" customFormat="false" ht="15" hidden="false" customHeight="false" outlineLevel="0" collapsed="false">
      <c r="A17" s="12" t="n">
        <v>42979</v>
      </c>
      <c r="B17" s="16" t="n">
        <f aca="false">'Data (monthly)'!E17/'Data (monthly)'!$E$8*100</f>
        <v>123.2159</v>
      </c>
      <c r="C17" s="16" t="n">
        <f aca="false">'Data (monthly)'!F17/'Data (monthly)'!$F$8*100</f>
        <v>116.114606190558</v>
      </c>
      <c r="D17" s="17" t="n">
        <f aca="false">B17/C17*100</f>
        <v>106.11576272996</v>
      </c>
    </row>
    <row r="18" customFormat="false" ht="15" hidden="false" customHeight="false" outlineLevel="0" collapsed="false">
      <c r="A18" s="12" t="n">
        <v>43009</v>
      </c>
      <c r="B18" s="16" t="n">
        <f aca="false">'Data (monthly)'!E18/'Data (monthly)'!$E$8*100</f>
        <v>125.2808</v>
      </c>
      <c r="C18" s="16" t="n">
        <f aca="false">'Data (monthly)'!F18/'Data (monthly)'!$F$8*100</f>
        <v>117.826940834109</v>
      </c>
      <c r="D18" s="17" t="n">
        <f aca="false">B18/C18*100</f>
        <v>106.326107690758</v>
      </c>
    </row>
    <row r="19" customFormat="false" ht="15" hidden="false" customHeight="false" outlineLevel="0" collapsed="false">
      <c r="A19" s="12" t="n">
        <v>43040</v>
      </c>
      <c r="B19" s="16" t="n">
        <f aca="false">'Data (monthly)'!E19/'Data (monthly)'!$E$8*100</f>
        <v>127.1472</v>
      </c>
      <c r="C19" s="16" t="n">
        <f aca="false">'Data (monthly)'!F19/'Data (monthly)'!$F$8*100</f>
        <v>119.414302586383</v>
      </c>
      <c r="D19" s="17" t="n">
        <f aca="false">B19/C19*100</f>
        <v>106.475687791271</v>
      </c>
    </row>
    <row r="20" customFormat="false" ht="15" hidden="false" customHeight="false" outlineLevel="0" collapsed="false">
      <c r="A20" s="12" t="n">
        <v>43070</v>
      </c>
      <c r="B20" s="16" t="n">
        <f aca="false">'Data (monthly)'!E20/'Data (monthly)'!$E$8*100</f>
        <v>138.6978</v>
      </c>
      <c r="C20" s="16" t="n">
        <f aca="false">'Data (monthly)'!F20/'Data (monthly)'!$F$8*100</f>
        <v>121.17502638209</v>
      </c>
      <c r="D20" s="17" t="n">
        <f aca="false">B20/C20*100</f>
        <v>114.460713680934</v>
      </c>
      <c r="E20" s="18" t="n">
        <f aca="false">('Data (monthly)'!B20/'Data (monthly)'!B8-1)*100</f>
        <v>24.7956</v>
      </c>
      <c r="F20" s="18" t="n">
        <f aca="false">('Data (monthly)'!E20/'Data (monthly)'!E8-1)*100</f>
        <v>38.6978</v>
      </c>
      <c r="G20" s="18" t="n">
        <f aca="false">('Data (monthly)'!F20/'Data (monthly)'!F8-1)*100</f>
        <v>21.1750263820899</v>
      </c>
      <c r="H20" s="19" t="n">
        <f aca="false">Weights!$B$6*('Data (monthly)'!E20-'Data (monthly)'!E8)/'Data (monthly)'!B8*100</f>
        <v>8.128666379</v>
      </c>
      <c r="I20" s="19" t="n">
        <f aca="false">(Weights!$B$5*('Data (monthly)'!C20-'Data (monthly)'!C8)+Weights!$B$7*('Data (monthly)'!D20-'Data (monthly)'!D8))/'Data (monthly)'!B8*100</f>
        <v>16.7271062154</v>
      </c>
      <c r="J20" s="15" t="n">
        <f aca="false">H20+I20-E20</f>
        <v>0.0601725944000151</v>
      </c>
    </row>
    <row r="21" customFormat="false" ht="15" hidden="false" customHeight="false" outlineLevel="0" collapsed="false">
      <c r="A21" s="12" t="n">
        <v>43101</v>
      </c>
      <c r="B21" s="16" t="n">
        <f aca="false">'Data (monthly)'!E21/'Data (monthly)'!$E$8*100</f>
        <v>141.6541</v>
      </c>
      <c r="C21" s="16" t="n">
        <f aca="false">'Data (monthly)'!F21/'Data (monthly)'!$F$8*100</f>
        <v>123.196105721664</v>
      </c>
      <c r="D21" s="17" t="n">
        <f aca="false">B21/C21*100</f>
        <v>114.982611804336</v>
      </c>
      <c r="E21" s="18" t="n">
        <f aca="false">('Data (monthly)'!B21/'Data (monthly)'!B9-1)*100</f>
        <v>25.0062262577779</v>
      </c>
      <c r="F21" s="18" t="n">
        <f aca="false">('Data (monthly)'!E21/'Data (monthly)'!E9-1)*100</f>
        <v>39.1244010163203</v>
      </c>
      <c r="G21" s="18" t="n">
        <f aca="false">('Data (monthly)'!F21/'Data (monthly)'!F9-1)*100</f>
        <v>21.3374419245611</v>
      </c>
      <c r="H21" s="19" t="n">
        <f aca="false">Weights!$B$6*('Data (monthly)'!E21-'Data (monthly)'!E9)/'Data (monthly)'!B9*100</f>
        <v>8.23707716228335</v>
      </c>
      <c r="I21" s="19" t="n">
        <f aca="false">(Weights!$B$5*('Data (monthly)'!C21-'Data (monthly)'!C9)+Weights!$B$7*('Data (monthly)'!D21-'Data (monthly)'!D9))/'Data (monthly)'!B9*100</f>
        <v>16.8464314494433</v>
      </c>
      <c r="J21" s="15" t="n">
        <f aca="false">H21+I21-E21</f>
        <v>0.0772823539487213</v>
      </c>
    </row>
    <row r="22" customFormat="false" ht="15" hidden="false" customHeight="false" outlineLevel="0" collapsed="false">
      <c r="A22" s="12" t="n">
        <v>43132</v>
      </c>
      <c r="B22" s="16" t="n">
        <f aca="false">'Data (monthly)'!E22/'Data (monthly)'!$E$8*100</f>
        <v>148.4773</v>
      </c>
      <c r="C22" s="16" t="n">
        <f aca="false">'Data (monthly)'!F22/'Data (monthly)'!$F$8*100</f>
        <v>125.27200907924</v>
      </c>
      <c r="D22" s="17" t="n">
        <f aca="false">B22/C22*100</f>
        <v>118.523923333968</v>
      </c>
      <c r="E22" s="18" t="n">
        <f aca="false">('Data (monthly)'!B22/'Data (monthly)'!B10-1)*100</f>
        <v>25.4371134358674</v>
      </c>
      <c r="F22" s="18" t="n">
        <f aca="false">('Data (monthly)'!E22/'Data (monthly)'!E10-1)*100</f>
        <v>40.1633695705531</v>
      </c>
      <c r="G22" s="18" t="n">
        <f aca="false">('Data (monthly)'!F22/'Data (monthly)'!F10-1)*100</f>
        <v>21.5244352296265</v>
      </c>
      <c r="H22" s="19" t="n">
        <f aca="false">Weights!$B$6*('Data (monthly)'!E22-'Data (monthly)'!E10)/'Data (monthly)'!B10*100</f>
        <v>8.61924043047319</v>
      </c>
      <c r="I22" s="19" t="n">
        <f aca="false">(Weights!$B$5*('Data (monthly)'!C22-'Data (monthly)'!C10)+Weights!$B$7*('Data (monthly)'!D22-'Data (monthly)'!D10))/'Data (monthly)'!B10*100</f>
        <v>16.9043839766063</v>
      </c>
      <c r="J22" s="15" t="n">
        <f aca="false">H22+I22-E22</f>
        <v>0.0865109712120891</v>
      </c>
    </row>
    <row r="23" customFormat="false" ht="15" hidden="false" customHeight="false" outlineLevel="0" collapsed="false">
      <c r="A23" s="12" t="n">
        <v>43160</v>
      </c>
      <c r="B23" s="16" t="n">
        <f aca="false">'Data (monthly)'!E23/'Data (monthly)'!$E$8*100</f>
        <v>151.4854</v>
      </c>
      <c r="C23" s="16" t="n">
        <f aca="false">'Data (monthly)'!F23/'Data (monthly)'!$F$8*100</f>
        <v>128.329504415244</v>
      </c>
      <c r="D23" s="17" t="n">
        <f aca="false">B23/C23*100</f>
        <v>118.044093359723</v>
      </c>
      <c r="E23" s="18" t="n">
        <f aca="false">('Data (monthly)'!B23/'Data (monthly)'!B11-1)*100</f>
        <v>25.3965233316627</v>
      </c>
      <c r="F23" s="18" t="n">
        <f aca="false">('Data (monthly)'!E23/'Data (monthly)'!E11-1)*100</f>
        <v>37.7068642806691</v>
      </c>
      <c r="G23" s="18" t="n">
        <f aca="false">('Data (monthly)'!F23/'Data (monthly)'!F11-1)*100</f>
        <v>22.0498982250101</v>
      </c>
      <c r="H23" s="19" t="n">
        <f aca="false">Weights!$B$6*('Data (monthly)'!E23-'Data (monthly)'!E11)/'Data (monthly)'!B11*100</f>
        <v>8.20839885546164</v>
      </c>
      <c r="I23" s="19" t="n">
        <f aca="false">(Weights!$B$5*('Data (monthly)'!C23-'Data (monthly)'!C11)+Weights!$B$7*('Data (monthly)'!D23-'Data (monthly)'!D11))/'Data (monthly)'!B11*100</f>
        <v>17.2537046741519</v>
      </c>
      <c r="J23" s="15" t="n">
        <f aca="false">H23+I23-E23</f>
        <v>0.0655801979507764</v>
      </c>
    </row>
    <row r="24" customFormat="false" ht="15" hidden="false" customHeight="false" outlineLevel="0" collapsed="false">
      <c r="A24" s="12" t="n">
        <v>43191</v>
      </c>
      <c r="B24" s="16" t="n">
        <f aca="false">'Data (monthly)'!E24/'Data (monthly)'!$E$8*100</f>
        <v>159.451</v>
      </c>
      <c r="C24" s="16" t="n">
        <f aca="false">'Data (monthly)'!F24/'Data (monthly)'!$F$8*100</f>
        <v>130.833782968308</v>
      </c>
      <c r="D24" s="17" t="n">
        <f aca="false">B24/C24*100</f>
        <v>121.872956955333</v>
      </c>
      <c r="E24" s="18" t="n">
        <f aca="false">('Data (monthly)'!B24/'Data (monthly)'!B12-1)*100</f>
        <v>25.4981567763363</v>
      </c>
      <c r="F24" s="18" t="n">
        <f aca="false">('Data (monthly)'!E24/'Data (monthly)'!E12-1)*100</f>
        <v>39.3012181026673</v>
      </c>
      <c r="G24" s="18" t="n">
        <f aca="false">('Data (monthly)'!F24/'Data (monthly)'!F12-1)*100</f>
        <v>21.66410917209</v>
      </c>
      <c r="H24" s="19" t="n">
        <f aca="false">Weights!$B$6*('Data (monthly)'!E24-'Data (monthly)'!E12)/'Data (monthly)'!B12*100</f>
        <v>8.67196605522605</v>
      </c>
      <c r="I24" s="19" t="n">
        <f aca="false">(Weights!$B$5*('Data (monthly)'!C24-'Data (monthly)'!C12)+Weights!$B$7*('Data (monthly)'!D24-'Data (monthly)'!D12))/'Data (monthly)'!B12*100</f>
        <v>16.8888978809122</v>
      </c>
      <c r="J24" s="15" t="n">
        <f aca="false">H24+I24-E24</f>
        <v>0.0627071598020237</v>
      </c>
    </row>
    <row r="25" customFormat="false" ht="15" hidden="false" customHeight="false" outlineLevel="0" collapsed="false">
      <c r="A25" s="12" t="n">
        <v>43221</v>
      </c>
      <c r="B25" s="16" t="n">
        <f aca="false">'Data (monthly)'!E25/'Data (monthly)'!$E$8*100</f>
        <v>160.024</v>
      </c>
      <c r="C25" s="16" t="n">
        <f aca="false">'Data (monthly)'!F25/'Data (monthly)'!$F$8*100</f>
        <v>134.28430058675</v>
      </c>
      <c r="D25" s="17" t="n">
        <f aca="false">B25/C25*100</f>
        <v>119.168063057842</v>
      </c>
      <c r="E25" s="18" t="n">
        <f aca="false">('Data (monthly)'!B25/'Data (monthly)'!B13-1)*100</f>
        <v>26.2907569974152</v>
      </c>
      <c r="F25" s="18" t="n">
        <f aca="false">('Data (monthly)'!E25/'Data (monthly)'!E13-1)*100</f>
        <v>38.3621587830798</v>
      </c>
      <c r="G25" s="18" t="n">
        <f aca="false">('Data (monthly)'!F25/'Data (monthly)'!F13-1)*100</f>
        <v>22.9881715823852</v>
      </c>
      <c r="H25" s="19" t="n">
        <f aca="false">Weights!$B$6*('Data (monthly)'!E25-'Data (monthly)'!E13)/'Data (monthly)'!B13*100</f>
        <v>8.43185815040428</v>
      </c>
      <c r="I25" s="19" t="n">
        <f aca="false">(Weights!$B$5*('Data (monthly)'!C25-'Data (monthly)'!C13)+Weights!$B$7*('Data (monthly)'!D25-'Data (monthly)'!D13))/'Data (monthly)'!B13*100</f>
        <v>17.9383551492308</v>
      </c>
      <c r="J25" s="15" t="n">
        <f aca="false">H25+I25-E25</f>
        <v>0.0794563022199277</v>
      </c>
    </row>
    <row r="26" customFormat="false" ht="15" hidden="false" customHeight="false" outlineLevel="0" collapsed="false">
      <c r="A26" s="12" t="n">
        <v>43252</v>
      </c>
      <c r="B26" s="16" t="n">
        <f aca="false">'Data (monthly)'!E26/'Data (monthly)'!$E$8*100</f>
        <v>164.7325</v>
      </c>
      <c r="C26" s="16" t="n">
        <f aca="false">'Data (monthly)'!F26/'Data (monthly)'!$F$8*100</f>
        <v>139.620069376222</v>
      </c>
      <c r="D26" s="17" t="n">
        <f aca="false">B26/C26*100</f>
        <v>117.986261384894</v>
      </c>
      <c r="E26" s="18" t="n">
        <f aca="false">('Data (monthly)'!B26/'Data (monthly)'!B14-1)*100</f>
        <v>29.4664977464892</v>
      </c>
      <c r="F26" s="18" t="n">
        <f aca="false">('Data (monthly)'!E26/'Data (monthly)'!E14-1)*100</f>
        <v>41.1740760578468</v>
      </c>
      <c r="G26" s="18" t="n">
        <f aca="false">('Data (monthly)'!F26/'Data (monthly)'!F14-1)*100</f>
        <v>26.2613658908828</v>
      </c>
      <c r="H26" s="19" t="n">
        <f aca="false">Weights!$B$6*('Data (monthly)'!E26-'Data (monthly)'!E14)/'Data (monthly)'!B14*100</f>
        <v>9.02306661200901</v>
      </c>
      <c r="I26" s="19" t="n">
        <f aca="false">(Weights!$B$5*('Data (monthly)'!C26-'Data (monthly)'!C14)+Weights!$B$7*('Data (monthly)'!D26-'Data (monthly)'!D14))/'Data (monthly)'!B14*100</f>
        <v>20.5099439535189</v>
      </c>
      <c r="J26" s="15" t="n">
        <f aca="false">H26+I26-E26</f>
        <v>0.0665128190387456</v>
      </c>
    </row>
    <row r="27" customFormat="false" ht="15" hidden="false" customHeight="false" outlineLevel="0" collapsed="false">
      <c r="A27" s="12" t="n">
        <v>43282</v>
      </c>
      <c r="B27" s="16" t="n">
        <f aca="false">'Data (monthly)'!E27/'Data (monthly)'!$E$8*100</f>
        <v>168.9885</v>
      </c>
      <c r="C27" s="16" t="n">
        <f aca="false">'Data (monthly)'!F27/'Data (monthly)'!$F$8*100</f>
        <v>144.191595002817</v>
      </c>
      <c r="D27" s="17" t="n">
        <f aca="false">B27/C27*100</f>
        <v>117.197191692553</v>
      </c>
      <c r="E27" s="18" t="n">
        <f aca="false">('Data (monthly)'!B27/'Data (monthly)'!B15-1)*100</f>
        <v>31.2091554964969</v>
      </c>
      <c r="F27" s="18" t="n">
        <f aca="false">('Data (monthly)'!E27/'Data (monthly)'!E15-1)*100</f>
        <v>41.5767020939698</v>
      </c>
      <c r="G27" s="18" t="n">
        <f aca="false">('Data (monthly)'!F27/'Data (monthly)'!F15-1)*100</f>
        <v>28.3702229028259</v>
      </c>
      <c r="H27" s="19" t="n">
        <f aca="false">Weights!$B$6*('Data (monthly)'!E27-'Data (monthly)'!E15)/'Data (monthly)'!B15*100</f>
        <v>9.16141683496623</v>
      </c>
      <c r="I27" s="19" t="n">
        <f aca="false">(Weights!$B$5*('Data (monthly)'!C27-'Data (monthly)'!C15)+Weights!$B$7*('Data (monthly)'!D27-'Data (monthly)'!D15))/'Data (monthly)'!B15*100</f>
        <v>22.1232779617209</v>
      </c>
      <c r="J27" s="15" t="n">
        <f aca="false">H27+I27-E27</f>
        <v>0.0755393001901652</v>
      </c>
    </row>
    <row r="28" customFormat="false" ht="15" hidden="false" customHeight="false" outlineLevel="0" collapsed="false">
      <c r="A28" s="12" t="n">
        <v>43313</v>
      </c>
      <c r="B28" s="16" t="n">
        <f aca="false">'Data (monthly)'!E28/'Data (monthly)'!$E$8*100</f>
        <v>179.4614</v>
      </c>
      <c r="C28" s="16" t="n">
        <f aca="false">'Data (monthly)'!F28/'Data (monthly)'!$F$8*100</f>
        <v>148.738689530031</v>
      </c>
      <c r="D28" s="17" t="n">
        <f aca="false">B28/C28*100</f>
        <v>120.655493582096</v>
      </c>
      <c r="E28" s="18" t="n">
        <f aca="false">('Data (monthly)'!B28/'Data (monthly)'!B16-1)*100</f>
        <v>34.4261101611258</v>
      </c>
      <c r="F28" s="18" t="n">
        <f aca="false">('Data (monthly)'!E28/'Data (monthly)'!E16-1)*100</f>
        <v>48.1500376852583</v>
      </c>
      <c r="G28" s="18" t="n">
        <f aca="false">('Data (monthly)'!F28/'Data (monthly)'!F16-1)*100</f>
        <v>30.6148701036162</v>
      </c>
      <c r="H28" s="19" t="n">
        <f aca="false">Weights!$B$6*('Data (monthly)'!E28-'Data (monthly)'!E16)/'Data (monthly)'!B16*100</f>
        <v>10.61845311743</v>
      </c>
      <c r="I28" s="19" t="n">
        <f aca="false">(Weights!$B$5*('Data (monthly)'!C28-'Data (monthly)'!C16)+Weights!$B$7*('Data (monthly)'!D28-'Data (monthly)'!D16))/'Data (monthly)'!B16*100</f>
        <v>23.8683785644889</v>
      </c>
      <c r="J28" s="15" t="n">
        <f aca="false">H28+I28-E28</f>
        <v>0.0607215207931375</v>
      </c>
    </row>
    <row r="29" customFormat="false" ht="15" hidden="false" customHeight="false" outlineLevel="0" collapsed="false">
      <c r="A29" s="12" t="n">
        <v>43344</v>
      </c>
      <c r="B29" s="16" t="n">
        <f aca="false">'Data (monthly)'!E29/'Data (monthly)'!$E$8*100</f>
        <v>187.9015</v>
      </c>
      <c r="C29" s="16" t="n">
        <f aca="false">'Data (monthly)'!F29/'Data (monthly)'!$F$8*100</f>
        <v>159.348790381229</v>
      </c>
      <c r="D29" s="17" t="n">
        <f aca="false">B29/C29*100</f>
        <v>117.91837236446</v>
      </c>
      <c r="E29" s="18" t="n">
        <f aca="false">('Data (monthly)'!B29/'Data (monthly)'!B17-1)*100</f>
        <v>40.542340474212</v>
      </c>
      <c r="F29" s="18" t="n">
        <f aca="false">('Data (monthly)'!E29/'Data (monthly)'!E17-1)*100</f>
        <v>52.4977701741415</v>
      </c>
      <c r="G29" s="18" t="n">
        <f aca="false">('Data (monthly)'!F29/'Data (monthly)'!F17-1)*100</f>
        <v>37.234061768008</v>
      </c>
      <c r="H29" s="19" t="n">
        <f aca="false">Weights!$B$6*('Data (monthly)'!E29-'Data (monthly)'!E17)/'Data (monthly)'!B17*100</f>
        <v>11.5567867049865</v>
      </c>
      <c r="I29" s="19" t="n">
        <f aca="false">(Weights!$B$5*('Data (monthly)'!C29-'Data (monthly)'!C17)+Weights!$B$7*('Data (monthly)'!D29-'Data (monthly)'!D17))/'Data (monthly)'!B17*100</f>
        <v>29.0482909866218</v>
      </c>
      <c r="J29" s="15" t="n">
        <f aca="false">H29+I29-E29</f>
        <v>0.062737217396311</v>
      </c>
    </row>
    <row r="30" customFormat="false" ht="15" hidden="false" customHeight="false" outlineLevel="0" collapsed="false">
      <c r="A30" s="12" t="n">
        <v>43374</v>
      </c>
      <c r="B30" s="16" t="n">
        <f aca="false">'Data (monthly)'!E30/'Data (monthly)'!$E$8*100</f>
        <v>201.8885</v>
      </c>
      <c r="C30" s="16" t="n">
        <f aca="false">'Data (monthly)'!F30/'Data (monthly)'!$F$8*100</f>
        <v>166.94454328314</v>
      </c>
      <c r="D30" s="17" t="n">
        <f aca="false">B30/C30*100</f>
        <v>120.931475824037</v>
      </c>
      <c r="E30" s="18" t="n">
        <f aca="false">('Data (monthly)'!B30/'Data (monthly)'!B18-1)*100</f>
        <v>45.9096895925357</v>
      </c>
      <c r="F30" s="18" t="n">
        <f aca="false">('Data (monthly)'!E30/'Data (monthly)'!E18-1)*100</f>
        <v>61.1487953461344</v>
      </c>
      <c r="G30" s="18" t="n">
        <f aca="false">('Data (monthly)'!F30/'Data (monthly)'!F18-1)*100</f>
        <v>41.6862239665418</v>
      </c>
      <c r="H30" s="19" t="n">
        <f aca="false">Weights!$B$6*('Data (monthly)'!E30-'Data (monthly)'!E18)/'Data (monthly)'!B18*100</f>
        <v>13.4825747058301</v>
      </c>
      <c r="I30" s="19" t="n">
        <f aca="false">(Weights!$B$5*('Data (monthly)'!C30-'Data (monthly)'!C18)+Weights!$B$7*('Data (monthly)'!D30-'Data (monthly)'!D18))/'Data (monthly)'!B18*100</f>
        <v>32.5088347040036</v>
      </c>
      <c r="J30" s="15" t="n">
        <f aca="false">H30+I30-E30</f>
        <v>0.0817198172979587</v>
      </c>
    </row>
    <row r="31" customFormat="false" ht="15" hidden="false" customHeight="false" outlineLevel="0" collapsed="false">
      <c r="A31" s="12" t="n">
        <v>43405</v>
      </c>
      <c r="B31" s="16" t="n">
        <f aca="false">'Data (monthly)'!E31/'Data (monthly)'!$E$8*100</f>
        <v>207.5084</v>
      </c>
      <c r="C31" s="16" t="n">
        <f aca="false">'Data (monthly)'!F31/'Data (monthly)'!$F$8*100</f>
        <v>172.387534643931</v>
      </c>
      <c r="D31" s="17" t="n">
        <f aca="false">B31/C31*100</f>
        <v>120.373204726555</v>
      </c>
      <c r="E31" s="18" t="n">
        <f aca="false">('Data (monthly)'!B31/'Data (monthly)'!B19-1)*100</f>
        <v>48.4691802899317</v>
      </c>
      <c r="F31" s="18" t="n">
        <f aca="false">('Data (monthly)'!E31/'Data (monthly)'!E19-1)*100</f>
        <v>63.2032793486605</v>
      </c>
      <c r="G31" s="18" t="n">
        <f aca="false">('Data (monthly)'!F31/'Data (monthly)'!F19-1)*100</f>
        <v>44.3608771396778</v>
      </c>
      <c r="H31" s="19" t="n">
        <f aca="false">Weights!$B$6*('Data (monthly)'!E31-'Data (monthly)'!E19)/'Data (monthly)'!B19*100</f>
        <v>13.9513297072582</v>
      </c>
      <c r="I31" s="19" t="n">
        <f aca="false">(Weights!$B$5*('Data (monthly)'!C31-'Data (monthly)'!C19)+Weights!$B$7*('Data (monthly)'!D31-'Data (monthly)'!D19))/'Data (monthly)'!B19*100</f>
        <v>34.5851362858489</v>
      </c>
      <c r="J31" s="15" t="n">
        <f aca="false">H31+I31-E31</f>
        <v>0.0672857031753438</v>
      </c>
    </row>
    <row r="32" customFormat="false" ht="15" hidden="false" customHeight="false" outlineLevel="0" collapsed="false">
      <c r="A32" s="12" t="n">
        <v>43435</v>
      </c>
      <c r="B32" s="16" t="n">
        <f aca="false">'Data (monthly)'!E32/'Data (monthly)'!$E$8*100</f>
        <v>212.85</v>
      </c>
      <c r="C32" s="16" t="n">
        <f aca="false">'Data (monthly)'!F32/'Data (monthly)'!$F$8*100</f>
        <v>176.811722389533</v>
      </c>
      <c r="D32" s="17" t="n">
        <f aca="false">B32/C32*100</f>
        <v>120.382289773226</v>
      </c>
      <c r="E32" s="18" t="n">
        <f aca="false">('Data (monthly)'!B32/'Data (monthly)'!B20-1)*100</f>
        <v>47.6455900688807</v>
      </c>
      <c r="F32" s="18" t="n">
        <f aca="false">('Data (monthly)'!E32/'Data (monthly)'!E20-1)*100</f>
        <v>53.4631407275386</v>
      </c>
      <c r="G32" s="18" t="n">
        <f aca="false">('Data (monthly)'!F32/'Data (monthly)'!F20-1)*100</f>
        <v>45.9143254749618</v>
      </c>
      <c r="H32" s="19" t="n">
        <f aca="false">Weights!$B$6*('Data (monthly)'!E32-'Data (monthly)'!E20)/'Data (monthly)'!B20*100</f>
        <v>12.4812416231021</v>
      </c>
      <c r="I32" s="19" t="n">
        <f aca="false">(Weights!$B$5*('Data (monthly)'!C32-'Data (monthly)'!C20)+Weights!$B$7*('Data (monthly)'!D32-'Data (monthly)'!D20))/'Data (monthly)'!B20*100</f>
        <v>35.2175315697028</v>
      </c>
      <c r="J32" s="15" t="n">
        <f aca="false">H32+I32-E32</f>
        <v>0.0531831239242209</v>
      </c>
    </row>
    <row r="33" customFormat="false" ht="15" hidden="false" customHeight="false" outlineLevel="0" collapsed="false">
      <c r="A33" s="12" t="n">
        <v>43466</v>
      </c>
      <c r="B33" s="16" t="n">
        <f aca="false">'Data (monthly)'!E33/'Data (monthly)'!$E$8*100</f>
        <v>220.132</v>
      </c>
      <c r="C33" s="16" t="n">
        <f aca="false">'Data (monthly)'!F33/'Data (monthly)'!$F$8*100</f>
        <v>181.668590103615</v>
      </c>
      <c r="D33" s="17" t="n">
        <f aca="false">B33/C33*100</f>
        <v>121.172295042554</v>
      </c>
      <c r="E33" s="18" t="n">
        <f aca="false">('Data (monthly)'!B33/'Data (monthly)'!B21-1)*100</f>
        <v>49.3125766308341</v>
      </c>
      <c r="F33" s="18" t="n">
        <f aca="false">('Data (monthly)'!E33/'Data (monthly)'!E21-1)*100</f>
        <v>55.4010791074879</v>
      </c>
      <c r="G33" s="18" t="n">
        <f aca="false">('Data (monthly)'!F33/'Data (monthly)'!F21-1)*100</f>
        <v>47.4629324031207</v>
      </c>
      <c r="H33" s="19" t="n">
        <f aca="false">Weights!$B$6*('Data (monthly)'!E33-'Data (monthly)'!E21)/'Data (monthly)'!B21*100</f>
        <v>12.9812143005638</v>
      </c>
      <c r="I33" s="19" t="n">
        <f aca="false">(Weights!$B$5*('Data (monthly)'!C33-'Data (monthly)'!C21)+Weights!$B$7*('Data (monthly)'!D33-'Data (monthly)'!D21))/'Data (monthly)'!B21*100</f>
        <v>36.3733518613074</v>
      </c>
      <c r="J33" s="15" t="n">
        <f aca="false">H33+I33-E33</f>
        <v>0.041989531037018</v>
      </c>
    </row>
    <row r="34" customFormat="false" ht="15" hidden="false" customHeight="false" outlineLevel="0" collapsed="false">
      <c r="A34" s="12" t="n">
        <v>43497</v>
      </c>
      <c r="B34" s="16" t="n">
        <f aca="false">'Data (monthly)'!E34/'Data (monthly)'!$E$8*100</f>
        <v>229.4204</v>
      </c>
      <c r="C34" s="16" t="n">
        <f aca="false">'Data (monthly)'!F34/'Data (monthly)'!$F$8*100</f>
        <v>188.209559119812</v>
      </c>
      <c r="D34" s="17" t="n">
        <f aca="false">B34/C34*100</f>
        <v>121.896252811449</v>
      </c>
      <c r="E34" s="18" t="n">
        <f aca="false">('Data (monthly)'!B34/'Data (monthly)'!B22-1)*100</f>
        <v>51.2757130137797</v>
      </c>
      <c r="F34" s="18" t="n">
        <f aca="false">('Data (monthly)'!E34/'Data (monthly)'!E22-1)*100</f>
        <v>54.5154713885557</v>
      </c>
      <c r="G34" s="18" t="n">
        <f aca="false">('Data (monthly)'!F34/'Data (monthly)'!F22-1)*100</f>
        <v>50.2407125926765</v>
      </c>
      <c r="H34" s="19" t="n">
        <f aca="false">Weights!$B$6*('Data (monthly)'!E34-'Data (monthly)'!E22)/'Data (monthly)'!B22*100</f>
        <v>13.0727544471577</v>
      </c>
      <c r="I34" s="19" t="n">
        <f aca="false">(Weights!$B$5*('Data (monthly)'!C34-'Data (monthly)'!C22)+Weights!$B$7*('Data (monthly)'!D34-'Data (monthly)'!D22))/'Data (monthly)'!B22*100</f>
        <v>38.2261829999246</v>
      </c>
      <c r="J34" s="15" t="n">
        <f aca="false">H34+I34-E34</f>
        <v>0.0232244333026159</v>
      </c>
    </row>
    <row r="35" customFormat="false" ht="15" hidden="false" customHeight="false" outlineLevel="0" collapsed="false">
      <c r="A35" s="12" t="n">
        <v>43525</v>
      </c>
      <c r="B35" s="16" t="n">
        <f aca="false">'Data (monthly)'!E35/'Data (monthly)'!$E$8*100</f>
        <v>240.6717</v>
      </c>
      <c r="C35" s="16" t="n">
        <f aca="false">'Data (monthly)'!F35/'Data (monthly)'!$F$8*100</f>
        <v>196.874235197514</v>
      </c>
      <c r="D35" s="17" t="n">
        <f aca="false">B35/C35*100</f>
        <v>122.246417749152</v>
      </c>
      <c r="E35" s="18" t="n">
        <f aca="false">('Data (monthly)'!B35/'Data (monthly)'!B23-1)*100</f>
        <v>54.7323399351191</v>
      </c>
      <c r="F35" s="18" t="n">
        <f aca="false">('Data (monthly)'!E35/'Data (monthly)'!E23-1)*100</f>
        <v>58.8745186004724</v>
      </c>
      <c r="G35" s="18" t="n">
        <f aca="false">('Data (monthly)'!F35/'Data (monthly)'!F23-1)*100</f>
        <v>53.4130721493905</v>
      </c>
      <c r="H35" s="19" t="n">
        <f aca="false">Weights!$B$6*('Data (monthly)'!E35-'Data (monthly)'!E23)/'Data (monthly)'!B23*100</f>
        <v>14.0745816822608</v>
      </c>
      <c r="I35" s="19" t="n">
        <f aca="false">(Weights!$B$5*('Data (monthly)'!C35-'Data (monthly)'!C23)+Weights!$B$7*('Data (monthly)'!D35-'Data (monthly)'!D23))/'Data (monthly)'!B23*100</f>
        <v>40.6794670673015</v>
      </c>
      <c r="J35" s="15" t="n">
        <f aca="false">H35+I35-E35</f>
        <v>0.0217088144432864</v>
      </c>
    </row>
    <row r="36" customFormat="false" ht="15" hidden="false" customHeight="false" outlineLevel="0" collapsed="false">
      <c r="A36" s="12" t="n">
        <v>43556</v>
      </c>
      <c r="B36" s="16" t="n">
        <f aca="false">'Data (monthly)'!E36/'Data (monthly)'!$E$8*100</f>
        <v>248.5813</v>
      </c>
      <c r="C36" s="16" t="n">
        <f aca="false">'Data (monthly)'!F36/'Data (monthly)'!$F$8*100</f>
        <v>203.736365932691</v>
      </c>
      <c r="D36" s="17" t="n">
        <f aca="false">B36/C36*100</f>
        <v>122.011256489244</v>
      </c>
      <c r="E36" s="18" t="n">
        <f aca="false">('Data (monthly)'!B36/'Data (monthly)'!B24-1)*100</f>
        <v>55.7278045092109</v>
      </c>
      <c r="F36" s="18" t="n">
        <f aca="false">('Data (monthly)'!E36/'Data (monthly)'!E24-1)*100</f>
        <v>55.8982383302707</v>
      </c>
      <c r="G36" s="18" t="n">
        <f aca="false">('Data (monthly)'!F36/'Data (monthly)'!F24-1)*100</f>
        <v>55.7215279650233</v>
      </c>
      <c r="H36" s="19" t="n">
        <f aca="false">Weights!$B$6*('Data (monthly)'!E36-'Data (monthly)'!E24)/'Data (monthly)'!B24*100</f>
        <v>13.6907501846419</v>
      </c>
      <c r="I36" s="19" t="n">
        <f aca="false">(Weights!$B$5*('Data (monthly)'!C36-'Data (monthly)'!C24)+Weights!$B$7*('Data (monthly)'!D36-'Data (monthly)'!D24))/'Data (monthly)'!B24*100</f>
        <v>42.1122673145098</v>
      </c>
      <c r="J36" s="15" t="n">
        <f aca="false">H36+I36-E36</f>
        <v>0.0752129899408374</v>
      </c>
    </row>
    <row r="37" customFormat="false" ht="15" hidden="false" customHeight="false" outlineLevel="0" collapsed="false">
      <c r="A37" s="12" t="n">
        <v>43586</v>
      </c>
      <c r="B37" s="16" t="n">
        <f aca="false">'Data (monthly)'!E37/'Data (monthly)'!$E$8*100</f>
        <v>257.831</v>
      </c>
      <c r="C37" s="16" t="n">
        <f aca="false">'Data (monthly)'!F37/'Data (monthly)'!$F$8*100</f>
        <v>209.543188113096</v>
      </c>
      <c r="D37" s="17" t="n">
        <f aca="false">B37/C37*100</f>
        <v>123.044324333197</v>
      </c>
      <c r="E37" s="18" t="n">
        <f aca="false">('Data (monthly)'!B37/'Data (monthly)'!B25-1)*100</f>
        <v>57.2965119819356</v>
      </c>
      <c r="F37" s="18" t="n">
        <f aca="false">('Data (monthly)'!E37/'Data (monthly)'!E25-1)*100</f>
        <v>61.1202069689547</v>
      </c>
      <c r="G37" s="18" t="n">
        <f aca="false">('Data (monthly)'!F37/'Data (monthly)'!F25-1)*100</f>
        <v>56.0444424236535</v>
      </c>
      <c r="H37" s="19" t="n">
        <f aca="false">Weights!$B$6*('Data (monthly)'!E37-'Data (monthly)'!E25)/'Data (monthly)'!B25*100</f>
        <v>14.7180689243373</v>
      </c>
      <c r="I37" s="19" t="n">
        <f aca="false">(Weights!$B$5*('Data (monthly)'!C37-'Data (monthly)'!C25)+Weights!$B$7*('Data (monthly)'!D37-'Data (monthly)'!D25))/'Data (monthly)'!B25*100</f>
        <v>42.5894978390177</v>
      </c>
      <c r="J37" s="15" t="n">
        <f aca="false">H37+I37-E37</f>
        <v>0.0110547814194888</v>
      </c>
    </row>
    <row r="38" customFormat="false" ht="15" hidden="false" customHeight="false" outlineLevel="0" collapsed="false">
      <c r="A38" s="12" t="n">
        <v>43617</v>
      </c>
      <c r="B38" s="16" t="n">
        <f aca="false">'Data (monthly)'!E38/'Data (monthly)'!$E$8*100</f>
        <v>265.016</v>
      </c>
      <c r="C38" s="16" t="n">
        <f aca="false">'Data (monthly)'!F38/'Data (monthly)'!$F$8*100</f>
        <v>215.197563868624</v>
      </c>
      <c r="D38" s="17" t="n">
        <f aca="false">B38/C38*100</f>
        <v>123.150092982368</v>
      </c>
      <c r="E38" s="18" t="n">
        <f aca="false">('Data (monthly)'!B38/'Data (monthly)'!B26-1)*100</f>
        <v>55.7518958214927</v>
      </c>
      <c r="F38" s="18" t="n">
        <f aca="false">('Data (monthly)'!E38/'Data (monthly)'!E26-1)*100</f>
        <v>60.8765726253168</v>
      </c>
      <c r="G38" s="18" t="n">
        <f aca="false">('Data (monthly)'!F38/'Data (monthly)'!F26-1)*100</f>
        <v>54.130824336399</v>
      </c>
      <c r="H38" s="19" t="n">
        <f aca="false">Weights!$B$6*('Data (monthly)'!E38-'Data (monthly)'!E26)/'Data (monthly)'!B26*100</f>
        <v>14.5471544152735</v>
      </c>
      <c r="I38" s="19" t="n">
        <f aca="false">(Weights!$B$5*('Data (monthly)'!C38-'Data (monthly)'!C26)+Weights!$B$7*('Data (monthly)'!D38-'Data (monthly)'!D26))/'Data (monthly)'!B26*100</f>
        <v>41.2291980243817</v>
      </c>
      <c r="J38" s="15" t="n">
        <f aca="false">H38+I38-E38</f>
        <v>0.0244566181624606</v>
      </c>
    </row>
    <row r="39" customFormat="false" ht="15" hidden="false" customHeight="false" outlineLevel="0" collapsed="false">
      <c r="A39" s="12" t="n">
        <v>43647</v>
      </c>
      <c r="B39" s="16" t="n">
        <f aca="false">'Data (monthly)'!E39/'Data (monthly)'!$E$8*100</f>
        <v>269.7964</v>
      </c>
      <c r="C39" s="16" t="n">
        <f aca="false">'Data (monthly)'!F39/'Data (monthly)'!$F$8*100</f>
        <v>220.220330056017</v>
      </c>
      <c r="D39" s="17" t="n">
        <f aca="false">B39/C39*100</f>
        <v>122.512031442044</v>
      </c>
      <c r="E39" s="18" t="n">
        <f aca="false">('Data (monthly)'!B39/'Data (monthly)'!B27-1)*100</f>
        <v>54.3866370701007</v>
      </c>
      <c r="F39" s="18" t="n">
        <f aca="false">('Data (monthly)'!E39/'Data (monthly)'!E27-1)*100</f>
        <v>59.6537042461469</v>
      </c>
      <c r="G39" s="18" t="n">
        <f aca="false">('Data (monthly)'!F39/'Data (monthly)'!F27-1)*100</f>
        <v>52.7275775344012</v>
      </c>
      <c r="H39" s="19" t="n">
        <f aca="false">Weights!$B$6*('Data (monthly)'!E39-'Data (monthly)'!E27)/'Data (monthly)'!B27*100</f>
        <v>14.1833125700786</v>
      </c>
      <c r="I39" s="19" t="n">
        <f aca="false">(Weights!$B$5*('Data (monthly)'!C39-'Data (monthly)'!C27)+Weights!$B$7*('Data (monthly)'!D39-'Data (monthly)'!D27))/'Data (monthly)'!B27*100</f>
        <v>40.2276536180998</v>
      </c>
      <c r="J39" s="15" t="n">
        <f aca="false">H39+I39-E39</f>
        <v>0.0243291180777163</v>
      </c>
    </row>
    <row r="40" customFormat="false" ht="15" hidden="false" customHeight="false" outlineLevel="0" collapsed="false">
      <c r="A40" s="12" t="n">
        <v>43678</v>
      </c>
      <c r="B40" s="16" t="n">
        <f aca="false">'Data (monthly)'!E40/'Data (monthly)'!$E$8*100</f>
        <v>275.5073</v>
      </c>
      <c r="C40" s="16" t="n">
        <f aca="false">'Data (monthly)'!F40/'Data (monthly)'!$F$8*100</f>
        <v>230.215632364785</v>
      </c>
      <c r="D40" s="17" t="n">
        <f aca="false">B40/C40*100</f>
        <v>119.67358479091</v>
      </c>
      <c r="E40" s="18" t="n">
        <f aca="false">('Data (monthly)'!B40/'Data (monthly)'!B28-1)*100</f>
        <v>54.4825580870568</v>
      </c>
      <c r="F40" s="18" t="n">
        <f aca="false">('Data (monthly)'!E40/'Data (monthly)'!E28-1)*100</f>
        <v>53.5189739966366</v>
      </c>
      <c r="G40" s="18" t="n">
        <f aca="false">('Data (monthly)'!F40/'Data (monthly)'!F28-1)*100</f>
        <v>54.7785805375837</v>
      </c>
      <c r="H40" s="19" t="n">
        <f aca="false">Weights!$B$6*('Data (monthly)'!E40-'Data (monthly)'!E28)/'Data (monthly)'!B28*100</f>
        <v>13.007401207517</v>
      </c>
      <c r="I40" s="19" t="n">
        <f aca="false">(Weights!$B$5*('Data (monthly)'!C40-'Data (monthly)'!C28)+Weights!$B$7*('Data (monthly)'!D40-'Data (monthly)'!D28))/'Data (monthly)'!B28*100</f>
        <v>41.4963847392127</v>
      </c>
      <c r="J40" s="15" t="n">
        <f aca="false">H40+I40-E40</f>
        <v>0.0212278596729618</v>
      </c>
    </row>
    <row r="41" customFormat="false" ht="15" hidden="false" customHeight="false" outlineLevel="0" collapsed="false">
      <c r="A41" s="12" t="n">
        <v>43709</v>
      </c>
      <c r="B41" s="16" t="n">
        <f aca="false">'Data (monthly)'!E41/'Data (monthly)'!$E$8*100</f>
        <v>284.7479</v>
      </c>
      <c r="C41" s="16" t="n">
        <f aca="false">'Data (monthly)'!F41/'Data (monthly)'!$F$8*100</f>
        <v>245.643945687991</v>
      </c>
      <c r="D41" s="17" t="n">
        <f aca="false">B41/C41*100</f>
        <v>115.918957091529</v>
      </c>
      <c r="E41" s="18" t="n">
        <f aca="false">('Data (monthly)'!B41/'Data (monthly)'!B29-1)*100</f>
        <v>53.5420056972264</v>
      </c>
      <c r="F41" s="18" t="n">
        <f aca="false">('Data (monthly)'!E41/'Data (monthly)'!E29-1)*100</f>
        <v>51.5410467718459</v>
      </c>
      <c r="G41" s="18" t="n">
        <f aca="false">('Data (monthly)'!F41/'Data (monthly)'!F29-1)*100</f>
        <v>54.154885707201</v>
      </c>
      <c r="H41" s="19" t="n">
        <f aca="false">Weights!$B$6*('Data (monthly)'!E41-'Data (monthly)'!E29)/'Data (monthly)'!B29*100</f>
        <v>12.3113530894472</v>
      </c>
      <c r="I41" s="19" t="n">
        <f aca="false">(Weights!$B$5*('Data (monthly)'!C41-'Data (monthly)'!C29)+Weights!$B$7*('Data (monthly)'!D41-'Data (monthly)'!D29))/'Data (monthly)'!B29*100</f>
        <v>41.2546161869252</v>
      </c>
      <c r="J41" s="15" t="n">
        <f aca="false">H41+I41-E41</f>
        <v>0.023963579146006</v>
      </c>
    </row>
    <row r="42" customFormat="false" ht="15" hidden="false" customHeight="false" outlineLevel="0" collapsed="false">
      <c r="A42" s="12" t="n">
        <v>43739</v>
      </c>
      <c r="B42" s="16" t="n">
        <f aca="false">'Data (monthly)'!E42/'Data (monthly)'!$E$8*100</f>
        <v>290.513</v>
      </c>
      <c r="C42" s="16" t="n">
        <f aca="false">'Data (monthly)'!F42/'Data (monthly)'!$F$8*100</f>
        <v>254.685293403845</v>
      </c>
      <c r="D42" s="17" t="n">
        <f aca="false">B42/C42*100</f>
        <v>114.06744226073</v>
      </c>
      <c r="E42" s="18" t="n">
        <f aca="false">('Data (monthly)'!B42/'Data (monthly)'!B30-1)*100</f>
        <v>50.485307552859</v>
      </c>
      <c r="F42" s="18" t="n">
        <f aca="false">('Data (monthly)'!E42/'Data (monthly)'!E30-1)*100</f>
        <v>43.8977455377597</v>
      </c>
      <c r="G42" s="18" t="n">
        <f aca="false">('Data (monthly)'!F42/'Data (monthly)'!F30-1)*100</f>
        <v>52.5568241975392</v>
      </c>
      <c r="H42" s="19" t="n">
        <f aca="false">Weights!$B$6*('Data (monthly)'!E42-'Data (monthly)'!E30)/'Data (monthly)'!B30*100</f>
        <v>10.6898122150042</v>
      </c>
      <c r="I42" s="19" t="n">
        <f aca="false">(Weights!$B$5*('Data (monthly)'!C42-'Data (monthly)'!C30)+Weights!$B$7*('Data (monthly)'!D42-'Data (monthly)'!D30))/'Data (monthly)'!B30*100</f>
        <v>39.7998515360847</v>
      </c>
      <c r="J42" s="15" t="n">
        <f aca="false">H42+I42-E42</f>
        <v>0.00435619822988542</v>
      </c>
    </row>
    <row r="43" customFormat="false" ht="15" hidden="false" customHeight="false" outlineLevel="0" collapsed="false">
      <c r="A43" s="12" t="n">
        <v>43770</v>
      </c>
      <c r="B43" s="16" t="n">
        <f aca="false">'Data (monthly)'!E43/'Data (monthly)'!$E$8*100</f>
        <v>301.6025</v>
      </c>
      <c r="C43" s="16" t="n">
        <f aca="false">'Data (monthly)'!F43/'Data (monthly)'!$F$8*100</f>
        <v>265.901368996955</v>
      </c>
      <c r="D43" s="17" t="n">
        <f aca="false">B43/C43*100</f>
        <v>113.426456259973</v>
      </c>
      <c r="E43" s="18" t="n">
        <f aca="false">('Data (monthly)'!B43/'Data (monthly)'!B31-1)*100</f>
        <v>52.0917530065888</v>
      </c>
      <c r="F43" s="18" t="n">
        <f aca="false">('Data (monthly)'!E43/'Data (monthly)'!E31-1)*100</f>
        <v>45.344718575248</v>
      </c>
      <c r="G43" s="18" t="n">
        <f aca="false">('Data (monthly)'!F43/'Data (monthly)'!F31-1)*100</f>
        <v>54.2462855833392</v>
      </c>
      <c r="H43" s="19" t="n">
        <f aca="false">Weights!$B$6*('Data (monthly)'!E43-'Data (monthly)'!E31)/'Data (monthly)'!B31*100</f>
        <v>11.0025986454485</v>
      </c>
      <c r="I43" s="19" t="n">
        <f aca="false">(Weights!$B$5*('Data (monthly)'!C43-'Data (monthly)'!C31)+Weights!$B$7*('Data (monthly)'!D43-'Data (monthly)'!D31))/'Data (monthly)'!B31*100</f>
        <v>41.12184332004</v>
      </c>
      <c r="J43" s="15" t="n">
        <f aca="false">H43+I43-E43</f>
        <v>0.0326889588997545</v>
      </c>
    </row>
    <row r="44" customFormat="false" ht="15" hidden="false" customHeight="false" outlineLevel="0" collapsed="false">
      <c r="A44" s="12" t="n">
        <v>43800</v>
      </c>
      <c r="B44" s="16" t="n">
        <f aca="false">'Data (monthly)'!E44/'Data (monthly)'!$E$8*100</f>
        <v>315.4936</v>
      </c>
      <c r="C44" s="16" t="n">
        <f aca="false">'Data (monthly)'!F44/'Data (monthly)'!$F$8*100</f>
        <v>275.156709962339</v>
      </c>
      <c r="D44" s="17" t="n">
        <f aca="false">B44/C44*100</f>
        <v>114.659606172491</v>
      </c>
      <c r="E44" s="18" t="n">
        <f aca="false">('Data (monthly)'!B44/'Data (monthly)'!B32-1)*100</f>
        <v>53.8324020163339</v>
      </c>
      <c r="F44" s="18" t="n">
        <f aca="false">('Data (monthly)'!E44/'Data (monthly)'!E32-1)*100</f>
        <v>48.2234437397228</v>
      </c>
      <c r="G44" s="18" t="n">
        <f aca="false">('Data (monthly)'!F44/'Data (monthly)'!F32-1)*100</f>
        <v>55.6213051056321</v>
      </c>
      <c r="H44" s="19" t="n">
        <f aca="false">Weights!$B$6*('Data (monthly)'!E44-'Data (monthly)'!E32)/'Data (monthly)'!B32*100</f>
        <v>11.7015972401322</v>
      </c>
      <c r="I44" s="19" t="n">
        <f aca="false">(Weights!$B$5*('Data (monthly)'!C44-'Data (monthly)'!C32)+Weights!$B$7*('Data (monthly)'!D44-'Data (monthly)'!D32))/'Data (monthly)'!B32*100</f>
        <v>42.162789005792</v>
      </c>
      <c r="J44" s="15" t="n">
        <f aca="false">H44+I44-E44</f>
        <v>0.0319842295902433</v>
      </c>
    </row>
    <row r="45" customFormat="false" ht="15" hidden="false" customHeight="false" outlineLevel="0" collapsed="false">
      <c r="A45" s="12" t="n">
        <v>43831</v>
      </c>
      <c r="B45" s="16" t="n">
        <f aca="false">'Data (monthly)'!E45/'Data (monthly)'!$E$8*100</f>
        <v>319.0685</v>
      </c>
      <c r="C45" s="16" t="n">
        <f aca="false">'Data (monthly)'!F45/'Data (monthly)'!$F$8*100</f>
        <v>282.296315897309</v>
      </c>
      <c r="D45" s="17" t="n">
        <f aca="false">B45/C45*100</f>
        <v>113.026094225072</v>
      </c>
      <c r="E45" s="18" t="n">
        <f aca="false">('Data (monthly)'!B45/'Data (monthly)'!B33-1)*100</f>
        <v>52.8557286769007</v>
      </c>
      <c r="F45" s="18" t="n">
        <f aca="false">('Data (monthly)'!E45/'Data (monthly)'!E33-1)*100</f>
        <v>44.9441698617193</v>
      </c>
      <c r="G45" s="18" t="n">
        <f aca="false">('Data (monthly)'!F45/'Data (monthly)'!F33-1)*100</f>
        <v>55.3908222309104</v>
      </c>
      <c r="H45" s="19" t="n">
        <f aca="false">Weights!$B$6*('Data (monthly)'!E45-'Data (monthly)'!E33)/'Data (monthly)'!B33*100</f>
        <v>10.9604427757277</v>
      </c>
      <c r="I45" s="19" t="n">
        <f aca="false">(Weights!$B$5*('Data (monthly)'!C45-'Data (monthly)'!C33)+Weights!$B$7*('Data (monthly)'!D45-'Data (monthly)'!D33))/'Data (monthly)'!B33*100</f>
        <v>41.9230667839424</v>
      </c>
      <c r="J45" s="15" t="n">
        <f aca="false">H45+I45-E45</f>
        <v>0.0277808827694059</v>
      </c>
    </row>
    <row r="46" customFormat="false" ht="15" hidden="false" customHeight="false" outlineLevel="0" collapsed="false">
      <c r="A46" s="12" t="n">
        <v>43862</v>
      </c>
      <c r="B46" s="16" t="n">
        <f aca="false">'Data (monthly)'!E46/'Data (monthly)'!$E$8*100</f>
        <v>321.3104</v>
      </c>
      <c r="C46" s="16" t="n">
        <f aca="false">'Data (monthly)'!F46/'Data (monthly)'!$F$8*100</f>
        <v>289.068723787732</v>
      </c>
      <c r="D46" s="17" t="n">
        <f aca="false">B46/C46*100</f>
        <v>111.153637027831</v>
      </c>
      <c r="E46" s="18" t="n">
        <f aca="false">('Data (monthly)'!B46/'Data (monthly)'!B34-1)*100</f>
        <v>50.2748918552011</v>
      </c>
      <c r="F46" s="18" t="n">
        <f aca="false">('Data (monthly)'!E46/'Data (monthly)'!E34-1)*100</f>
        <v>40.0531077445598</v>
      </c>
      <c r="G46" s="18" t="n">
        <f aca="false">('Data (monthly)'!F46/'Data (monthly)'!F34-1)*100</f>
        <v>53.588757733455</v>
      </c>
      <c r="H46" s="19" t="n">
        <f aca="false">Weights!$B$6*('Data (monthly)'!E46-'Data (monthly)'!E34)/'Data (monthly)'!B34*100</f>
        <v>9.81039092229178</v>
      </c>
      <c r="I46" s="19" t="n">
        <f aca="false">(Weights!$B$5*('Data (monthly)'!C46-'Data (monthly)'!C34)+Weights!$B$7*('Data (monthly)'!D46-'Data (monthly)'!D34))/'Data (monthly)'!B34*100</f>
        <v>40.4946136411621</v>
      </c>
      <c r="J46" s="15" t="n">
        <f aca="false">H46+I46-E46</f>
        <v>0.0301127082527586</v>
      </c>
    </row>
    <row r="47" customFormat="false" ht="15" hidden="false" customHeight="false" outlineLevel="0" collapsed="false">
      <c r="A47" s="12" t="n">
        <v>43891</v>
      </c>
      <c r="B47" s="16" t="n">
        <f aca="false">'Data (monthly)'!E47/'Data (monthly)'!$E$8*100</f>
        <v>331.8502</v>
      </c>
      <c r="C47" s="16" t="n">
        <f aca="false">'Data (monthly)'!F47/'Data (monthly)'!$F$8*100</f>
        <v>298.760935042187</v>
      </c>
      <c r="D47" s="17" t="n">
        <f aca="false">B47/C47*100</f>
        <v>111.07549919575</v>
      </c>
      <c r="E47" s="18" t="n">
        <f aca="false">('Data (monthly)'!B47/'Data (monthly)'!B35-1)*100</f>
        <v>48.3568665513352</v>
      </c>
      <c r="F47" s="18" t="n">
        <f aca="false">('Data (monthly)'!E47/'Data (monthly)'!E35-1)*100</f>
        <v>37.8850109921524</v>
      </c>
      <c r="G47" s="18" t="n">
        <f aca="false">('Data (monthly)'!F47/'Data (monthly)'!F35-1)*100</f>
        <v>51.7521755665261</v>
      </c>
      <c r="H47" s="19" t="n">
        <f aca="false">Weights!$B$6*('Data (monthly)'!E47-'Data (monthly)'!E35)/'Data (monthly)'!B35*100</f>
        <v>9.29926660333632</v>
      </c>
      <c r="I47" s="19" t="n">
        <f aca="false">(Weights!$B$5*('Data (monthly)'!C47-'Data (monthly)'!C35)+Weights!$B$7*('Data (monthly)'!D47-'Data (monthly)'!D35))/'Data (monthly)'!B35*100</f>
        <v>39.0784727056266</v>
      </c>
      <c r="J47" s="15" t="n">
        <f aca="false">H47+I47-E47</f>
        <v>0.0208727576276715</v>
      </c>
    </row>
    <row r="48" customFormat="false" ht="15" hidden="false" customHeight="false" outlineLevel="0" collapsed="false">
      <c r="A48" s="12" t="n">
        <v>43922</v>
      </c>
      <c r="B48" s="16" t="n">
        <f aca="false">'Data (monthly)'!E48/'Data (monthly)'!$E$8*100</f>
        <v>329.6516</v>
      </c>
      <c r="C48" s="16" t="n">
        <f aca="false">'Data (monthly)'!F48/'Data (monthly)'!$F$8*100</f>
        <v>305.117114548228</v>
      </c>
      <c r="D48" s="17" t="n">
        <f aca="false">B48/C48*100</f>
        <v>108.041005988176</v>
      </c>
      <c r="E48" s="18" t="n">
        <f aca="false">('Data (monthly)'!B48/'Data (monthly)'!B36-1)*100</f>
        <v>45.6258556603674</v>
      </c>
      <c r="F48" s="18" t="n">
        <f aca="false">('Data (monthly)'!E48/'Data (monthly)'!E36-1)*100</f>
        <v>32.6131933496204</v>
      </c>
      <c r="G48" s="18" t="n">
        <f aca="false">('Data (monthly)'!F48/'Data (monthly)'!F36-1)*100</f>
        <v>49.7607524073683</v>
      </c>
      <c r="H48" s="19" t="n">
        <f aca="false">Weights!$B$6*('Data (monthly)'!E48-'Data (monthly)'!E36)/'Data (monthly)'!B36*100</f>
        <v>7.99645498769139</v>
      </c>
      <c r="I48" s="19" t="n">
        <f aca="false">(Weights!$B$5*('Data (monthly)'!C48-'Data (monthly)'!C36)+Weights!$B$7*('Data (monthly)'!D48-'Data (monthly)'!D36))/'Data (monthly)'!B36*100</f>
        <v>37.6058181440477</v>
      </c>
      <c r="J48" s="15" t="n">
        <f aca="false">H48+I48-E48</f>
        <v>-0.0235825286283458</v>
      </c>
    </row>
    <row r="49" customFormat="false" ht="15" hidden="false" customHeight="false" outlineLevel="0" collapsed="false">
      <c r="A49" s="12" t="n">
        <v>43952</v>
      </c>
      <c r="B49" s="16" t="n">
        <f aca="false">'Data (monthly)'!E49/'Data (monthly)'!$E$8*100</f>
        <v>329.372</v>
      </c>
      <c r="C49" s="16" t="n">
        <f aca="false">'Data (monthly)'!F49/'Data (monthly)'!$F$8*100</f>
        <v>311.289378711176</v>
      </c>
      <c r="D49" s="17" t="n">
        <f aca="false">B49/C49*100</f>
        <v>105.80894258702</v>
      </c>
      <c r="E49" s="18" t="n">
        <f aca="false">('Data (monthly)'!B49/'Data (monthly)'!B37-1)*100</f>
        <v>43.4212282147169</v>
      </c>
      <c r="F49" s="18" t="n">
        <f aca="false">('Data (monthly)'!E49/'Data (monthly)'!E37-1)*100</f>
        <v>27.7472452885805</v>
      </c>
      <c r="G49" s="18" t="n">
        <f aca="false">('Data (monthly)'!F49/'Data (monthly)'!F37-1)*100</f>
        <v>48.5561909763272</v>
      </c>
      <c r="H49" s="19" t="n">
        <f aca="false">Weights!$B$6*('Data (monthly)'!E49-'Data (monthly)'!E37)/'Data (monthly)'!B37*100</f>
        <v>6.84410727875644</v>
      </c>
      <c r="I49" s="19" t="n">
        <f aca="false">(Weights!$B$5*('Data (monthly)'!C49-'Data (monthly)'!C37)+Weights!$B$7*('Data (monthly)'!D49-'Data (monthly)'!D37))/'Data (monthly)'!B37*100</f>
        <v>36.6052848656756</v>
      </c>
      <c r="J49" s="15" t="n">
        <f aca="false">H49+I49-E49</f>
        <v>0.0281639297150704</v>
      </c>
    </row>
    <row r="50" customFormat="false" ht="15" hidden="false" customHeight="false" outlineLevel="0" collapsed="false">
      <c r="A50" s="12" t="n">
        <v>43983</v>
      </c>
      <c r="B50" s="16" t="n">
        <f aca="false">'Data (monthly)'!E50/'Data (monthly)'!$E$8*100</f>
        <v>331.8382</v>
      </c>
      <c r="C50" s="16" t="n">
        <f aca="false">'Data (monthly)'!F50/'Data (monthly)'!$F$8*100</f>
        <v>319.559432566191</v>
      </c>
      <c r="D50" s="17" t="n">
        <f aca="false">B50/C50*100</f>
        <v>103.842404943333</v>
      </c>
      <c r="E50" s="18" t="n">
        <f aca="false">('Data (monthly)'!B50/'Data (monthly)'!B38-1)*100</f>
        <v>42.7587491187699</v>
      </c>
      <c r="F50" s="18" t="n">
        <f aca="false">('Data (monthly)'!E50/'Data (monthly)'!E38-1)*100</f>
        <v>25.2144021493042</v>
      </c>
      <c r="G50" s="18" t="n">
        <f aca="false">('Data (monthly)'!F50/'Data (monthly)'!F38-1)*100</f>
        <v>48.4958411338149</v>
      </c>
      <c r="H50" s="19" t="n">
        <f aca="false">Weights!$B$6*('Data (monthly)'!E50-'Data (monthly)'!E38)/'Data (monthly)'!B38*100</f>
        <v>6.22351863374967</v>
      </c>
      <c r="I50" s="19" t="n">
        <f aca="false">(Weights!$B$5*('Data (monthly)'!C50-'Data (monthly)'!C38)+Weights!$B$7*('Data (monthly)'!D50-'Data (monthly)'!D38))/'Data (monthly)'!B38*100</f>
        <v>36.5528212081831</v>
      </c>
      <c r="J50" s="15" t="n">
        <f aca="false">H50+I50-E50</f>
        <v>0.0175907231629324</v>
      </c>
    </row>
    <row r="51" customFormat="false" ht="15" hidden="false" customHeight="false" outlineLevel="0" collapsed="false">
      <c r="A51" s="12" t="n">
        <v>44013</v>
      </c>
      <c r="B51" s="16" t="n">
        <f aca="false">'Data (monthly)'!E51/'Data (monthly)'!$E$8*100</f>
        <v>333.55</v>
      </c>
      <c r="C51" s="16" t="n">
        <f aca="false">'Data (monthly)'!F51/'Data (monthly)'!$F$8*100</f>
        <v>326.935362939192</v>
      </c>
      <c r="D51" s="17" t="n">
        <f aca="false">B51/C51*100</f>
        <v>102.023224713699</v>
      </c>
      <c r="E51" s="18" t="n">
        <f aca="false">('Data (monthly)'!B51/'Data (monthly)'!B39-1)*100</f>
        <v>42.3904309873576</v>
      </c>
      <c r="F51" s="18" t="n">
        <f aca="false">('Data (monthly)'!E51/'Data (monthly)'!E39-1)*100</f>
        <v>23.6302634134481</v>
      </c>
      <c r="G51" s="18" t="n">
        <f aca="false">('Data (monthly)'!F51/'Data (monthly)'!F39-1)*100</f>
        <v>48.4583021267976</v>
      </c>
      <c r="H51" s="19" t="n">
        <f aca="false">Weights!$B$6*('Data (monthly)'!E51-'Data (monthly)'!E39)/'Data (monthly)'!B39*100</f>
        <v>5.81002648572197</v>
      </c>
      <c r="I51" s="19" t="n">
        <f aca="false">(Weights!$B$5*('Data (monthly)'!C51-'Data (monthly)'!C39)+Weights!$B$7*('Data (monthly)'!D51-'Data (monthly)'!D39))/'Data (monthly)'!B39*100</f>
        <v>36.5731891723429</v>
      </c>
      <c r="J51" s="15" t="n">
        <f aca="false">H51+I51-E51</f>
        <v>-0.00721532929272684</v>
      </c>
    </row>
    <row r="52" customFormat="false" ht="15" hidden="false" customHeight="false" outlineLevel="0" collapsed="false">
      <c r="A52" s="12" t="n">
        <v>44044</v>
      </c>
      <c r="B52" s="16" t="n">
        <f aca="false">'Data (monthly)'!E52/'Data (monthly)'!$E$8*100</f>
        <v>336.9087</v>
      </c>
      <c r="C52" s="16" t="n">
        <f aca="false">'Data (monthly)'!F52/'Data (monthly)'!$F$8*100</f>
        <v>337.283600984626</v>
      </c>
      <c r="D52" s="17" t="n">
        <f aca="false">B52/C52*100</f>
        <v>99.8888469574177</v>
      </c>
      <c r="E52" s="18" t="n">
        <f aca="false">('Data (monthly)'!B52/'Data (monthly)'!B40-1)*100</f>
        <v>40.6729416458653</v>
      </c>
      <c r="F52" s="18" t="n">
        <f aca="false">('Data (monthly)'!E52/'Data (monthly)'!E40-1)*100</f>
        <v>22.2866689920739</v>
      </c>
      <c r="G52" s="18" t="n">
        <f aca="false">('Data (monthly)'!F52/'Data (monthly)'!F40-1)*100</f>
        <v>46.5076882573237</v>
      </c>
      <c r="H52" s="19" t="n">
        <f aca="false">Weights!$B$6*('Data (monthly)'!E52-'Data (monthly)'!E40)/'Data (monthly)'!B40*100</f>
        <v>5.38282829683687</v>
      </c>
      <c r="I52" s="19" t="n">
        <f aca="false">(Weights!$B$5*('Data (monthly)'!C52-'Data (monthly)'!C40)+Weights!$B$7*('Data (monthly)'!D52-'Data (monthly)'!D40))/'Data (monthly)'!B40*100</f>
        <v>35.2984509560419</v>
      </c>
      <c r="J52" s="15" t="n">
        <f aca="false">H52+I52-E52</f>
        <v>0.0083376070134662</v>
      </c>
    </row>
    <row r="53" customFormat="false" ht="15" hidden="false" customHeight="false" outlineLevel="0" collapsed="false">
      <c r="A53" s="12" t="n">
        <v>44075</v>
      </c>
      <c r="B53" s="16" t="n">
        <f aca="false">'Data (monthly)'!E53/'Data (monthly)'!$E$8*100</f>
        <v>343.4046</v>
      </c>
      <c r="C53" s="16" t="n">
        <f aca="false">'Data (monthly)'!F53/'Data (monthly)'!$F$8*100</f>
        <v>347.74343469001</v>
      </c>
      <c r="D53" s="17" t="n">
        <f aca="false">B53/C53*100</f>
        <v>98.752288538854</v>
      </c>
      <c r="E53" s="18" t="n">
        <f aca="false">('Data (monthly)'!B53/'Data (monthly)'!B41-1)*100</f>
        <v>36.6207192300507</v>
      </c>
      <c r="F53" s="18" t="n">
        <f aca="false">('Data (monthly)'!E53/'Data (monthly)'!E41-1)*100</f>
        <v>20.5995197857473</v>
      </c>
      <c r="G53" s="18" t="n">
        <f aca="false">('Data (monthly)'!F53/'Data (monthly)'!F41-1)*100</f>
        <v>41.5640160460957</v>
      </c>
      <c r="H53" s="19" t="n">
        <f aca="false">Weights!$B$6*('Data (monthly)'!E53-'Data (monthly)'!E41)/'Data (monthly)'!B41*100</f>
        <v>4.85638067310656</v>
      </c>
      <c r="I53" s="19" t="n">
        <f aca="false">(Weights!$B$5*('Data (monthly)'!C53-'Data (monthly)'!C41)+Weights!$B$7*('Data (monthly)'!D53-'Data (monthly)'!D41))/'Data (monthly)'!B41*100</f>
        <v>31.7894120298277</v>
      </c>
      <c r="J53" s="15" t="n">
        <f aca="false">H53+I53-E53</f>
        <v>0.0250734728836193</v>
      </c>
    </row>
    <row r="54" customFormat="false" ht="15" hidden="false" customHeight="false" outlineLevel="0" collapsed="false">
      <c r="A54" s="12" t="n">
        <v>44105</v>
      </c>
      <c r="B54" s="16" t="n">
        <f aca="false">'Data (monthly)'!E54/'Data (monthly)'!$E$8*100</f>
        <v>348.5355</v>
      </c>
      <c r="C54" s="16" t="n">
        <f aca="false">'Data (monthly)'!F54/'Data (monthly)'!$F$8*100</f>
        <v>362.90808074752</v>
      </c>
      <c r="D54" s="17" t="n">
        <f aca="false">B54/C54*100</f>
        <v>96.0396085097043</v>
      </c>
      <c r="E54" s="18" t="n">
        <f aca="false">('Data (monthly)'!B54/'Data (monthly)'!B42-1)*100</f>
        <v>37.2390400742408</v>
      </c>
      <c r="F54" s="18" t="n">
        <f aca="false">('Data (monthly)'!E54/'Data (monthly)'!E42-1)*100</f>
        <v>19.9724280841133</v>
      </c>
      <c r="G54" s="18" t="n">
        <f aca="false">('Data (monthly)'!F54/'Data (monthly)'!F42-1)*100</f>
        <v>42.4927509151741</v>
      </c>
      <c r="H54" s="19" t="n">
        <f aca="false">Weights!$B$6*('Data (monthly)'!E54-'Data (monthly)'!E42)/'Data (monthly)'!B42*100</f>
        <v>4.65070310028653</v>
      </c>
      <c r="I54" s="19" t="n">
        <f aca="false">(Weights!$B$5*('Data (monthly)'!C54-'Data (monthly)'!C42)+Weights!$B$7*('Data (monthly)'!D54-'Data (monthly)'!D42))/'Data (monthly)'!B42*100</f>
        <v>32.6215598843956</v>
      </c>
      <c r="J54" s="15" t="n">
        <f aca="false">H54+I54-E54</f>
        <v>0.0332229104413244</v>
      </c>
    </row>
    <row r="55" customFormat="false" ht="15" hidden="false" customHeight="false" outlineLevel="0" collapsed="false">
      <c r="A55" s="12" t="n">
        <v>44136</v>
      </c>
      <c r="B55" s="16" t="n">
        <f aca="false">'Data (monthly)'!E55/'Data (monthly)'!$E$8*100</f>
        <v>352.7236</v>
      </c>
      <c r="C55" s="16" t="n">
        <f aca="false">'Data (monthly)'!F55/'Data (monthly)'!$F$8*100</f>
        <v>376.12890624765</v>
      </c>
      <c r="D55" s="17" t="n">
        <f aca="false">B55/C55*100</f>
        <v>93.7773178665934</v>
      </c>
      <c r="E55" s="18" t="n">
        <f aca="false">('Data (monthly)'!B55/'Data (monthly)'!B43-1)*100</f>
        <v>35.7978198918218</v>
      </c>
      <c r="F55" s="18" t="n">
        <f aca="false">('Data (monthly)'!E55/'Data (monthly)'!E43-1)*100</f>
        <v>16.9498263442776</v>
      </c>
      <c r="G55" s="18" t="n">
        <f aca="false">('Data (monthly)'!F55/'Data (monthly)'!F43-1)*100</f>
        <v>41.454294750907</v>
      </c>
      <c r="H55" s="19" t="n">
        <f aca="false">Weights!$B$6*('Data (monthly)'!E55-'Data (monthly)'!E43)/'Data (monthly)'!B43*100</f>
        <v>3.93031539921922</v>
      </c>
      <c r="I55" s="19" t="n">
        <f aca="false">(Weights!$B$5*('Data (monthly)'!C55-'Data (monthly)'!C43)+Weights!$B$7*('Data (monthly)'!D55-'Data (monthly)'!D43))/'Data (monthly)'!B43*100</f>
        <v>31.8699328199541</v>
      </c>
      <c r="J55" s="15" t="n">
        <f aca="false">H55+I55-E55</f>
        <v>0.00242832735150245</v>
      </c>
    </row>
    <row r="56" customFormat="false" ht="15" hidden="false" customHeight="false" outlineLevel="0" collapsed="false">
      <c r="A56" s="12" t="n">
        <v>44166</v>
      </c>
      <c r="B56" s="16" t="n">
        <f aca="false">'Data (monthly)'!E56/'Data (monthly)'!$E$8*100</f>
        <v>362.0665</v>
      </c>
      <c r="C56" s="16" t="n">
        <f aca="false">'Data (monthly)'!F56/'Data (monthly)'!$F$8*100</f>
        <v>392.421271348891</v>
      </c>
      <c r="D56" s="17" t="n">
        <f aca="false">B56/C56*100</f>
        <v>92.2647487368482</v>
      </c>
      <c r="E56" s="18" t="n">
        <f aca="false">('Data (monthly)'!B56/'Data (monthly)'!B44-1)*100</f>
        <v>36.1405878123454</v>
      </c>
      <c r="F56" s="18" t="n">
        <f aca="false">('Data (monthly)'!E56/'Data (monthly)'!E44-1)*100</f>
        <v>14.7619159310997</v>
      </c>
      <c r="G56" s="18" t="n">
        <f aca="false">('Data (monthly)'!F56/'Data (monthly)'!F44-1)*100</f>
        <v>42.6173729881428</v>
      </c>
      <c r="H56" s="19" t="n">
        <f aca="false">Weights!$B$6*('Data (monthly)'!E56-'Data (monthly)'!E44)/'Data (monthly)'!B44*100</f>
        <v>3.45142730368094</v>
      </c>
      <c r="I56" s="19" t="n">
        <f aca="false">(Weights!$B$5*('Data (monthly)'!C56-'Data (monthly)'!C44)+Weights!$B$7*('Data (monthly)'!D56-'Data (monthly)'!D44))/'Data (monthly)'!B44*100</f>
        <v>32.6810546641985</v>
      </c>
      <c r="J56" s="15" t="n">
        <f aca="false">H56+I56-E56</f>
        <v>-0.00810584446603002</v>
      </c>
    </row>
    <row r="57" customFormat="false" ht="15" hidden="false" customHeight="false" outlineLevel="0" collapsed="false">
      <c r="A57" s="12" t="n">
        <v>44197</v>
      </c>
      <c r="B57" s="16" t="n">
        <f aca="false">'Data (monthly)'!E57/'Data (monthly)'!$E$8*100</f>
        <v>380.6817</v>
      </c>
      <c r="C57" s="16" t="n">
        <f aca="false">'Data (monthly)'!F57/'Data (monthly)'!$F$8*100</f>
        <v>407.264154077183</v>
      </c>
      <c r="D57" s="17" t="n">
        <f aca="false">B57/C57*100</f>
        <v>93.4729207539967</v>
      </c>
      <c r="E57" s="18" t="n">
        <f aca="false">('Data (monthly)'!B57/'Data (monthly)'!B45-1)*100</f>
        <v>38.53198030983</v>
      </c>
      <c r="F57" s="18" t="n">
        <f aca="false">('Data (monthly)'!E57/'Data (monthly)'!E45-1)*100</f>
        <v>19.310336181729</v>
      </c>
      <c r="G57" s="18" t="n">
        <f aca="false">('Data (monthly)'!F57/'Data (monthly)'!F45-1)*100</f>
        <v>44.2683206058321</v>
      </c>
      <c r="H57" s="19" t="n">
        <f aca="false">Weights!$B$6*('Data (monthly)'!E57-'Data (monthly)'!E45)/'Data (monthly)'!B45*100</f>
        <v>4.46543325102069</v>
      </c>
      <c r="I57" s="19" t="n">
        <f aca="false">(Weights!$B$5*('Data (monthly)'!C57-'Data (monthly)'!C45)+Weights!$B$7*('Data (monthly)'!D57-'Data (monthly)'!D45))/'Data (monthly)'!B45*100</f>
        <v>34.0605710214854</v>
      </c>
      <c r="J57" s="15" t="n">
        <f aca="false">H57+I57-E57</f>
        <v>-0.00597603732394703</v>
      </c>
    </row>
    <row r="58" customFormat="false" ht="15" hidden="false" customHeight="false" outlineLevel="0" collapsed="false">
      <c r="A58" s="12" t="n">
        <v>44228</v>
      </c>
      <c r="B58" s="16" t="n">
        <f aca="false">'Data (monthly)'!E58/'Data (monthly)'!$E$8*100</f>
        <v>388.8788</v>
      </c>
      <c r="C58" s="16" t="n">
        <f aca="false">'Data (monthly)'!F58/'Data (monthly)'!$F$8*100</f>
        <v>423.270697748957</v>
      </c>
      <c r="D58" s="17" t="n">
        <f aca="false">B58/C58*100</f>
        <v>91.8747274659312</v>
      </c>
      <c r="E58" s="18" t="n">
        <f aca="false">('Data (monthly)'!B58/'Data (monthly)'!B46-1)*100</f>
        <v>40.6517827548653</v>
      </c>
      <c r="F58" s="18" t="n">
        <f aca="false">('Data (monthly)'!E58/'Data (monthly)'!E46-1)*100</f>
        <v>21.0290111991395</v>
      </c>
      <c r="G58" s="18" t="n">
        <f aca="false">('Data (monthly)'!F58/'Data (monthly)'!F46-1)*100</f>
        <v>46.4256292423292</v>
      </c>
      <c r="H58" s="19" t="n">
        <f aca="false">Weights!$B$6*('Data (monthly)'!E58-'Data (monthly)'!E46)/'Data (monthly)'!B46*100</f>
        <v>4.80037618867235</v>
      </c>
      <c r="I58" s="19" t="n">
        <f aca="false">(Weights!$B$5*('Data (monthly)'!C58-'Data (monthly)'!C46)+Weights!$B$7*('Data (monthly)'!D58-'Data (monthly)'!D46))/'Data (monthly)'!B46*100</f>
        <v>35.8553835479223</v>
      </c>
      <c r="J58" s="15" t="n">
        <f aca="false">H58+I58-E58</f>
        <v>0.00397698172938021</v>
      </c>
    </row>
    <row r="59" customFormat="false" ht="15" hidden="false" customHeight="false" outlineLevel="0" collapsed="false">
      <c r="A59" s="12" t="n">
        <v>44256</v>
      </c>
      <c r="B59" s="16" t="n">
        <f aca="false">'Data (monthly)'!E59/'Data (monthly)'!$E$8*100</f>
        <v>406.4306</v>
      </c>
      <c r="C59" s="16" t="n">
        <f aca="false">'Data (monthly)'!F59/'Data (monthly)'!$F$8*100</f>
        <v>444.057781603403</v>
      </c>
      <c r="D59" s="17" t="n">
        <f aca="false">B59/C59*100</f>
        <v>91.526512277853</v>
      </c>
      <c r="E59" s="18" t="n">
        <f aca="false">('Data (monthly)'!B59/'Data (monthly)'!B47-1)*100</f>
        <v>42.6488497029143</v>
      </c>
      <c r="F59" s="18" t="n">
        <f aca="false">('Data (monthly)'!E59/'Data (monthly)'!E47-1)*100</f>
        <v>22.474116333213</v>
      </c>
      <c r="G59" s="18" t="n">
        <f aca="false">('Data (monthly)'!F59/'Data (monthly)'!F47-1)*100</f>
        <v>48.6331476170737</v>
      </c>
      <c r="H59" s="19" t="n">
        <f aca="false">Weights!$B$6*('Data (monthly)'!E59-'Data (monthly)'!E47)/'Data (monthly)'!B47*100</f>
        <v>5.12711798894786</v>
      </c>
      <c r="I59" s="19" t="n">
        <f aca="false">(Weights!$B$5*('Data (monthly)'!C59-'Data (monthly)'!C47)+Weights!$B$7*('Data (monthly)'!D59-'Data (monthly)'!D47))/'Data (monthly)'!B47*100</f>
        <v>37.5637224679964</v>
      </c>
      <c r="J59" s="15" t="n">
        <f aca="false">H59+I59-E59</f>
        <v>0.0419907540300173</v>
      </c>
    </row>
    <row r="60" customFormat="false" ht="15" hidden="false" customHeight="false" outlineLevel="0" collapsed="false">
      <c r="A60" s="12" t="n">
        <v>44287</v>
      </c>
      <c r="B60" s="16" t="n">
        <f aca="false">'Data (monthly)'!E60/'Data (monthly)'!$E$8*100</f>
        <v>420.7778</v>
      </c>
      <c r="C60" s="16" t="n">
        <f aca="false">'Data (monthly)'!F60/'Data (monthly)'!$F$8*100</f>
        <v>462.711950770877</v>
      </c>
      <c r="D60" s="17" t="n">
        <f aca="false">B60/C60*100</f>
        <v>90.9373097666887</v>
      </c>
      <c r="E60" s="18" t="n">
        <f aca="false">('Data (monthly)'!B60/'Data (monthly)'!B48-1)*100</f>
        <v>46.2801528290431</v>
      </c>
      <c r="F60" s="18" t="n">
        <f aca="false">('Data (monthly)'!E60/'Data (monthly)'!E48-1)*100</f>
        <v>27.6431845014555</v>
      </c>
      <c r="G60" s="18" t="n">
        <f aca="false">('Data (monthly)'!F60/'Data (monthly)'!F48-1)*100</f>
        <v>51.650605196628</v>
      </c>
      <c r="H60" s="19" t="n">
        <f aca="false">Weights!$B$6*('Data (monthly)'!E60-'Data (monthly)'!E48)/'Data (monthly)'!B48*100</f>
        <v>6.1722070605238</v>
      </c>
      <c r="I60" s="19" t="n">
        <f aca="false">(Weights!$B$5*('Data (monthly)'!C60-'Data (monthly)'!C48)+Weights!$B$7*('Data (monthly)'!D60-'Data (monthly)'!D48))/'Data (monthly)'!B48*100</f>
        <v>40.1423728807772</v>
      </c>
      <c r="J60" s="15" t="n">
        <f aca="false">H60+I60-E60</f>
        <v>0.0344271122578732</v>
      </c>
    </row>
    <row r="61" customFormat="false" ht="15" hidden="false" customHeight="false" outlineLevel="0" collapsed="false">
      <c r="A61" s="12" t="n">
        <v>44317</v>
      </c>
      <c r="B61" s="16" t="n">
        <f aca="false">'Data (monthly)'!E61/'Data (monthly)'!$E$8*100</f>
        <v>436.6403</v>
      </c>
      <c r="C61" s="16" t="n">
        <f aca="false">'Data (monthly)'!F61/'Data (monthly)'!$F$8*100</f>
        <v>477.466218580661</v>
      </c>
      <c r="D61" s="17" t="n">
        <f aca="false">B61/C61*100</f>
        <v>91.449464487347</v>
      </c>
      <c r="E61" s="18" t="n">
        <f aca="false">('Data (monthly)'!B61/'Data (monthly)'!B49-1)*100</f>
        <v>48.8447286467475</v>
      </c>
      <c r="F61" s="18" t="n">
        <f aca="false">('Data (monthly)'!E61/'Data (monthly)'!E49-1)*100</f>
        <v>32.567522436637</v>
      </c>
      <c r="G61" s="18" t="n">
        <f aca="false">('Data (monthly)'!F61/'Data (monthly)'!F49-1)*100</f>
        <v>53.3833953980385</v>
      </c>
      <c r="H61" s="19" t="n">
        <f aca="false">Weights!$B$6*('Data (monthly)'!E61-'Data (monthly)'!E49)/'Data (monthly)'!B49*100</f>
        <v>7.15516680120302</v>
      </c>
      <c r="I61" s="19" t="n">
        <f aca="false">(Weights!$B$5*('Data (monthly)'!C61-'Data (monthly)'!C49)+Weights!$B$7*('Data (monthly)'!D61-'Data (monthly)'!D49))/'Data (monthly)'!B49*100</f>
        <v>41.6852769614495</v>
      </c>
      <c r="J61" s="15" t="n">
        <f aca="false">H61+I61-E61</f>
        <v>-0.00428488409497163</v>
      </c>
    </row>
    <row r="62" customFormat="false" ht="15" hidden="false" customHeight="false" outlineLevel="0" collapsed="false">
      <c r="A62" s="12" t="n">
        <v>44348</v>
      </c>
      <c r="B62" s="16" t="n">
        <f aca="false">'Data (monthly)'!E62/'Data (monthly)'!$E$8*100</f>
        <v>450.6922</v>
      </c>
      <c r="C62" s="16" t="n">
        <f aca="false">'Data (monthly)'!F62/'Data (monthly)'!$F$8*100</f>
        <v>492.572859810746</v>
      </c>
      <c r="D62" s="17" t="n">
        <f aca="false">B62/C62*100</f>
        <v>91.4975705671568</v>
      </c>
      <c r="E62" s="18" t="n">
        <f aca="false">('Data (monthly)'!B62/'Data (monthly)'!B50-1)*100</f>
        <v>50.2000783914716</v>
      </c>
      <c r="F62" s="18" t="n">
        <f aca="false">('Data (monthly)'!E62/'Data (monthly)'!E50-1)*100</f>
        <v>35.8168529120517</v>
      </c>
      <c r="G62" s="18" t="n">
        <f aca="false">('Data (monthly)'!F62/'Data (monthly)'!F50-1)*100</f>
        <v>54.1412362186236</v>
      </c>
      <c r="H62" s="19" t="n">
        <f aca="false">Weights!$B$6*('Data (monthly)'!E62-'Data (monthly)'!E50)/'Data (monthly)'!B50*100</f>
        <v>7.75400885724242</v>
      </c>
      <c r="I62" s="19" t="n">
        <f aca="false">(Weights!$B$5*('Data (monthly)'!C62-'Data (monthly)'!C50)+Weights!$B$7*('Data (monthly)'!D62-'Data (monthly)'!D50))/'Data (monthly)'!B50*100</f>
        <v>42.4478922771667</v>
      </c>
      <c r="J62" s="15" t="n">
        <f aca="false">H62+I62-E62</f>
        <v>0.00182274293747042</v>
      </c>
    </row>
    <row r="63" customFormat="false" ht="15" hidden="false" customHeight="false" outlineLevel="0" collapsed="false">
      <c r="A63" s="12" t="n">
        <v>44378</v>
      </c>
      <c r="B63" s="16" t="n">
        <f aca="false">'Data (monthly)'!E63/'Data (monthly)'!$E$8*100</f>
        <v>457.2079</v>
      </c>
      <c r="C63" s="16" t="n">
        <f aca="false">'Data (monthly)'!F63/'Data (monthly)'!$F$8*100</f>
        <v>509.212004662097</v>
      </c>
      <c r="D63" s="17" t="n">
        <f aca="false">B63/C63*100</f>
        <v>89.7873372611068</v>
      </c>
      <c r="E63" s="18" t="n">
        <f aca="false">('Data (monthly)'!B63/'Data (monthly)'!B51-1)*100</f>
        <v>51.7661716251058</v>
      </c>
      <c r="F63" s="18" t="n">
        <f aca="false">('Data (monthly)'!E63/'Data (monthly)'!E51-1)*100</f>
        <v>37.0732723729576</v>
      </c>
      <c r="G63" s="18" t="n">
        <f aca="false">('Data (monthly)'!F63/'Data (monthly)'!F51-1)*100</f>
        <v>55.7531128123351</v>
      </c>
      <c r="H63" s="19" t="n">
        <f aca="false">Weights!$B$6*('Data (monthly)'!E63-'Data (monthly)'!E51)/'Data (monthly)'!B51*100</f>
        <v>7.91433558312061</v>
      </c>
      <c r="I63" s="19" t="n">
        <f aca="false">(Weights!$B$5*('Data (monthly)'!C63-'Data (monthly)'!C51)+Weights!$B$7*('Data (monthly)'!D63-'Data (monthly)'!D51))/'Data (monthly)'!B51*100</f>
        <v>43.8720010779357</v>
      </c>
      <c r="J63" s="15" t="n">
        <f aca="false">H63+I63-E63</f>
        <v>0.0201650359504768</v>
      </c>
    </row>
    <row r="64" customFormat="false" ht="15" hidden="false" customHeight="false" outlineLevel="0" collapsed="false">
      <c r="A64" s="12" t="n">
        <v>44409</v>
      </c>
      <c r="B64" s="16" t="n">
        <f aca="false">'Data (monthly)'!E64/'Data (monthly)'!$E$8*100</f>
        <v>462.3809</v>
      </c>
      <c r="C64" s="16" t="n">
        <f aca="false">'Data (monthly)'!F64/'Data (monthly)'!$F$8*100</f>
        <v>523.320128540341</v>
      </c>
      <c r="D64" s="17" t="n">
        <f aca="false">B64/C64*100</f>
        <v>88.3552676044939</v>
      </c>
      <c r="E64" s="18" t="n">
        <f aca="false">('Data (monthly)'!B64/'Data (monthly)'!B52-1)*100</f>
        <v>51.4238872709925</v>
      </c>
      <c r="F64" s="18" t="n">
        <f aca="false">('Data (monthly)'!E64/'Data (monthly)'!E52-1)*100</f>
        <v>37.2421964763747</v>
      </c>
      <c r="G64" s="18" t="n">
        <f aca="false">('Data (monthly)'!F64/'Data (monthly)'!F52-1)*100</f>
        <v>55.1572999732638</v>
      </c>
      <c r="H64" s="19" t="n">
        <f aca="false">Weights!$B$6*('Data (monthly)'!E64-'Data (monthly)'!E52)/'Data (monthly)'!B52*100</f>
        <v>7.81932378586568</v>
      </c>
      <c r="I64" s="19" t="n">
        <f aca="false">(Weights!$B$5*('Data (monthly)'!C64-'Data (monthly)'!C52)+Weights!$B$7*('Data (monthly)'!D64-'Data (monthly)'!D52))/'Data (monthly)'!B52*100</f>
        <v>43.5997239568129</v>
      </c>
      <c r="J64" s="15" t="n">
        <f aca="false">H64+I64-E64</f>
        <v>-0.00483952831398682</v>
      </c>
    </row>
    <row r="65" customFormat="false" ht="15" hidden="false" customHeight="false" outlineLevel="0" collapsed="false">
      <c r="A65" s="12" t="n">
        <v>44440</v>
      </c>
      <c r="B65" s="16" t="n">
        <f aca="false">'Data (monthly)'!E65/'Data (monthly)'!$E$8*100</f>
        <v>476.0569</v>
      </c>
      <c r="C65" s="16" t="n">
        <f aca="false">'Data (monthly)'!F65/'Data (monthly)'!$F$8*100</f>
        <v>542.646400531303</v>
      </c>
      <c r="D65" s="17" t="n">
        <f aca="false">B65/C65*100</f>
        <v>87.7287492433184</v>
      </c>
      <c r="E65" s="18" t="n">
        <f aca="false">('Data (monthly)'!B65/'Data (monthly)'!B53-1)*100</f>
        <v>52.4712170969593</v>
      </c>
      <c r="F65" s="18" t="n">
        <f aca="false">('Data (monthly)'!E65/'Data (monthly)'!E53-1)*100</f>
        <v>38.6285739911463</v>
      </c>
      <c r="G65" s="18" t="n">
        <f aca="false">('Data (monthly)'!F65/'Data (monthly)'!F53-1)*100</f>
        <v>56.0479210815398</v>
      </c>
      <c r="H65" s="19" t="n">
        <f aca="false">Weights!$B$6*('Data (monthly)'!E65-'Data (monthly)'!E53)/'Data (monthly)'!B53*100</f>
        <v>8.03883867192582</v>
      </c>
      <c r="I65" s="19" t="n">
        <f aca="false">(Weights!$B$5*('Data (monthly)'!C65-'Data (monthly)'!C53)+Weights!$B$7*('Data (monthly)'!D65-'Data (monthly)'!D53))/'Data (monthly)'!B53*100</f>
        <v>44.4181848780237</v>
      </c>
      <c r="J65" s="15" t="n">
        <f aca="false">H65+I65-E65</f>
        <v>-0.0141935470097323</v>
      </c>
    </row>
    <row r="66" customFormat="false" ht="15" hidden="false" customHeight="false" outlineLevel="0" collapsed="false">
      <c r="A66" s="12" t="n">
        <v>44470</v>
      </c>
      <c r="B66" s="16" t="n">
        <f aca="false">'Data (monthly)'!E66/'Data (monthly)'!$E$8*100</f>
        <v>485.2106</v>
      </c>
      <c r="C66" s="16" t="n">
        <f aca="false">'Data (monthly)'!F66/'Data (monthly)'!$F$8*100</f>
        <v>563.836078501415</v>
      </c>
      <c r="D66" s="17" t="n">
        <f aca="false">B66/C66*100</f>
        <v>86.0552594097227</v>
      </c>
      <c r="E66" s="18" t="n">
        <f aca="false">('Data (monthly)'!B66/'Data (monthly)'!B54-1)*100</f>
        <v>52.1116508228674</v>
      </c>
      <c r="F66" s="18" t="n">
        <f aca="false">('Data (monthly)'!E66/'Data (monthly)'!E54-1)*100</f>
        <v>39.2141116184721</v>
      </c>
      <c r="G66" s="18" t="n">
        <f aca="false">('Data (monthly)'!F66/'Data (monthly)'!F54-1)*100</f>
        <v>55.3660853569371</v>
      </c>
      <c r="H66" s="19" t="n">
        <f aca="false">Weights!$B$6*('Data (monthly)'!E66-'Data (monthly)'!E54)/'Data (monthly)'!B54*100</f>
        <v>7.9824077191602</v>
      </c>
      <c r="I66" s="19" t="n">
        <f aca="false">(Weights!$B$5*('Data (monthly)'!C66-'Data (monthly)'!C54)+Weights!$B$7*('Data (monthly)'!D66-'Data (monthly)'!D54))/'Data (monthly)'!B54*100</f>
        <v>44.1315106297667</v>
      </c>
      <c r="J66" s="15" t="n">
        <f aca="false">H66+I66-E66</f>
        <v>0.00226752605955483</v>
      </c>
    </row>
    <row r="67" customFormat="false" ht="15" hidden="false" customHeight="false" outlineLevel="0" collapsed="false">
      <c r="A67" s="12" t="n">
        <v>44501</v>
      </c>
      <c r="B67" s="16" t="n">
        <f aca="false">'Data (monthly)'!E67/'Data (monthly)'!$E$8*100</f>
        <v>490.2282</v>
      </c>
      <c r="C67" s="16" t="n">
        <f aca="false">'Data (monthly)'!F67/'Data (monthly)'!$F$8*100</f>
        <v>579.8813710114</v>
      </c>
      <c r="D67" s="17" t="n">
        <f aca="false">B67/C67*100</f>
        <v>84.5393945221881</v>
      </c>
      <c r="E67" s="18" t="n">
        <f aca="false">('Data (monthly)'!B67/'Data (monthly)'!B55-1)*100</f>
        <v>51.182345155033</v>
      </c>
      <c r="F67" s="18" t="n">
        <f aca="false">('Data (monthly)'!E67/'Data (monthly)'!E55-1)*100</f>
        <v>38.9836687990257</v>
      </c>
      <c r="G67" s="18" t="n">
        <f aca="false">('Data (monthly)'!F67/'Data (monthly)'!F55-1)*100</f>
        <v>54.1709135829074</v>
      </c>
      <c r="H67" s="19" t="n">
        <f aca="false">Weights!$B$6*('Data (monthly)'!E67-'Data (monthly)'!E55)/'Data (monthly)'!B55*100</f>
        <v>7.78487497153127</v>
      </c>
      <c r="I67" s="19" t="n">
        <f aca="false">(Weights!$B$5*('Data (monthly)'!C67-'Data (monthly)'!C55)+Weights!$B$7*('Data (monthly)'!D67-'Data (monthly)'!D55))/'Data (monthly)'!B55*100</f>
        <v>43.3811556210145</v>
      </c>
      <c r="J67" s="15" t="n">
        <f aca="false">H67+I67-E67</f>
        <v>-0.0163145624871603</v>
      </c>
    </row>
    <row r="68" customFormat="false" ht="15" hidden="false" customHeight="false" outlineLevel="0" collapsed="false">
      <c r="A68" s="12" t="n">
        <v>44531</v>
      </c>
      <c r="B68" s="16" t="n">
        <f aca="false">'Data (monthly)'!E68/'Data (monthly)'!$E$8*100</f>
        <v>498.6315</v>
      </c>
      <c r="C68" s="16" t="n">
        <f aca="false">'Data (monthly)'!F68/'Data (monthly)'!$F$8*100</f>
        <v>604.951865669762</v>
      </c>
      <c r="D68" s="17" t="n">
        <f aca="false">B68/C68*100</f>
        <v>82.4249875563156</v>
      </c>
      <c r="E68" s="18" t="n">
        <f aca="false">('Data (monthly)'!B68/'Data (monthly)'!B56-1)*100</f>
        <v>50.9416335434663</v>
      </c>
      <c r="F68" s="18" t="n">
        <f aca="false">('Data (monthly)'!E68/'Data (monthly)'!E56-1)*100</f>
        <v>37.7182092239961</v>
      </c>
      <c r="G68" s="18" t="n">
        <f aca="false">('Data (monthly)'!F68/'Data (monthly)'!F56-1)*100</f>
        <v>54.1587854272851</v>
      </c>
      <c r="H68" s="19" t="n">
        <f aca="false">Weights!$B$6*('Data (monthly)'!E68-'Data (monthly)'!E56)/'Data (monthly)'!B56*100</f>
        <v>7.4339089337016</v>
      </c>
      <c r="I68" s="19" t="n">
        <f aca="false">(Weights!$B$5*('Data (monthly)'!C68-'Data (monthly)'!C56)+Weights!$B$7*('Data (monthly)'!D68-'Data (monthly)'!D56))/'Data (monthly)'!B56*100</f>
        <v>43.5073984498912</v>
      </c>
      <c r="J68" s="15" t="n">
        <f aca="false">H68+I68-E68</f>
        <v>-0.000326159873502263</v>
      </c>
    </row>
    <row r="69" customFormat="false" ht="15" hidden="false" customHeight="false" outlineLevel="0" collapsed="false">
      <c r="A69" s="12" t="n">
        <v>44562</v>
      </c>
      <c r="B69" s="16" t="n">
        <f aca="false">'Data (monthly)'!E69/'Data (monthly)'!$E$8*100</f>
        <v>512.3766</v>
      </c>
      <c r="C69" s="16" t="n">
        <f aca="false">'Data (monthly)'!F69/'Data (monthly)'!$F$8*100</f>
        <v>629.945967950807</v>
      </c>
      <c r="D69" s="17" t="n">
        <f aca="false">B69/C69*100</f>
        <v>81.3365948934865</v>
      </c>
      <c r="E69" s="18" t="n">
        <f aca="false">('Data (monthly)'!B69/'Data (monthly)'!B57-1)*100</f>
        <v>50.690162141591</v>
      </c>
      <c r="F69" s="18" t="n">
        <f aca="false">('Data (monthly)'!E69/'Data (monthly)'!E57-1)*100</f>
        <v>34.5944919338124</v>
      </c>
      <c r="G69" s="18" t="n">
        <f aca="false">('Data (monthly)'!F69/'Data (monthly)'!F57-1)*100</f>
        <v>54.6774892030941</v>
      </c>
      <c r="H69" s="19" t="n">
        <f aca="false">Weights!$B$6*('Data (monthly)'!E69-'Data (monthly)'!E57)/'Data (monthly)'!B57*100</f>
        <v>6.88983388326135</v>
      </c>
      <c r="I69" s="19" t="n">
        <f aca="false">(Weights!$B$5*('Data (monthly)'!C69-'Data (monthly)'!C57)+Weights!$B$7*('Data (monthly)'!D69-'Data (monthly)'!D57))/'Data (monthly)'!B57*100</f>
        <v>43.8115254899353</v>
      </c>
      <c r="J69" s="15" t="n">
        <f aca="false">H69+I69-E69</f>
        <v>0.0111972316056068</v>
      </c>
    </row>
    <row r="70" customFormat="false" ht="15" hidden="false" customHeight="false" outlineLevel="0" collapsed="false">
      <c r="A70" s="12" t="n">
        <v>44593</v>
      </c>
      <c r="B70" s="16" t="n">
        <f aca="false">'Data (monthly)'!E70/'Data (monthly)'!$E$8*100</f>
        <v>528.2683</v>
      </c>
      <c r="C70" s="16" t="n">
        <f aca="false">'Data (monthly)'!F70/'Data (monthly)'!$F$8*100</f>
        <v>661.765468461095</v>
      </c>
      <c r="D70" s="17" t="n">
        <f aca="false">B70/C70*100</f>
        <v>79.8271177897002</v>
      </c>
      <c r="E70" s="18" t="n">
        <f aca="false">('Data (monthly)'!B70/'Data (monthly)'!B58-1)*100</f>
        <v>52.3192568643977</v>
      </c>
      <c r="F70" s="18" t="n">
        <f aca="false">('Data (monthly)'!E70/'Data (monthly)'!E58-1)*100</f>
        <v>35.8439441800376</v>
      </c>
      <c r="G70" s="18" t="n">
        <f aca="false">('Data (monthly)'!F70/'Data (monthly)'!F58-1)*100</f>
        <v>56.3456842111924</v>
      </c>
      <c r="H70" s="19" t="n">
        <f aca="false">Weights!$B$6*('Data (monthly)'!E70-'Data (monthly)'!E58)/'Data (monthly)'!B58*100</f>
        <v>7.04071000482134</v>
      </c>
      <c r="I70" s="19" t="n">
        <f aca="false">(Weights!$B$5*('Data (monthly)'!C70-'Data (monthly)'!C58)+Weights!$B$7*('Data (monthly)'!D70-'Data (monthly)'!D58))/'Data (monthly)'!B58*100</f>
        <v>45.3032217973137</v>
      </c>
      <c r="J70" s="15" t="n">
        <f aca="false">H70+I70-E70</f>
        <v>0.0246749377373874</v>
      </c>
    </row>
    <row r="71" customFormat="false" ht="15" hidden="false" customHeight="false" outlineLevel="0" collapsed="false">
      <c r="A71" s="12" t="n">
        <v>44621</v>
      </c>
      <c r="B71" s="16" t="n">
        <f aca="false">'Data (monthly)'!E71/'Data (monthly)'!$E$8*100</f>
        <v>572.7992</v>
      </c>
      <c r="C71" s="16" t="n">
        <f aca="false">'Data (monthly)'!F71/'Data (monthly)'!$F$8*100</f>
        <v>703.884232715316</v>
      </c>
      <c r="D71" s="17" t="n">
        <f aca="false">B71/C71*100</f>
        <v>81.3769045216939</v>
      </c>
      <c r="E71" s="18" t="n">
        <f aca="false">('Data (monthly)'!B71/'Data (monthly)'!B59-1)*100</f>
        <v>55.1066303221382</v>
      </c>
      <c r="F71" s="18" t="n">
        <f aca="false">('Data (monthly)'!E71/'Data (monthly)'!E59-1)*100</f>
        <v>40.9340733694756</v>
      </c>
      <c r="G71" s="18" t="n">
        <f aca="false">('Data (monthly)'!F71/'Data (monthly)'!F59-1)*100</f>
        <v>58.5118563115215</v>
      </c>
      <c r="H71" s="19" t="n">
        <f aca="false">Weights!$B$6*('Data (monthly)'!E71-'Data (monthly)'!E59)/'Data (monthly)'!B59*100</f>
        <v>8.017734883245</v>
      </c>
      <c r="I71" s="19" t="n">
        <f aca="false">(Weights!$B$5*('Data (monthly)'!C71-'Data (monthly)'!C59)+Weights!$B$7*('Data (monthly)'!D71-'Data (monthly)'!D59))/'Data (monthly)'!B59*100</f>
        <v>47.0898733081314</v>
      </c>
      <c r="J71" s="15" t="n">
        <f aca="false">H71+I71-E71</f>
        <v>0.000977869238141693</v>
      </c>
    </row>
    <row r="72" customFormat="false" ht="15" hidden="false" customHeight="false" outlineLevel="0" collapsed="false">
      <c r="A72" s="12" t="n">
        <v>44652</v>
      </c>
      <c r="B72" s="16" t="n">
        <f aca="false">'Data (monthly)'!E72/'Data (monthly)'!$E$8*100</f>
        <v>595.2223</v>
      </c>
      <c r="C72" s="16" t="n">
        <f aca="false">'Data (monthly)'!F72/'Data (monthly)'!$F$8*100</f>
        <v>749.702901211604</v>
      </c>
      <c r="D72" s="17" t="n">
        <f aca="false">B72/C72*100</f>
        <v>79.3944239828944</v>
      </c>
      <c r="E72" s="18" t="n">
        <f aca="false">('Data (monthly)'!B72/'Data (monthly)'!B60-1)*100</f>
        <v>58.0380085718008</v>
      </c>
      <c r="F72" s="18" t="n">
        <f aca="false">('Data (monthly)'!E72/'Data (monthly)'!E60-1)*100</f>
        <v>41.4576291810072</v>
      </c>
      <c r="G72" s="18" t="n">
        <f aca="false">('Data (monthly)'!F72/'Data (monthly)'!F60-1)*100</f>
        <v>62.0236736835089</v>
      </c>
      <c r="H72" s="19" t="n">
        <f aca="false">Weights!$B$6*('Data (monthly)'!E72-'Data (monthly)'!E60)/'Data (monthly)'!B60*100</f>
        <v>8.07735373425301</v>
      </c>
      <c r="I72" s="19" t="n">
        <f aca="false">(Weights!$B$5*('Data (monthly)'!C72-'Data (monthly)'!C60)+Weights!$B$7*('Data (monthly)'!D72-'Data (monthly)'!D60))/'Data (monthly)'!B60*100</f>
        <v>49.9739703348372</v>
      </c>
      <c r="J72" s="15" t="n">
        <f aca="false">H72+I72-E72</f>
        <v>0.0133154972894545</v>
      </c>
    </row>
    <row r="73" customFormat="false" ht="15" hidden="false" customHeight="false" outlineLevel="0" collapsed="false">
      <c r="A73" s="12" t="n">
        <v>44682</v>
      </c>
      <c r="B73" s="16" t="n">
        <f aca="false">'Data (monthly)'!E73/'Data (monthly)'!$E$8*100</f>
        <v>629.0029</v>
      </c>
      <c r="C73" s="16" t="n">
        <f aca="false">'Data (monthly)'!F73/'Data (monthly)'!$F$8*100</f>
        <v>786.562700996398</v>
      </c>
      <c r="D73" s="17" t="n">
        <f aca="false">B73/C73*100</f>
        <v>79.9685643882166</v>
      </c>
      <c r="E73" s="18" t="n">
        <f aca="false">('Data (monthly)'!B73/'Data (monthly)'!B61-1)*100</f>
        <v>60.6799295962451</v>
      </c>
      <c r="F73" s="18" t="n">
        <f aca="false">('Data (monthly)'!E73/'Data (monthly)'!E61-1)*100</f>
        <v>44.0551639415784</v>
      </c>
      <c r="G73" s="18" t="n">
        <f aca="false">('Data (monthly)'!F73/'Data (monthly)'!F61-1)*100</f>
        <v>64.7368275256358</v>
      </c>
      <c r="H73" s="19" t="n">
        <f aca="false">Weights!$B$6*('Data (monthly)'!E73-'Data (monthly)'!E61)/'Data (monthly)'!B61*100</f>
        <v>8.62056129777588</v>
      </c>
      <c r="I73" s="19" t="n">
        <f aca="false">(Weights!$B$5*('Data (monthly)'!C73-'Data (monthly)'!C61)+Weights!$B$7*('Data (monthly)'!D73-'Data (monthly)'!D61))/'Data (monthly)'!B61*100</f>
        <v>52.0922120223799</v>
      </c>
      <c r="J73" s="15" t="n">
        <f aca="false">H73+I73-E73</f>
        <v>0.0328437239106023</v>
      </c>
    </row>
    <row r="74" customFormat="false" ht="15" hidden="false" customHeight="false" outlineLevel="0" collapsed="false">
      <c r="A74" s="12" t="n">
        <v>44713</v>
      </c>
      <c r="B74" s="16" t="n">
        <f aca="false">'Data (monthly)'!E74/'Data (monthly)'!$E$8*100</f>
        <v>662.0938</v>
      </c>
      <c r="C74" s="16" t="n">
        <f aca="false">'Data (monthly)'!F74/'Data (monthly)'!$F$8*100</f>
        <v>828.359074756091</v>
      </c>
      <c r="D74" s="17" t="n">
        <f aca="false">B74/C74*100</f>
        <v>79.9283571795182</v>
      </c>
      <c r="E74" s="18" t="n">
        <f aca="false">('Data (monthly)'!B74/'Data (monthly)'!B62-1)*100</f>
        <v>63.9825816487798</v>
      </c>
      <c r="F74" s="18" t="n">
        <f aca="false">('Data (monthly)'!E74/'Data (monthly)'!E62-1)*100</f>
        <v>46.9059815102192</v>
      </c>
      <c r="G74" s="18" t="n">
        <f aca="false">('Data (monthly)'!F74/'Data (monthly)'!F62-1)*100</f>
        <v>68.1698571606967</v>
      </c>
      <c r="H74" s="19" t="n">
        <f aca="false">Weights!$B$6*('Data (monthly)'!E74-'Data (monthly)'!E62)/'Data (monthly)'!B62*100</f>
        <v>9.18228146323579</v>
      </c>
      <c r="I74" s="19" t="n">
        <f aca="false">(Weights!$B$5*('Data (monthly)'!C74-'Data (monthly)'!C62)+Weights!$B$7*('Data (monthly)'!D74-'Data (monthly)'!D62))/'Data (monthly)'!B62*100</f>
        <v>54.8490392808261</v>
      </c>
      <c r="J74" s="15" t="n">
        <f aca="false">H74+I74-E74</f>
        <v>0.0487390952821158</v>
      </c>
    </row>
    <row r="75" customFormat="false" ht="15" hidden="false" customHeight="false" outlineLevel="0" collapsed="false">
      <c r="A75" s="12" t="n">
        <v>44743</v>
      </c>
      <c r="B75" s="16" t="n">
        <f aca="false">'Data (monthly)'!E75/'Data (monthly)'!$E$8*100</f>
        <v>694.6115</v>
      </c>
      <c r="C75" s="16" t="n">
        <f aca="false">'Data (monthly)'!F75/'Data (monthly)'!$F$8*100</f>
        <v>894.124223839508</v>
      </c>
      <c r="D75" s="17" t="n">
        <f aca="false">B75/C75*100</f>
        <v>77.6862410703102</v>
      </c>
      <c r="E75" s="18" t="n">
        <f aca="false">('Data (monthly)'!B75/'Data (monthly)'!B63-1)*100</f>
        <v>71.0024539313192</v>
      </c>
      <c r="F75" s="18" t="n">
        <f aca="false">('Data (monthly)'!E75/'Data (monthly)'!E63-1)*100</f>
        <v>51.9246495959497</v>
      </c>
      <c r="G75" s="18" t="n">
        <f aca="false">('Data (monthly)'!F75/'Data (monthly)'!F63-1)*100</f>
        <v>75.5897770777874</v>
      </c>
      <c r="H75" s="19" t="n">
        <f aca="false">Weights!$B$6*('Data (monthly)'!E75-'Data (monthly)'!E63)/'Data (monthly)'!B63*100</f>
        <v>10.0116328747696</v>
      </c>
      <c r="I75" s="19" t="n">
        <f aca="false">(Weights!$B$5*('Data (monthly)'!C75-'Data (monthly)'!C63)+Weights!$B$7*('Data (monthly)'!D75-'Data (monthly)'!D63))/'Data (monthly)'!B63*100</f>
        <v>61.0440225959433</v>
      </c>
      <c r="J75" s="15" t="n">
        <f aca="false">H75+I75-E75</f>
        <v>0.0532015393936831</v>
      </c>
    </row>
    <row r="76" customFormat="false" ht="15" hidden="false" customHeight="false" outlineLevel="0" collapsed="false">
      <c r="A76" s="12" t="n">
        <v>44774</v>
      </c>
      <c r="B76" s="16" t="n">
        <f aca="false">'Data (monthly)'!E76/'Data (monthly)'!$E$8*100</f>
        <v>738.3105</v>
      </c>
      <c r="C76" s="16" t="n">
        <f aca="false">'Data (monthly)'!F76/'Data (monthly)'!$F$8*100</f>
        <v>957.584730031585</v>
      </c>
      <c r="D76" s="17" t="n">
        <f aca="false">B76/C76*100</f>
        <v>77.101323449012</v>
      </c>
      <c r="E76" s="18" t="n">
        <f aca="false">('Data (monthly)'!B76/'Data (monthly)'!B64-1)*100</f>
        <v>78.5152730967554</v>
      </c>
      <c r="F76" s="18" t="n">
        <f aca="false">('Data (monthly)'!E76/'Data (monthly)'!E64-1)*100</f>
        <v>59.6758213844906</v>
      </c>
      <c r="G76" s="18" t="n">
        <f aca="false">('Data (monthly)'!F76/'Data (monthly)'!F64-1)*100</f>
        <v>82.9825909243173</v>
      </c>
      <c r="H76" s="19" t="n">
        <f aca="false">Weights!$B$6*('Data (monthly)'!E76-'Data (monthly)'!E64)/'Data (monthly)'!B64*100</f>
        <v>11.3560052461411</v>
      </c>
      <c r="I76" s="19" t="n">
        <f aca="false">(Weights!$B$5*('Data (monthly)'!C76-'Data (monthly)'!C64)+Weights!$B$7*('Data (monthly)'!D76-'Data (monthly)'!D64))/'Data (monthly)'!B64*100</f>
        <v>67.2118042534574</v>
      </c>
      <c r="J76" s="15" t="n">
        <f aca="false">H76+I76-E76</f>
        <v>0.0525364028431454</v>
      </c>
    </row>
    <row r="77" customFormat="false" ht="15" hidden="false" customHeight="false" outlineLevel="0" collapsed="false">
      <c r="A77" s="12" t="n">
        <v>44805</v>
      </c>
      <c r="B77" s="16" t="n">
        <f aca="false">'Data (monthly)'!E77/'Data (monthly)'!$E$8*100</f>
        <v>771.8891</v>
      </c>
      <c r="C77" s="16" t="n">
        <f aca="false">'Data (monthly)'!F77/'Data (monthly)'!$F$8*100</f>
        <v>1019.9537542296</v>
      </c>
      <c r="D77" s="17" t="n">
        <f aca="false">B77/C77*100</f>
        <v>75.6788331626889</v>
      </c>
      <c r="E77" s="18" t="n">
        <f aca="false">('Data (monthly)'!B77/'Data (monthly)'!B65-1)*100</f>
        <v>83.0299823953523</v>
      </c>
      <c r="F77" s="18" t="n">
        <f aca="false">('Data (monthly)'!E77/'Data (monthly)'!E65-1)*100</f>
        <v>62.1421935067006</v>
      </c>
      <c r="G77" s="18" t="n">
        <f aca="false">('Data (monthly)'!F77/'Data (monthly)'!F65-1)*100</f>
        <v>87.9591854347446</v>
      </c>
      <c r="H77" s="19" t="n">
        <f aca="false">Weights!$B$6*('Data (monthly)'!E77-'Data (monthly)'!E65)/'Data (monthly)'!B65*100</f>
        <v>11.7580717179366</v>
      </c>
      <c r="I77" s="19" t="n">
        <f aca="false">(Weights!$B$5*('Data (monthly)'!C77-'Data (monthly)'!C65)+Weights!$B$7*('Data (monthly)'!D77-'Data (monthly)'!D65))/'Data (monthly)'!B65*100</f>
        <v>71.3432053925776</v>
      </c>
      <c r="J77" s="15" t="n">
        <f aca="false">H77+I77-E77</f>
        <v>0.0712947151619403</v>
      </c>
    </row>
    <row r="78" customFormat="false" ht="15" hidden="false" customHeight="false" outlineLevel="0" collapsed="false">
      <c r="A78" s="12" t="n">
        <v>44835</v>
      </c>
      <c r="B78" s="16" t="n">
        <f aca="false">'Data (monthly)'!E78/'Data (monthly)'!$E$8*100</f>
        <v>829.1011</v>
      </c>
      <c r="C78" s="16" t="n">
        <f aca="false">'Data (monthly)'!F78/'Data (monthly)'!$F$8*100</f>
        <v>1082.57098535202</v>
      </c>
      <c r="D78" s="17" t="n">
        <f aca="false">B78/C78*100</f>
        <v>76.5863034589277</v>
      </c>
      <c r="E78" s="18" t="n">
        <f aca="false">('Data (monthly)'!B78/'Data (monthly)'!B66-1)*100</f>
        <v>88.0356847131371</v>
      </c>
      <c r="F78" s="18" t="n">
        <f aca="false">('Data (monthly)'!E78/'Data (monthly)'!E66-1)*100</f>
        <v>70.8744821320886</v>
      </c>
      <c r="G78" s="18" t="n">
        <f aca="false">('Data (monthly)'!F78/'Data (monthly)'!F66-1)*100</f>
        <v>92.0010135267181</v>
      </c>
      <c r="H78" s="19" t="n">
        <f aca="false">Weights!$B$6*('Data (monthly)'!E78-'Data (monthly)'!E66)/'Data (monthly)'!B66*100</f>
        <v>13.2038993510458</v>
      </c>
      <c r="I78" s="19" t="n">
        <f aca="false">(Weights!$B$5*('Data (monthly)'!C78-'Data (monthly)'!C66)+Weights!$B$7*('Data (monthly)'!D78-'Data (monthly)'!D66))/'Data (monthly)'!B66*100</f>
        <v>74.9016407451961</v>
      </c>
      <c r="J78" s="15" t="n">
        <f aca="false">H78+I78-E78</f>
        <v>0.0698553831047235</v>
      </c>
    </row>
    <row r="79" customFormat="false" ht="15" hidden="false" customHeight="false" outlineLevel="0" collapsed="false">
      <c r="A79" s="12" t="n">
        <v>44866</v>
      </c>
      <c r="B79" s="16" t="n">
        <f aca="false">'Data (monthly)'!E79/'Data (monthly)'!$E$8*100</f>
        <v>880.7676</v>
      </c>
      <c r="C79" s="16" t="n">
        <f aca="false">'Data (monthly)'!F79/'Data (monthly)'!$F$8*100</f>
        <v>1132.83168340543</v>
      </c>
      <c r="D79" s="17" t="n">
        <f aca="false">B79/C79*100</f>
        <v>77.7492025428092</v>
      </c>
      <c r="E79" s="18" t="n">
        <f aca="false">('Data (monthly)'!B79/'Data (monthly)'!B67-1)*100</f>
        <v>92.412782322705</v>
      </c>
      <c r="F79" s="18" t="n">
        <f aca="false">('Data (monthly)'!E79/'Data (monthly)'!E67-1)*100</f>
        <v>79.6648173238504</v>
      </c>
      <c r="G79" s="18" t="n">
        <f aca="false">('Data (monthly)'!F79/'Data (monthly)'!F67-1)*100</f>
        <v>95.3557641332053</v>
      </c>
      <c r="H79" s="19" t="n">
        <f aca="false">Weights!$B$6*('Data (monthly)'!E79-'Data (monthly)'!E67)/'Data (monthly)'!B67*100</f>
        <v>14.6250780268574</v>
      </c>
      <c r="I79" s="19" t="n">
        <f aca="false">(Weights!$B$5*('Data (monthly)'!C79-'Data (monthly)'!C67)+Weights!$B$7*('Data (monthly)'!D79-'Data (monthly)'!D67))/'Data (monthly)'!B67*100</f>
        <v>77.8723490839488</v>
      </c>
      <c r="J79" s="15" t="n">
        <f aca="false">H79+I79-E79</f>
        <v>0.0846447881010874</v>
      </c>
    </row>
    <row r="80" customFormat="false" ht="15" hidden="false" customHeight="false" outlineLevel="0" collapsed="false">
      <c r="A80" s="12" t="n">
        <v>44896</v>
      </c>
      <c r="B80" s="16" t="n">
        <f aca="false">'Data (monthly)'!E80/'Data (monthly)'!$E$8*100</f>
        <v>925.7853</v>
      </c>
      <c r="C80" s="16" t="n">
        <f aca="false">'Data (monthly)'!F80/'Data (monthly)'!$F$8*100</f>
        <v>1191.12762570597</v>
      </c>
      <c r="D80" s="17" t="n">
        <f aca="false">B80/C80*100</f>
        <v>77.7234345019324</v>
      </c>
      <c r="E80" s="18" t="n">
        <f aca="false">('Data (monthly)'!B80/'Data (monthly)'!B68-1)*100</f>
        <v>94.7931823351918</v>
      </c>
      <c r="F80" s="18" t="n">
        <f aca="false">('Data (monthly)'!E80/'Data (monthly)'!E68-1)*100</f>
        <v>85.6652257228033</v>
      </c>
      <c r="G80" s="18" t="n">
        <f aca="false">('Data (monthly)'!F80/'Data (monthly)'!F68-1)*100</f>
        <v>96.8962645296136</v>
      </c>
      <c r="H80" s="19" t="n">
        <f aca="false">Weights!$B$6*('Data (monthly)'!E80-'Data (monthly)'!E68)/'Data (monthly)'!B68*100</f>
        <v>15.4046932967641</v>
      </c>
      <c r="I80" s="19" t="n">
        <f aca="false">(Weights!$B$5*('Data (monthly)'!C80-'Data (monthly)'!C68)+Weights!$B$7*('Data (monthly)'!D80-'Data (monthly)'!D68))/'Data (monthly)'!B68*100</f>
        <v>79.4987807285167</v>
      </c>
      <c r="J80" s="15" t="n">
        <f aca="false">H80+I80-E80</f>
        <v>0.110291690088971</v>
      </c>
    </row>
    <row r="81" customFormat="false" ht="15" hidden="false" customHeight="false" outlineLevel="0" collapsed="false">
      <c r="A81" s="12" t="n">
        <v>44927</v>
      </c>
      <c r="B81" s="16" t="n">
        <f aca="false">'Data (monthly)'!E81/'Data (monthly)'!$E$8*100</f>
        <v>991.5192</v>
      </c>
      <c r="C81" s="16" t="n">
        <f aca="false">'Data (monthly)'!F81/'Data (monthly)'!$F$8*100</f>
        <v>1260.12305566856</v>
      </c>
      <c r="D81" s="17" t="n">
        <f aca="false">B81/C81*100</f>
        <v>78.6843154356817</v>
      </c>
      <c r="E81" s="18" t="n">
        <f aca="false">('Data (monthly)'!B81/'Data (monthly)'!B69-1)*100</f>
        <v>98.8290861454036</v>
      </c>
      <c r="F81" s="18" t="n">
        <f aca="false">('Data (monthly)'!E81/'Data (monthly)'!E69-1)*100</f>
        <v>93.5137553120107</v>
      </c>
      <c r="G81" s="18" t="n">
        <f aca="false">('Data (monthly)'!F81/'Data (monthly)'!F69-1)*100</f>
        <v>100.036688823916</v>
      </c>
      <c r="H81" s="19" t="n">
        <f aca="false">Weights!$B$6*('Data (monthly)'!E81-'Data (monthly)'!E69)/'Data (monthly)'!B69*100</f>
        <v>16.6348802621416</v>
      </c>
      <c r="I81" s="19" t="n">
        <f aca="false">(Weights!$B$5*('Data (monthly)'!C81-'Data (monthly)'!C69)+Weights!$B$7*('Data (monthly)'!D81-'Data (monthly)'!D69))/'Data (monthly)'!B69*100</f>
        <v>82.2775467065941</v>
      </c>
      <c r="J81" s="15" t="n">
        <f aca="false">H81+I81-E81</f>
        <v>0.0833408233320654</v>
      </c>
    </row>
    <row r="82" customFormat="false" ht="15" hidden="false" customHeight="false" outlineLevel="0" collapsed="false">
      <c r="A82" s="12" t="n">
        <v>44958</v>
      </c>
      <c r="B82" s="16" t="n">
        <f aca="false">'Data (monthly)'!E82/'Data (monthly)'!$E$8*100</f>
        <v>1042.4951</v>
      </c>
      <c r="C82" s="16" t="n">
        <f aca="false">'Data (monthly)'!F82/'Data (monthly)'!$F$8*100</f>
        <v>1347.42200289223</v>
      </c>
      <c r="D82" s="17" t="n">
        <f aca="false">B82/C82*100</f>
        <v>77.3696063862914</v>
      </c>
      <c r="E82" s="18" t="n">
        <f aca="false">('Data (monthly)'!B82/'Data (monthly)'!B70-1)*100</f>
        <v>102.500796846902</v>
      </c>
      <c r="F82" s="18" t="n">
        <f aca="false">('Data (monthly)'!E82/'Data (monthly)'!E70-1)*100</f>
        <v>97.3419756589597</v>
      </c>
      <c r="G82" s="18" t="n">
        <f aca="false">('Data (monthly)'!F82/'Data (monthly)'!F70-1)*100</f>
        <v>103.610201364177</v>
      </c>
      <c r="H82" s="19" t="n">
        <f aca="false">Weights!$B$6*('Data (monthly)'!E82-'Data (monthly)'!E70)/'Data (monthly)'!B70*100</f>
        <v>17.0524306275902</v>
      </c>
      <c r="I82" s="19" t="n">
        <f aca="false">(Weights!$B$5*('Data (monthly)'!C82-'Data (monthly)'!C70)+Weights!$B$7*('Data (monthly)'!D82-'Data (monthly)'!D70))/'Data (monthly)'!B70*100</f>
        <v>85.5070718629136</v>
      </c>
      <c r="J82" s="15" t="n">
        <f aca="false">H82+I82-E82</f>
        <v>0.0587056436020674</v>
      </c>
    </row>
    <row r="83" customFormat="false" ht="15" hidden="false" customHeight="false" outlineLevel="0" collapsed="false">
      <c r="A83" s="12" t="n">
        <v>44986</v>
      </c>
      <c r="B83" s="16" t="n">
        <f aca="false">'Data (monthly)'!E83/'Data (monthly)'!$E$8*100</f>
        <v>1128.8908</v>
      </c>
      <c r="C83" s="16" t="n">
        <f aca="false">'Data (monthly)'!F83/'Data (monthly)'!$F$8*100</f>
        <v>1449.3998795306</v>
      </c>
      <c r="D83" s="17" t="n">
        <f aca="false">B83/C83*100</f>
        <v>77.8867734117379</v>
      </c>
      <c r="E83" s="18" t="n">
        <f aca="false">('Data (monthly)'!B83/'Data (monthly)'!B71-1)*100</f>
        <v>104.296518960099</v>
      </c>
      <c r="F83" s="18" t="n">
        <f aca="false">('Data (monthly)'!E83/'Data (monthly)'!E71-1)*100</f>
        <v>97.0831663172714</v>
      </c>
      <c r="G83" s="18" t="n">
        <f aca="false">('Data (monthly)'!F83/'Data (monthly)'!F71-1)*100</f>
        <v>105.914525736622</v>
      </c>
      <c r="H83" s="19" t="n">
        <f aca="false">Weights!$B$6*('Data (monthly)'!E83-'Data (monthly)'!E71)/'Data (monthly)'!B71*100</f>
        <v>17.2781126666022</v>
      </c>
      <c r="I83" s="19" t="n">
        <f aca="false">(Weights!$B$5*('Data (monthly)'!C83-'Data (monthly)'!C71)+Weights!$B$7*('Data (monthly)'!D83-'Data (monthly)'!D71))/'Data (monthly)'!B71*100</f>
        <v>87.1105108098198</v>
      </c>
      <c r="J83" s="15" t="n">
        <f aca="false">H83+I83-E83</f>
        <v>0.092104516323019</v>
      </c>
    </row>
    <row r="84" customFormat="false" ht="15" hidden="false" customHeight="false" outlineLevel="0" collapsed="false">
      <c r="A84" s="12" t="n">
        <v>45017</v>
      </c>
      <c r="B84" s="16" t="n">
        <f aca="false">'Data (monthly)'!E84/'Data (monthly)'!$E$8*100</f>
        <v>1184.1465</v>
      </c>
      <c r="C84" s="16" t="n">
        <f aca="false">'Data (monthly)'!F84/'Data (monthly)'!$F$8*100</f>
        <v>1581.74719069568</v>
      </c>
      <c r="D84" s="17" t="n">
        <f aca="false">B84/C84*100</f>
        <v>74.8631960256045</v>
      </c>
      <c r="E84" s="18" t="n">
        <f aca="false">('Data (monthly)'!B84/'Data (monthly)'!B72-1)*100</f>
        <v>108.83405987029</v>
      </c>
      <c r="F84" s="18" t="n">
        <f aca="false">('Data (monthly)'!E84/'Data (monthly)'!E72-1)*100</f>
        <v>98.9418911220228</v>
      </c>
      <c r="G84" s="18" t="n">
        <f aca="false">('Data (monthly)'!F84/'Data (monthly)'!F72-1)*100</f>
        <v>110.983202564563</v>
      </c>
      <c r="H84" s="19" t="n">
        <f aca="false">Weights!$B$6*('Data (monthly)'!E84-'Data (monthly)'!E72)/'Data (monthly)'!B72*100</f>
        <v>17.2547898130652</v>
      </c>
      <c r="I84" s="19" t="n">
        <f aca="false">(Weights!$B$5*('Data (monthly)'!C84-'Data (monthly)'!C72)+Weights!$B$7*('Data (monthly)'!D84-'Data (monthly)'!D72))/'Data (monthly)'!B72*100</f>
        <v>91.6770326573399</v>
      </c>
      <c r="J84" s="15" t="n">
        <f aca="false">H84+I84-E84</f>
        <v>0.0977626001147627</v>
      </c>
    </row>
    <row r="85" customFormat="false" ht="15" hidden="false" customHeight="false" outlineLevel="0" collapsed="false">
      <c r="A85" s="12" t="n">
        <v>45047</v>
      </c>
      <c r="B85" s="16" t="n">
        <f aca="false">'Data (monthly)'!E85/'Data (monthly)'!$E$8*100</f>
        <v>1291.1045</v>
      </c>
      <c r="C85" s="16" t="n">
        <f aca="false">'Data (monthly)'!F85/'Data (monthly)'!$F$8*100</f>
        <v>1700.54094479097</v>
      </c>
      <c r="D85" s="17" t="n">
        <f aca="false">B85/C85*100</f>
        <v>75.9231645644795</v>
      </c>
      <c r="E85" s="18" t="n">
        <f aca="false">('Data (monthly)'!B85/'Data (monthly)'!B73-1)*100</f>
        <v>114.246289237028</v>
      </c>
      <c r="F85" s="18" t="n">
        <f aca="false">('Data (monthly)'!E85/'Data (monthly)'!E73-1)*100</f>
        <v>105.262090206579</v>
      </c>
      <c r="G85" s="18" t="n">
        <f aca="false">('Data (monthly)'!F85/'Data (monthly)'!F73-1)*100</f>
        <v>116.199031893676</v>
      </c>
      <c r="H85" s="19" t="n">
        <f aca="false">Weights!$B$6*('Data (monthly)'!E85-'Data (monthly)'!E73)/'Data (monthly)'!B73*100</f>
        <v>18.4662159695252</v>
      </c>
      <c r="I85" s="19" t="n">
        <f aca="false">(Weights!$B$5*('Data (monthly)'!C85-'Data (monthly)'!C73)+Weights!$B$7*('Data (monthly)'!D85-'Data (monthly)'!D73))/'Data (monthly)'!B73*100</f>
        <v>95.8634295554918</v>
      </c>
      <c r="J85" s="15" t="n">
        <f aca="false">H85+I85-E85</f>
        <v>0.08335628798892</v>
      </c>
    </row>
    <row r="86" customFormat="false" ht="15" hidden="false" customHeight="false" outlineLevel="0" collapsed="false">
      <c r="A86" s="12" t="n">
        <v>45078</v>
      </c>
      <c r="B86" s="16" t="n">
        <f aca="false">'Data (monthly)'!E86/'Data (monthly)'!$E$8*100</f>
        <v>1383.8634</v>
      </c>
      <c r="C86" s="16" t="n">
        <f aca="false">'Data (monthly)'!F86/'Data (monthly)'!$F$8*100</f>
        <v>1797.10406850857</v>
      </c>
      <c r="D86" s="17" t="n">
        <f aca="false">B86/C86*100</f>
        <v>77.0051898635164</v>
      </c>
      <c r="E86" s="18" t="n">
        <f aca="false">('Data (monthly)'!B86/'Data (monthly)'!B74-1)*100</f>
        <v>115.580273478433</v>
      </c>
      <c r="F86" s="18" t="n">
        <f aca="false">('Data (monthly)'!E86/'Data (monthly)'!E74-1)*100</f>
        <v>109.013194202997</v>
      </c>
      <c r="G86" s="18" t="n">
        <f aca="false">('Data (monthly)'!F86/'Data (monthly)'!F74-1)*100</f>
        <v>116.947471606769</v>
      </c>
      <c r="H86" s="19" t="n">
        <f aca="false">Weights!$B$6*('Data (monthly)'!E86-'Data (monthly)'!E74)/'Data (monthly)'!B74*100</f>
        <v>19.1180325996138</v>
      </c>
      <c r="I86" s="19" t="n">
        <f aca="false">(Weights!$B$5*('Data (monthly)'!C86-'Data (monthly)'!C74)+Weights!$B$7*('Data (monthly)'!D86-'Data (monthly)'!D74))/'Data (monthly)'!B74*100</f>
        <v>96.4979114338489</v>
      </c>
      <c r="J86" s="15" t="n">
        <f aca="false">H86+I86-E86</f>
        <v>0.0356705550296965</v>
      </c>
    </row>
    <row r="87" customFormat="false" ht="15" hidden="false" customHeight="false" outlineLevel="0" collapsed="false">
      <c r="A87" s="12" t="n">
        <v>45108</v>
      </c>
      <c r="B87" s="16" t="n">
        <f aca="false">'Data (monthly)'!E87/'Data (monthly)'!$E$8*100</f>
        <v>1476.8552</v>
      </c>
      <c r="C87" s="16" t="n">
        <f aca="false">'Data (monthly)'!F87/'Data (monthly)'!$F$8*100</f>
        <v>1909.64371440467</v>
      </c>
      <c r="D87" s="17" t="n">
        <f aca="false">B87/C87*100</f>
        <v>77.3366879308377</v>
      </c>
      <c r="E87" s="18" t="n">
        <f aca="false">('Data (monthly)'!B87/'Data (monthly)'!B75-1)*100</f>
        <v>113.449993601492</v>
      </c>
      <c r="F87" s="18" t="n">
        <f aca="false">('Data (monthly)'!E87/'Data (monthly)'!E75-1)*100</f>
        <v>112.616001894584</v>
      </c>
      <c r="G87" s="18" t="n">
        <f aca="false">('Data (monthly)'!F87/'Data (monthly)'!F75-1)*100</f>
        <v>113.577002332446</v>
      </c>
      <c r="H87" s="19" t="n">
        <f aca="false">Weights!$B$6*('Data (monthly)'!E87-'Data (monthly)'!E75)/'Data (monthly)'!B75*100</f>
        <v>19.2911157476687</v>
      </c>
      <c r="I87" s="19" t="n">
        <f aca="false">(Weights!$B$5*('Data (monthly)'!C87-'Data (monthly)'!C75)+Weights!$B$7*('Data (monthly)'!D87-'Data (monthly)'!D75))/'Data (monthly)'!B75*100</f>
        <v>94.1818824734286</v>
      </c>
      <c r="J87" s="15" t="n">
        <f aca="false">H87+I87-E87</f>
        <v>0.0230046196057003</v>
      </c>
    </row>
    <row r="88" customFormat="false" ht="15" hidden="false" customHeight="false" outlineLevel="0" collapsed="false">
      <c r="A88" s="12" t="n">
        <v>45139</v>
      </c>
      <c r="B88" s="16" t="n">
        <f aca="false">'Data (monthly)'!E88/'Data (monthly)'!$E$8*100</f>
        <v>1599.0767</v>
      </c>
      <c r="C88" s="16" t="n">
        <f aca="false">'Data (monthly)'!F88/'Data (monthly)'!$F$8*100</f>
        <v>2162.93809975771</v>
      </c>
      <c r="D88" s="17" t="n">
        <f aca="false">B88/C88*100</f>
        <v>73.9307657569641</v>
      </c>
      <c r="E88" s="18" t="n">
        <f aca="false">('Data (monthly)'!B88/'Data (monthly)'!B76-1)*100</f>
        <v>124.367500808884</v>
      </c>
      <c r="F88" s="18" t="n">
        <f aca="false">('Data (monthly)'!E88/'Data (monthly)'!E76-1)*100</f>
        <v>116.585935050362</v>
      </c>
      <c r="G88" s="18" t="n">
        <f aca="false">('Data (monthly)'!F88/'Data (monthly)'!F76-1)*100</f>
        <v>125.874330690963</v>
      </c>
      <c r="H88" s="19" t="n">
        <f aca="false">Weights!$B$6*('Data (monthly)'!E88-'Data (monthly)'!E76)/'Data (monthly)'!B76*100</f>
        <v>19.8443610276496</v>
      </c>
      <c r="I88" s="19" t="n">
        <f aca="false">(Weights!$B$5*('Data (monthly)'!C88-'Data (monthly)'!C76)+Weights!$B$7*('Data (monthly)'!D88-'Data (monthly)'!D76))/'Data (monthly)'!B76*100</f>
        <v>104.503330545039</v>
      </c>
      <c r="J88" s="15" t="n">
        <f aca="false">H88+I88-E88</f>
        <v>-0.0198092361959823</v>
      </c>
    </row>
    <row r="89" customFormat="false" ht="15" hidden="false" customHeight="false" outlineLevel="0" collapsed="false">
      <c r="A89" s="12" t="n">
        <v>45170</v>
      </c>
      <c r="B89" s="16" t="n">
        <f aca="false">'Data (monthly)'!E89/'Data (monthly)'!$E$8*100</f>
        <v>1732.073</v>
      </c>
      <c r="C89" s="16" t="n">
        <f aca="false">'Data (monthly)'!F89/'Data (monthly)'!$F$8*100</f>
        <v>2457.837555624</v>
      </c>
      <c r="D89" s="17" t="n">
        <f aca="false">B89/C89*100</f>
        <v>70.4714189119898</v>
      </c>
      <c r="E89" s="18" t="n">
        <f aca="false">('Data (monthly)'!B89/'Data (monthly)'!B77-1)*100</f>
        <v>138.282445005084</v>
      </c>
      <c r="F89" s="18" t="n">
        <f aca="false">('Data (monthly)'!E89/'Data (monthly)'!E77-1)*100</f>
        <v>124.39402240555</v>
      </c>
      <c r="G89" s="18" t="n">
        <f aca="false">('Data (monthly)'!F89/'Data (monthly)'!F77-1)*100</f>
        <v>140.975391818669</v>
      </c>
      <c r="H89" s="19" t="n">
        <f aca="false">Weights!$B$6*('Data (monthly)'!E89-'Data (monthly)'!E77)/'Data (monthly)'!B77*100</f>
        <v>20.8508057948165</v>
      </c>
      <c r="I89" s="19" t="n">
        <f aca="false">(Weights!$B$5*('Data (monthly)'!C89-'Data (monthly)'!C77)+Weights!$B$7*('Data (monthly)'!D89-'Data (monthly)'!D77))/'Data (monthly)'!B77*100</f>
        <v>117.423777037677</v>
      </c>
      <c r="J89" s="15" t="n">
        <f aca="false">H89+I89-E89</f>
        <v>-0.00786217259121713</v>
      </c>
    </row>
    <row r="90" customFormat="false" ht="15" hidden="false" customHeight="false" outlineLevel="0" collapsed="false">
      <c r="A90" s="12" t="n">
        <v>45200</v>
      </c>
      <c r="B90" s="16" t="n">
        <f aca="false">'Data (monthly)'!E90/'Data (monthly)'!$E$8*100</f>
        <v>1846.7566</v>
      </c>
      <c r="C90" s="16" t="n">
        <f aca="false">'Data (monthly)'!F90/'Data (monthly)'!$F$8*100</f>
        <v>2669.58140569951</v>
      </c>
      <c r="D90" s="17" t="n">
        <f aca="false">B90/C90*100</f>
        <v>69.1777593317516</v>
      </c>
      <c r="E90" s="18" t="n">
        <f aca="false">('Data (monthly)'!B90/'Data (monthly)'!B78-1)*100</f>
        <v>142.661460125634</v>
      </c>
      <c r="F90" s="18" t="n">
        <f aca="false">('Data (monthly)'!E90/'Data (monthly)'!E78-1)*100</f>
        <v>122.742027480123</v>
      </c>
      <c r="G90" s="18" t="n">
        <f aca="false">('Data (monthly)'!F90/'Data (monthly)'!F78-1)*100</f>
        <v>146.59643033306</v>
      </c>
      <c r="H90" s="19" t="n">
        <f aca="false">Weights!$B$6*('Data (monthly)'!E90-'Data (monthly)'!E78)/'Data (monthly)'!B78*100</f>
        <v>20.77985605727</v>
      </c>
      <c r="I90" s="19" t="n">
        <f aca="false">(Weights!$B$5*('Data (monthly)'!C90-'Data (monthly)'!C78)+Weights!$B$7*('Data (monthly)'!D90-'Data (monthly)'!D78))/'Data (monthly)'!B78*100</f>
        <v>121.866786671935</v>
      </c>
      <c r="J90" s="15" t="n">
        <f aca="false">H90+I90-E90</f>
        <v>-0.0148173964281568</v>
      </c>
    </row>
    <row r="91" customFormat="false" ht="15" hidden="false" customHeight="false" outlineLevel="0" collapsed="false">
      <c r="A91" s="12" t="n">
        <v>45231</v>
      </c>
      <c r="B91" s="16" t="n">
        <f aca="false">'Data (monthly)'!E91/'Data (monthly)'!$E$8*100</f>
        <v>2032.4708</v>
      </c>
      <c r="C91" s="16" t="n">
        <f aca="false">'Data (monthly)'!F91/'Data (monthly)'!$F$8*100</f>
        <v>3024.81254625714</v>
      </c>
      <c r="D91" s="17" t="n">
        <f aca="false">B91/C91*100</f>
        <v>67.1932812006796</v>
      </c>
      <c r="E91" s="18" t="n">
        <f aca="false">('Data (monthly)'!B91/'Data (monthly)'!B79-1)*100</f>
        <v>160.920816838135</v>
      </c>
      <c r="F91" s="18" t="n">
        <f aca="false">('Data (monthly)'!E91/'Data (monthly)'!E79-1)*100</f>
        <v>130.761304117</v>
      </c>
      <c r="G91" s="18" t="n">
        <f aca="false">('Data (monthly)'!F91/'Data (monthly)'!F79-1)*100</f>
        <v>167.013413428215</v>
      </c>
      <c r="H91" s="19" t="n">
        <f aca="false">Weights!$B$6*('Data (monthly)'!E91-'Data (monthly)'!E79)/'Data (monthly)'!B79*100</f>
        <v>22.4150644014377</v>
      </c>
      <c r="I91" s="19" t="n">
        <f aca="false">(Weights!$B$5*('Data (monthly)'!C91-'Data (monthly)'!C79)+Weights!$B$7*('Data (monthly)'!D91-'Data (monthly)'!D79))/'Data (monthly)'!B79*100</f>
        <v>138.477746545485</v>
      </c>
      <c r="J91" s="15" t="n">
        <f aca="false">H91+I91-E91</f>
        <v>-0.0280058912123309</v>
      </c>
    </row>
    <row r="92" customFormat="false" ht="15" hidden="false" customHeight="false" outlineLevel="0" collapsed="false">
      <c r="A92" s="12" t="n">
        <v>45261</v>
      </c>
      <c r="B92" s="16" t="n">
        <f aca="false">'Data (monthly)'!E92/'Data (monthly)'!$E$8*100</f>
        <v>2452.7844</v>
      </c>
      <c r="C92" s="16" t="n">
        <f aca="false">'Data (monthly)'!F92/'Data (monthly)'!$F$8*100</f>
        <v>3820.57108179316</v>
      </c>
      <c r="D92" s="17" t="n">
        <f aca="false">B92/C92*100</f>
        <v>64.1994180317357</v>
      </c>
      <c r="E92" s="18" t="n">
        <f aca="false">('Data (monthly)'!B92/'Data (monthly)'!B80-1)*100</f>
        <v>211.407643747177</v>
      </c>
      <c r="F92" s="18" t="n">
        <f aca="false">('Data (monthly)'!E92/'Data (monthly)'!E80-1)*100</f>
        <v>164.940953372234</v>
      </c>
      <c r="G92" s="18" t="n">
        <f aca="false">('Data (monthly)'!F92/'Data (monthly)'!F80-1)*100</f>
        <v>220.752453334189</v>
      </c>
      <c r="H92" s="19" t="n">
        <f aca="false">Weights!$B$6*('Data (monthly)'!E92-'Data (monthly)'!E80)/'Data (monthly)'!B80*100</f>
        <v>28.2705208677603</v>
      </c>
      <c r="I92" s="19" t="n">
        <f aca="false">(Weights!$B$5*('Data (monthly)'!C92-'Data (monthly)'!C80)+Weights!$B$7*('Data (monthly)'!D92-'Data (monthly)'!D80))/'Data (monthly)'!B80*100</f>
        <v>183.072324604211</v>
      </c>
      <c r="J92" s="15" t="n">
        <f aca="false">H92+I92-E92</f>
        <v>-0.0647982752057601</v>
      </c>
    </row>
    <row r="93" customFormat="false" ht="15" hidden="false" customHeight="false" outlineLevel="0" collapsed="false">
      <c r="A93" s="12" t="n">
        <v>45292</v>
      </c>
      <c r="B93" s="16" t="n">
        <f aca="false">'Data (monthly)'!E93/'Data (monthly)'!$E$8*100</f>
        <v>3104.5367</v>
      </c>
      <c r="C93" s="16" t="n">
        <f aca="false">'Data (monthly)'!F93/'Data (monthly)'!$F$8*100</f>
        <v>4570.09804580889</v>
      </c>
      <c r="D93" s="17" t="n">
        <f aca="false">B93/C93*100</f>
        <v>67.9315119474753</v>
      </c>
      <c r="E93" s="18" t="n">
        <f aca="false">('Data (monthly)'!B93/'Data (monthly)'!B81-1)*100</f>
        <v>254.248278648256</v>
      </c>
      <c r="F93" s="18" t="n">
        <f aca="false">('Data (monthly)'!E93/'Data (monthly)'!E81-1)*100</f>
        <v>213.109085532585</v>
      </c>
      <c r="G93" s="18" t="n">
        <f aca="false">('Data (monthly)'!F93/'Data (monthly)'!F81-1)*100</f>
        <v>262.670774512908</v>
      </c>
      <c r="H93" s="19" t="n">
        <f aca="false">Weights!$B$6*('Data (monthly)'!E93-'Data (monthly)'!E81)/'Data (monthly)'!B81*100</f>
        <v>36.8958968496125</v>
      </c>
      <c r="I93" s="19" t="n">
        <f aca="false">(Weights!$B$5*('Data (monthly)'!C93-'Data (monthly)'!C81)+Weights!$B$7*('Data (monthly)'!D93-'Data (monthly)'!D81))/'Data (monthly)'!B81*100</f>
        <v>217.351939941296</v>
      </c>
      <c r="J93" s="15" t="n">
        <f aca="false">H93+I93-E93</f>
        <v>-0.000441857347453833</v>
      </c>
    </row>
    <row r="94" customFormat="false" ht="15" hidden="false" customHeight="false" outlineLevel="0" collapsed="false">
      <c r="A94" s="12" t="n">
        <v>45323</v>
      </c>
      <c r="B94" s="16" t="n">
        <f aca="false">'Data (monthly)'!E94/'Data (monthly)'!$E$8*100</f>
        <v>3759.784</v>
      </c>
      <c r="C94" s="16" t="n">
        <f aca="false">'Data (monthly)'!F94/'Data (monthly)'!$F$8*100</f>
        <v>5107.9370232977</v>
      </c>
      <c r="D94" s="17" t="n">
        <f aca="false">B94/C94*100</f>
        <v>73.6067023311238</v>
      </c>
      <c r="E94" s="18" t="n">
        <f aca="false">('Data (monthly)'!B94/'Data (monthly)'!B82-1)*100</f>
        <v>276.218434873503</v>
      </c>
      <c r="F94" s="18" t="n">
        <f aca="false">('Data (monthly)'!E94/'Data (monthly)'!E82-1)*100</f>
        <v>260.652438558224</v>
      </c>
      <c r="G94" s="18" t="n">
        <f aca="false">('Data (monthly)'!F94/'Data (monthly)'!F82-1)*100</f>
        <v>279.089625398247</v>
      </c>
      <c r="H94" s="19" t="n">
        <f aca="false">Weights!$B$6*('Data (monthly)'!E94-'Data (monthly)'!E82)/'Data (monthly)'!B82*100</f>
        <v>44.4980175075939</v>
      </c>
      <c r="I94" s="19" t="n">
        <f aca="false">(Weights!$B$5*('Data (monthly)'!C94-'Data (monthly)'!C82)+Weights!$B$7*('Data (monthly)'!D94-'Data (monthly)'!D82))/'Data (monthly)'!B82*100</f>
        <v>231.587975620833</v>
      </c>
      <c r="J94" s="15" t="n">
        <f aca="false">H94+I94-E94</f>
        <v>-0.132441745076846</v>
      </c>
    </row>
    <row r="95" customFormat="false" ht="15" hidden="false" customHeight="false" outlineLevel="0" collapsed="false">
      <c r="A95" s="12" t="n">
        <v>45352</v>
      </c>
      <c r="B95" s="16" t="n">
        <f aca="false">'Data (monthly)'!E95/'Data (monthly)'!$E$8*100</f>
        <v>4441.3132</v>
      </c>
      <c r="C95" s="16" t="n">
        <f aca="false">'Data (monthly)'!F95/'Data (monthly)'!$F$8*100</f>
        <v>5601.16285992797</v>
      </c>
      <c r="D95" s="17" t="n">
        <f aca="false">B95/C95*100</f>
        <v>79.2926988746247</v>
      </c>
      <c r="E95" s="18" t="n">
        <f aca="false">('Data (monthly)'!B95/'Data (monthly)'!B83-1)*100</f>
        <v>287.869074700319</v>
      </c>
      <c r="F95" s="18" t="n">
        <f aca="false">('Data (monthly)'!E95/'Data (monthly)'!E83-1)*100</f>
        <v>293.422747355192</v>
      </c>
      <c r="G95" s="18" t="n">
        <f aca="false">('Data (monthly)'!F95/'Data (monthly)'!F83-1)*100</f>
        <v>286.447035012998</v>
      </c>
      <c r="H95" s="19" t="n">
        <f aca="false">Weights!$B$6*('Data (monthly)'!E95-'Data (monthly)'!E83)/'Data (monthly)'!B83*100</f>
        <v>50.3772797398361</v>
      </c>
      <c r="I95" s="19" t="n">
        <f aca="false">(Weights!$B$5*('Data (monthly)'!C95-'Data (monthly)'!C83)+Weights!$B$7*('Data (monthly)'!D95-'Data (monthly)'!D83))/'Data (monthly)'!B83*100</f>
        <v>237.457222196761</v>
      </c>
      <c r="J95" s="15" t="n">
        <f aca="false">H95+I95-E95</f>
        <v>-0.0345727637223376</v>
      </c>
    </row>
    <row r="96" customFormat="false" ht="15" hidden="false" customHeight="false" outlineLevel="0" collapsed="false">
      <c r="A96" s="12" t="n">
        <v>45383</v>
      </c>
      <c r="B96" s="16" t="n">
        <f aca="false">'Data (monthly)'!E96/'Data (monthly)'!$E$8*100</f>
        <v>5258.2523</v>
      </c>
      <c r="C96" s="16" t="n">
        <f aca="false">'Data (monthly)'!F96/'Data (monthly)'!$F$8*100</f>
        <v>5983.15455361854</v>
      </c>
      <c r="D96" s="17" t="n">
        <f aca="false">B96/C96*100</f>
        <v>87.8842799877177</v>
      </c>
      <c r="E96" s="18" t="n">
        <f aca="false">('Data (monthly)'!B96/'Data (monthly)'!B84-1)*100</f>
        <v>289.404879607447</v>
      </c>
      <c r="F96" s="18" t="n">
        <f aca="false">('Data (monthly)'!E96/'Data (monthly)'!E84-1)*100</f>
        <v>344.054202752784</v>
      </c>
      <c r="G96" s="18" t="n">
        <f aca="false">('Data (monthly)'!F96/'Data (monthly)'!F84-1)*100</f>
        <v>278.262379020698</v>
      </c>
      <c r="H96" s="19" t="n">
        <f aca="false">Weights!$B$6*('Data (monthly)'!E96-'Data (monthly)'!E84)/'Data (monthly)'!B84*100</f>
        <v>57.1585554041782</v>
      </c>
      <c r="I96" s="19" t="n">
        <f aca="false">(Weights!$B$5*('Data (monthly)'!C96-'Data (monthly)'!C84)+Weights!$B$7*('Data (monthly)'!D96-'Data (monthly)'!D84))/'Data (monthly)'!B84*100</f>
        <v>232.222522214356</v>
      </c>
      <c r="J96" s="15" t="n">
        <f aca="false">H96+I96-E96</f>
        <v>-0.023801988913192</v>
      </c>
    </row>
    <row r="97" customFormat="false" ht="15" hidden="false" customHeight="false" outlineLevel="0" collapsed="false">
      <c r="A97" s="12" t="n">
        <v>45413</v>
      </c>
      <c r="B97" s="16" t="n">
        <f aca="false">'Data (monthly)'!E97/'Data (monthly)'!$E$8*100</f>
        <v>5469.5</v>
      </c>
      <c r="C97" s="16" t="n">
        <f aca="false">'Data (monthly)'!F97/'Data (monthly)'!$F$8*100</f>
        <v>6236.79000310148</v>
      </c>
      <c r="D97" s="17" t="n">
        <f aca="false">B97/C97*100</f>
        <v>87.6973570904277</v>
      </c>
      <c r="E97" s="18" t="n">
        <f aca="false">('Data (monthly)'!B97/'Data (monthly)'!B85-1)*100</f>
        <v>276.409241631778</v>
      </c>
      <c r="F97" s="18" t="n">
        <f aca="false">('Data (monthly)'!E97/'Data (monthly)'!E85-1)*100</f>
        <v>323.629535796676</v>
      </c>
      <c r="G97" s="18" t="n">
        <f aca="false">('Data (monthly)'!F97/'Data (monthly)'!F85-1)*100</f>
        <v>266.753298249347</v>
      </c>
      <c r="H97" s="19" t="n">
        <f aca="false">Weights!$B$6*('Data (monthly)'!E97-'Data (monthly)'!E85)/'Data (monthly)'!B85*100</f>
        <v>54.3938137148575</v>
      </c>
      <c r="I97" s="19" t="n">
        <f aca="false">(Weights!$B$5*('Data (monthly)'!C97-'Data (monthly)'!C85)+Weights!$B$7*('Data (monthly)'!D97-'Data (monthly)'!D85))/'Data (monthly)'!B85*100</f>
        <v>222.07551935403</v>
      </c>
      <c r="J97" s="15" t="n">
        <f aca="false">H97+I97-E97</f>
        <v>0.0600914371096337</v>
      </c>
    </row>
    <row r="98" customFormat="false" ht="15" hidden="false" customHeight="false" outlineLevel="0" collapsed="false">
      <c r="A98" s="12" t="n">
        <v>45444</v>
      </c>
      <c r="B98" s="16" t="n">
        <f aca="false">'Data (monthly)'!E98/'Data (monthly)'!$E$8*100</f>
        <v>5910.154</v>
      </c>
      <c r="C98" s="16" t="n">
        <f aca="false">'Data (monthly)'!F98/'Data (monthly)'!$F$8*100</f>
        <v>6471.99902174025</v>
      </c>
      <c r="D98" s="17" t="n">
        <f aca="false">B98/C98*100</f>
        <v>91.3188333333651</v>
      </c>
      <c r="E98" s="18" t="n">
        <f aca="false">('Data (monthly)'!B98/'Data (monthly)'!B86-1)*100</f>
        <v>271.529701338579</v>
      </c>
      <c r="F98" s="18" t="n">
        <f aca="false">('Data (monthly)'!E98/'Data (monthly)'!E86-1)*100</f>
        <v>327.076400748802</v>
      </c>
      <c r="G98" s="18" t="n">
        <f aca="false">('Data (monthly)'!F98/'Data (monthly)'!F86-1)*100</f>
        <v>260.134904547371</v>
      </c>
      <c r="H98" s="19" t="n">
        <f aca="false">Weights!$B$6*('Data (monthly)'!E98-'Data (monthly)'!E86)/'Data (monthly)'!B86*100</f>
        <v>55.6132180897824</v>
      </c>
      <c r="I98" s="19" t="n">
        <f aca="false">(Weights!$B$5*('Data (monthly)'!C98-'Data (monthly)'!C86)+Weights!$B$7*('Data (monthly)'!D98-'Data (monthly)'!D86))/'Data (monthly)'!B86*100</f>
        <v>216.008718579081</v>
      </c>
      <c r="J98" s="15" t="n">
        <f aca="false">H98+I98-E98</f>
        <v>0.0922353302840975</v>
      </c>
    </row>
    <row r="99" customFormat="false" ht="15" hidden="false" customHeight="false" outlineLevel="0" collapsed="false">
      <c r="A99" s="12" t="n">
        <v>45474</v>
      </c>
      <c r="B99" s="16" t="n">
        <f aca="false">'Data (monthly)'!E99/'Data (monthly)'!$E$8*100</f>
        <v>6166.198</v>
      </c>
      <c r="C99" s="16" t="n">
        <f aca="false">'Data (monthly)'!F99/'Data (monthly)'!$F$8*100</f>
        <v>6729.70565122584</v>
      </c>
      <c r="D99" s="17" t="n">
        <f aca="false">B99/C99*100</f>
        <v>91.6265631748218</v>
      </c>
      <c r="E99" s="18" t="n">
        <f aca="false">('Data (monthly)'!B99/'Data (monthly)'!B87-1)*100</f>
        <v>263.445727859189</v>
      </c>
      <c r="F99" s="18" t="n">
        <f aca="false">('Data (monthly)'!E99/'Data (monthly)'!E87-1)*100</f>
        <v>317.522178206773</v>
      </c>
      <c r="G99" s="18" t="n">
        <f aca="false">('Data (monthly)'!F99/'Data (monthly)'!F87-1)*100</f>
        <v>252.406346820763</v>
      </c>
      <c r="H99" s="19" t="n">
        <f aca="false">Weights!$B$6*('Data (monthly)'!E99-'Data (monthly)'!E87)/'Data (monthly)'!B87*100</f>
        <v>54.1790153926898</v>
      </c>
      <c r="I99" s="19" t="n">
        <f aca="false">(Weights!$B$5*('Data (monthly)'!C99-'Data (monthly)'!C87)+Weights!$B$7*('Data (monthly)'!D99-'Data (monthly)'!D87))/'Data (monthly)'!B87*100</f>
        <v>209.428400752606</v>
      </c>
      <c r="J99" s="15" t="n">
        <f aca="false">H99+I99-E99</f>
        <v>0.161688286106482</v>
      </c>
    </row>
    <row r="100" customFormat="false" ht="15" hidden="false" customHeight="false" outlineLevel="0" collapsed="false">
      <c r="A100" s="12" t="n">
        <v>45505</v>
      </c>
      <c r="B100" s="16" t="n">
        <f aca="false">'Data (monthly)'!E100/'Data (monthly)'!$E$8*100</f>
        <v>6529.3696</v>
      </c>
      <c r="C100" s="16" t="n">
        <f aca="false">'Data (monthly)'!F100/'Data (monthly)'!$F$8*100</f>
        <v>6980.15103507637</v>
      </c>
      <c r="D100" s="17" t="n">
        <f aca="false">B100/C100*100</f>
        <v>93.5419529919752</v>
      </c>
      <c r="E100" s="18" t="n">
        <f aca="false">('Data (monthly)'!B100/'Data (monthly)'!B88-1)*100</f>
        <v>236.716615388709</v>
      </c>
      <c r="F100" s="18" t="n">
        <f aca="false">('Data (monthly)'!E100/'Data (monthly)'!E88-1)*100</f>
        <v>308.32122686798</v>
      </c>
      <c r="G100" s="18" t="n">
        <f aca="false">('Data (monthly)'!F100/'Data (monthly)'!F88-1)*100</f>
        <v>222.716171852458</v>
      </c>
      <c r="H100" s="19" t="n">
        <f aca="false">Weights!$B$6*('Data (monthly)'!E100-'Data (monthly)'!E88)/'Data (monthly)'!B88*100</f>
        <v>50.6599415927059</v>
      </c>
      <c r="I100" s="19" t="n">
        <f aca="false">(Weights!$B$5*('Data (monthly)'!C100-'Data (monthly)'!C88)+Weights!$B$7*('Data (monthly)'!D100-'Data (monthly)'!D88))/'Data (monthly)'!B88*100</f>
        <v>186.145112976045</v>
      </c>
      <c r="J100" s="15" t="n">
        <f aca="false">H100+I100-E100</f>
        <v>0.0884391800412061</v>
      </c>
    </row>
    <row r="101" customFormat="false" ht="15" hidden="false" customHeight="false" outlineLevel="0" collapsed="false">
      <c r="A101" s="12" t="n">
        <v>45536</v>
      </c>
      <c r="B101" s="16" t="n">
        <f aca="false">'Data (monthly)'!E101/'Data (monthly)'!$E$8*100</f>
        <v>6825.2577</v>
      </c>
      <c r="C101" s="16" t="n">
        <f aca="false">'Data (monthly)'!F101/'Data (monthly)'!$F$8*100</f>
        <v>7204.46306561178</v>
      </c>
      <c r="D101" s="17" t="n">
        <f aca="false">B101/C101*100</f>
        <v>94.7365214845531</v>
      </c>
      <c r="E101" s="18" t="n">
        <f aca="false">('Data (monthly)'!B101/'Data (monthly)'!B89-1)*100</f>
        <v>209.001141989832</v>
      </c>
      <c r="F101" s="18" t="n">
        <f aca="false">('Data (monthly)'!E101/'Data (monthly)'!E89-1)*100</f>
        <v>294.051388134334</v>
      </c>
      <c r="G101" s="18" t="n">
        <f aca="false">('Data (monthly)'!F101/'Data (monthly)'!F89-1)*100</f>
        <v>193.122018952253</v>
      </c>
      <c r="H101" s="19" t="n">
        <f aca="false">Weights!$B$6*('Data (monthly)'!E101-'Data (monthly)'!E89)/'Data (monthly)'!B89*100</f>
        <v>46.4157958929192</v>
      </c>
      <c r="I101" s="19" t="n">
        <f aca="false">(Weights!$B$5*('Data (monthly)'!C101-'Data (monthly)'!C89)+Weights!$B$7*('Data (monthly)'!D101-'Data (monthly)'!D89))/'Data (monthly)'!B89*100</f>
        <v>162.676633291772</v>
      </c>
      <c r="J101" s="15" t="n">
        <f aca="false">H101+I101-E101</f>
        <v>0.091287194858694</v>
      </c>
    </row>
    <row r="102" customFormat="false" ht="15" hidden="false" customHeight="false" outlineLevel="0" collapsed="false">
      <c r="A102" s="12" t="n">
        <v>45566</v>
      </c>
      <c r="B102" s="16" t="n">
        <f aca="false">'Data (monthly)'!E102/'Data (monthly)'!$E$8*100</f>
        <v>7009.2808</v>
      </c>
      <c r="C102" s="16" t="n">
        <f aca="false">'Data (monthly)'!F102/'Data (monthly)'!$F$8*100</f>
        <v>7397.85043791948</v>
      </c>
      <c r="D102" s="17" t="n">
        <f aca="false">B102/C102*100</f>
        <v>94.7475332033239</v>
      </c>
      <c r="E102" s="18" t="n">
        <f aca="false">('Data (monthly)'!B102/'Data (monthly)'!B90-1)*100</f>
        <v>192.994964893663</v>
      </c>
      <c r="F102" s="18" t="n">
        <f aca="false">('Data (monthly)'!E102/'Data (monthly)'!E90-1)*100</f>
        <v>279.545458237431</v>
      </c>
      <c r="G102" s="18" t="n">
        <f aca="false">('Data (monthly)'!F102/'Data (monthly)'!F90-1)*100</f>
        <v>177.116495572122</v>
      </c>
      <c r="H102" s="19" t="n">
        <f aca="false">Weights!$B$6*('Data (monthly)'!E102-'Data (monthly)'!E90)/'Data (monthly)'!B90*100</f>
        <v>43.4413231578037</v>
      </c>
      <c r="I102" s="19" t="n">
        <f aca="false">(Weights!$B$5*('Data (monthly)'!C102-'Data (monthly)'!C90)+Weights!$B$7*('Data (monthly)'!D102-'Data (monthly)'!D90))/'Data (monthly)'!B90*100</f>
        <v>149.625961609848</v>
      </c>
      <c r="J102" s="15" t="n">
        <f aca="false">H102+I102-E102</f>
        <v>0.072319873988107</v>
      </c>
    </row>
    <row r="103" customFormat="false" ht="15" hidden="false" customHeight="false" outlineLevel="0" collapsed="false">
      <c r="A103" s="12" t="n">
        <v>45597</v>
      </c>
      <c r="B103" s="16" t="n">
        <f aca="false">'Data (monthly)'!E103/'Data (monthly)'!$E$8*100</f>
        <v>7257.6652</v>
      </c>
      <c r="C103" s="16" t="n">
        <f aca="false">'Data (monthly)'!F103/'Data (monthly)'!$F$8*100</f>
        <v>7555.74026429865</v>
      </c>
      <c r="D103" s="17" t="n">
        <f aca="false">B103/C103*100</f>
        <v>96.0549852976409</v>
      </c>
      <c r="E103" s="18" t="n">
        <f aca="false">('Data (monthly)'!B103/'Data (monthly)'!B91-1)*100</f>
        <v>166.025011942205</v>
      </c>
      <c r="F103" s="18" t="n">
        <f aca="false">('Data (monthly)'!E103/'Data (monthly)'!E91-1)*100</f>
        <v>257.085828736137</v>
      </c>
      <c r="G103" s="18" t="n">
        <f aca="false">('Data (monthly)'!F103/'Data (monthly)'!F91-1)*100</f>
        <v>149.79201681929</v>
      </c>
      <c r="H103" s="19" t="n">
        <f aca="false">Weights!$B$6*('Data (monthly)'!E103-'Data (monthly)'!E91)/'Data (monthly)'!B91*100</f>
        <v>38.9756297228883</v>
      </c>
      <c r="I103" s="19" t="n">
        <f aca="false">(Weights!$B$5*('Data (monthly)'!C103-'Data (monthly)'!C91)+Weights!$B$7*('Data (monthly)'!D103-'Data (monthly)'!D91))/'Data (monthly)'!B91*100</f>
        <v>127.098859309114</v>
      </c>
      <c r="J103" s="15" t="n">
        <f aca="false">H103+I103-E103</f>
        <v>0.0494770897971364</v>
      </c>
    </row>
    <row r="104" customFormat="false" ht="15" hidden="false" customHeight="false" outlineLevel="0" collapsed="false">
      <c r="A104" s="12" t="n">
        <v>45627</v>
      </c>
      <c r="B104" s="16" t="n">
        <f aca="false">'Data (monthly)'!E104/'Data (monthly)'!$E$8*100</f>
        <v>7502.5373</v>
      </c>
      <c r="C104" s="16" t="n">
        <f aca="false">'Data (monthly)'!F104/'Data (monthly)'!$F$8*100</f>
        <v>7747.45980257613</v>
      </c>
      <c r="D104" s="17" t="n">
        <f aca="false">B104/C104*100</f>
        <v>96.8386734643697</v>
      </c>
      <c r="E104" s="18" t="n">
        <f aca="false">('Data (monthly)'!B104/'Data (monthly)'!B92-1)*100</f>
        <v>117.763627464139</v>
      </c>
      <c r="F104" s="18" t="n">
        <f aca="false">('Data (monthly)'!E104/'Data (monthly)'!E92-1)*100</f>
        <v>205.878384582029</v>
      </c>
      <c r="G104" s="18" t="n">
        <f aca="false">('Data (monthly)'!F104/'Data (monthly)'!F92-1)*100</f>
        <v>102.782768248874</v>
      </c>
      <c r="H104" s="19" t="n">
        <f aca="false">Weights!$B$6*('Data (monthly)'!E104-'Data (monthly)'!E92)/'Data (monthly)'!B92*100</f>
        <v>30.0217419649432</v>
      </c>
      <c r="I104" s="19" t="n">
        <f aca="false">(Weights!$B$5*('Data (monthly)'!C104-'Data (monthly)'!C92)+Weights!$B$7*('Data (monthly)'!D104-'Data (monthly)'!D92))/'Data (monthly)'!B92*100</f>
        <v>87.7966987060285</v>
      </c>
      <c r="J104" s="15" t="n">
        <f aca="false">H104+I104-E104</f>
        <v>0.0548132068331597</v>
      </c>
    </row>
    <row r="105" customFormat="false" ht="15" hidden="false" customHeight="false" outlineLevel="0" collapsed="false">
      <c r="A105" s="12" t="n">
        <v>45658</v>
      </c>
      <c r="B105" s="16" t="n">
        <f aca="false">'Data (monthly)'!E105/'Data (monthly)'!$E$8*100</f>
        <v>7698.607</v>
      </c>
      <c r="C105" s="16" t="n">
        <f aca="false">'Data (monthly)'!F105/'Data (monthly)'!$F$8*100</f>
        <v>7911.41130798018</v>
      </c>
      <c r="D105" s="17" t="n">
        <f aca="false">B105/C105*100</f>
        <v>97.3101599740425</v>
      </c>
      <c r="E105" s="18" t="n">
        <f aca="false">('Data (monthly)'!B105/'Data (monthly)'!B93-1)*100</f>
        <v>84.5375081508239</v>
      </c>
      <c r="F105" s="18" t="n">
        <f aca="false">('Data (monthly)'!E105/'Data (monthly)'!E93-1)*100</f>
        <v>147.979255648677</v>
      </c>
      <c r="G105" s="18" t="n">
        <f aca="false">('Data (monthly)'!F105/'Data (monthly)'!F93-1)*100</f>
        <v>73.1125071864819</v>
      </c>
      <c r="H105" s="19" t="n">
        <f aca="false">Weights!$B$6*('Data (monthly)'!E105-'Data (monthly)'!E93)/'Data (monthly)'!B93*100</f>
        <v>22.6446110527401</v>
      </c>
      <c r="I105" s="19" t="n">
        <f aca="false">(Weights!$B$5*('Data (monthly)'!C105-'Data (monthly)'!C93)+Weights!$B$7*('Data (monthly)'!D105-'Data (monthly)'!D93))/'Data (monthly)'!B93*100</f>
        <v>61.9367273820539</v>
      </c>
      <c r="J105" s="15" t="n">
        <f aca="false">H105+I105-E105</f>
        <v>0.0438302839701663</v>
      </c>
    </row>
    <row r="106" customFormat="false" ht="15" hidden="false" customHeight="false" outlineLevel="0" collapsed="false">
      <c r="A106" s="12" t="n">
        <v>45689</v>
      </c>
      <c r="B106" s="16" t="n">
        <f aca="false">'Data (monthly)'!E106/'Data (monthly)'!$E$8*100</f>
        <v>7877.3099</v>
      </c>
      <c r="C106" s="16" t="n">
        <f aca="false">'Data (monthly)'!F106/'Data (monthly)'!$F$8*100</f>
        <v>8102.37210260449</v>
      </c>
      <c r="D106" s="17" t="n">
        <f aca="false">B106/C106*100</f>
        <v>97.2222677537589</v>
      </c>
      <c r="E106" s="18" t="n">
        <f aca="false">('Data (monthly)'!B106/'Data (monthly)'!B94-1)*100</f>
        <v>66.8741464218041</v>
      </c>
      <c r="F106" s="18" t="n">
        <f aca="false">('Data (monthly)'!E106/'Data (monthly)'!E94-1)*100</f>
        <v>109.514958838061</v>
      </c>
      <c r="G106" s="18" t="n">
        <f aca="false">('Data (monthly)'!F106/'Data (monthly)'!F94-1)*100</f>
        <v>58.6231792923236</v>
      </c>
      <c r="H106" s="19" t="n">
        <f aca="false">Weights!$B$6*('Data (monthly)'!E106-'Data (monthly)'!E94)/'Data (monthly)'!B94*100</f>
        <v>17.9226042462266</v>
      </c>
      <c r="I106" s="19" t="n">
        <f aca="false">(Weights!$B$5*('Data (monthly)'!C106-'Data (monthly)'!C94)+Weights!$B$7*('Data (monthly)'!D106-'Data (monthly)'!D94))/'Data (monthly)'!B94*100</f>
        <v>49.0166366551196</v>
      </c>
      <c r="J106" s="15" t="n">
        <f aca="false">H106+I106-E106</f>
        <v>0.0650944795421111</v>
      </c>
    </row>
    <row r="107" customFormat="false" ht="15" hidden="false" customHeight="false" outlineLevel="0" collapsed="false">
      <c r="A107" s="12" t="n">
        <v>45717</v>
      </c>
      <c r="B107" s="16" t="n">
        <f aca="false">'Data (monthly)'!E107/'Data (monthly)'!$E$8*100</f>
        <v>8129.994</v>
      </c>
      <c r="C107" s="16" t="n">
        <f aca="false">'Data (monthly)'!F107/'Data (monthly)'!$F$8*100</f>
        <v>8416.85485269886</v>
      </c>
      <c r="D107" s="17" t="n">
        <f aca="false">B107/C107*100</f>
        <v>96.5918284475717</v>
      </c>
      <c r="E107" s="18" t="n">
        <f aca="false">('Data (monthly)'!B107/'Data (monthly)'!B95-1)*100</f>
        <v>55.9300156993731</v>
      </c>
      <c r="F107" s="18" t="n">
        <f aca="false">('Data (monthly)'!E107/'Data (monthly)'!E95-1)*100</f>
        <v>83.0538319161999</v>
      </c>
      <c r="G107" s="18" t="n">
        <f aca="false">('Data (monthly)'!F107/'Data (monthly)'!F95-1)*100</f>
        <v>50.2697754588607</v>
      </c>
      <c r="H107" s="19" t="n">
        <f aca="false">Weights!$B$6*('Data (monthly)'!E107-'Data (monthly)'!E95)/'Data (monthly)'!B95*100</f>
        <v>14.4635506590524</v>
      </c>
      <c r="I107" s="19" t="n">
        <f aca="false">(Weights!$B$5*('Data (monthly)'!C107-'Data (monthly)'!C95)+Weights!$B$7*('Data (monthly)'!D107-'Data (monthly)'!D95))/'Data (monthly)'!B95*100</f>
        <v>41.5195676600904</v>
      </c>
      <c r="J107" s="15" t="n">
        <f aca="false">H107+I107-E107</f>
        <v>0.0531026197697599</v>
      </c>
    </row>
    <row r="108" customFormat="false" ht="15" hidden="false" customHeight="false" outlineLevel="0" collapsed="false">
      <c r="A108" s="12" t="n">
        <v>45748</v>
      </c>
      <c r="B108" s="16" t="n">
        <f aca="false">'Data (monthly)'!E108/'Data (monthly)'!$E$8*100</f>
        <v>8273.8986</v>
      </c>
      <c r="C108" s="16" t="n">
        <f aca="false">'Data (monthly)'!F108/'Data (monthly)'!$F$8*100</f>
        <v>8672.06999803607</v>
      </c>
      <c r="D108" s="17" t="n">
        <f aca="false">B108/C108*100</f>
        <v>95.4085772125198</v>
      </c>
      <c r="E108" s="18" t="n">
        <f aca="false">('Data (monthly)'!B108/'Data (monthly)'!B96-1)*100</f>
        <v>47.2602636696605</v>
      </c>
      <c r="F108" s="18" t="n">
        <f aca="false">('Data (monthly)'!E108/'Data (monthly)'!E96-1)*100</f>
        <v>57.3507341973682</v>
      </c>
      <c r="G108" s="18" t="n">
        <f aca="false">('Data (monthly)'!F108/'Data (monthly)'!F96-1)*100</f>
        <v>44.9414338259288</v>
      </c>
      <c r="H108" s="19" t="n">
        <f aca="false">Weights!$B$6*('Data (monthly)'!E108-'Data (monthly)'!E96)/'Data (monthly)'!B96*100</f>
        <v>10.864955561448</v>
      </c>
      <c r="I108" s="19" t="n">
        <f aca="false">(Weights!$B$5*('Data (monthly)'!C108-'Data (monthly)'!C96)+Weights!$B$7*('Data (monthly)'!D108-'Data (monthly)'!D96))/'Data (monthly)'!B96*100</f>
        <v>36.4324626521049</v>
      </c>
      <c r="J108" s="15" t="n">
        <f aca="false">H108+I108-E108</f>
        <v>0.0371545438924699</v>
      </c>
    </row>
    <row r="109" customFormat="false" ht="15" hidden="false" customHeight="false" outlineLevel="0" collapsed="false">
      <c r="A109" s="12" t="n">
        <v>45778</v>
      </c>
      <c r="B109" s="16" t="n">
        <f aca="false">'Data (monthly)'!E109/'Data (monthly)'!$E$8*100</f>
        <v>8382.4957</v>
      </c>
      <c r="C109" s="16" t="n">
        <f aca="false">'Data (monthly)'!F109/'Data (monthly)'!$F$8*100</f>
        <v>8804.7254206546</v>
      </c>
      <c r="D109" s="17" t="n">
        <f aca="false">B109/C109*100</f>
        <v>95.2045100729193</v>
      </c>
      <c r="E109" s="18" t="n">
        <f aca="false">('Data (monthly)'!B109/'Data (monthly)'!B97-1)*100</f>
        <v>43.4790506610468</v>
      </c>
      <c r="F109" s="18" t="n">
        <f aca="false">('Data (monthly)'!E109/'Data (monthly)'!E97-1)*100</f>
        <v>53.2589030075875</v>
      </c>
      <c r="G109" s="18" t="n">
        <f aca="false">('Data (monthly)'!F109/'Data (monthly)'!F97-1)*100</f>
        <v>41.1739920099301</v>
      </c>
      <c r="H109" s="19" t="n">
        <f aca="false">Weights!$B$6*('Data (monthly)'!E109-'Data (monthly)'!E97)/'Data (monthly)'!B97*100</f>
        <v>10.0744078858603</v>
      </c>
      <c r="I109" s="19" t="n">
        <f aca="false">(Weights!$B$5*('Data (monthly)'!C109-'Data (monthly)'!C97)+Weights!$B$7*('Data (monthly)'!D109-'Data (monthly)'!D97))/'Data (monthly)'!B97*100</f>
        <v>33.3985501987092</v>
      </c>
      <c r="J109" s="15" t="n">
        <f aca="false">H109+I109-E109</f>
        <v>-0.00609257647729322</v>
      </c>
    </row>
    <row r="110" customFormat="false" ht="15" hidden="false" customHeight="false" outlineLevel="0" collapsed="false">
      <c r="A110" s="12" t="n">
        <v>45809</v>
      </c>
      <c r="B110" s="16" t="n">
        <f aca="false">'Data (monthly)'!E110/'Data (monthly)'!$E$8*100</f>
        <v>8569.0645</v>
      </c>
      <c r="C110" s="16" t="n">
        <f aca="false">'Data (monthly)'!F110/'Data (monthly)'!$F$8*100</f>
        <v>8933.58890493857</v>
      </c>
      <c r="D110" s="17" t="n">
        <f aca="false">B110/C110*100</f>
        <v>95.9196196644211</v>
      </c>
      <c r="E110" s="18" t="n">
        <f aca="false">('Data (monthly)'!B110/'Data (monthly)'!B98-1)*100</f>
        <v>39.4201219214119</v>
      </c>
      <c r="F110" s="18" t="n">
        <f aca="false">('Data (monthly)'!E110/'Data (monthly)'!E98-1)*100</f>
        <v>44.9888530823393</v>
      </c>
      <c r="G110" s="18" t="n">
        <f aca="false">('Data (monthly)'!F110/'Data (monthly)'!F98-1)*100</f>
        <v>38.0344600629502</v>
      </c>
      <c r="H110" s="19" t="n">
        <f aca="false">Weights!$B$6*('Data (monthly)'!E110-'Data (monthly)'!E98)/'Data (monthly)'!B98*100</f>
        <v>8.79317615861827</v>
      </c>
      <c r="I110" s="19" t="n">
        <f aca="false">(Weights!$B$5*('Data (monthly)'!C110-'Data (monthly)'!C98)+Weights!$B$7*('Data (monthly)'!D110-'Data (monthly)'!D98))/'Data (monthly)'!B98*100</f>
        <v>30.6141061642978</v>
      </c>
      <c r="J110" s="15" t="n">
        <f aca="false">H110+I110-E110</f>
        <v>-0.0128395984958232</v>
      </c>
    </row>
    <row r="111" customFormat="false" ht="15" hidden="false" customHeight="false" outlineLevel="0" collapsed="false">
      <c r="A111" s="12" t="n">
        <v>45839</v>
      </c>
      <c r="B111" s="16" t="n">
        <f aca="false">'Data (monthly)'!E111/'Data (monthly)'!$E$8*100</f>
        <v>8766.629</v>
      </c>
      <c r="C111" s="16" t="n">
        <f aca="false">'Data (monthly)'!F111/'Data (monthly)'!$F$8*100</f>
        <v>9095.05626552355</v>
      </c>
      <c r="D111" s="17" t="n">
        <f aca="false">B111/C111*100</f>
        <v>96.388947402464</v>
      </c>
      <c r="E111" s="18" t="n">
        <f aca="false">('Data (monthly)'!B111/'Data (monthly)'!B99-1)*100</f>
        <v>36.5665448586499</v>
      </c>
      <c r="F111" s="18" t="n">
        <f aca="false">('Data (monthly)'!E111/'Data (monthly)'!E99-1)*100</f>
        <v>42.1723564504416</v>
      </c>
      <c r="G111" s="18" t="n">
        <f aca="false">('Data (monthly)'!F111/'Data (monthly)'!F99-1)*100</f>
        <v>35.1479059692135</v>
      </c>
      <c r="H111" s="19" t="n">
        <f aca="false">Weights!$B$6*('Data (monthly)'!E111-'Data (monthly)'!E99)/'Data (monthly)'!B99*100</f>
        <v>8.26656134543208</v>
      </c>
      <c r="I111" s="19" t="n">
        <f aca="false">(Weights!$B$5*('Data (monthly)'!C111-'Data (monthly)'!C99)+Weights!$B$7*('Data (monthly)'!D111-'Data (monthly)'!D99))/'Data (monthly)'!B99*100</f>
        <v>28.2773634722263</v>
      </c>
      <c r="J111" s="15" t="n">
        <f aca="false">H111+I111-E111</f>
        <v>-0.0226200409915478</v>
      </c>
    </row>
    <row r="112" customFormat="false" ht="15" hidden="false" customHeight="false" outlineLevel="0" collapsed="false">
      <c r="A112" s="12" t="n">
        <v>45870</v>
      </c>
      <c r="B112" s="16" t="n">
        <f aca="false">'Data (monthly)'!E112/'Data (monthly)'!$E$8*100</f>
        <v>9000.5641</v>
      </c>
      <c r="C112" s="16" t="n">
        <f aca="false">'Data (monthly)'!F112/'Data (monthly)'!$F$8*100</f>
        <v>9247.39559010184</v>
      </c>
      <c r="D112" s="17" t="n">
        <f aca="false">B112/C112*100</f>
        <v>97.3307999241858</v>
      </c>
      <c r="E112" s="18" t="n">
        <f aca="false">('Data (monthly)'!B112/'Data (monthly)'!B100-1)*100</f>
        <v>33.5559327506132</v>
      </c>
      <c r="F112" s="18" t="n">
        <f aca="false">('Data (monthly)'!E112/'Data (monthly)'!E100-1)*100</f>
        <v>37.8473673783147</v>
      </c>
      <c r="G112" s="18" t="n">
        <f aca="false">('Data (monthly)'!F112/'Data (monthly)'!F100-1)*100</f>
        <v>32.4813108431639</v>
      </c>
      <c r="H112" s="19" t="n">
        <f aca="false">Weights!$B$6*('Data (monthly)'!E112-'Data (monthly)'!E100)/'Data (monthly)'!B100*100</f>
        <v>7.54109384558264</v>
      </c>
      <c r="I112" s="19" t="n">
        <f aca="false">(Weights!$B$5*('Data (monthly)'!C112-'Data (monthly)'!C100)+Weights!$B$7*('Data (monthly)'!D112-'Data (monthly)'!D100))/'Data (monthly)'!B100*100</f>
        <v>26.0189409334912</v>
      </c>
      <c r="J112" s="15" t="n">
        <f aca="false">H112+I112-E112</f>
        <v>0.00410202846069296</v>
      </c>
    </row>
    <row r="113" customFormat="false" ht="15" hidden="false" customHeight="false" outlineLevel="0" collapsed="false">
      <c r="A113" s="12" t="n">
        <v>45901</v>
      </c>
      <c r="B113" s="16" t="n">
        <f aca="false">'Data (monthly)'!E113/'Data (monthly)'!$E$8*100</f>
        <v>9237.6711</v>
      </c>
      <c r="C113" s="16" t="n">
        <f aca="false">'Data (monthly)'!F113/'Data (monthly)'!$F$8*100</f>
        <v>9426.32723972631</v>
      </c>
      <c r="D113" s="17" t="n">
        <f aca="false">B113/C113*100</f>
        <v>97.9986251810648</v>
      </c>
      <c r="E113" s="18" t="n">
        <f aca="false">('Data (monthly)'!B113/'Data (monthly)'!B101-1)*100</f>
        <v>31.7575570760224</v>
      </c>
      <c r="F113" s="18" t="n">
        <f aca="false">('Data (monthly)'!E113/'Data (monthly)'!E101-1)*100</f>
        <v>35.3453819040415</v>
      </c>
      <c r="G113" s="18" t="n">
        <f aca="false">('Data (monthly)'!F113/'Data (monthly)'!F101-1)*100</f>
        <v>30.8401077759686</v>
      </c>
      <c r="H113" s="19" t="n">
        <f aca="false">Weights!$B$6*('Data (monthly)'!E113-'Data (monthly)'!E101)/'Data (monthly)'!B101*100</f>
        <v>7.11488727316641</v>
      </c>
      <c r="I113" s="19" t="n">
        <f aca="false">(Weights!$B$5*('Data (monthly)'!C113-'Data (monthly)'!C101)+Weights!$B$7*('Data (monthly)'!D113-'Data (monthly)'!D101))/'Data (monthly)'!B101*100</f>
        <v>24.6432299039779</v>
      </c>
      <c r="J113" s="15" t="n">
        <f aca="false">H113+I113-E113</f>
        <v>0.000560101121823919</v>
      </c>
    </row>
    <row r="114" customFormat="false" ht="15" hidden="false" customHeight="false" outlineLevel="0" collapsed="false">
      <c r="A114" s="12" t="n">
        <v>45931</v>
      </c>
      <c r="B114" s="16" t="n">
        <f aca="false">'Data (monthly)'!E114/'Data (monthly)'!$E$8*100</f>
        <v>9474.6115</v>
      </c>
      <c r="C114" s="16" t="n">
        <f aca="false">'Data (monthly)'!F114/'Data (monthly)'!$F$8*100</f>
        <v>9642.22081830545</v>
      </c>
      <c r="D114" s="17" t="n">
        <f aca="false">B114/C114*100</f>
        <v>98.261714583561</v>
      </c>
      <c r="E114" s="18" t="n">
        <f aca="false">('Data (monthly)'!B114/'Data (monthly)'!B102-1)*100</f>
        <v>31.3087563496091</v>
      </c>
      <c r="F114" s="18" t="n">
        <f aca="false">('Data (monthly)'!E114/'Data (monthly)'!E102-1)*100</f>
        <v>35.1723774570424</v>
      </c>
      <c r="G114" s="18" t="n">
        <f aca="false">('Data (monthly)'!F114/'Data (monthly)'!F102-1)*100</f>
        <v>30.3381421295288</v>
      </c>
      <c r="H114" s="19" t="n">
        <f aca="false">Weights!$B$6*('Data (monthly)'!E114-'Data (monthly)'!E102)/'Data (monthly)'!B102*100</f>
        <v>7.080370289829</v>
      </c>
      <c r="I114" s="19" t="n">
        <f aca="false">(Weights!$B$5*('Data (monthly)'!C114-'Data (monthly)'!C102)+Weights!$B$7*('Data (monthly)'!D114-'Data (monthly)'!D102))/'Data (monthly)'!B102*100</f>
        <v>24.2403645367919</v>
      </c>
      <c r="J114" s="15" t="n">
        <f aca="false">H114+I114-E114</f>
        <v>0.011978477011791</v>
      </c>
    </row>
    <row r="115" customFormat="false" ht="15" hidden="false" customHeight="false" outlineLevel="0" collapsed="false">
      <c r="A115" s="12" t="n">
        <v>45962</v>
      </c>
      <c r="B115" s="16" t="n">
        <f aca="false">'Data (monthly)'!E115/'Data (monthly)'!$E$8*100</f>
        <v>9748.309</v>
      </c>
      <c r="C115" s="16" t="n">
        <f aca="false">'Data (monthly)'!F115/'Data (monthly)'!$F$8*100</f>
        <v>9869.30898245713</v>
      </c>
      <c r="D115" s="17" t="n">
        <f aca="false">B115/C115*100</f>
        <v>98.7739771581555</v>
      </c>
      <c r="E115" s="18" t="n">
        <f aca="false">('Data (monthly)'!B115/'Data (monthly)'!B103-1)*100</f>
        <v>31.3681935337484</v>
      </c>
      <c r="F115" s="18" t="n">
        <f aca="false">('Data (monthly)'!E115/'Data (monthly)'!E103-1)*100</f>
        <v>34.3174248379492</v>
      </c>
      <c r="G115" s="18" t="n">
        <f aca="false">('Data (monthly)'!F115/'Data (monthly)'!F103-1)*100</f>
        <v>30.6200138865313</v>
      </c>
      <c r="H115" s="19" t="n">
        <f aca="false">Weights!$B$6*('Data (monthly)'!E115-'Data (monthly)'!E103)/'Data (monthly)'!B103*100</f>
        <v>6.9836077442957</v>
      </c>
      <c r="I115" s="19" t="n">
        <f aca="false">(Weights!$B$5*('Data (monthly)'!C115-'Data (monthly)'!C103)+Weights!$B$7*('Data (monthly)'!D115-'Data (monthly)'!D103))/'Data (monthly)'!B103*100</f>
        <v>24.3957655551074</v>
      </c>
      <c r="J115" s="15" t="n">
        <f aca="false">H115+I115-E115</f>
        <v>0.0111797656546848</v>
      </c>
    </row>
    <row r="116" customFormat="false" ht="15" hidden="false" customHeight="false" outlineLevel="0" collapsed="false">
      <c r="A116" s="12" t="n">
        <v>45992</v>
      </c>
      <c r="B116" s="16" t="n">
        <f aca="false">'Data (monthly)'!E116/'Data (monthly)'!$E$8*100</f>
        <v>10069.0986</v>
      </c>
      <c r="C116" s="16" t="n">
        <f aca="false">'Data (monthly)'!F116/'Data (monthly)'!$F$8*100</f>
        <v>10138.607833542</v>
      </c>
      <c r="D116" s="17" t="n">
        <f aca="false">B116/C116*100</f>
        <v>99.3144104724911</v>
      </c>
      <c r="E116" s="18" t="n">
        <f aca="false">('Data (monthly)'!B116/'Data (monthly)'!B104-1)*100</f>
        <v>31.5487605126457</v>
      </c>
      <c r="F116" s="18" t="n">
        <f aca="false">('Data (monthly)'!E116/'Data (monthly)'!E104-1)*100</f>
        <v>34.2092441179866</v>
      </c>
      <c r="G116" s="18" t="n">
        <f aca="false">('Data (monthly)'!F116/'Data (monthly)'!F104-1)*100</f>
        <v>30.8636390752326</v>
      </c>
      <c r="H116" s="19" t="n">
        <f aca="false">Weights!$B$6*('Data (monthly)'!E116-'Data (monthly)'!E104)/'Data (monthly)'!B104*100</f>
        <v>7.00699906871029</v>
      </c>
      <c r="I116" s="19" t="n">
        <f aca="false">(Weights!$B$5*('Data (monthly)'!C116-'Data (monthly)'!C104)+Weights!$B$7*('Data (monthly)'!D116-'Data (monthly)'!D104))/'Data (monthly)'!B104*100</f>
        <v>24.5499556807204</v>
      </c>
      <c r="J116" s="15" t="n">
        <f aca="false">H116+I116-E116</f>
        <v>0.00819423678492726</v>
      </c>
    </row>
    <row r="117" customFormat="false" ht="15" hidden="false" customHeight="false" outlineLevel="0" collapsed="false">
      <c r="A117" s="12" t="n">
        <v>46023</v>
      </c>
      <c r="B117" s="16" t="n">
        <f aca="false">'Data (monthly)'!E117/'Data (monthly)'!$E$8*100</f>
        <v>10313.8016</v>
      </c>
      <c r="C117" s="16" t="n">
        <f aca="false">'Data (monthly)'!F117/'Data (monthly)'!$F$8*100</f>
        <v>10443.7275017586</v>
      </c>
      <c r="D117" s="17" t="n">
        <f aca="false">B117/C117*100</f>
        <v>98.7559432038348</v>
      </c>
      <c r="E117" s="18" t="n">
        <f aca="false">('Data (monthly)'!B117/'Data (monthly)'!B105-1)*100</f>
        <v>32.4118064389535</v>
      </c>
      <c r="F117" s="18" t="n">
        <f aca="false">('Data (monthly)'!E117/'Data (monthly)'!E105-1)*100</f>
        <v>33.9697116634217</v>
      </c>
      <c r="G117" s="18" t="n">
        <f aca="false">('Data (monthly)'!F117/'Data (monthly)'!F105-1)*100</f>
        <v>32.0084002107702</v>
      </c>
      <c r="H117" s="19" t="n">
        <f aca="false">Weights!$B$6*('Data (monthly)'!E117-'Data (monthly)'!E105)/'Data (monthly)'!B105*100</f>
        <v>6.98532453140977</v>
      </c>
      <c r="I117" s="19" t="n">
        <f aca="false">(Weights!$B$5*('Data (monthly)'!C117-'Data (monthly)'!C105)+Weights!$B$7*('Data (monthly)'!D117-'Data (monthly)'!D105))/'Data (monthly)'!B105*100</f>
        <v>25.4369092255774</v>
      </c>
      <c r="J117" s="15" t="n">
        <f aca="false">H117+I117-E117</f>
        <v>0.0104273180335923</v>
      </c>
    </row>
    <row r="118" customFormat="false" ht="15" hidden="false" customHeight="false" outlineLevel="0" collapsed="false">
      <c r="A118" s="12" t="n">
        <v>46054</v>
      </c>
      <c r="B118" s="16" t="n">
        <f aca="false">'Data (monthly)'!E118/'Data (monthly)'!$E$8*100</f>
        <v>10752.23</v>
      </c>
      <c r="C118" s="16" t="n">
        <f aca="false">'Data (monthly)'!F118/'Data (monthly)'!$F$8*100</f>
        <v>10707.4605729181</v>
      </c>
      <c r="D118" s="17" t="n">
        <f aca="false">B118/C118*100</f>
        <v>100.418114330443</v>
      </c>
      <c r="E118" s="18" t="n">
        <f aca="false">('Data (monthly)'!B118/'Data (monthly)'!B106-1)*100</f>
        <v>33.051474143271</v>
      </c>
      <c r="F118" s="18" t="n">
        <f aca="false">('Data (monthly)'!E118/'Data (monthly)'!E106-1)*100</f>
        <v>36.4962168112746</v>
      </c>
      <c r="G118" s="18" t="n">
        <f aca="false">('Data (monthly)'!F118/'Data (monthly)'!F106-1)*100</f>
        <v>32.1521702203264</v>
      </c>
      <c r="H118" s="19" t="n">
        <f aca="false">Weights!$B$6*('Data (monthly)'!E118-'Data (monthly)'!E106)/'Data (monthly)'!B106*100</f>
        <v>7.49896795020688</v>
      </c>
      <c r="I118" s="19" t="n">
        <f aca="false">(Weights!$B$5*('Data (monthly)'!C118-'Data (monthly)'!C106)+Weights!$B$7*('Data (monthly)'!D118-'Data (monthly)'!D106))/'Data (monthly)'!B106*100</f>
        <v>25.5541844919579</v>
      </c>
      <c r="J118" s="15" t="n">
        <f aca="false">H118+I118-E118</f>
        <v>0.00167829889377913</v>
      </c>
    </row>
    <row r="119" customFormat="false" ht="15" hidden="false" customHeight="false" outlineLevel="0" collapsed="false">
      <c r="A119" s="12" t="n">
        <v>46082</v>
      </c>
      <c r="B119" s="16" t="n">
        <f aca="false">'Data (monthly)'!E119/'Data (monthly)'!$E$8*100</f>
        <v>11298.7045</v>
      </c>
      <c r="C119" s="16" t="n">
        <f aca="false">'Data (monthly)'!F119/'Data (monthly)'!$F$8*100</f>
        <v>11020.9779864641</v>
      </c>
      <c r="D119" s="17" t="n">
        <f aca="false">B119/C119*100</f>
        <v>102.519980657588</v>
      </c>
      <c r="E119" s="18" t="n">
        <f aca="false">('Data (monthly)'!B119/'Data (monthly)'!B107-1)*100</f>
        <v>32.6067523988498</v>
      </c>
      <c r="F119" s="18" t="n">
        <f aca="false">('Data (monthly)'!E119/'Data (monthly)'!E107-1)*100</f>
        <v>38.9755576695383</v>
      </c>
      <c r="G119" s="18" t="n">
        <f aca="false">('Data (monthly)'!F119/'Data (monthly)'!F107-1)*100</f>
        <v>30.9393850712568</v>
      </c>
      <c r="H119" s="19" t="n">
        <f aca="false">Weights!$B$6*('Data (monthly)'!E119-'Data (monthly)'!E107)/'Data (monthly)'!B107*100</f>
        <v>7.96813504976671</v>
      </c>
      <c r="I119" s="19" t="n">
        <f aca="false">(Weights!$B$5*('Data (monthly)'!C119-'Data (monthly)'!C107)+Weights!$B$7*('Data (monthly)'!D119-'Data (monthly)'!D107))/'Data (monthly)'!B107*100</f>
        <v>24.6263172392237</v>
      </c>
      <c r="J119" s="15" t="n">
        <f aca="false">H119+I119-E119</f>
        <v>-0.0123001098593676</v>
      </c>
    </row>
    <row r="120" customFormat="false" ht="15" hidden="false" customHeight="false" outlineLevel="0" collapsed="false">
      <c r="A120" s="12" t="n">
        <v>46113</v>
      </c>
      <c r="B120" s="16" t="n">
        <f aca="false">'Data (monthly)'!E120/'Data (monthly)'!$E$8*100</f>
        <v>11828.0421</v>
      </c>
      <c r="C120" s="16" t="n">
        <f aca="false">'Data (monthly)'!F120/'Data (monthly)'!$F$8*100</f>
        <v>11242.2172632669</v>
      </c>
      <c r="D120" s="17" t="n">
        <f aca="false">B120/C120*100</f>
        <v>105.210936802006</v>
      </c>
      <c r="E120" s="18" t="n">
        <f aca="false">('Data (monthly)'!B120/'Data (monthly)'!B108-1)*100</f>
        <v>32.3504481534784</v>
      </c>
      <c r="F120" s="18" t="n">
        <f aca="false">('Data (monthly)'!E120/'Data (monthly)'!E108-1)*100</f>
        <v>42.9560920652327</v>
      </c>
      <c r="G120" s="18" t="n">
        <f aca="false">('Data (monthly)'!F120/'Data (monthly)'!F108-1)*100</f>
        <v>29.6370678028766</v>
      </c>
      <c r="H120" s="19" t="n">
        <f aca="false">Weights!$B$6*('Data (monthly)'!E120-'Data (monthly)'!E108)/'Data (monthly)'!B108*100</f>
        <v>8.69554759876756</v>
      </c>
      <c r="I120" s="19" t="n">
        <f aca="false">(Weights!$B$5*('Data (monthly)'!C120-'Data (monthly)'!C108)+Weights!$B$7*('Data (monthly)'!D120-'Data (monthly)'!D108))/'Data (monthly)'!B108*100</f>
        <v>23.6474228584353</v>
      </c>
      <c r="J120" s="15" t="n">
        <f aca="false">H120+I120-E120</f>
        <v>-0.00747769627561468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9" min="2" style="0" width="18"/>
  </cols>
  <sheetData>
    <row r="1" customFormat="false" ht="17.35" hidden="false" customHeight="false" outlineLevel="0" collapsed="false">
      <c r="A1" s="1" t="s">
        <v>39</v>
      </c>
    </row>
    <row r="2" customFormat="false" ht="15" hidden="false" customHeight="false" outlineLevel="0" collapsed="false">
      <c r="A2" s="2" t="s">
        <v>40</v>
      </c>
    </row>
    <row r="6" customFormat="false" ht="23.85" hidden="false" customHeight="false" outlineLevel="0" collapsed="false">
      <c r="A6" s="3" t="s">
        <v>41</v>
      </c>
      <c r="B6" s="3" t="s">
        <v>33</v>
      </c>
      <c r="C6" s="3" t="s">
        <v>34</v>
      </c>
      <c r="D6" s="3" t="s">
        <v>35</v>
      </c>
      <c r="E6" s="3" t="s">
        <v>36</v>
      </c>
      <c r="F6" s="3" t="s">
        <v>37</v>
      </c>
      <c r="G6" s="3" t="s">
        <v>42</v>
      </c>
      <c r="H6" s="3" t="s">
        <v>43</v>
      </c>
      <c r="I6" s="3" t="s">
        <v>44</v>
      </c>
      <c r="K6" s="20" t="s">
        <v>45</v>
      </c>
      <c r="L6" s="20" t="s">
        <v>46</v>
      </c>
    </row>
    <row r="7" customFormat="false" ht="15" hidden="false" customHeight="false" outlineLevel="0" collapsed="false">
      <c r="A7" s="21" t="s">
        <v>47</v>
      </c>
      <c r="B7" s="22" t="n">
        <f aca="false">('Data (monthly)'!B20/'Data (monthly)'!B8-1)*100</f>
        <v>24.7956</v>
      </c>
      <c r="C7" s="22" t="n">
        <f aca="false">('Data (monthly)'!E20/'Data (monthly)'!E8-1)*100</f>
        <v>38.6978</v>
      </c>
      <c r="D7" s="22" t="n">
        <f aca="false">('Data (monthly)'!F20/'Data (monthly)'!F8-1)*100</f>
        <v>21.1750263820899</v>
      </c>
      <c r="E7" s="23" t="n">
        <f aca="false">Weights!$B$6*('Data (monthly)'!E20-'Data (monthly)'!E8)/'Data (monthly)'!B8*100</f>
        <v>8.128666379</v>
      </c>
      <c r="F7" s="23" t="n">
        <f aca="false">(Weights!$B$5*('Data (monthly)'!C20-'Data (monthly)'!C8)+Weights!$B$7*('Data (monthly)'!D20-'Data (monthly)'!D8))/'Data (monthly)'!B8*100</f>
        <v>16.7271062154</v>
      </c>
      <c r="G7" s="24" t="n">
        <f aca="false">E7+F7-B7</f>
        <v>0.0601725944000151</v>
      </c>
      <c r="H7" s="25" t="n">
        <f aca="false">E7/B7</f>
        <v>0.327826968454081</v>
      </c>
      <c r="I7" s="26" t="n">
        <f aca="false">'Monthly Analysis'!D20</f>
        <v>114.460713680934</v>
      </c>
      <c r="K7" s="18" t="n">
        <f aca="false">E7/$B7*100</f>
        <v>32.7826968454081</v>
      </c>
      <c r="L7" s="18" t="n">
        <f aca="false">F7/$B7*100</f>
        <v>67.4599776387747</v>
      </c>
    </row>
    <row r="8" customFormat="false" ht="15" hidden="false" customHeight="false" outlineLevel="0" collapsed="false">
      <c r="A8" s="21" t="s">
        <v>48</v>
      </c>
      <c r="B8" s="22" t="n">
        <f aca="false">('Data (monthly)'!B32/'Data (monthly)'!B20-1)*100</f>
        <v>47.6455900688807</v>
      </c>
      <c r="C8" s="22" t="n">
        <f aca="false">('Data (monthly)'!E32/'Data (monthly)'!E20-1)*100</f>
        <v>53.4631407275386</v>
      </c>
      <c r="D8" s="22" t="n">
        <f aca="false">('Data (monthly)'!F32/'Data (monthly)'!F20-1)*100</f>
        <v>45.9143254749618</v>
      </c>
      <c r="E8" s="23" t="n">
        <f aca="false">Weights!$B$6*('Data (monthly)'!E32-'Data (monthly)'!E20)/'Data (monthly)'!B20*100</f>
        <v>12.4812416231021</v>
      </c>
      <c r="F8" s="23" t="n">
        <f aca="false">(Weights!$B$5*('Data (monthly)'!C32-'Data (monthly)'!C20)+Weights!$B$7*('Data (monthly)'!D32-'Data (monthly)'!D20))/'Data (monthly)'!B20*100</f>
        <v>35.2175315697028</v>
      </c>
      <c r="G8" s="24" t="n">
        <f aca="false">E8+F8-B8</f>
        <v>0.0531831239242209</v>
      </c>
      <c r="H8" s="25" t="n">
        <f aca="false">E8/B8</f>
        <v>0.261960059788495</v>
      </c>
      <c r="I8" s="26" t="n">
        <f aca="false">'Monthly Analysis'!D32</f>
        <v>120.382289773226</v>
      </c>
      <c r="K8" s="18" t="n">
        <f aca="false">E8/$B8*100</f>
        <v>26.1960059788495</v>
      </c>
      <c r="L8" s="18" t="n">
        <f aca="false">F8/$B8*100</f>
        <v>73.9156163640522</v>
      </c>
    </row>
    <row r="9" customFormat="false" ht="15" hidden="false" customHeight="false" outlineLevel="0" collapsed="false">
      <c r="A9" s="21" t="s">
        <v>49</v>
      </c>
      <c r="B9" s="22" t="n">
        <f aca="false">('Data (monthly)'!B44/'Data (monthly)'!B32-1)*100</f>
        <v>53.8324020163339</v>
      </c>
      <c r="C9" s="22" t="n">
        <f aca="false">('Data (monthly)'!E44/'Data (monthly)'!E32-1)*100</f>
        <v>48.2234437397228</v>
      </c>
      <c r="D9" s="22" t="n">
        <f aca="false">('Data (monthly)'!F44/'Data (monthly)'!F32-1)*100</f>
        <v>55.6213051056321</v>
      </c>
      <c r="E9" s="23" t="n">
        <f aca="false">Weights!$B$6*('Data (monthly)'!E44-'Data (monthly)'!E32)/'Data (monthly)'!B32*100</f>
        <v>11.7015972401322</v>
      </c>
      <c r="F9" s="23" t="n">
        <f aca="false">(Weights!$B$5*('Data (monthly)'!C44-'Data (monthly)'!C32)+Weights!$B$7*('Data (monthly)'!D44-'Data (monthly)'!D32))/'Data (monthly)'!B32*100</f>
        <v>42.162789005792</v>
      </c>
      <c r="G9" s="24" t="n">
        <f aca="false">E9+F9-B9</f>
        <v>0.0319842295902433</v>
      </c>
      <c r="H9" s="25" t="n">
        <f aca="false">E9/B9</f>
        <v>0.217370891913418</v>
      </c>
      <c r="I9" s="26" t="n">
        <f aca="false">'Monthly Analysis'!D44</f>
        <v>114.659606172491</v>
      </c>
      <c r="K9" s="18" t="n">
        <f aca="false">E9/$B9*100</f>
        <v>21.7370891913418</v>
      </c>
      <c r="L9" s="18" t="n">
        <f aca="false">F9/$B9*100</f>
        <v>78.3223252661081</v>
      </c>
    </row>
    <row r="10" customFormat="false" ht="15" hidden="false" customHeight="false" outlineLevel="0" collapsed="false">
      <c r="A10" s="21" t="s">
        <v>50</v>
      </c>
      <c r="B10" s="22" t="n">
        <f aca="false">('Data (monthly)'!B56/'Data (monthly)'!B44-1)*100</f>
        <v>36.1405878123454</v>
      </c>
      <c r="C10" s="22" t="n">
        <f aca="false">('Data (monthly)'!E56/'Data (monthly)'!E44-1)*100</f>
        <v>14.7619159310997</v>
      </c>
      <c r="D10" s="22" t="n">
        <f aca="false">('Data (monthly)'!F56/'Data (monthly)'!F44-1)*100</f>
        <v>42.6173729881428</v>
      </c>
      <c r="E10" s="23" t="n">
        <f aca="false">Weights!$B$6*('Data (monthly)'!E56-'Data (monthly)'!E44)/'Data (monthly)'!B44*100</f>
        <v>3.45142730368094</v>
      </c>
      <c r="F10" s="23" t="n">
        <f aca="false">(Weights!$B$5*('Data (monthly)'!C56-'Data (monthly)'!C44)+Weights!$B$7*('Data (monthly)'!D56-'Data (monthly)'!D44))/'Data (monthly)'!B44*100</f>
        <v>32.6810546641985</v>
      </c>
      <c r="G10" s="24" t="n">
        <f aca="false">E10+F10-B10</f>
        <v>-0.00810584446603002</v>
      </c>
      <c r="H10" s="25" t="n">
        <f aca="false">E10/B10</f>
        <v>0.0955000323072208</v>
      </c>
      <c r="I10" s="26" t="n">
        <f aca="false">'Monthly Analysis'!D56</f>
        <v>92.2647487368482</v>
      </c>
      <c r="K10" s="18" t="n">
        <f aca="false">E10/$B10*100</f>
        <v>9.55000323072208</v>
      </c>
      <c r="L10" s="18" t="n">
        <f aca="false">F10/$B10*100</f>
        <v>90.4275681233795</v>
      </c>
    </row>
    <row r="11" customFormat="false" ht="15" hidden="false" customHeight="false" outlineLevel="0" collapsed="false">
      <c r="A11" s="21" t="s">
        <v>51</v>
      </c>
      <c r="B11" s="22" t="n">
        <f aca="false">('Data (monthly)'!B68/'Data (monthly)'!B56-1)*100</f>
        <v>50.9416335434663</v>
      </c>
      <c r="C11" s="22" t="n">
        <f aca="false">('Data (monthly)'!E68/'Data (monthly)'!E56-1)*100</f>
        <v>37.7182092239961</v>
      </c>
      <c r="D11" s="22" t="n">
        <f aca="false">('Data (monthly)'!F68/'Data (monthly)'!F56-1)*100</f>
        <v>54.1587854272851</v>
      </c>
      <c r="E11" s="23" t="n">
        <f aca="false">Weights!$B$6*('Data (monthly)'!E68-'Data (monthly)'!E56)/'Data (monthly)'!B56*100</f>
        <v>7.4339089337016</v>
      </c>
      <c r="F11" s="23" t="n">
        <f aca="false">(Weights!$B$5*('Data (monthly)'!C68-'Data (monthly)'!C56)+Weights!$B$7*('Data (monthly)'!D68-'Data (monthly)'!D56))/'Data (monthly)'!B56*100</f>
        <v>43.5073984498912</v>
      </c>
      <c r="G11" s="24" t="n">
        <f aca="false">E11+F11-B11</f>
        <v>-0.000326159873502263</v>
      </c>
      <c r="H11" s="25" t="n">
        <f aca="false">E11/B11</f>
        <v>0.145929928363184</v>
      </c>
      <c r="I11" s="26" t="n">
        <f aca="false">'Monthly Analysis'!D68</f>
        <v>82.4249875563156</v>
      </c>
      <c r="K11" s="18" t="n">
        <f aca="false">E11/$B11*100</f>
        <v>14.5929928363184</v>
      </c>
      <c r="L11" s="18" t="n">
        <f aca="false">F11/$B11*100</f>
        <v>85.4063669017764</v>
      </c>
    </row>
    <row r="12" customFormat="false" ht="15" hidden="false" customHeight="false" outlineLevel="0" collapsed="false">
      <c r="A12" s="21" t="s">
        <v>52</v>
      </c>
      <c r="B12" s="22" t="n">
        <f aca="false">('Data (monthly)'!B80/'Data (monthly)'!B68-1)*100</f>
        <v>94.7931823351918</v>
      </c>
      <c r="C12" s="22" t="n">
        <f aca="false">('Data (monthly)'!E80/'Data (monthly)'!E68-1)*100</f>
        <v>85.6652257228033</v>
      </c>
      <c r="D12" s="22" t="n">
        <f aca="false">('Data (monthly)'!F80/'Data (monthly)'!F68-1)*100</f>
        <v>96.8962645296136</v>
      </c>
      <c r="E12" s="23" t="n">
        <f aca="false">Weights!$B$6*('Data (monthly)'!E80-'Data (monthly)'!E68)/'Data (monthly)'!B68*100</f>
        <v>15.4046932967641</v>
      </c>
      <c r="F12" s="23" t="n">
        <f aca="false">(Weights!$B$5*('Data (monthly)'!C80-'Data (monthly)'!C68)+Weights!$B$7*('Data (monthly)'!D80-'Data (monthly)'!D68))/'Data (monthly)'!B68*100</f>
        <v>79.4987807285167</v>
      </c>
      <c r="G12" s="24" t="n">
        <f aca="false">E12+F12-B12</f>
        <v>0.110291690088971</v>
      </c>
      <c r="H12" s="25" t="n">
        <f aca="false">E12/B12</f>
        <v>0.162508451739627</v>
      </c>
      <c r="I12" s="26" t="n">
        <f aca="false">'Monthly Analysis'!D80</f>
        <v>77.7234345019324</v>
      </c>
      <c r="K12" s="18" t="n">
        <f aca="false">E12/$B12*100</f>
        <v>16.2508451739627</v>
      </c>
      <c r="L12" s="18" t="n">
        <f aca="false">F12/$B12*100</f>
        <v>83.8655046387264</v>
      </c>
    </row>
    <row r="13" customFormat="false" ht="15" hidden="false" customHeight="false" outlineLevel="0" collapsed="false">
      <c r="A13" s="21" t="s">
        <v>53</v>
      </c>
      <c r="B13" s="22" t="n">
        <f aca="false">('Data (monthly)'!B92/'Data (monthly)'!B80-1)*100</f>
        <v>211.407643747177</v>
      </c>
      <c r="C13" s="22" t="n">
        <f aca="false">('Data (monthly)'!E92/'Data (monthly)'!E80-1)*100</f>
        <v>164.940953372234</v>
      </c>
      <c r="D13" s="22" t="n">
        <f aca="false">('Data (monthly)'!F92/'Data (monthly)'!F80-1)*100</f>
        <v>220.752453334189</v>
      </c>
      <c r="E13" s="23" t="n">
        <f aca="false">Weights!$B$6*('Data (monthly)'!E92-'Data (monthly)'!E80)/'Data (monthly)'!B80*100</f>
        <v>28.2705208677603</v>
      </c>
      <c r="F13" s="23" t="n">
        <f aca="false">(Weights!$B$5*('Data (monthly)'!C92-'Data (monthly)'!C80)+Weights!$B$7*('Data (monthly)'!D92-'Data (monthly)'!D80))/'Data (monthly)'!B80*100</f>
        <v>183.072324604211</v>
      </c>
      <c r="G13" s="24" t="n">
        <f aca="false">E13+F13-B13</f>
        <v>-0.0647982752057601</v>
      </c>
      <c r="H13" s="25" t="n">
        <f aca="false">E13/B13</f>
        <v>0.133725159443947</v>
      </c>
      <c r="I13" s="26" t="n">
        <f aca="false">'Monthly Analysis'!D92</f>
        <v>64.1994180317357</v>
      </c>
      <c r="K13" s="18" t="n">
        <f aca="false">E13/$B13*100</f>
        <v>13.3725159443947</v>
      </c>
      <c r="L13" s="18" t="n">
        <f aca="false">F13/$B13*100</f>
        <v>86.5968331888452</v>
      </c>
    </row>
    <row r="14" customFormat="false" ht="15" hidden="false" customHeight="false" outlineLevel="0" collapsed="false">
      <c r="A14" s="21" t="s">
        <v>54</v>
      </c>
      <c r="B14" s="22" t="n">
        <f aca="false">('Data (monthly)'!B104/'Data (monthly)'!B92-1)*100</f>
        <v>117.763627464139</v>
      </c>
      <c r="C14" s="22" t="n">
        <f aca="false">('Data (monthly)'!E104/'Data (monthly)'!E92-1)*100</f>
        <v>205.878384582029</v>
      </c>
      <c r="D14" s="22" t="n">
        <f aca="false">('Data (monthly)'!F104/'Data (monthly)'!F92-1)*100</f>
        <v>102.782768248874</v>
      </c>
      <c r="E14" s="23" t="n">
        <f aca="false">Weights!$B$6*('Data (monthly)'!E104-'Data (monthly)'!E92)/'Data (monthly)'!B92*100</f>
        <v>30.0217419649432</v>
      </c>
      <c r="F14" s="23" t="n">
        <f aca="false">(Weights!$B$5*('Data (monthly)'!C104-'Data (monthly)'!C92)+Weights!$B$7*('Data (monthly)'!D104-'Data (monthly)'!D92))/'Data (monthly)'!B92*100</f>
        <v>87.7966987060285</v>
      </c>
      <c r="G14" s="24" t="n">
        <f aca="false">E14+F14-B14</f>
        <v>0.0548132068331597</v>
      </c>
      <c r="H14" s="25" t="n">
        <f aca="false">E14/B14</f>
        <v>0.254932211340768</v>
      </c>
      <c r="I14" s="26" t="n">
        <f aca="false">'Monthly Analysis'!D104</f>
        <v>96.8386734643697</v>
      </c>
      <c r="K14" s="18" t="n">
        <f aca="false">E14/$B14*100</f>
        <v>25.4932211340768</v>
      </c>
      <c r="L14" s="18" t="n">
        <f aca="false">F14/$B14*100</f>
        <v>74.5533239732823</v>
      </c>
    </row>
    <row r="15" customFormat="false" ht="15" hidden="false" customHeight="false" outlineLevel="0" collapsed="false">
      <c r="A15" s="21" t="s">
        <v>55</v>
      </c>
      <c r="B15" s="22" t="n">
        <f aca="false">('Data (monthly)'!B116/'Data (monthly)'!B104-1)*100</f>
        <v>31.5487605126457</v>
      </c>
      <c r="C15" s="22" t="n">
        <f aca="false">('Data (monthly)'!E116/'Data (monthly)'!E104-1)*100</f>
        <v>34.2092441179866</v>
      </c>
      <c r="D15" s="22" t="n">
        <f aca="false">('Data (monthly)'!F116/'Data (monthly)'!F104-1)*100</f>
        <v>30.8636390752326</v>
      </c>
      <c r="E15" s="23" t="n">
        <f aca="false">Weights!$B$6*('Data (monthly)'!E116-'Data (monthly)'!E104)/'Data (monthly)'!B104*100</f>
        <v>7.00699906871029</v>
      </c>
      <c r="F15" s="23" t="n">
        <f aca="false">(Weights!$B$5*('Data (monthly)'!C116-'Data (monthly)'!C104)+Weights!$B$7*('Data (monthly)'!D116-'Data (monthly)'!D104))/'Data (monthly)'!B104*100</f>
        <v>24.5499556807204</v>
      </c>
      <c r="G15" s="24" t="n">
        <f aca="false">E15+F15-B15</f>
        <v>0.00819423678492726</v>
      </c>
      <c r="H15" s="25" t="n">
        <f aca="false">E15/B15</f>
        <v>0.22210061361687</v>
      </c>
      <c r="I15" s="26" t="n">
        <f aca="false">'Monthly Analysis'!D116</f>
        <v>99.3144104724911</v>
      </c>
      <c r="K15" s="18" t="n">
        <f aca="false">E15/$B15*100</f>
        <v>22.210061361687</v>
      </c>
      <c r="L15" s="18" t="n">
        <f aca="false">F15/$B15*100</f>
        <v>77.8159118830674</v>
      </c>
    </row>
    <row r="16" customFormat="false" ht="15" hidden="false" customHeight="false" outlineLevel="0" collapsed="false">
      <c r="A16" s="21" t="s">
        <v>56</v>
      </c>
      <c r="B16" s="22" t="n">
        <f aca="false">('Data (monthly)'!B120/'Data (monthly)'!B108-1)*100</f>
        <v>32.3504481534784</v>
      </c>
      <c r="C16" s="22" t="n">
        <f aca="false">('Data (monthly)'!E120/'Data (monthly)'!E108-1)*100</f>
        <v>42.9560920652327</v>
      </c>
      <c r="D16" s="22" t="n">
        <f aca="false">('Data (monthly)'!F120/'Data (monthly)'!F108-1)*100</f>
        <v>29.6370678028766</v>
      </c>
      <c r="E16" s="23" t="n">
        <f aca="false">Weights!$B$6*('Data (monthly)'!E120-'Data (monthly)'!E108)/'Data (monthly)'!B108*100</f>
        <v>8.69554759876756</v>
      </c>
      <c r="F16" s="23" t="n">
        <f aca="false">(Weights!$B$5*('Data (monthly)'!C120-'Data (monthly)'!C108)+Weights!$B$7*('Data (monthly)'!D120-'Data (monthly)'!D108))/'Data (monthly)'!B108*100</f>
        <v>23.6474228584353</v>
      </c>
      <c r="G16" s="24" t="n">
        <f aca="false">E16+F16-B16</f>
        <v>-0.00747769627561468</v>
      </c>
      <c r="H16" s="25" t="n">
        <f aca="false">E16/B16</f>
        <v>0.268792183573895</v>
      </c>
      <c r="I16" s="26" t="n">
        <f aca="false">'Monthly Analysis'!D120</f>
        <v>105.210936802006</v>
      </c>
      <c r="K16" s="18" t="n">
        <f aca="false">E16/$B16*100</f>
        <v>26.8792183573895</v>
      </c>
      <c r="L16" s="18" t="n">
        <f aca="false">F16/$B16*100</f>
        <v>73.097666982065</v>
      </c>
    </row>
    <row r="18" customFormat="false" ht="15" hidden="false" customHeight="false" outlineLevel="0" collapsed="false">
      <c r="A18" s="2"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1"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6" min="3" style="0" width="18"/>
  </cols>
  <sheetData>
    <row r="1" customFormat="false" ht="17.35" hidden="false" customHeight="false" outlineLevel="0" collapsed="false">
      <c r="A1" s="1" t="s">
        <v>59</v>
      </c>
    </row>
    <row r="5" customFormat="false" ht="15" hidden="false" customHeight="false" outlineLevel="0" collapsed="false">
      <c r="A5" s="3" t="s">
        <v>60</v>
      </c>
      <c r="B5" s="3" t="s">
        <v>61</v>
      </c>
      <c r="C5" s="3" t="s">
        <v>62</v>
      </c>
      <c r="D5" s="3" t="s">
        <v>63</v>
      </c>
      <c r="E5" s="3" t="s">
        <v>64</v>
      </c>
    </row>
    <row r="6" customFormat="false" ht="15" hidden="false" customHeight="false" outlineLevel="0" collapsed="false">
      <c r="A6" s="4" t="s">
        <v>48</v>
      </c>
      <c r="B6" s="4" t="s">
        <v>33</v>
      </c>
      <c r="C6" s="27" t="n">
        <v>47.6</v>
      </c>
      <c r="D6" s="26" t="n">
        <f aca="false">Annual!B8</f>
        <v>47.6455900688807</v>
      </c>
      <c r="E6" s="28" t="n">
        <f aca="false">D6-C6</f>
        <v>0.0455900688806494</v>
      </c>
    </row>
    <row r="7" customFormat="false" ht="15" hidden="false" customHeight="false" outlineLevel="0" collapsed="false">
      <c r="A7" s="4" t="s">
        <v>53</v>
      </c>
      <c r="B7" s="4" t="s">
        <v>33</v>
      </c>
      <c r="C7" s="27" t="n">
        <v>211.4</v>
      </c>
      <c r="D7" s="26" t="n">
        <f aca="false">Annual!B13</f>
        <v>211.407643747177</v>
      </c>
      <c r="E7" s="28" t="n">
        <f aca="false">D7-C7</f>
        <v>0.00764374717678606</v>
      </c>
    </row>
    <row r="8" customFormat="false" ht="15" hidden="false" customHeight="false" outlineLevel="0" collapsed="false">
      <c r="A8" s="4" t="s">
        <v>54</v>
      </c>
      <c r="B8" s="4" t="s">
        <v>33</v>
      </c>
      <c r="C8" s="27" t="n">
        <v>117.8</v>
      </c>
      <c r="D8" s="26" t="n">
        <f aca="false">Annual!B14</f>
        <v>117.763627464139</v>
      </c>
      <c r="E8" s="28" t="n">
        <f aca="false">D8-C8</f>
        <v>-0.0363725358614602</v>
      </c>
    </row>
    <row r="9" customFormat="false" ht="15" hidden="false" customHeight="false" outlineLevel="0" collapsed="false">
      <c r="A9" s="4" t="s">
        <v>54</v>
      </c>
      <c r="B9" s="4" t="s">
        <v>65</v>
      </c>
      <c r="C9" s="27" t="n">
        <v>105.5</v>
      </c>
      <c r="D9" s="29" t="s">
        <v>66</v>
      </c>
      <c r="E9" s="30"/>
    </row>
    <row r="10" customFormat="false" ht="15" hidden="false" customHeight="false" outlineLevel="0" collapsed="false">
      <c r="A10" s="4" t="s">
        <v>55</v>
      </c>
      <c r="B10" s="4" t="s">
        <v>33</v>
      </c>
      <c r="C10" s="27" t="n">
        <v>31.5</v>
      </c>
      <c r="D10" s="26" t="n">
        <f aca="false">Annual!B15</f>
        <v>31.5487605126457</v>
      </c>
      <c r="E10" s="28" t="n">
        <f aca="false">D10-C10</f>
        <v>0.0487605126457247</v>
      </c>
    </row>
    <row r="11" customFormat="false" ht="15" hidden="false" customHeight="false" outlineLevel="0" collapsed="false">
      <c r="A11" s="4" t="s">
        <v>67</v>
      </c>
      <c r="B11" s="4" t="s">
        <v>33</v>
      </c>
      <c r="C11" s="27" t="n">
        <v>32.4</v>
      </c>
      <c r="D11" s="26" t="n">
        <f aca="false">Annual!B16</f>
        <v>32.3504481534784</v>
      </c>
      <c r="E11" s="28" t="n">
        <f aca="false">D11-C11</f>
        <v>-0.0495518465215739</v>
      </c>
    </row>
    <row r="12" customFormat="false" ht="15" hidden="false" customHeight="false" outlineLevel="0" collapsed="false">
      <c r="A12" s="4" t="s">
        <v>67</v>
      </c>
      <c r="B12" s="4" t="s">
        <v>34</v>
      </c>
      <c r="C12" s="27" t="n">
        <v>43</v>
      </c>
      <c r="D12" s="26" t="n">
        <f aca="false">Annual!C16</f>
        <v>42.9560920652327</v>
      </c>
      <c r="E12" s="28" t="n">
        <f aca="false">D12-C12</f>
        <v>-0.0439079347673044</v>
      </c>
    </row>
    <row r="15" customFormat="false" ht="15" hidden="false" customHeight="false" outlineLevel="0" collapsed="false">
      <c r="A15" s="10" t="s">
        <v>68</v>
      </c>
    </row>
    <row r="16" customFormat="false" ht="15" hidden="false" customHeight="false" outlineLevel="0" collapsed="false">
      <c r="A16" s="31" t="s">
        <v>69</v>
      </c>
      <c r="B16" s="31"/>
      <c r="C16" s="31"/>
      <c r="D16" s="31"/>
      <c r="E16" s="31"/>
      <c r="F16" s="31"/>
    </row>
    <row r="17" customFormat="false" ht="15" hidden="false" customHeight="false" outlineLevel="0" collapsed="false">
      <c r="A17" s="31" t="s">
        <v>70</v>
      </c>
      <c r="B17" s="31"/>
      <c r="C17" s="31"/>
      <c r="D17" s="31"/>
      <c r="E17" s="31"/>
      <c r="F17" s="31"/>
    </row>
    <row r="18" customFormat="false" ht="15" hidden="false" customHeight="false" outlineLevel="0" collapsed="false">
      <c r="A18" s="31" t="s">
        <v>71</v>
      </c>
      <c r="B18" s="31"/>
      <c r="C18" s="31"/>
      <c r="D18" s="31"/>
      <c r="E18" s="31"/>
      <c r="F18" s="31"/>
    </row>
    <row r="19" customFormat="false" ht="15" hidden="false" customHeight="false" outlineLevel="0" collapsed="false">
      <c r="A19" s="31" t="s">
        <v>72</v>
      </c>
      <c r="B19" s="31"/>
      <c r="C19" s="31"/>
      <c r="D19" s="31"/>
      <c r="E19" s="31"/>
      <c r="F19" s="31"/>
    </row>
    <row r="20" customFormat="false" ht="15" hidden="false" customHeight="false" outlineLevel="0" collapsed="false">
      <c r="A20" s="31" t="s">
        <v>73</v>
      </c>
      <c r="B20" s="31"/>
      <c r="C20" s="31"/>
      <c r="D20" s="31"/>
      <c r="E20" s="31"/>
      <c r="F20" s="31"/>
    </row>
  </sheetData>
  <mergeCells count="5">
    <mergeCell ref="A16:F16"/>
    <mergeCell ref="A17:F17"/>
    <mergeCell ref="A18:F18"/>
    <mergeCell ref="A19:F19"/>
    <mergeCell ref="A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2026-08-04T14:27:47Z</dcterms:created>
  <dc:creator>openpyxl</dc:creator>
  <dc:description/>
  <dc:language>en-US</dc:language>
  <cp:lastModifiedBy/>
  <dcterms:modified xsi:type="dcterms:W3CDTF">2026-08-04T14:27:50Z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